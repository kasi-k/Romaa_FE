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F8D78BF9-45BE-450A-8338-3769A43E2E18}" xr6:coauthVersionLast="47" xr6:coauthVersionMax="47" xr10:uidLastSave="{00000000-0000-0000-0000-000000000000}"/>
  <bookViews>
    <workbookView xWindow="-98" yWindow="-98" windowWidth="21795" windowHeight="12975" activeTab="3" xr2:uid="{00000000-000D-0000-FFFF-FFFF00000000}"/>
  </bookViews>
  <sheets>
    <sheet name="Pandalur -covering" sheetId="26" r:id="rId1"/>
    <sheet name="BOQ" sheetId="19" r:id="rId2"/>
    <sheet name="Comparative" sheetId="9" r:id="rId3"/>
    <sheet name="Bill Abs" sheetId="10" r:id="rId4"/>
    <sheet name="Set" sheetId="8" r:id="rId5"/>
    <sheet name="Pandalur Dt Wise" sheetId="3" r:id="rId6"/>
    <sheet name="Steel 1000MT " sheetId="27" r:id="rId7"/>
    <sheet name="Steel 1500MT" sheetId="29"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0" localSheetId="0">#REF!</definedName>
    <definedName name="\0">#REF!</definedName>
    <definedName name="\a">#N/A</definedName>
    <definedName name="\b">#N/A</definedName>
    <definedName name="\C" localSheetId="0">#REF!</definedName>
    <definedName name="\C">#REF!</definedName>
    <definedName name="\c1" localSheetId="0">#REF!</definedName>
    <definedName name="\c1">#REF!</definedName>
    <definedName name="\c2" localSheetId="0">#REF!</definedName>
    <definedName name="\c2">#REF!</definedName>
    <definedName name="\D" localSheetId="0">#REF!</definedName>
    <definedName name="\D">#REF!</definedName>
    <definedName name="\l" localSheetId="0">#REF!</definedName>
    <definedName name="\l">#REF!</definedName>
    <definedName name="\M" localSheetId="0">#REF!</definedName>
    <definedName name="\M">#REF!</definedName>
    <definedName name="\N" localSheetId="0">#REF!</definedName>
    <definedName name="\N">#REF!</definedName>
    <definedName name="\p" localSheetId="0">#REF!</definedName>
    <definedName name="\p">#REF!</definedName>
    <definedName name="\R" localSheetId="0">#REF!</definedName>
    <definedName name="\R">#REF!</definedName>
    <definedName name="\S" localSheetId="0">#REF!</definedName>
    <definedName name="\S">#REF!</definedName>
    <definedName name="\U" localSheetId="0">#REF!</definedName>
    <definedName name="\U">#REF!</definedName>
    <definedName name="\V" localSheetId="0">#REF!</definedName>
    <definedName name="\V">#REF!</definedName>
    <definedName name="\x" localSheetId="0">#REF!</definedName>
    <definedName name="\x">#REF!</definedName>
    <definedName name="_">"tcap"</definedName>
    <definedName name="_\wdr" localSheetId="0">#REF!</definedName>
    <definedName name="_\wdr">#REF!</definedName>
    <definedName name="__________________________________aaa5" localSheetId="0">#REF!</definedName>
    <definedName name="__________________________________aaa5">#REF!</definedName>
    <definedName name="__________________________________D199617">#REF!</definedName>
    <definedName name="_________________________________aaa5" localSheetId="0">#REF!</definedName>
    <definedName name="_________________________________aaa5">#REF!</definedName>
    <definedName name="_________________________________D199617">#REF!</definedName>
    <definedName name="________________________________aaa5" localSheetId="0">#REF!</definedName>
    <definedName name="________________________________aaa5">#REF!</definedName>
    <definedName name="________________________________D199617">#REF!</definedName>
    <definedName name="_______________________________aaa5" localSheetId="0">#REF!</definedName>
    <definedName name="_______________________________aaa5">#REF!</definedName>
    <definedName name="_______________________________D199617">#REF!</definedName>
    <definedName name="______________________________aaa5" localSheetId="0">#REF!</definedName>
    <definedName name="______________________________aaa5">#REF!</definedName>
    <definedName name="______________________________D199617">#REF!</definedName>
    <definedName name="_____________________________aaa5" localSheetId="0">#REF!</definedName>
    <definedName name="_____________________________aaa5">#REF!</definedName>
    <definedName name="_____________________________D199617">#REF!</definedName>
    <definedName name="_____________________________SS2" localSheetId="0">#REF!</definedName>
    <definedName name="_____________________________SS2">#REF!</definedName>
    <definedName name="____________________________aaa5" localSheetId="0">#REF!</definedName>
    <definedName name="____________________________aaa5">#REF!</definedName>
    <definedName name="____________________________D199617">#REF!</definedName>
    <definedName name="___________________________D199617">#REF!</definedName>
    <definedName name="__________________________D199617">#REF!</definedName>
    <definedName name="__________________________ind1" localSheetId="0">#REF!</definedName>
    <definedName name="__________________________ind1">#REF!</definedName>
    <definedName name="__________________________IND11" localSheetId="0">#REF!</definedName>
    <definedName name="__________________________IND11">#REF!</definedName>
    <definedName name="__________________________IND31" localSheetId="0">#REF!</definedName>
    <definedName name="__________________________IND31">#REF!</definedName>
    <definedName name="__________________________S12" localSheetId="0">#REF!</definedName>
    <definedName name="__________________________S12">#REF!</definedName>
    <definedName name="__________________________sec1" localSheetId="0">#REF!</definedName>
    <definedName name="__________________________sec1">#REF!</definedName>
    <definedName name="__________________________Sec2" localSheetId="0">#REF!</definedName>
    <definedName name="__________________________Sec2">#REF!</definedName>
    <definedName name="__________________________sec3" localSheetId="0">#REF!</definedName>
    <definedName name="__________________________sec3">#REF!</definedName>
    <definedName name="__________________________Sec4" localSheetId="0">#REF!</definedName>
    <definedName name="__________________________Sec4">#REF!</definedName>
    <definedName name="__________________________sec5" localSheetId="0">#REF!</definedName>
    <definedName name="__________________________sec5">#REF!</definedName>
    <definedName name="__________________________sec6" localSheetId="0">#REF!</definedName>
    <definedName name="__________________________sec6">#REF!</definedName>
    <definedName name="__________________________sec7" localSheetId="0">#REF!</definedName>
    <definedName name="__________________________sec7">#REF!</definedName>
    <definedName name="__________________________sec71" localSheetId="0">#REF!</definedName>
    <definedName name="__________________________sec71">#REF!</definedName>
    <definedName name="__________________________SEC77" localSheetId="0">#REF!</definedName>
    <definedName name="__________________________SEC77">#REF!</definedName>
    <definedName name="__________________________sec8" localSheetId="0">#REF!</definedName>
    <definedName name="__________________________sec8">#REF!</definedName>
    <definedName name="__________________________sec81" localSheetId="0">#REF!</definedName>
    <definedName name="__________________________sec81">#REF!</definedName>
    <definedName name="__________________________SEC88" localSheetId="0">#REF!</definedName>
    <definedName name="__________________________SEC88">#REF!</definedName>
    <definedName name="__________________________SEC9" localSheetId="0">#REF!</definedName>
    <definedName name="__________________________SEC9">#REF!</definedName>
    <definedName name="_________________________aaa10" localSheetId="0">#REF!</definedName>
    <definedName name="_________________________aaa10">#REF!</definedName>
    <definedName name="_________________________aaa5" localSheetId="0">#REF!</definedName>
    <definedName name="_________________________aaa5">#REF!</definedName>
    <definedName name="_________________________AAA51" localSheetId="0">#REF!</definedName>
    <definedName name="_________________________AAA51">#REF!</definedName>
    <definedName name="_________________________aaa55" localSheetId="0">#REF!</definedName>
    <definedName name="_________________________aaa55">#REF!</definedName>
    <definedName name="_________________________AAA6" localSheetId="0">#REF!</definedName>
    <definedName name="_________________________AAA6">#REF!</definedName>
    <definedName name="_________________________AAA7" localSheetId="0">#REF!</definedName>
    <definedName name="_________________________AAA7">#REF!</definedName>
    <definedName name="_________________________AAD5" localSheetId="0">#REF!</definedName>
    <definedName name="_________________________AAD5">#REF!</definedName>
    <definedName name="_________________________aad55" localSheetId="0">#REF!</definedName>
    <definedName name="_________________________aad55">#REF!</definedName>
    <definedName name="_________________________D199617">#REF!</definedName>
    <definedName name="_________________________exc1" localSheetId="0">#REF!</definedName>
    <definedName name="_________________________exc1">#REF!</definedName>
    <definedName name="_________________________exc11" localSheetId="0">#REF!</definedName>
    <definedName name="_________________________exc11">#REF!</definedName>
    <definedName name="_________________________exc2" localSheetId="0">#REF!</definedName>
    <definedName name="_________________________exc2">#REF!</definedName>
    <definedName name="_________________________EXC3" localSheetId="0">#REF!</definedName>
    <definedName name="_________________________EXC3">#REF!</definedName>
    <definedName name="_________________________EXC4" localSheetId="0">#REF!</definedName>
    <definedName name="_________________________EXC4">#REF!</definedName>
    <definedName name="_________________________foo1" localSheetId="0">#REF!</definedName>
    <definedName name="_________________________foo1">#REF!</definedName>
    <definedName name="_________________________foo2" localSheetId="0">#REF!</definedName>
    <definedName name="_________________________foo2">#REF!</definedName>
    <definedName name="_________________________foo3" localSheetId="0">#REF!</definedName>
    <definedName name="_________________________foo3">#REF!</definedName>
    <definedName name="_________________________FOO4" localSheetId="0">#REF!</definedName>
    <definedName name="_________________________FOO4">#REF!</definedName>
    <definedName name="_________________________ind1" localSheetId="0">#REF!</definedName>
    <definedName name="_________________________ind1">#REF!</definedName>
    <definedName name="_________________________IND11" localSheetId="0">#REF!</definedName>
    <definedName name="_________________________IND11">#REF!</definedName>
    <definedName name="_________________________IND31" localSheetId="0">#REF!</definedName>
    <definedName name="_________________________IND31">#REF!</definedName>
    <definedName name="_________________________jh78">#REF!</definedName>
    <definedName name="_________________________pcc1" localSheetId="0">#REF!</definedName>
    <definedName name="_________________________pcc1">#REF!</definedName>
    <definedName name="_________________________pcc2" localSheetId="0">#REF!</definedName>
    <definedName name="_________________________pcc2">#REF!</definedName>
    <definedName name="_________________________pcc3" localSheetId="0">#REF!</definedName>
    <definedName name="_________________________pcc3">#REF!</definedName>
    <definedName name="_________________________PCC4" localSheetId="0">#REF!</definedName>
    <definedName name="_________________________PCC4">#REF!</definedName>
    <definedName name="_________________________plb1" localSheetId="0">#REF!</definedName>
    <definedName name="_________________________plb1">#REF!</definedName>
    <definedName name="_________________________plb2" localSheetId="0">#REF!</definedName>
    <definedName name="_________________________plb2">#REF!</definedName>
    <definedName name="_________________________plb3" localSheetId="0">#REF!</definedName>
    <definedName name="_________________________plb3">#REF!</definedName>
    <definedName name="_________________________plb4" localSheetId="0">#REF!</definedName>
    <definedName name="_________________________plb4">#REF!</definedName>
    <definedName name="_________________________S12" localSheetId="0">#REF!</definedName>
    <definedName name="_________________________S12">#REF!</definedName>
    <definedName name="_________________________sec1" localSheetId="0">#REF!</definedName>
    <definedName name="_________________________sec1">#REF!</definedName>
    <definedName name="_________________________Sec2" localSheetId="0">#REF!</definedName>
    <definedName name="_________________________Sec2">#REF!</definedName>
    <definedName name="_________________________sec3" localSheetId="0">#REF!</definedName>
    <definedName name="_________________________sec3">#REF!</definedName>
    <definedName name="_________________________Sec4" localSheetId="0">#REF!</definedName>
    <definedName name="_________________________Sec4">#REF!</definedName>
    <definedName name="_________________________sec5" localSheetId="0">#REF!</definedName>
    <definedName name="_________________________sec5">#REF!</definedName>
    <definedName name="_________________________sec6" localSheetId="0">#REF!</definedName>
    <definedName name="_________________________sec6">#REF!</definedName>
    <definedName name="_________________________sec7" localSheetId="0">#REF!</definedName>
    <definedName name="_________________________sec7">#REF!</definedName>
    <definedName name="_________________________sec71" localSheetId="0">#REF!</definedName>
    <definedName name="_________________________sec71">#REF!</definedName>
    <definedName name="_________________________SEC77" localSheetId="0">#REF!</definedName>
    <definedName name="_________________________SEC77">#REF!</definedName>
    <definedName name="_________________________sec8" localSheetId="0">#REF!</definedName>
    <definedName name="_________________________sec8">#REF!</definedName>
    <definedName name="_________________________sec81" localSheetId="0">#REF!</definedName>
    <definedName name="_________________________sec81">#REF!</definedName>
    <definedName name="_________________________SEC88" localSheetId="0">#REF!</definedName>
    <definedName name="_________________________SEC88">#REF!</definedName>
    <definedName name="_________________________SEC9" localSheetId="0">#REF!</definedName>
    <definedName name="_________________________SEC9">#REF!</definedName>
    <definedName name="_________________________zz1" localSheetId="0">#REF!</definedName>
    <definedName name="_________________________zz1">#REF!</definedName>
    <definedName name="________________________aaa10" localSheetId="0">#REF!</definedName>
    <definedName name="________________________aaa10">#REF!</definedName>
    <definedName name="________________________aaa5" localSheetId="0">#REF!</definedName>
    <definedName name="________________________aaa5">#REF!</definedName>
    <definedName name="________________________AAA51" localSheetId="0">#REF!</definedName>
    <definedName name="________________________AAA51">#REF!</definedName>
    <definedName name="________________________aaa55" localSheetId="0">#REF!</definedName>
    <definedName name="________________________aaa55">#REF!</definedName>
    <definedName name="________________________AAA6" localSheetId="0">#REF!</definedName>
    <definedName name="________________________AAA6">#REF!</definedName>
    <definedName name="________________________AAA7" localSheetId="0">#REF!</definedName>
    <definedName name="________________________AAA7">#REF!</definedName>
    <definedName name="________________________AAD5" localSheetId="0">#REF!</definedName>
    <definedName name="________________________AAD5">#REF!</definedName>
    <definedName name="________________________aad55" localSheetId="0">#REF!</definedName>
    <definedName name="________________________aad55">#REF!</definedName>
    <definedName name="________________________D199617">#REF!</definedName>
    <definedName name="________________________exc1" localSheetId="0">#REF!</definedName>
    <definedName name="________________________exc1">#REF!</definedName>
    <definedName name="________________________exc11" localSheetId="0">#REF!</definedName>
    <definedName name="________________________exc11">#REF!</definedName>
    <definedName name="________________________exc2" localSheetId="0">#REF!</definedName>
    <definedName name="________________________exc2">#REF!</definedName>
    <definedName name="________________________EXC3" localSheetId="0">#REF!</definedName>
    <definedName name="________________________EXC3">#REF!</definedName>
    <definedName name="________________________EXC4" localSheetId="0">#REF!</definedName>
    <definedName name="________________________EXC4">#REF!</definedName>
    <definedName name="________________________foo1" localSheetId="0">#REF!</definedName>
    <definedName name="________________________foo1">#REF!</definedName>
    <definedName name="________________________foo2" localSheetId="0">#REF!</definedName>
    <definedName name="________________________foo2">#REF!</definedName>
    <definedName name="________________________foo3" localSheetId="0">#REF!</definedName>
    <definedName name="________________________foo3">#REF!</definedName>
    <definedName name="________________________FOO4" localSheetId="0">#REF!</definedName>
    <definedName name="________________________FOO4">#REF!</definedName>
    <definedName name="________________________jh78">#REF!</definedName>
    <definedName name="________________________pcc1" localSheetId="0">#REF!</definedName>
    <definedName name="________________________pcc1">#REF!</definedName>
    <definedName name="________________________pcc2" localSheetId="0">#REF!</definedName>
    <definedName name="________________________pcc2">#REF!</definedName>
    <definedName name="________________________pcc3" localSheetId="0">#REF!</definedName>
    <definedName name="________________________pcc3">#REF!</definedName>
    <definedName name="________________________PCC4" localSheetId="0">#REF!</definedName>
    <definedName name="________________________PCC4">#REF!</definedName>
    <definedName name="________________________plb1" localSheetId="0">#REF!</definedName>
    <definedName name="________________________plb1">#REF!</definedName>
    <definedName name="________________________plb2" localSheetId="0">#REF!</definedName>
    <definedName name="________________________plb2">#REF!</definedName>
    <definedName name="________________________plb3" localSheetId="0">#REF!</definedName>
    <definedName name="________________________plb3">#REF!</definedName>
    <definedName name="________________________plb4" localSheetId="0">#REF!</definedName>
    <definedName name="________________________plb4">#REF!</definedName>
    <definedName name="________________________sec1" localSheetId="0">#REF!</definedName>
    <definedName name="________________________sec1">#REF!</definedName>
    <definedName name="________________________Sec2" localSheetId="0">#REF!</definedName>
    <definedName name="________________________Sec2">#REF!</definedName>
    <definedName name="________________________sec3" localSheetId="0">#REF!</definedName>
    <definedName name="________________________sec3">#REF!</definedName>
    <definedName name="________________________Sec4" localSheetId="0">#REF!</definedName>
    <definedName name="________________________Sec4">#REF!</definedName>
    <definedName name="________________________sec5" localSheetId="0">#REF!</definedName>
    <definedName name="________________________sec5">#REF!</definedName>
    <definedName name="________________________sec6" localSheetId="0">#REF!</definedName>
    <definedName name="________________________sec6">#REF!</definedName>
    <definedName name="________________________sec7" localSheetId="0">#REF!</definedName>
    <definedName name="________________________sec7">#REF!</definedName>
    <definedName name="________________________sec71" localSheetId="0">#REF!</definedName>
    <definedName name="________________________sec71">#REF!</definedName>
    <definedName name="________________________SEC77" localSheetId="0">#REF!</definedName>
    <definedName name="________________________SEC77">#REF!</definedName>
    <definedName name="________________________sec8" localSheetId="0">#REF!</definedName>
    <definedName name="________________________sec8">#REF!</definedName>
    <definedName name="________________________sec81" localSheetId="0">#REF!</definedName>
    <definedName name="________________________sec81">#REF!</definedName>
    <definedName name="________________________SEC88" localSheetId="0">#REF!</definedName>
    <definedName name="________________________SEC88">#REF!</definedName>
    <definedName name="________________________SEC9" localSheetId="0">#REF!</definedName>
    <definedName name="________________________SEC9">#REF!</definedName>
    <definedName name="________________________SS2" localSheetId="0">#REF!</definedName>
    <definedName name="________________________SS2">#REF!</definedName>
    <definedName name="________________________zz1" localSheetId="0">#REF!</definedName>
    <definedName name="________________________zz1">#REF!</definedName>
    <definedName name="_______________________aaa10" localSheetId="0">#REF!</definedName>
    <definedName name="_______________________aaa10">#REF!</definedName>
    <definedName name="_______________________aaa11" localSheetId="0">#REF!</definedName>
    <definedName name="_______________________aaa11">#REF!</definedName>
    <definedName name="_______________________AAA12" localSheetId="0">#REF!</definedName>
    <definedName name="_______________________AAA12">#REF!</definedName>
    <definedName name="_______________________aaa5" localSheetId="0">#REF!</definedName>
    <definedName name="_______________________aaa5">#REF!</definedName>
    <definedName name="_______________________AAA51" localSheetId="0">#REF!</definedName>
    <definedName name="_______________________AAA51">#REF!</definedName>
    <definedName name="_______________________aaa55" localSheetId="0">#REF!</definedName>
    <definedName name="_______________________aaa55">#REF!</definedName>
    <definedName name="_______________________AAA6" localSheetId="0">#REF!</definedName>
    <definedName name="_______________________AAA6">#REF!</definedName>
    <definedName name="_______________________AAA7" localSheetId="0">#REF!</definedName>
    <definedName name="_______________________AAA7">#REF!</definedName>
    <definedName name="_______________________AAD5" localSheetId="0">#REF!</definedName>
    <definedName name="_______________________AAD5">#REF!</definedName>
    <definedName name="_______________________aad55" localSheetId="0">#REF!</definedName>
    <definedName name="_______________________aad55">#REF!</definedName>
    <definedName name="_______________________COL14" localSheetId="0">#REF!</definedName>
    <definedName name="_______________________COL14">#REF!</definedName>
    <definedName name="_______________________COL15" localSheetId="0">#REF!</definedName>
    <definedName name="_______________________COL15">#REF!</definedName>
    <definedName name="_______________________COL16" localSheetId="0">#REF!</definedName>
    <definedName name="_______________________COL16">#REF!</definedName>
    <definedName name="_______________________D199617">#REF!</definedName>
    <definedName name="_______________________exc1" localSheetId="0">#REF!</definedName>
    <definedName name="_______________________exc1">#REF!</definedName>
    <definedName name="_______________________exc11" localSheetId="0">#REF!</definedName>
    <definedName name="_______________________exc11">#REF!</definedName>
    <definedName name="_______________________exc2" localSheetId="0">#REF!</definedName>
    <definedName name="_______________________exc2">#REF!</definedName>
    <definedName name="_______________________EXC3" localSheetId="0">#REF!</definedName>
    <definedName name="_______________________EXC3">#REF!</definedName>
    <definedName name="_______________________EXC4" localSheetId="0">#REF!</definedName>
    <definedName name="_______________________EXC4">#REF!</definedName>
    <definedName name="_______________________foo1" localSheetId="0">#REF!</definedName>
    <definedName name="_______________________foo1">#REF!</definedName>
    <definedName name="_______________________foo2" localSheetId="0">#REF!</definedName>
    <definedName name="_______________________foo2">#REF!</definedName>
    <definedName name="_______________________foo3" localSheetId="0">#REF!</definedName>
    <definedName name="_______________________foo3">#REF!</definedName>
    <definedName name="_______________________FOO4" localSheetId="0">#REF!</definedName>
    <definedName name="_______________________FOO4">#REF!</definedName>
    <definedName name="_______________________jh78">#REF!</definedName>
    <definedName name="_______________________lsc44" localSheetId="0">#REF!</definedName>
    <definedName name="_______________________lsc44">#REF!</definedName>
    <definedName name="_______________________pcc1" localSheetId="0">#REF!</definedName>
    <definedName name="_______________________pcc1">#REF!</definedName>
    <definedName name="_______________________pcc2" localSheetId="0">#REF!</definedName>
    <definedName name="_______________________pcc2">#REF!</definedName>
    <definedName name="_______________________pcc3" localSheetId="0">#REF!</definedName>
    <definedName name="_______________________pcc3">#REF!</definedName>
    <definedName name="_______________________PCC4" localSheetId="0">#REF!</definedName>
    <definedName name="_______________________PCC4">#REF!</definedName>
    <definedName name="_______________________plb1" localSheetId="0">#REF!</definedName>
    <definedName name="_______________________plb1">#REF!</definedName>
    <definedName name="_______________________plb2" localSheetId="0">#REF!</definedName>
    <definedName name="_______________________plb2">#REF!</definedName>
    <definedName name="_______________________plb3" localSheetId="0">#REF!</definedName>
    <definedName name="_______________________plb3">#REF!</definedName>
    <definedName name="_______________________plb4" localSheetId="0">#REF!</definedName>
    <definedName name="_______________________plb4">#REF!</definedName>
    <definedName name="_______________________sec1" localSheetId="0">#REF!</definedName>
    <definedName name="_______________________sec1">#REF!</definedName>
    <definedName name="_______________________sec111" localSheetId="0">#REF!</definedName>
    <definedName name="_______________________sec111">#REF!</definedName>
    <definedName name="_______________________SEC15" localSheetId="0">#REF!</definedName>
    <definedName name="_______________________SEC15">#REF!</definedName>
    <definedName name="_______________________Sec2" localSheetId="0">#REF!</definedName>
    <definedName name="_______________________Sec2">#REF!</definedName>
    <definedName name="_______________________sec22" localSheetId="0">#REF!</definedName>
    <definedName name="_______________________sec22">#REF!</definedName>
    <definedName name="_______________________SEC23" localSheetId="0">#REF!</definedName>
    <definedName name="_______________________SEC23">#REF!</definedName>
    <definedName name="_______________________sec3" localSheetId="0">#REF!</definedName>
    <definedName name="_______________________sec3">#REF!</definedName>
    <definedName name="_______________________SEC32" localSheetId="0">#REF!</definedName>
    <definedName name="_______________________SEC32">#REF!</definedName>
    <definedName name="_______________________sec33" localSheetId="0">#REF!</definedName>
    <definedName name="_______________________sec33">#REF!</definedName>
    <definedName name="_______________________Sec4" localSheetId="0">#REF!</definedName>
    <definedName name="_______________________Sec4">#REF!</definedName>
    <definedName name="_______________________sec45" localSheetId="0">#REF!</definedName>
    <definedName name="_______________________sec45">#REF!</definedName>
    <definedName name="_______________________SEC46" localSheetId="0">#REF!</definedName>
    <definedName name="_______________________SEC46">#REF!</definedName>
    <definedName name="_______________________sec5" localSheetId="0">#REF!</definedName>
    <definedName name="_______________________sec5">#REF!</definedName>
    <definedName name="_______________________sec55" localSheetId="0">#REF!</definedName>
    <definedName name="_______________________sec55">#REF!</definedName>
    <definedName name="_______________________SEC56" localSheetId="0">#REF!</definedName>
    <definedName name="_______________________SEC56">#REF!</definedName>
    <definedName name="_______________________sec6" localSheetId="0">#REF!</definedName>
    <definedName name="_______________________sec6">#REF!</definedName>
    <definedName name="_______________________sec66" localSheetId="0">#REF!</definedName>
    <definedName name="_______________________sec66">#REF!</definedName>
    <definedName name="_______________________SEC67" localSheetId="0">#REF!</definedName>
    <definedName name="_______________________SEC67">#REF!</definedName>
    <definedName name="_______________________sec7" localSheetId="0">#REF!</definedName>
    <definedName name="_______________________sec7">#REF!</definedName>
    <definedName name="_______________________sec71" localSheetId="0">#REF!</definedName>
    <definedName name="_______________________sec71">#REF!</definedName>
    <definedName name="_______________________SEC72" localSheetId="0">#REF!</definedName>
    <definedName name="_______________________SEC72">#REF!</definedName>
    <definedName name="_______________________SEC74" localSheetId="0">#REF!</definedName>
    <definedName name="_______________________SEC74">#REF!</definedName>
    <definedName name="_______________________SEC75" localSheetId="0">#REF!</definedName>
    <definedName name="_______________________SEC75">#REF!</definedName>
    <definedName name="_______________________SEC77" localSheetId="0">#REF!</definedName>
    <definedName name="_______________________SEC77">#REF!</definedName>
    <definedName name="_______________________sec777" localSheetId="0">#REF!</definedName>
    <definedName name="_______________________sec777">#REF!</definedName>
    <definedName name="_______________________sec78" localSheetId="0">#REF!</definedName>
    <definedName name="_______________________sec78">#REF!</definedName>
    <definedName name="_______________________sec79" localSheetId="0">#REF!</definedName>
    <definedName name="_______________________sec79">#REF!</definedName>
    <definedName name="_______________________sec8" localSheetId="0">#REF!</definedName>
    <definedName name="_______________________sec8">#REF!</definedName>
    <definedName name="_______________________sec81" localSheetId="0">#REF!</definedName>
    <definedName name="_______________________sec81">#REF!</definedName>
    <definedName name="_______________________SEC82" localSheetId="0">#REF!</definedName>
    <definedName name="_______________________SEC82">#REF!</definedName>
    <definedName name="_______________________SEC83" localSheetId="0">#REF!</definedName>
    <definedName name="_______________________SEC83">#REF!</definedName>
    <definedName name="_______________________SEC88" localSheetId="0">#REF!</definedName>
    <definedName name="_______________________SEC88">#REF!</definedName>
    <definedName name="_______________________sec888" localSheetId="0">#REF!</definedName>
    <definedName name="_______________________sec888">#REF!</definedName>
    <definedName name="_______________________sec89" localSheetId="0">#REF!</definedName>
    <definedName name="_______________________sec89">#REF!</definedName>
    <definedName name="_______________________sec899" localSheetId="0">#REF!</definedName>
    <definedName name="_______________________sec899">#REF!</definedName>
    <definedName name="_______________________SEC9" localSheetId="0">#REF!</definedName>
    <definedName name="_______________________SEC9">#REF!</definedName>
    <definedName name="_______________________SEC91" localSheetId="0">#REF!</definedName>
    <definedName name="_______________________SEC91">#REF!</definedName>
    <definedName name="_______________________tk1" localSheetId="0">#REF!</definedName>
    <definedName name="_______________________tk1">#REF!</definedName>
    <definedName name="_______________________zz1" localSheetId="0">#REF!</definedName>
    <definedName name="_______________________zz1">#REF!</definedName>
    <definedName name="______________________aaa1" localSheetId="0">#REF!</definedName>
    <definedName name="______________________aaa1">#REF!</definedName>
    <definedName name="______________________aaa10" localSheetId="0">#REF!</definedName>
    <definedName name="______________________aaa10">#REF!</definedName>
    <definedName name="______________________aaa11" localSheetId="0">#REF!</definedName>
    <definedName name="______________________aaa11">#REF!</definedName>
    <definedName name="______________________AAA12" localSheetId="0">#REF!</definedName>
    <definedName name="______________________AAA12">#REF!</definedName>
    <definedName name="______________________aaa5" localSheetId="0">#REF!</definedName>
    <definedName name="______________________aaa5">#REF!</definedName>
    <definedName name="______________________AAA51" localSheetId="0">#REF!</definedName>
    <definedName name="______________________AAA51">#REF!</definedName>
    <definedName name="______________________aaa55" localSheetId="0">#REF!</definedName>
    <definedName name="______________________aaa55">#REF!</definedName>
    <definedName name="______________________AAA6" localSheetId="0">#REF!</definedName>
    <definedName name="______________________AAA6">#REF!</definedName>
    <definedName name="______________________AAA7" localSheetId="0">#REF!</definedName>
    <definedName name="______________________AAA7">#REF!</definedName>
    <definedName name="______________________AAD5" localSheetId="0">#REF!</definedName>
    <definedName name="______________________AAD5">#REF!</definedName>
    <definedName name="______________________aad55" localSheetId="0">#REF!</definedName>
    <definedName name="______________________aad55">#REF!</definedName>
    <definedName name="______________________ast1" localSheetId="0">#REF!</definedName>
    <definedName name="______________________ast1">#REF!</definedName>
    <definedName name="______________________ast2" localSheetId="0">#REF!</definedName>
    <definedName name="______________________ast2">#REF!</definedName>
    <definedName name="______________________bbb1" localSheetId="0">#REF!</definedName>
    <definedName name="______________________bbb1">#REF!</definedName>
    <definedName name="______________________ccc1" localSheetId="0">#REF!</definedName>
    <definedName name="______________________ccc1">#REF!</definedName>
    <definedName name="______________________COL14" localSheetId="0">#REF!</definedName>
    <definedName name="______________________COL14">#REF!</definedName>
    <definedName name="______________________COL15" localSheetId="0">#REF!</definedName>
    <definedName name="______________________COL15">#REF!</definedName>
    <definedName name="______________________COL16" localSheetId="0">#REF!</definedName>
    <definedName name="______________________COL16">#REF!</definedName>
    <definedName name="______________________D199617">#REF!</definedName>
    <definedName name="______________________ddd1" localSheetId="0">#REF!</definedName>
    <definedName name="______________________ddd1">#REF!</definedName>
    <definedName name="______________________eee1" localSheetId="0">#REF!</definedName>
    <definedName name="______________________eee1">#REF!</definedName>
    <definedName name="______________________exc1" localSheetId="0">#REF!</definedName>
    <definedName name="______________________exc1">#REF!</definedName>
    <definedName name="______________________exc11" localSheetId="0">#REF!</definedName>
    <definedName name="______________________exc11">#REF!</definedName>
    <definedName name="______________________exc2" localSheetId="0">#REF!</definedName>
    <definedName name="______________________exc2">#REF!</definedName>
    <definedName name="______________________EXC3" localSheetId="0">#REF!</definedName>
    <definedName name="______________________EXC3">#REF!</definedName>
    <definedName name="______________________EXC4" localSheetId="0">#REF!</definedName>
    <definedName name="______________________EXC4">#REF!</definedName>
    <definedName name="______________________fff1" localSheetId="0">#REF!</definedName>
    <definedName name="______________________fff1">#REF!</definedName>
    <definedName name="______________________foo1" localSheetId="0">#REF!</definedName>
    <definedName name="______________________foo1">#REF!</definedName>
    <definedName name="______________________foo2" localSheetId="0">#REF!</definedName>
    <definedName name="______________________foo2">#REF!</definedName>
    <definedName name="______________________foo3" localSheetId="0">#REF!</definedName>
    <definedName name="______________________foo3">#REF!</definedName>
    <definedName name="______________________FOO4" localSheetId="0">#REF!</definedName>
    <definedName name="______________________FOO4">#REF!</definedName>
    <definedName name="______________________ief1" localSheetId="0">#REF!</definedName>
    <definedName name="______________________ief1">#REF!</definedName>
    <definedName name="______________________ind1" localSheetId="0">#REF!</definedName>
    <definedName name="______________________ind1">#REF!</definedName>
    <definedName name="______________________IND11" localSheetId="0">#REF!</definedName>
    <definedName name="______________________IND11">#REF!</definedName>
    <definedName name="______________________IND31" localSheetId="0">#REF!</definedName>
    <definedName name="______________________IND31">#REF!</definedName>
    <definedName name="______________________IRS1" localSheetId="0">#REF!</definedName>
    <definedName name="______________________IRS1">#REF!</definedName>
    <definedName name="______________________jh78">#REF!</definedName>
    <definedName name="______________________KK1" localSheetId="0">#REF!</definedName>
    <definedName name="______________________KK1">#REF!</definedName>
    <definedName name="______________________KK2" localSheetId="0">#REF!</definedName>
    <definedName name="______________________KK2">#REF!</definedName>
    <definedName name="______________________kk3" localSheetId="0">#REF!</definedName>
    <definedName name="______________________kk3">#REF!</definedName>
    <definedName name="______________________kk4" localSheetId="0">#REF!</definedName>
    <definedName name="______________________kk4">#REF!</definedName>
    <definedName name="______________________lsc44" localSheetId="0">#REF!</definedName>
    <definedName name="______________________lsc44">#REF!</definedName>
    <definedName name="______________________MF1" localSheetId="0">#REF!</definedName>
    <definedName name="______________________MF1">#REF!</definedName>
    <definedName name="______________________MM1" localSheetId="0">#REF!</definedName>
    <definedName name="______________________MM1">#REF!</definedName>
    <definedName name="______________________MM2" localSheetId="0">#REF!</definedName>
    <definedName name="______________________MM2">#REF!</definedName>
    <definedName name="______________________pcc1" localSheetId="0">#REF!</definedName>
    <definedName name="______________________pcc1">#REF!</definedName>
    <definedName name="______________________pcc2" localSheetId="0">#REF!</definedName>
    <definedName name="______________________pcc2">#REF!</definedName>
    <definedName name="______________________pcc3" localSheetId="0">#REF!</definedName>
    <definedName name="______________________pcc3">#REF!</definedName>
    <definedName name="______________________PCC4" localSheetId="0">#REF!</definedName>
    <definedName name="______________________PCC4">#REF!</definedName>
    <definedName name="______________________plb1" localSheetId="0">#REF!</definedName>
    <definedName name="______________________plb1">#REF!</definedName>
    <definedName name="______________________plb2" localSheetId="0">#REF!</definedName>
    <definedName name="______________________plb2">#REF!</definedName>
    <definedName name="______________________plb3" localSheetId="0">#REF!</definedName>
    <definedName name="______________________plb3">#REF!</definedName>
    <definedName name="______________________plb4" localSheetId="0">#REF!</definedName>
    <definedName name="______________________plb4">#REF!</definedName>
    <definedName name="______________________S12" localSheetId="0">#REF!</definedName>
    <definedName name="______________________S12">#REF!</definedName>
    <definedName name="______________________sec1" localSheetId="0">#REF!</definedName>
    <definedName name="______________________sec1">#REF!</definedName>
    <definedName name="______________________sec111" localSheetId="0">#REF!</definedName>
    <definedName name="______________________sec111">#REF!</definedName>
    <definedName name="______________________SEC15" localSheetId="0">#REF!</definedName>
    <definedName name="______________________SEC15">#REF!</definedName>
    <definedName name="______________________Sec2" localSheetId="0">#REF!</definedName>
    <definedName name="______________________Sec2">#REF!</definedName>
    <definedName name="______________________sec22" localSheetId="0">#REF!</definedName>
    <definedName name="______________________sec22">#REF!</definedName>
    <definedName name="______________________SEC23" localSheetId="0">#REF!</definedName>
    <definedName name="______________________SEC23">#REF!</definedName>
    <definedName name="______________________sec3" localSheetId="0">#REF!</definedName>
    <definedName name="______________________sec3">#REF!</definedName>
    <definedName name="______________________SEC32" localSheetId="0">#REF!</definedName>
    <definedName name="______________________SEC32">#REF!</definedName>
    <definedName name="______________________sec33" localSheetId="0">#REF!</definedName>
    <definedName name="______________________sec33">#REF!</definedName>
    <definedName name="______________________Sec4" localSheetId="0">#REF!</definedName>
    <definedName name="______________________Sec4">#REF!</definedName>
    <definedName name="______________________sec45" localSheetId="0">#REF!</definedName>
    <definedName name="______________________sec45">#REF!</definedName>
    <definedName name="______________________SEC46" localSheetId="0">#REF!</definedName>
    <definedName name="______________________SEC46">#REF!</definedName>
    <definedName name="______________________sec5" localSheetId="0">#REF!</definedName>
    <definedName name="______________________sec5">#REF!</definedName>
    <definedName name="______________________sec55" localSheetId="0">#REF!</definedName>
    <definedName name="______________________sec55">#REF!</definedName>
    <definedName name="______________________SEC56" localSheetId="0">#REF!</definedName>
    <definedName name="______________________SEC56">#REF!</definedName>
    <definedName name="______________________sec6" localSheetId="0">#REF!</definedName>
    <definedName name="______________________sec6">#REF!</definedName>
    <definedName name="______________________sec66" localSheetId="0">#REF!</definedName>
    <definedName name="______________________sec66">#REF!</definedName>
    <definedName name="______________________SEC67" localSheetId="0">#REF!</definedName>
    <definedName name="______________________SEC67">#REF!</definedName>
    <definedName name="______________________sec7" localSheetId="0">#REF!</definedName>
    <definedName name="______________________sec7">#REF!</definedName>
    <definedName name="______________________sec71" localSheetId="0">#REF!</definedName>
    <definedName name="______________________sec71">#REF!</definedName>
    <definedName name="______________________SEC72" localSheetId="0">#REF!</definedName>
    <definedName name="______________________SEC72">#REF!</definedName>
    <definedName name="______________________SEC74" localSheetId="0">#REF!</definedName>
    <definedName name="______________________SEC74">#REF!</definedName>
    <definedName name="______________________SEC75" localSheetId="0">#REF!</definedName>
    <definedName name="______________________SEC75">#REF!</definedName>
    <definedName name="______________________SEC77" localSheetId="0">#REF!</definedName>
    <definedName name="______________________SEC77">#REF!</definedName>
    <definedName name="______________________sec777" localSheetId="0">#REF!</definedName>
    <definedName name="______________________sec777">#REF!</definedName>
    <definedName name="______________________sec78" localSheetId="0">#REF!</definedName>
    <definedName name="______________________sec78">#REF!</definedName>
    <definedName name="______________________sec79" localSheetId="0">#REF!</definedName>
    <definedName name="______________________sec79">#REF!</definedName>
    <definedName name="______________________sec8" localSheetId="0">#REF!</definedName>
    <definedName name="______________________sec8">#REF!</definedName>
    <definedName name="______________________sec81" localSheetId="0">#REF!</definedName>
    <definedName name="______________________sec81">#REF!</definedName>
    <definedName name="______________________SEC82" localSheetId="0">#REF!</definedName>
    <definedName name="______________________SEC82">#REF!</definedName>
    <definedName name="______________________SEC83" localSheetId="0">#REF!</definedName>
    <definedName name="______________________SEC83">#REF!</definedName>
    <definedName name="______________________SEC88" localSheetId="0">#REF!</definedName>
    <definedName name="______________________SEC88">#REF!</definedName>
    <definedName name="______________________sec888" localSheetId="0">#REF!</definedName>
    <definedName name="______________________sec888">#REF!</definedName>
    <definedName name="______________________sec89" localSheetId="0">#REF!</definedName>
    <definedName name="______________________sec89">#REF!</definedName>
    <definedName name="______________________sec899" localSheetId="0">#REF!</definedName>
    <definedName name="______________________sec899">#REF!</definedName>
    <definedName name="______________________SEC9" localSheetId="0">#REF!</definedName>
    <definedName name="______________________SEC9">#REF!</definedName>
    <definedName name="______________________SEC91" localSheetId="0">#REF!</definedName>
    <definedName name="______________________SEC91">#REF!</definedName>
    <definedName name="______________________SS2" localSheetId="0">#REF!</definedName>
    <definedName name="______________________SS2">#REF!</definedName>
    <definedName name="______________________tk1" localSheetId="0">#REF!</definedName>
    <definedName name="______________________tk1">#REF!</definedName>
    <definedName name="______________________xd1" localSheetId="0">#REF!</definedName>
    <definedName name="______________________xd1">#REF!</definedName>
    <definedName name="______________________XD2" localSheetId="0">#REF!</definedName>
    <definedName name="______________________XD2">#REF!</definedName>
    <definedName name="______________________xd3" localSheetId="0">#REF!</definedName>
    <definedName name="______________________xd3">#REF!</definedName>
    <definedName name="______________________zz1" localSheetId="0">#REF!</definedName>
    <definedName name="______________________zz1">#REF!</definedName>
    <definedName name="_____________________aaa1" localSheetId="0">#REF!</definedName>
    <definedName name="_____________________aaa1">#REF!</definedName>
    <definedName name="_____________________aaa11" localSheetId="0">#REF!</definedName>
    <definedName name="_____________________aaa11">#REF!</definedName>
    <definedName name="_____________________AAA12" localSheetId="0">#REF!</definedName>
    <definedName name="_____________________AAA12">#REF!</definedName>
    <definedName name="_____________________AAA21" localSheetId="0">#REF!</definedName>
    <definedName name="_____________________AAA21">#REF!</definedName>
    <definedName name="_____________________aaa5" localSheetId="0">#REF!</definedName>
    <definedName name="_____________________aaa5">#REF!</definedName>
    <definedName name="_____________________AAA51" localSheetId="0">#REF!</definedName>
    <definedName name="_____________________AAA51">#REF!</definedName>
    <definedName name="_____________________AAA53" localSheetId="0">#REF!</definedName>
    <definedName name="_____________________AAA53">#REF!</definedName>
    <definedName name="_____________________aaa54" localSheetId="0">#REF!</definedName>
    <definedName name="_____________________aaa54">#REF!</definedName>
    <definedName name="_____________________aaa545" localSheetId="0">#REF!</definedName>
    <definedName name="_____________________aaa545">#REF!</definedName>
    <definedName name="_____________________aaa56" localSheetId="0">#REF!</definedName>
    <definedName name="_____________________aaa56">#REF!</definedName>
    <definedName name="_____________________AAA57" localSheetId="0">#REF!</definedName>
    <definedName name="_____________________AAA57">#REF!</definedName>
    <definedName name="_____________________aaa59" localSheetId="0">#REF!</definedName>
    <definedName name="_____________________aaa59">#REF!</definedName>
    <definedName name="_____________________AAA6" localSheetId="0">#REF!</definedName>
    <definedName name="_____________________AAA6">#REF!</definedName>
    <definedName name="_____________________AAA7" localSheetId="0">#REF!</definedName>
    <definedName name="_____________________AAA7">#REF!</definedName>
    <definedName name="_____________________AAD5" localSheetId="0">#REF!</definedName>
    <definedName name="_____________________AAD5">#REF!</definedName>
    <definedName name="_____________________AAD56" localSheetId="0">#REF!</definedName>
    <definedName name="_____________________AAD56">#REF!</definedName>
    <definedName name="_____________________AAD57" localSheetId="0">#REF!</definedName>
    <definedName name="_____________________AAD57">#REF!</definedName>
    <definedName name="_____________________ast1" localSheetId="0">#REF!</definedName>
    <definedName name="_____________________ast1">#REF!</definedName>
    <definedName name="_____________________ast2" localSheetId="0">#REF!</definedName>
    <definedName name="_____________________ast2">#REF!</definedName>
    <definedName name="_____________________bbb1" localSheetId="0">#REF!</definedName>
    <definedName name="_____________________bbb1">#REF!</definedName>
    <definedName name="_____________________ccc1" localSheetId="0">#REF!</definedName>
    <definedName name="_____________________ccc1">#REF!</definedName>
    <definedName name="_____________________COL14" localSheetId="0">#REF!</definedName>
    <definedName name="_____________________COL14">#REF!</definedName>
    <definedName name="_____________________COL15" localSheetId="0">#REF!</definedName>
    <definedName name="_____________________COL15">#REF!</definedName>
    <definedName name="_____________________COL16" localSheetId="0">#REF!</definedName>
    <definedName name="_____________________COL16">#REF!</definedName>
    <definedName name="_____________________D199617">#REF!</definedName>
    <definedName name="_____________________ddd1" localSheetId="0">#REF!</definedName>
    <definedName name="_____________________ddd1">#REF!</definedName>
    <definedName name="_____________________eee1" localSheetId="0">#REF!</definedName>
    <definedName name="_____________________eee1">#REF!</definedName>
    <definedName name="_____________________exc1" localSheetId="0">#REF!</definedName>
    <definedName name="_____________________exc1">#REF!</definedName>
    <definedName name="_____________________exc11" localSheetId="0">#REF!</definedName>
    <definedName name="_____________________exc11">#REF!</definedName>
    <definedName name="_____________________exc2" localSheetId="0">#REF!</definedName>
    <definedName name="_____________________exc2">#REF!</definedName>
    <definedName name="_____________________EXC3" localSheetId="0">#REF!</definedName>
    <definedName name="_____________________EXC3">#REF!</definedName>
    <definedName name="_____________________EXC4" localSheetId="0">#REF!</definedName>
    <definedName name="_____________________EXC4">#REF!</definedName>
    <definedName name="_____________________fff1" localSheetId="0">#REF!</definedName>
    <definedName name="_____________________fff1">#REF!</definedName>
    <definedName name="_____________________foo1" localSheetId="0">#REF!</definedName>
    <definedName name="_____________________foo1">#REF!</definedName>
    <definedName name="_____________________foo2" localSheetId="0">#REF!</definedName>
    <definedName name="_____________________foo2">#REF!</definedName>
    <definedName name="_____________________foo3" localSheetId="0">#REF!</definedName>
    <definedName name="_____________________foo3">#REF!</definedName>
    <definedName name="_____________________FOO4" localSheetId="0">#REF!</definedName>
    <definedName name="_____________________FOO4">#REF!</definedName>
    <definedName name="_____________________ief1" localSheetId="0">#REF!</definedName>
    <definedName name="_____________________ief1">#REF!</definedName>
    <definedName name="_____________________ind1" localSheetId="0">#REF!</definedName>
    <definedName name="_____________________ind1">#REF!</definedName>
    <definedName name="_____________________IND11" localSheetId="0">#REF!</definedName>
    <definedName name="_____________________IND11">#REF!</definedName>
    <definedName name="_____________________IND31" localSheetId="0">#REF!</definedName>
    <definedName name="_____________________IND31">#REF!</definedName>
    <definedName name="_____________________IRS1" localSheetId="0">#REF!</definedName>
    <definedName name="_____________________IRS1">#REF!</definedName>
    <definedName name="_____________________jh78">#REF!</definedName>
    <definedName name="_____________________KK1" localSheetId="0">#REF!</definedName>
    <definedName name="_____________________KK1">#REF!</definedName>
    <definedName name="_____________________KK2" localSheetId="0">#REF!</definedName>
    <definedName name="_____________________KK2">#REF!</definedName>
    <definedName name="_____________________kk3" localSheetId="0">#REF!</definedName>
    <definedName name="_____________________kk3">#REF!</definedName>
    <definedName name="_____________________kk4" localSheetId="0">#REF!</definedName>
    <definedName name="_____________________kk4">#REF!</definedName>
    <definedName name="_____________________lsc44" localSheetId="0">#REF!</definedName>
    <definedName name="_____________________lsc44">#REF!</definedName>
    <definedName name="_____________________MF1" localSheetId="0">#REF!</definedName>
    <definedName name="_____________________MF1">#REF!</definedName>
    <definedName name="_____________________MM1" localSheetId="0">#REF!</definedName>
    <definedName name="_____________________MM1">#REF!</definedName>
    <definedName name="_____________________MM2" localSheetId="0">#REF!</definedName>
    <definedName name="_____________________MM2">#REF!</definedName>
    <definedName name="_____________________pcc1" localSheetId="0">#REF!</definedName>
    <definedName name="_____________________pcc1">#REF!</definedName>
    <definedName name="_____________________pcc2" localSheetId="0">#REF!</definedName>
    <definedName name="_____________________pcc2">#REF!</definedName>
    <definedName name="_____________________pcc3" localSheetId="0">#REF!</definedName>
    <definedName name="_____________________pcc3">#REF!</definedName>
    <definedName name="_____________________PCC4" localSheetId="0">#REF!</definedName>
    <definedName name="_____________________PCC4">#REF!</definedName>
    <definedName name="_____________________plb1" localSheetId="0">#REF!</definedName>
    <definedName name="_____________________plb1">#REF!</definedName>
    <definedName name="_____________________plb2" localSheetId="0">#REF!</definedName>
    <definedName name="_____________________plb2">#REF!</definedName>
    <definedName name="_____________________plb3" localSheetId="0">#REF!</definedName>
    <definedName name="_____________________plb3">#REF!</definedName>
    <definedName name="_____________________plb4" localSheetId="0">#REF!</definedName>
    <definedName name="_____________________plb4">#REF!</definedName>
    <definedName name="_____________________S12" localSheetId="0">#REF!</definedName>
    <definedName name="_____________________S12">#REF!</definedName>
    <definedName name="_____________________sec111" localSheetId="0">#REF!</definedName>
    <definedName name="_____________________sec111">#REF!</definedName>
    <definedName name="_____________________SEC15" localSheetId="0">#REF!</definedName>
    <definedName name="_____________________SEC15">#REF!</definedName>
    <definedName name="_____________________sec22" localSheetId="0">#REF!</definedName>
    <definedName name="_____________________sec22">#REF!</definedName>
    <definedName name="_____________________SEC23" localSheetId="0">#REF!</definedName>
    <definedName name="_____________________SEC23">#REF!</definedName>
    <definedName name="_____________________SEC32" localSheetId="0">#REF!</definedName>
    <definedName name="_____________________SEC32">#REF!</definedName>
    <definedName name="_____________________sec33" localSheetId="0">#REF!</definedName>
    <definedName name="_____________________sec33">#REF!</definedName>
    <definedName name="_____________________sec45" localSheetId="0">#REF!</definedName>
    <definedName name="_____________________sec45">#REF!</definedName>
    <definedName name="_____________________SEC46" localSheetId="0">#REF!</definedName>
    <definedName name="_____________________SEC46">#REF!</definedName>
    <definedName name="_____________________sec55" localSheetId="0">#REF!</definedName>
    <definedName name="_____________________sec55">#REF!</definedName>
    <definedName name="_____________________SEC56" localSheetId="0">#REF!</definedName>
    <definedName name="_____________________SEC56">#REF!</definedName>
    <definedName name="_____________________sec66" localSheetId="0">#REF!</definedName>
    <definedName name="_____________________sec66">#REF!</definedName>
    <definedName name="_____________________SEC67" localSheetId="0">#REF!</definedName>
    <definedName name="_____________________SEC67">#REF!</definedName>
    <definedName name="_____________________SEC72" localSheetId="0">#REF!</definedName>
    <definedName name="_____________________SEC72">#REF!</definedName>
    <definedName name="_____________________SEC74" localSheetId="0">#REF!</definedName>
    <definedName name="_____________________SEC74">#REF!</definedName>
    <definedName name="_____________________SEC75" localSheetId="0">#REF!</definedName>
    <definedName name="_____________________SEC75">#REF!</definedName>
    <definedName name="_____________________sec777" localSheetId="0">#REF!</definedName>
    <definedName name="_____________________sec777">#REF!</definedName>
    <definedName name="_____________________sec78" localSheetId="0">#REF!</definedName>
    <definedName name="_____________________sec78">#REF!</definedName>
    <definedName name="_____________________sec79" localSheetId="0">#REF!</definedName>
    <definedName name="_____________________sec79">#REF!</definedName>
    <definedName name="_____________________SEC82" localSheetId="0">#REF!</definedName>
    <definedName name="_____________________SEC82">#REF!</definedName>
    <definedName name="_____________________SEC83" localSheetId="0">#REF!</definedName>
    <definedName name="_____________________SEC83">#REF!</definedName>
    <definedName name="_____________________SEC87" localSheetId="0">#REF!</definedName>
    <definedName name="_____________________SEC87">#REF!</definedName>
    <definedName name="_____________________sec888" localSheetId="0">#REF!</definedName>
    <definedName name="_____________________sec888">#REF!</definedName>
    <definedName name="_____________________sec89" localSheetId="0">#REF!</definedName>
    <definedName name="_____________________sec89">#REF!</definedName>
    <definedName name="_____________________sec899" localSheetId="0">#REF!</definedName>
    <definedName name="_____________________sec899">#REF!</definedName>
    <definedName name="_____________________SEC91" localSheetId="0">#REF!</definedName>
    <definedName name="_____________________SEC91">#REF!</definedName>
    <definedName name="_____________________tk1" localSheetId="0">#REF!</definedName>
    <definedName name="_____________________tk1">#REF!</definedName>
    <definedName name="_____________________xd1" localSheetId="0">#REF!</definedName>
    <definedName name="_____________________xd1">#REF!</definedName>
    <definedName name="_____________________XD2" localSheetId="0">#REF!</definedName>
    <definedName name="_____________________XD2">#REF!</definedName>
    <definedName name="_____________________xd3" localSheetId="0">#REF!</definedName>
    <definedName name="_____________________xd3">#REF!</definedName>
    <definedName name="_____________________zz1" localSheetId="0">#REF!</definedName>
    <definedName name="_____________________zz1">#REF!</definedName>
    <definedName name="____________________aaa1" localSheetId="0">#REF!</definedName>
    <definedName name="____________________aaa1">#REF!</definedName>
    <definedName name="____________________AAA21" localSheetId="0">#REF!</definedName>
    <definedName name="____________________AAA21">#REF!</definedName>
    <definedName name="____________________aaa5" localSheetId="0">#REF!</definedName>
    <definedName name="____________________aaa5">#REF!</definedName>
    <definedName name="____________________AAA51" localSheetId="0">#REF!</definedName>
    <definedName name="____________________AAA51">#REF!</definedName>
    <definedName name="____________________AAA53" localSheetId="0">#REF!</definedName>
    <definedName name="____________________AAA53">#REF!</definedName>
    <definedName name="____________________aaa54" localSheetId="0">#REF!</definedName>
    <definedName name="____________________aaa54">#REF!</definedName>
    <definedName name="____________________aaa545" localSheetId="0">#REF!</definedName>
    <definedName name="____________________aaa545">#REF!</definedName>
    <definedName name="____________________aaa56" localSheetId="0">#REF!</definedName>
    <definedName name="____________________aaa56">#REF!</definedName>
    <definedName name="____________________AAA57" localSheetId="0">#REF!</definedName>
    <definedName name="____________________AAA57">#REF!</definedName>
    <definedName name="____________________aaa59" localSheetId="0">#REF!</definedName>
    <definedName name="____________________aaa59">#REF!</definedName>
    <definedName name="____________________AAA6" localSheetId="0">#REF!</definedName>
    <definedName name="____________________AAA6">#REF!</definedName>
    <definedName name="____________________AAA7" localSheetId="0">#REF!</definedName>
    <definedName name="____________________AAA7">#REF!</definedName>
    <definedName name="____________________AAD5" localSheetId="0">#REF!</definedName>
    <definedName name="____________________AAD5">#REF!</definedName>
    <definedName name="____________________AAD56" localSheetId="0">#REF!</definedName>
    <definedName name="____________________AAD56">#REF!</definedName>
    <definedName name="____________________AAD57" localSheetId="0">#REF!</definedName>
    <definedName name="____________________AAD57">#REF!</definedName>
    <definedName name="____________________ast1" localSheetId="0">#REF!</definedName>
    <definedName name="____________________ast1">#REF!</definedName>
    <definedName name="____________________ast2" localSheetId="0">#REF!</definedName>
    <definedName name="____________________ast2">#REF!</definedName>
    <definedName name="____________________bbb1" localSheetId="0">#REF!</definedName>
    <definedName name="____________________bbb1">#REF!</definedName>
    <definedName name="____________________bol1" localSheetId="0">#REF!</definedName>
    <definedName name="____________________bol1">#REF!</definedName>
    <definedName name="____________________ccc1" localSheetId="0">#REF!</definedName>
    <definedName name="____________________ccc1">#REF!</definedName>
    <definedName name="____________________D199617">#REF!</definedName>
    <definedName name="____________________ddd1" localSheetId="0">#REF!</definedName>
    <definedName name="____________________ddd1">#REF!</definedName>
    <definedName name="____________________eee1" localSheetId="0">#REF!</definedName>
    <definedName name="____________________eee1">#REF!</definedName>
    <definedName name="____________________exc1" localSheetId="0">#REF!</definedName>
    <definedName name="____________________exc1">#REF!</definedName>
    <definedName name="____________________exc11" localSheetId="0">#REF!</definedName>
    <definedName name="____________________exc11">#REF!</definedName>
    <definedName name="____________________exc2" localSheetId="0">#REF!</definedName>
    <definedName name="____________________exc2">#REF!</definedName>
    <definedName name="____________________EXC3" localSheetId="0">#REF!</definedName>
    <definedName name="____________________EXC3">#REF!</definedName>
    <definedName name="____________________EXC4" localSheetId="0">#REF!</definedName>
    <definedName name="____________________EXC4">#REF!</definedName>
    <definedName name="____________________fff1" localSheetId="0">#REF!</definedName>
    <definedName name="____________________fff1">#REF!</definedName>
    <definedName name="____________________foo1" localSheetId="0">#REF!</definedName>
    <definedName name="____________________foo1">#REF!</definedName>
    <definedName name="____________________foo2" localSheetId="0">#REF!</definedName>
    <definedName name="____________________foo2">#REF!</definedName>
    <definedName name="____________________foo3" localSheetId="0">#REF!</definedName>
    <definedName name="____________________foo3">#REF!</definedName>
    <definedName name="____________________FOO4" localSheetId="0">#REF!</definedName>
    <definedName name="____________________FOO4">#REF!</definedName>
    <definedName name="____________________ief1" localSheetId="0">#REF!</definedName>
    <definedName name="____________________ief1">#REF!</definedName>
    <definedName name="____________________IRS1" localSheetId="0">#REF!</definedName>
    <definedName name="____________________IRS1">#REF!</definedName>
    <definedName name="____________________jh78">#REF!</definedName>
    <definedName name="____________________KK1" localSheetId="0">#REF!</definedName>
    <definedName name="____________________KK1">#REF!</definedName>
    <definedName name="____________________KK2" localSheetId="0">#REF!</definedName>
    <definedName name="____________________KK2">#REF!</definedName>
    <definedName name="____________________kk3" localSheetId="0">#REF!</definedName>
    <definedName name="____________________kk3">#REF!</definedName>
    <definedName name="____________________kk4" localSheetId="0">#REF!</definedName>
    <definedName name="____________________kk4">#REF!</definedName>
    <definedName name="____________________MF1" localSheetId="0">#REF!</definedName>
    <definedName name="____________________MF1">#REF!</definedName>
    <definedName name="____________________MM1" localSheetId="0">#REF!</definedName>
    <definedName name="____________________MM1">#REF!</definedName>
    <definedName name="____________________MM2" localSheetId="0">#REF!</definedName>
    <definedName name="____________________MM2">#REF!</definedName>
    <definedName name="____________________pcc1" localSheetId="0">#REF!</definedName>
    <definedName name="____________________pcc1">#REF!</definedName>
    <definedName name="____________________pcc2" localSheetId="0">#REF!</definedName>
    <definedName name="____________________pcc2">#REF!</definedName>
    <definedName name="____________________pcc3" localSheetId="0">#REF!</definedName>
    <definedName name="____________________pcc3">#REF!</definedName>
    <definedName name="____________________PCC4" localSheetId="0">#REF!</definedName>
    <definedName name="____________________PCC4">#REF!</definedName>
    <definedName name="____________________plb1" localSheetId="0">#REF!</definedName>
    <definedName name="____________________plb1">#REF!</definedName>
    <definedName name="____________________plb2" localSheetId="0">#REF!</definedName>
    <definedName name="____________________plb2">#REF!</definedName>
    <definedName name="____________________plb3" localSheetId="0">#REF!</definedName>
    <definedName name="____________________plb3">#REF!</definedName>
    <definedName name="____________________plb4" localSheetId="0">#REF!</definedName>
    <definedName name="____________________plb4">#REF!</definedName>
    <definedName name="____________________SEC87" localSheetId="0">#REF!</definedName>
    <definedName name="____________________SEC87">#REF!</definedName>
    <definedName name="____________________SS2" localSheetId="0">#REF!</definedName>
    <definedName name="____________________SS2">#REF!</definedName>
    <definedName name="____________________xd1" localSheetId="0">#REF!</definedName>
    <definedName name="____________________xd1">#REF!</definedName>
    <definedName name="____________________XD2" localSheetId="0">#REF!</definedName>
    <definedName name="____________________XD2">#REF!</definedName>
    <definedName name="____________________xd3" localSheetId="0">#REF!</definedName>
    <definedName name="____________________xd3">#REF!</definedName>
    <definedName name="____________________zz1" localSheetId="0">#REF!</definedName>
    <definedName name="____________________zz1">#REF!</definedName>
    <definedName name="___________________aaa1" localSheetId="0">#REF!</definedName>
    <definedName name="___________________aaa1">#REF!</definedName>
    <definedName name="___________________aaa10" localSheetId="0">#REF!</definedName>
    <definedName name="___________________aaa10">#REF!</definedName>
    <definedName name="___________________AAA21" localSheetId="0">#REF!</definedName>
    <definedName name="___________________AAA21">#REF!</definedName>
    <definedName name="___________________aaa5" localSheetId="0">#REF!</definedName>
    <definedName name="___________________aaa5">#REF!</definedName>
    <definedName name="___________________AAA51" localSheetId="0">#REF!</definedName>
    <definedName name="___________________AAA51">#REF!</definedName>
    <definedName name="___________________AAA53" localSheetId="0">#REF!</definedName>
    <definedName name="___________________AAA53">#REF!</definedName>
    <definedName name="___________________aaa54" localSheetId="0">#REF!</definedName>
    <definedName name="___________________aaa54">#REF!</definedName>
    <definedName name="___________________aaa545" localSheetId="0">#REF!</definedName>
    <definedName name="___________________aaa545">#REF!</definedName>
    <definedName name="___________________aaa55" localSheetId="0">#REF!</definedName>
    <definedName name="___________________aaa55">#REF!</definedName>
    <definedName name="___________________aaa56" localSheetId="0">#REF!</definedName>
    <definedName name="___________________aaa56">#REF!</definedName>
    <definedName name="___________________AAA57" localSheetId="0">#REF!</definedName>
    <definedName name="___________________AAA57">#REF!</definedName>
    <definedName name="___________________aaa59" localSheetId="0">#REF!</definedName>
    <definedName name="___________________aaa59">#REF!</definedName>
    <definedName name="___________________AAA6" localSheetId="0">#REF!</definedName>
    <definedName name="___________________AAA6">#REF!</definedName>
    <definedName name="___________________AAA7" localSheetId="0">#REF!</definedName>
    <definedName name="___________________AAA7">#REF!</definedName>
    <definedName name="___________________AAD5" localSheetId="0">#REF!</definedName>
    <definedName name="___________________AAD5">#REF!</definedName>
    <definedName name="___________________aad55" localSheetId="0">#REF!</definedName>
    <definedName name="___________________aad55">#REF!</definedName>
    <definedName name="___________________AAD56" localSheetId="0">#REF!</definedName>
    <definedName name="___________________AAD56">#REF!</definedName>
    <definedName name="___________________AAD57" localSheetId="0">#REF!</definedName>
    <definedName name="___________________AAD57">#REF!</definedName>
    <definedName name="___________________ast1" localSheetId="0">#REF!</definedName>
    <definedName name="___________________ast1">#REF!</definedName>
    <definedName name="___________________ast2" localSheetId="0">#REF!</definedName>
    <definedName name="___________________ast2">#REF!</definedName>
    <definedName name="___________________bbb1" localSheetId="0">#REF!</definedName>
    <definedName name="___________________bbb1">#REF!</definedName>
    <definedName name="___________________bol1" localSheetId="0">#REF!</definedName>
    <definedName name="___________________bol1">#REF!</definedName>
    <definedName name="___________________ccc1" localSheetId="0">#REF!</definedName>
    <definedName name="___________________ccc1">#REF!</definedName>
    <definedName name="___________________D199617">#REF!</definedName>
    <definedName name="___________________ddd1" localSheetId="0">#REF!</definedName>
    <definedName name="___________________ddd1">#REF!</definedName>
    <definedName name="___________________eee1" localSheetId="0">#REF!</definedName>
    <definedName name="___________________eee1">#REF!</definedName>
    <definedName name="___________________exc1" localSheetId="0">#REF!</definedName>
    <definedName name="___________________exc1">#REF!</definedName>
    <definedName name="___________________exc11" localSheetId="0">#REF!</definedName>
    <definedName name="___________________exc11">#REF!</definedName>
    <definedName name="___________________exc2" localSheetId="0">#REF!</definedName>
    <definedName name="___________________exc2">#REF!</definedName>
    <definedName name="___________________EXC3" localSheetId="0">#REF!</definedName>
    <definedName name="___________________EXC3">#REF!</definedName>
    <definedName name="___________________EXC4" localSheetId="0">#REF!</definedName>
    <definedName name="___________________EXC4">#REF!</definedName>
    <definedName name="___________________fff1" localSheetId="0">#REF!</definedName>
    <definedName name="___________________fff1">#REF!</definedName>
    <definedName name="___________________foo1" localSheetId="0">#REF!</definedName>
    <definedName name="___________________foo1">#REF!</definedName>
    <definedName name="___________________foo2" localSheetId="0">#REF!</definedName>
    <definedName name="___________________foo2">#REF!</definedName>
    <definedName name="___________________foo3" localSheetId="0">#REF!</definedName>
    <definedName name="___________________foo3">#REF!</definedName>
    <definedName name="___________________FOO4" localSheetId="0">#REF!</definedName>
    <definedName name="___________________FOO4">#REF!</definedName>
    <definedName name="___________________ief1" localSheetId="0">#REF!</definedName>
    <definedName name="___________________ief1">#REF!</definedName>
    <definedName name="___________________ind1" localSheetId="0">#REF!</definedName>
    <definedName name="___________________ind1">#REF!</definedName>
    <definedName name="___________________IND11" localSheetId="0">#REF!</definedName>
    <definedName name="___________________IND11">#REF!</definedName>
    <definedName name="___________________IND31" localSheetId="0">#REF!</definedName>
    <definedName name="___________________IND31">#REF!</definedName>
    <definedName name="___________________IRS1" localSheetId="0">#REF!</definedName>
    <definedName name="___________________IRS1">#REF!</definedName>
    <definedName name="___________________jh78">#REF!</definedName>
    <definedName name="___________________KK1" localSheetId="0">#REF!</definedName>
    <definedName name="___________________KK1">#REF!</definedName>
    <definedName name="___________________KK2" localSheetId="0">#REF!</definedName>
    <definedName name="___________________KK2">#REF!</definedName>
    <definedName name="___________________kk3" localSheetId="0">#REF!</definedName>
    <definedName name="___________________kk3">#REF!</definedName>
    <definedName name="___________________kk4" localSheetId="0">#REF!</definedName>
    <definedName name="___________________kk4">#REF!</definedName>
    <definedName name="___________________MF1" localSheetId="0">#REF!</definedName>
    <definedName name="___________________MF1">#REF!</definedName>
    <definedName name="___________________MM1" localSheetId="0">#REF!</definedName>
    <definedName name="___________________MM1">#REF!</definedName>
    <definedName name="___________________MM2" localSheetId="0">#REF!</definedName>
    <definedName name="___________________MM2">#REF!</definedName>
    <definedName name="___________________pcc1" localSheetId="0">#REF!</definedName>
    <definedName name="___________________pcc1">#REF!</definedName>
    <definedName name="___________________pcc2" localSheetId="0">#REF!</definedName>
    <definedName name="___________________pcc2">#REF!</definedName>
    <definedName name="___________________pcc3" localSheetId="0">#REF!</definedName>
    <definedName name="___________________pcc3">#REF!</definedName>
    <definedName name="___________________PCC4" localSheetId="0">#REF!</definedName>
    <definedName name="___________________PCC4">#REF!</definedName>
    <definedName name="___________________plb1" localSheetId="0">#REF!</definedName>
    <definedName name="___________________plb1">#REF!</definedName>
    <definedName name="___________________plb2" localSheetId="0">#REF!</definedName>
    <definedName name="___________________plb2">#REF!</definedName>
    <definedName name="___________________plb3" localSheetId="0">#REF!</definedName>
    <definedName name="___________________plb3">#REF!</definedName>
    <definedName name="___________________plb4" localSheetId="0">#REF!</definedName>
    <definedName name="___________________plb4">#REF!</definedName>
    <definedName name="___________________S12" localSheetId="0">#REF!</definedName>
    <definedName name="___________________S12">#REF!</definedName>
    <definedName name="___________________sec1" localSheetId="0">#REF!</definedName>
    <definedName name="___________________sec1">#REF!</definedName>
    <definedName name="___________________Sec2" localSheetId="0">#REF!</definedName>
    <definedName name="___________________Sec2">#REF!</definedName>
    <definedName name="___________________sec3" localSheetId="0">#REF!</definedName>
    <definedName name="___________________sec3">#REF!</definedName>
    <definedName name="___________________Sec4" localSheetId="0">#REF!</definedName>
    <definedName name="___________________Sec4">#REF!</definedName>
    <definedName name="___________________sec5" localSheetId="0">#REF!</definedName>
    <definedName name="___________________sec5">#REF!</definedName>
    <definedName name="___________________sec6" localSheetId="0">#REF!</definedName>
    <definedName name="___________________sec6">#REF!</definedName>
    <definedName name="___________________sec7" localSheetId="0">#REF!</definedName>
    <definedName name="___________________sec7">#REF!</definedName>
    <definedName name="___________________sec71" localSheetId="0">#REF!</definedName>
    <definedName name="___________________sec71">#REF!</definedName>
    <definedName name="___________________SEC77" localSheetId="0">#REF!</definedName>
    <definedName name="___________________SEC77">#REF!</definedName>
    <definedName name="___________________sec8" localSheetId="0">#REF!</definedName>
    <definedName name="___________________sec8">#REF!</definedName>
    <definedName name="___________________sec81" localSheetId="0">#REF!</definedName>
    <definedName name="___________________sec81">#REF!</definedName>
    <definedName name="___________________SEC87" localSheetId="0">#REF!</definedName>
    <definedName name="___________________SEC87">#REF!</definedName>
    <definedName name="___________________SEC88" localSheetId="0">#REF!</definedName>
    <definedName name="___________________SEC88">#REF!</definedName>
    <definedName name="___________________SEC9" localSheetId="0">#REF!</definedName>
    <definedName name="___________________SEC9">#REF!</definedName>
    <definedName name="___________________ss2" localSheetId="0">#REF!</definedName>
    <definedName name="___________________ss2">#REF!</definedName>
    <definedName name="___________________xd1" localSheetId="0">#REF!</definedName>
    <definedName name="___________________xd1">#REF!</definedName>
    <definedName name="___________________XD2" localSheetId="0">#REF!</definedName>
    <definedName name="___________________XD2">#REF!</definedName>
    <definedName name="___________________xd3" localSheetId="0">#REF!</definedName>
    <definedName name="___________________xd3">#REF!</definedName>
    <definedName name="___________________zz1" localSheetId="0">#REF!</definedName>
    <definedName name="___________________zz1">#REF!</definedName>
    <definedName name="__________________aaa1" localSheetId="0">#REF!</definedName>
    <definedName name="__________________aaa1">#REF!</definedName>
    <definedName name="__________________aaa10" localSheetId="0">#REF!</definedName>
    <definedName name="__________________aaa10">#REF!</definedName>
    <definedName name="__________________aaa11" localSheetId="0">#REF!</definedName>
    <definedName name="__________________aaa11">#REF!</definedName>
    <definedName name="__________________AAA12" localSheetId="0">#REF!</definedName>
    <definedName name="__________________AAA12">#REF!</definedName>
    <definedName name="__________________AAA21" localSheetId="0">#REF!</definedName>
    <definedName name="__________________AAA21">#REF!</definedName>
    <definedName name="__________________aaa5" localSheetId="0">#REF!</definedName>
    <definedName name="__________________aaa5">#REF!</definedName>
    <definedName name="__________________AAA51" localSheetId="0">#REF!</definedName>
    <definedName name="__________________AAA51">#REF!</definedName>
    <definedName name="__________________AAA53" localSheetId="0">#REF!</definedName>
    <definedName name="__________________AAA53">#REF!</definedName>
    <definedName name="__________________aaa54" localSheetId="0">#REF!</definedName>
    <definedName name="__________________aaa54">#REF!</definedName>
    <definedName name="__________________aaa545" localSheetId="0">#REF!</definedName>
    <definedName name="__________________aaa545">#REF!</definedName>
    <definedName name="__________________aaa55" localSheetId="0">#REF!</definedName>
    <definedName name="__________________aaa55">#REF!</definedName>
    <definedName name="__________________aaa56" localSheetId="0">#REF!</definedName>
    <definedName name="__________________aaa56">#REF!</definedName>
    <definedName name="__________________AAA57" localSheetId="0">#REF!</definedName>
    <definedName name="__________________AAA57">#REF!</definedName>
    <definedName name="__________________aaa59" localSheetId="0">#REF!</definedName>
    <definedName name="__________________aaa59">#REF!</definedName>
    <definedName name="__________________AAA6" localSheetId="0">#REF!</definedName>
    <definedName name="__________________AAA6">#REF!</definedName>
    <definedName name="__________________AAA7" localSheetId="0">#REF!</definedName>
    <definedName name="__________________AAA7">#REF!</definedName>
    <definedName name="__________________AAD5" localSheetId="0">#REF!</definedName>
    <definedName name="__________________AAD5">#REF!</definedName>
    <definedName name="__________________aad55" localSheetId="0">#REF!</definedName>
    <definedName name="__________________aad55">#REF!</definedName>
    <definedName name="__________________AAD56" localSheetId="0">#REF!</definedName>
    <definedName name="__________________AAD56">#REF!</definedName>
    <definedName name="__________________AAD57" localSheetId="0">#REF!</definedName>
    <definedName name="__________________AAD57">#REF!</definedName>
    <definedName name="__________________ast1" localSheetId="0">#REF!</definedName>
    <definedName name="__________________ast1">#REF!</definedName>
    <definedName name="__________________ast2" localSheetId="0">#REF!</definedName>
    <definedName name="__________________ast2">#REF!</definedName>
    <definedName name="__________________bbb1" localSheetId="0">#REF!</definedName>
    <definedName name="__________________bbb1">#REF!</definedName>
    <definedName name="__________________bol1" localSheetId="0">#REF!</definedName>
    <definedName name="__________________bol1">#REF!</definedName>
    <definedName name="__________________ccc1" localSheetId="0">#REF!</definedName>
    <definedName name="__________________ccc1">#REF!</definedName>
    <definedName name="__________________COL14" localSheetId="0">#REF!</definedName>
    <definedName name="__________________COL14">#REF!</definedName>
    <definedName name="__________________COL15" localSheetId="0">#REF!</definedName>
    <definedName name="__________________COL15">#REF!</definedName>
    <definedName name="__________________COL16" localSheetId="0">#REF!</definedName>
    <definedName name="__________________COL16">#REF!</definedName>
    <definedName name="__________________D199617" localSheetId="0">#REF!</definedName>
    <definedName name="__________________D199617">#REF!</definedName>
    <definedName name="__________________ddd1" localSheetId="0">#REF!</definedName>
    <definedName name="__________________ddd1">#REF!</definedName>
    <definedName name="__________________eee1" localSheetId="0">#REF!</definedName>
    <definedName name="__________________eee1">#REF!</definedName>
    <definedName name="__________________exc1" localSheetId="0">#REF!</definedName>
    <definedName name="__________________exc1">#REF!</definedName>
    <definedName name="__________________exc11" localSheetId="0">#REF!</definedName>
    <definedName name="__________________exc11">#REF!</definedName>
    <definedName name="__________________exc2" localSheetId="0">#REF!</definedName>
    <definedName name="__________________exc2">#REF!</definedName>
    <definedName name="__________________EXC3" localSheetId="0">#REF!</definedName>
    <definedName name="__________________EXC3">#REF!</definedName>
    <definedName name="__________________EXC4" localSheetId="0">#REF!</definedName>
    <definedName name="__________________EXC4">#REF!</definedName>
    <definedName name="__________________fff1" localSheetId="0">#REF!</definedName>
    <definedName name="__________________fff1">#REF!</definedName>
    <definedName name="__________________foo1" localSheetId="0">#REF!</definedName>
    <definedName name="__________________foo1">#REF!</definedName>
    <definedName name="__________________foo2" localSheetId="0">#REF!</definedName>
    <definedName name="__________________foo2">#REF!</definedName>
    <definedName name="__________________foo3" localSheetId="0">#REF!</definedName>
    <definedName name="__________________foo3">#REF!</definedName>
    <definedName name="__________________FOO4" localSheetId="0">#REF!</definedName>
    <definedName name="__________________FOO4">#REF!</definedName>
    <definedName name="__________________ief1" localSheetId="0">#REF!</definedName>
    <definedName name="__________________ief1">#REF!</definedName>
    <definedName name="__________________IRS1" localSheetId="0">#REF!</definedName>
    <definedName name="__________________IRS1">#REF!</definedName>
    <definedName name="__________________jh78">#REF!</definedName>
    <definedName name="__________________KK1" localSheetId="0">#REF!</definedName>
    <definedName name="__________________KK1">#REF!</definedName>
    <definedName name="__________________KK2" localSheetId="0">#REF!</definedName>
    <definedName name="__________________KK2">#REF!</definedName>
    <definedName name="__________________kk3" localSheetId="0">#REF!</definedName>
    <definedName name="__________________kk3">#REF!</definedName>
    <definedName name="__________________kk4" localSheetId="0">#REF!</definedName>
    <definedName name="__________________kk4">#REF!</definedName>
    <definedName name="__________________lsc44" localSheetId="0">#REF!</definedName>
    <definedName name="__________________lsc44">#REF!</definedName>
    <definedName name="__________________MF1" localSheetId="0">#REF!</definedName>
    <definedName name="__________________MF1">#REF!</definedName>
    <definedName name="__________________MM1" localSheetId="0">#REF!</definedName>
    <definedName name="__________________MM1">#REF!</definedName>
    <definedName name="__________________MM2" localSheetId="0">#REF!</definedName>
    <definedName name="__________________MM2">#REF!</definedName>
    <definedName name="__________________pcc1" localSheetId="0">#REF!</definedName>
    <definedName name="__________________pcc1">#REF!</definedName>
    <definedName name="__________________pcc2" localSheetId="0">#REF!</definedName>
    <definedName name="__________________pcc2">#REF!</definedName>
    <definedName name="__________________pcc3" localSheetId="0">#REF!</definedName>
    <definedName name="__________________pcc3">#REF!</definedName>
    <definedName name="__________________PCC4" localSheetId="0">#REF!</definedName>
    <definedName name="__________________PCC4">#REF!</definedName>
    <definedName name="__________________plb1" localSheetId="0">#REF!</definedName>
    <definedName name="__________________plb1">#REF!</definedName>
    <definedName name="__________________plb2" localSheetId="0">#REF!</definedName>
    <definedName name="__________________plb2">#REF!</definedName>
    <definedName name="__________________plb3" localSheetId="0">#REF!</definedName>
    <definedName name="__________________plb3">#REF!</definedName>
    <definedName name="__________________plb4" localSheetId="0">#REF!</definedName>
    <definedName name="__________________plb4">#REF!</definedName>
    <definedName name="__________________sec1" localSheetId="0">#REF!</definedName>
    <definedName name="__________________sec1">#REF!</definedName>
    <definedName name="__________________sec111" localSheetId="0">#REF!</definedName>
    <definedName name="__________________sec111">#REF!</definedName>
    <definedName name="__________________SEC15" localSheetId="0">#REF!</definedName>
    <definedName name="__________________SEC15">#REF!</definedName>
    <definedName name="__________________Sec2" localSheetId="0">#REF!</definedName>
    <definedName name="__________________Sec2">#REF!</definedName>
    <definedName name="__________________sec22" localSheetId="0">#REF!</definedName>
    <definedName name="__________________sec22">#REF!</definedName>
    <definedName name="__________________SEC23" localSheetId="0">#REF!</definedName>
    <definedName name="__________________SEC23">#REF!</definedName>
    <definedName name="__________________sec3" localSheetId="0">#REF!</definedName>
    <definedName name="__________________sec3">#REF!</definedName>
    <definedName name="__________________SEC32" localSheetId="0">#REF!</definedName>
    <definedName name="__________________SEC32">#REF!</definedName>
    <definedName name="__________________sec33" localSheetId="0">#REF!</definedName>
    <definedName name="__________________sec33">#REF!</definedName>
    <definedName name="__________________Sec4" localSheetId="0">#REF!</definedName>
    <definedName name="__________________Sec4">#REF!</definedName>
    <definedName name="__________________sec45" localSheetId="0">#REF!</definedName>
    <definedName name="__________________sec45">#REF!</definedName>
    <definedName name="__________________SEC46" localSheetId="0">#REF!</definedName>
    <definedName name="__________________SEC46">#REF!</definedName>
    <definedName name="__________________sec5" localSheetId="0">#REF!</definedName>
    <definedName name="__________________sec5">#REF!</definedName>
    <definedName name="__________________sec55" localSheetId="0">#REF!</definedName>
    <definedName name="__________________sec55">#REF!</definedName>
    <definedName name="__________________SEC56" localSheetId="0">#REF!</definedName>
    <definedName name="__________________SEC56">#REF!</definedName>
    <definedName name="__________________sec6" localSheetId="0">#REF!</definedName>
    <definedName name="__________________sec6">#REF!</definedName>
    <definedName name="__________________sec66" localSheetId="0">#REF!</definedName>
    <definedName name="__________________sec66">#REF!</definedName>
    <definedName name="__________________SEC67" localSheetId="0">#REF!</definedName>
    <definedName name="__________________SEC67">#REF!</definedName>
    <definedName name="__________________sec7" localSheetId="0">#REF!</definedName>
    <definedName name="__________________sec7">#REF!</definedName>
    <definedName name="__________________sec71" localSheetId="0">#REF!</definedName>
    <definedName name="__________________sec71">#REF!</definedName>
    <definedName name="__________________SEC72" localSheetId="0">#REF!</definedName>
    <definedName name="__________________SEC72">#REF!</definedName>
    <definedName name="__________________SEC74" localSheetId="0">#REF!</definedName>
    <definedName name="__________________SEC74">#REF!</definedName>
    <definedName name="__________________SEC75" localSheetId="0">#REF!</definedName>
    <definedName name="__________________SEC75">#REF!</definedName>
    <definedName name="__________________SEC77" localSheetId="0">#REF!</definedName>
    <definedName name="__________________SEC77">#REF!</definedName>
    <definedName name="__________________sec777" localSheetId="0">#REF!</definedName>
    <definedName name="__________________sec777">#REF!</definedName>
    <definedName name="__________________sec78" localSheetId="0">#REF!</definedName>
    <definedName name="__________________sec78">#REF!</definedName>
    <definedName name="__________________sec79" localSheetId="0">#REF!</definedName>
    <definedName name="__________________sec79">#REF!</definedName>
    <definedName name="__________________sec8" localSheetId="0">#REF!</definedName>
    <definedName name="__________________sec8">#REF!</definedName>
    <definedName name="__________________sec81" localSheetId="0">#REF!</definedName>
    <definedName name="__________________sec81">#REF!</definedName>
    <definedName name="__________________SEC82" localSheetId="0">#REF!</definedName>
    <definedName name="__________________SEC82">#REF!</definedName>
    <definedName name="__________________SEC83" localSheetId="0">#REF!</definedName>
    <definedName name="__________________SEC83">#REF!</definedName>
    <definedName name="__________________SEC87" localSheetId="0">#REF!</definedName>
    <definedName name="__________________SEC87">#REF!</definedName>
    <definedName name="__________________SEC88" localSheetId="0">#REF!</definedName>
    <definedName name="__________________SEC88">#REF!</definedName>
    <definedName name="__________________sec888" localSheetId="0">#REF!</definedName>
    <definedName name="__________________sec888">#REF!</definedName>
    <definedName name="__________________sec89" localSheetId="0">#REF!</definedName>
    <definedName name="__________________sec89">#REF!</definedName>
    <definedName name="__________________sec899" localSheetId="0">#REF!</definedName>
    <definedName name="__________________sec899">#REF!</definedName>
    <definedName name="__________________SEC9" localSheetId="0">#REF!</definedName>
    <definedName name="__________________SEC9">#REF!</definedName>
    <definedName name="__________________SEC91" localSheetId="0">#REF!</definedName>
    <definedName name="__________________SEC91">#REF!</definedName>
    <definedName name="__________________SS2" localSheetId="0">#REF!</definedName>
    <definedName name="__________________SS2">#REF!</definedName>
    <definedName name="__________________tk1" localSheetId="0">#REF!</definedName>
    <definedName name="__________________tk1">#REF!</definedName>
    <definedName name="__________________xd1" localSheetId="0">#REF!</definedName>
    <definedName name="__________________xd1">#REF!</definedName>
    <definedName name="__________________XD2" localSheetId="0">#REF!</definedName>
    <definedName name="__________________XD2">#REF!</definedName>
    <definedName name="__________________xd3" localSheetId="0">#REF!</definedName>
    <definedName name="__________________xd3">#REF!</definedName>
    <definedName name="__________________zz1" localSheetId="0">#REF!</definedName>
    <definedName name="__________________zz1">#REF!</definedName>
    <definedName name="_________________aaa1" localSheetId="0">#REF!</definedName>
    <definedName name="_________________aaa1">#REF!</definedName>
    <definedName name="_________________aaa10" localSheetId="0">#REF!</definedName>
    <definedName name="_________________aaa10">#REF!</definedName>
    <definedName name="_________________aaa11" localSheetId="0">#REF!</definedName>
    <definedName name="_________________aaa11">#REF!</definedName>
    <definedName name="_________________AAA12" localSheetId="0">#REF!</definedName>
    <definedName name="_________________AAA12">#REF!</definedName>
    <definedName name="_________________AAA21" localSheetId="0">#REF!</definedName>
    <definedName name="_________________AAA21">#REF!</definedName>
    <definedName name="_________________aaa5" localSheetId="0">#REF!</definedName>
    <definedName name="_________________aaa5">#REF!</definedName>
    <definedName name="_________________AAA51" localSheetId="0">#REF!</definedName>
    <definedName name="_________________AAA51">#REF!</definedName>
    <definedName name="_________________AAA53" localSheetId="0">#REF!</definedName>
    <definedName name="_________________AAA53">#REF!</definedName>
    <definedName name="_________________aaa54" localSheetId="0">#REF!</definedName>
    <definedName name="_________________aaa54">#REF!</definedName>
    <definedName name="_________________aaa545" localSheetId="0">#REF!</definedName>
    <definedName name="_________________aaa545">#REF!</definedName>
    <definedName name="_________________aaa55" localSheetId="0">#REF!</definedName>
    <definedName name="_________________aaa55">#REF!</definedName>
    <definedName name="_________________aaa56" localSheetId="0">#REF!</definedName>
    <definedName name="_________________aaa56">#REF!</definedName>
    <definedName name="_________________AAA57" localSheetId="0">#REF!</definedName>
    <definedName name="_________________AAA57">#REF!</definedName>
    <definedName name="_________________aaa59" localSheetId="0">#REF!</definedName>
    <definedName name="_________________aaa59">#REF!</definedName>
    <definedName name="_________________AAA6" localSheetId="0">#REF!</definedName>
    <definedName name="_________________AAA6">#REF!</definedName>
    <definedName name="_________________AAA7" localSheetId="0">#REF!</definedName>
    <definedName name="_________________AAA7">#REF!</definedName>
    <definedName name="_________________AAD5" localSheetId="0">#REF!</definedName>
    <definedName name="_________________AAD5">#REF!</definedName>
    <definedName name="_________________aad55" localSheetId="0">#REF!</definedName>
    <definedName name="_________________aad55">#REF!</definedName>
    <definedName name="_________________AAD56" localSheetId="0">#REF!</definedName>
    <definedName name="_________________AAD56">#REF!</definedName>
    <definedName name="_________________AAD57" localSheetId="0">#REF!</definedName>
    <definedName name="_________________AAD57">#REF!</definedName>
    <definedName name="_________________ast1" localSheetId="0">#REF!</definedName>
    <definedName name="_________________ast1">#REF!</definedName>
    <definedName name="_________________ast2" localSheetId="0">#REF!</definedName>
    <definedName name="_________________ast2">#REF!</definedName>
    <definedName name="_________________bbb1" localSheetId="0">#REF!</definedName>
    <definedName name="_________________bbb1">#REF!</definedName>
    <definedName name="_________________bol1" localSheetId="0">#REF!</definedName>
    <definedName name="_________________bol1">#REF!</definedName>
    <definedName name="_________________ccc1" localSheetId="0">#REF!</definedName>
    <definedName name="_________________ccc1">#REF!</definedName>
    <definedName name="_________________COL14" localSheetId="0">#REF!</definedName>
    <definedName name="_________________COL14">#REF!</definedName>
    <definedName name="_________________COL15" localSheetId="0">#REF!</definedName>
    <definedName name="_________________COL15">#REF!</definedName>
    <definedName name="_________________COL16" localSheetId="0">#REF!</definedName>
    <definedName name="_________________COL16">#REF!</definedName>
    <definedName name="_________________D199617" localSheetId="0">#REF!</definedName>
    <definedName name="_________________D199617">#REF!</definedName>
    <definedName name="_________________ddd1" localSheetId="0">#REF!</definedName>
    <definedName name="_________________ddd1">#REF!</definedName>
    <definedName name="_________________eee1" localSheetId="0">#REF!</definedName>
    <definedName name="_________________eee1">#REF!</definedName>
    <definedName name="_________________exc1" localSheetId="0">#REF!</definedName>
    <definedName name="_________________exc1">#REF!</definedName>
    <definedName name="_________________exc11" localSheetId="0">#REF!</definedName>
    <definedName name="_________________exc11">#REF!</definedName>
    <definedName name="_________________exc2" localSheetId="0">#REF!</definedName>
    <definedName name="_________________exc2">#REF!</definedName>
    <definedName name="_________________EXC3" localSheetId="0">#REF!</definedName>
    <definedName name="_________________EXC3">#REF!</definedName>
    <definedName name="_________________EXC4" localSheetId="0">#REF!</definedName>
    <definedName name="_________________EXC4">#REF!</definedName>
    <definedName name="_________________fff1" localSheetId="0">#REF!</definedName>
    <definedName name="_________________fff1">#REF!</definedName>
    <definedName name="_________________foo1" localSheetId="0">#REF!</definedName>
    <definedName name="_________________foo1">#REF!</definedName>
    <definedName name="_________________foo2" localSheetId="0">#REF!</definedName>
    <definedName name="_________________foo2">#REF!</definedName>
    <definedName name="_________________foo3" localSheetId="0">#REF!</definedName>
    <definedName name="_________________foo3">#REF!</definedName>
    <definedName name="_________________FOO4" localSheetId="0">#REF!</definedName>
    <definedName name="_________________FOO4">#REF!</definedName>
    <definedName name="_________________ief1" localSheetId="0">#REF!</definedName>
    <definedName name="_________________ief1">#REF!</definedName>
    <definedName name="_________________ind1" localSheetId="0">#REF!</definedName>
    <definedName name="_________________ind1">#REF!</definedName>
    <definedName name="_________________IND11" localSheetId="0">#REF!</definedName>
    <definedName name="_________________IND11">#REF!</definedName>
    <definedName name="_________________IND31" localSheetId="0">#REF!</definedName>
    <definedName name="_________________IND31">#REF!</definedName>
    <definedName name="_________________IRS1" localSheetId="0">#REF!</definedName>
    <definedName name="_________________IRS1">#REF!</definedName>
    <definedName name="_________________jh78">#REF!</definedName>
    <definedName name="_________________KK1" localSheetId="0">#REF!</definedName>
    <definedName name="_________________KK1">#REF!</definedName>
    <definedName name="_________________KK2" localSheetId="0">#REF!</definedName>
    <definedName name="_________________KK2">#REF!</definedName>
    <definedName name="_________________kk3" localSheetId="0">#REF!</definedName>
    <definedName name="_________________kk3">#REF!</definedName>
    <definedName name="_________________kk4" localSheetId="0">#REF!</definedName>
    <definedName name="_________________kk4">#REF!</definedName>
    <definedName name="_________________lsc44" localSheetId="0">#REF!</definedName>
    <definedName name="_________________lsc44">#REF!</definedName>
    <definedName name="_________________MF1" localSheetId="0">#REF!</definedName>
    <definedName name="_________________MF1">#REF!</definedName>
    <definedName name="_________________MM1" localSheetId="0">#REF!</definedName>
    <definedName name="_________________MM1">#REF!</definedName>
    <definedName name="_________________MM2" localSheetId="0">#REF!</definedName>
    <definedName name="_________________MM2">#REF!</definedName>
    <definedName name="_________________pcc1" localSheetId="0">#REF!</definedName>
    <definedName name="_________________pcc1">#REF!</definedName>
    <definedName name="_________________pcc2" localSheetId="0">#REF!</definedName>
    <definedName name="_________________pcc2">#REF!</definedName>
    <definedName name="_________________pcc3" localSheetId="0">#REF!</definedName>
    <definedName name="_________________pcc3">#REF!</definedName>
    <definedName name="_________________PCC4" localSheetId="0">#REF!</definedName>
    <definedName name="_________________PCC4">#REF!</definedName>
    <definedName name="_________________plb1" localSheetId="0">#REF!</definedName>
    <definedName name="_________________plb1">#REF!</definedName>
    <definedName name="_________________plb2" localSheetId="0">#REF!</definedName>
    <definedName name="_________________plb2">#REF!</definedName>
    <definedName name="_________________plb3" localSheetId="0">#REF!</definedName>
    <definedName name="_________________plb3">#REF!</definedName>
    <definedName name="_________________plb4" localSheetId="0">#REF!</definedName>
    <definedName name="_________________plb4">#REF!</definedName>
    <definedName name="_________________S12" localSheetId="0">#REF!</definedName>
    <definedName name="_________________S12">#REF!</definedName>
    <definedName name="_________________sec1" localSheetId="0">#REF!</definedName>
    <definedName name="_________________sec1">#REF!</definedName>
    <definedName name="_________________sec111" localSheetId="0">#REF!</definedName>
    <definedName name="_________________sec111">#REF!</definedName>
    <definedName name="_________________SEC15" localSheetId="0">#REF!</definedName>
    <definedName name="_________________SEC15">#REF!</definedName>
    <definedName name="_________________Sec2" localSheetId="0">#REF!</definedName>
    <definedName name="_________________Sec2">#REF!</definedName>
    <definedName name="_________________sec22" localSheetId="0">#REF!</definedName>
    <definedName name="_________________sec22">#REF!</definedName>
    <definedName name="_________________SEC23" localSheetId="0">#REF!</definedName>
    <definedName name="_________________SEC23">#REF!</definedName>
    <definedName name="_________________sec3" localSheetId="0">#REF!</definedName>
    <definedName name="_________________sec3">#REF!</definedName>
    <definedName name="_________________SEC32" localSheetId="0">#REF!</definedName>
    <definedName name="_________________SEC32">#REF!</definedName>
    <definedName name="_________________sec33" localSheetId="0">#REF!</definedName>
    <definedName name="_________________sec33">#REF!</definedName>
    <definedName name="_________________Sec4" localSheetId="0">#REF!</definedName>
    <definedName name="_________________Sec4">#REF!</definedName>
    <definedName name="_________________sec45" localSheetId="0">#REF!</definedName>
    <definedName name="_________________sec45">#REF!</definedName>
    <definedName name="_________________SEC46" localSheetId="0">#REF!</definedName>
    <definedName name="_________________SEC46">#REF!</definedName>
    <definedName name="_________________sec5" localSheetId="0">#REF!</definedName>
    <definedName name="_________________sec5">#REF!</definedName>
    <definedName name="_________________sec55" localSheetId="0">#REF!</definedName>
    <definedName name="_________________sec55">#REF!</definedName>
    <definedName name="_________________SEC56" localSheetId="0">#REF!</definedName>
    <definedName name="_________________SEC56">#REF!</definedName>
    <definedName name="_________________sec6" localSheetId="0">#REF!</definedName>
    <definedName name="_________________sec6">#REF!</definedName>
    <definedName name="_________________sec66" localSheetId="0">#REF!</definedName>
    <definedName name="_________________sec66">#REF!</definedName>
    <definedName name="_________________SEC67" localSheetId="0">#REF!</definedName>
    <definedName name="_________________SEC67">#REF!</definedName>
    <definedName name="_________________sec7" localSheetId="0">#REF!</definedName>
    <definedName name="_________________sec7">#REF!</definedName>
    <definedName name="_________________sec71" localSheetId="0">#REF!</definedName>
    <definedName name="_________________sec71">#REF!</definedName>
    <definedName name="_________________SEC72" localSheetId="0">#REF!</definedName>
    <definedName name="_________________SEC72">#REF!</definedName>
    <definedName name="_________________SEC74" localSheetId="0">#REF!</definedName>
    <definedName name="_________________SEC74">#REF!</definedName>
    <definedName name="_________________SEC75" localSheetId="0">#REF!</definedName>
    <definedName name="_________________SEC75">#REF!</definedName>
    <definedName name="_________________SEC77" localSheetId="0">#REF!</definedName>
    <definedName name="_________________SEC77">#REF!</definedName>
    <definedName name="_________________sec777" localSheetId="0">#REF!</definedName>
    <definedName name="_________________sec777">#REF!</definedName>
    <definedName name="_________________sec78" localSheetId="0">#REF!</definedName>
    <definedName name="_________________sec78">#REF!</definedName>
    <definedName name="_________________sec79" localSheetId="0">#REF!</definedName>
    <definedName name="_________________sec79">#REF!</definedName>
    <definedName name="_________________sec8" localSheetId="0">#REF!</definedName>
    <definedName name="_________________sec8">#REF!</definedName>
    <definedName name="_________________sec81" localSheetId="0">#REF!</definedName>
    <definedName name="_________________sec81">#REF!</definedName>
    <definedName name="_________________SEC82" localSheetId="0">#REF!</definedName>
    <definedName name="_________________SEC82">#REF!</definedName>
    <definedName name="_________________SEC83" localSheetId="0">#REF!</definedName>
    <definedName name="_________________SEC83">#REF!</definedName>
    <definedName name="_________________SEC87" localSheetId="0">#REF!</definedName>
    <definedName name="_________________SEC87">#REF!</definedName>
    <definedName name="_________________SEC88" localSheetId="0">#REF!</definedName>
    <definedName name="_________________SEC88">#REF!</definedName>
    <definedName name="_________________sec888" localSheetId="0">#REF!</definedName>
    <definedName name="_________________sec888">#REF!</definedName>
    <definedName name="_________________sec89" localSheetId="0">#REF!</definedName>
    <definedName name="_________________sec89">#REF!</definedName>
    <definedName name="_________________sec899" localSheetId="0">#REF!</definedName>
    <definedName name="_________________sec899">#REF!</definedName>
    <definedName name="_________________SEC9" localSheetId="0">#REF!</definedName>
    <definedName name="_________________SEC9">#REF!</definedName>
    <definedName name="_________________SEC91" localSheetId="0">#REF!</definedName>
    <definedName name="_________________SEC91">#REF!</definedName>
    <definedName name="_________________SS2" localSheetId="0">#REF!</definedName>
    <definedName name="_________________SS2">#REF!</definedName>
    <definedName name="_________________tk1" localSheetId="0">#REF!</definedName>
    <definedName name="_________________tk1">#REF!</definedName>
    <definedName name="_________________xd1" localSheetId="0">#REF!</definedName>
    <definedName name="_________________xd1">#REF!</definedName>
    <definedName name="_________________XD2" localSheetId="0">#REF!</definedName>
    <definedName name="_________________XD2">#REF!</definedName>
    <definedName name="_________________xd3" localSheetId="0">#REF!</definedName>
    <definedName name="_________________xd3">#REF!</definedName>
    <definedName name="_________________zz1" localSheetId="0">#REF!</definedName>
    <definedName name="_________________zz1">#REF!</definedName>
    <definedName name="________________aaa1" localSheetId="0">#REF!</definedName>
    <definedName name="________________aaa1">#REF!</definedName>
    <definedName name="________________aaa10" localSheetId="0">#REF!</definedName>
    <definedName name="________________aaa10">#REF!</definedName>
    <definedName name="________________aaa11" localSheetId="0">#REF!</definedName>
    <definedName name="________________aaa11">#REF!</definedName>
    <definedName name="________________AAA12" localSheetId="0">#REF!</definedName>
    <definedName name="________________AAA12">#REF!</definedName>
    <definedName name="________________AAA21" localSheetId="0">#REF!</definedName>
    <definedName name="________________AAA21">#REF!</definedName>
    <definedName name="________________aaa5" localSheetId="0">#REF!</definedName>
    <definedName name="________________aaa5">#REF!</definedName>
    <definedName name="________________AAA51" localSheetId="0">#REF!</definedName>
    <definedName name="________________AAA51">#REF!</definedName>
    <definedName name="________________AAA53" localSheetId="0">#REF!</definedName>
    <definedName name="________________AAA53">#REF!</definedName>
    <definedName name="________________aaa54" localSheetId="0">#REF!</definedName>
    <definedName name="________________aaa54">#REF!</definedName>
    <definedName name="________________aaa545" localSheetId="0">#REF!</definedName>
    <definedName name="________________aaa545">#REF!</definedName>
    <definedName name="________________aaa55" localSheetId="0">#REF!</definedName>
    <definedName name="________________aaa55">#REF!</definedName>
    <definedName name="________________aaa56" localSheetId="0">#REF!</definedName>
    <definedName name="________________aaa56">#REF!</definedName>
    <definedName name="________________AAA57" localSheetId="0">#REF!</definedName>
    <definedName name="________________AAA57">#REF!</definedName>
    <definedName name="________________aaa59" localSheetId="0">#REF!</definedName>
    <definedName name="________________aaa59">#REF!</definedName>
    <definedName name="________________AAA6" localSheetId="0">#REF!</definedName>
    <definedName name="________________AAA6">#REF!</definedName>
    <definedName name="________________AAA7" localSheetId="0">#REF!</definedName>
    <definedName name="________________AAA7">#REF!</definedName>
    <definedName name="________________AAD5" localSheetId="0">#REF!</definedName>
    <definedName name="________________AAD5">#REF!</definedName>
    <definedName name="________________aad55" localSheetId="0">#REF!</definedName>
    <definedName name="________________aad55">#REF!</definedName>
    <definedName name="________________AAD56" localSheetId="0">#REF!</definedName>
    <definedName name="________________AAD56">#REF!</definedName>
    <definedName name="________________AAD57" localSheetId="0">#REF!</definedName>
    <definedName name="________________AAD57">#REF!</definedName>
    <definedName name="________________ast1" localSheetId="0">#REF!</definedName>
    <definedName name="________________ast1">#REF!</definedName>
    <definedName name="________________ast2" localSheetId="0">#REF!</definedName>
    <definedName name="________________ast2">#REF!</definedName>
    <definedName name="________________bbb1" localSheetId="0">#REF!</definedName>
    <definedName name="________________bbb1">#REF!</definedName>
    <definedName name="________________bol1" localSheetId="0">#REF!</definedName>
    <definedName name="________________bol1">#REF!</definedName>
    <definedName name="________________ccc1" localSheetId="0">#REF!</definedName>
    <definedName name="________________ccc1">#REF!</definedName>
    <definedName name="________________COL14" localSheetId="0">#REF!</definedName>
    <definedName name="________________COL14">#REF!</definedName>
    <definedName name="________________COL15" localSheetId="0">#REF!</definedName>
    <definedName name="________________COL15">#REF!</definedName>
    <definedName name="________________COL16" localSheetId="0">#REF!</definedName>
    <definedName name="________________COL16">#REF!</definedName>
    <definedName name="________________D199617" localSheetId="0">#REF!</definedName>
    <definedName name="________________D199617">#REF!</definedName>
    <definedName name="________________ddd1" localSheetId="0">#REF!</definedName>
    <definedName name="________________ddd1">#REF!</definedName>
    <definedName name="________________eee1" localSheetId="0">#REF!</definedName>
    <definedName name="________________eee1">#REF!</definedName>
    <definedName name="________________exc1" localSheetId="0">#REF!</definedName>
    <definedName name="________________exc1">#REF!</definedName>
    <definedName name="________________exc11" localSheetId="0">#REF!</definedName>
    <definedName name="________________exc11">#REF!</definedName>
    <definedName name="________________exc2" localSheetId="0">#REF!</definedName>
    <definedName name="________________exc2">#REF!</definedName>
    <definedName name="________________EXC3" localSheetId="0">#REF!</definedName>
    <definedName name="________________EXC3">#REF!</definedName>
    <definedName name="________________EXC4" localSheetId="0">#REF!</definedName>
    <definedName name="________________EXC4">#REF!</definedName>
    <definedName name="________________fff1" localSheetId="0">#REF!</definedName>
    <definedName name="________________fff1">#REF!</definedName>
    <definedName name="________________foo1" localSheetId="0">#REF!</definedName>
    <definedName name="________________foo1">#REF!</definedName>
    <definedName name="________________foo2" localSheetId="0">#REF!</definedName>
    <definedName name="________________foo2">#REF!</definedName>
    <definedName name="________________foo3" localSheetId="0">#REF!</definedName>
    <definedName name="________________foo3">#REF!</definedName>
    <definedName name="________________FOO4" localSheetId="0">#REF!</definedName>
    <definedName name="________________FOO4">#REF!</definedName>
    <definedName name="________________ief1" localSheetId="0">#REF!</definedName>
    <definedName name="________________ief1">#REF!</definedName>
    <definedName name="________________ind1" localSheetId="0">#REF!</definedName>
    <definedName name="________________ind1">#REF!</definedName>
    <definedName name="________________IND11" localSheetId="0">#REF!</definedName>
    <definedName name="________________IND11">#REF!</definedName>
    <definedName name="________________IND31" localSheetId="0">#REF!</definedName>
    <definedName name="________________IND31">#REF!</definedName>
    <definedName name="________________IRS1" localSheetId="0">#REF!</definedName>
    <definedName name="________________IRS1">#REF!</definedName>
    <definedName name="________________jh78">#REF!</definedName>
    <definedName name="________________KK1" localSheetId="0">#REF!</definedName>
    <definedName name="________________KK1">#REF!</definedName>
    <definedName name="________________KK2" localSheetId="0">#REF!</definedName>
    <definedName name="________________KK2">#REF!</definedName>
    <definedName name="________________kk3" localSheetId="0">#REF!</definedName>
    <definedName name="________________kk3">#REF!</definedName>
    <definedName name="________________kk4" localSheetId="0">#REF!</definedName>
    <definedName name="________________kk4">#REF!</definedName>
    <definedName name="________________lsc44" localSheetId="0">#REF!</definedName>
    <definedName name="________________lsc44">#REF!</definedName>
    <definedName name="________________MF1" localSheetId="0">#REF!</definedName>
    <definedName name="________________MF1">#REF!</definedName>
    <definedName name="________________MM1" localSheetId="0">#REF!</definedName>
    <definedName name="________________MM1">#REF!</definedName>
    <definedName name="________________MM2" localSheetId="0">#REF!</definedName>
    <definedName name="________________MM2">#REF!</definedName>
    <definedName name="________________pcc1" localSheetId="0">#REF!</definedName>
    <definedName name="________________pcc1">#REF!</definedName>
    <definedName name="________________pcc2" localSheetId="0">#REF!</definedName>
    <definedName name="________________pcc2">#REF!</definedName>
    <definedName name="________________pcc3" localSheetId="0">#REF!</definedName>
    <definedName name="________________pcc3">#REF!</definedName>
    <definedName name="________________PCC4" localSheetId="0">#REF!</definedName>
    <definedName name="________________PCC4">#REF!</definedName>
    <definedName name="________________plb1" localSheetId="0">#REF!</definedName>
    <definedName name="________________plb1">#REF!</definedName>
    <definedName name="________________plb2" localSheetId="0">#REF!</definedName>
    <definedName name="________________plb2">#REF!</definedName>
    <definedName name="________________plb3" localSheetId="0">#REF!</definedName>
    <definedName name="________________plb3">#REF!</definedName>
    <definedName name="________________plb4" localSheetId="0">#REF!</definedName>
    <definedName name="________________plb4">#REF!</definedName>
    <definedName name="________________S12" localSheetId="0">#REF!</definedName>
    <definedName name="________________S12">#REF!</definedName>
    <definedName name="________________sec1" localSheetId="0">#REF!</definedName>
    <definedName name="________________sec1">#REF!</definedName>
    <definedName name="________________sec111" localSheetId="0">#REF!</definedName>
    <definedName name="________________sec111">#REF!</definedName>
    <definedName name="________________SEC15" localSheetId="0">#REF!</definedName>
    <definedName name="________________SEC15">#REF!</definedName>
    <definedName name="________________Sec2" localSheetId="0">#REF!</definedName>
    <definedName name="________________Sec2">#REF!</definedName>
    <definedName name="________________sec22" localSheetId="0">#REF!</definedName>
    <definedName name="________________sec22">#REF!</definedName>
    <definedName name="________________SEC23" localSheetId="0">#REF!</definedName>
    <definedName name="________________SEC23">#REF!</definedName>
    <definedName name="________________sec3" localSheetId="0">#REF!</definedName>
    <definedName name="________________sec3">#REF!</definedName>
    <definedName name="________________SEC32" localSheetId="0">#REF!</definedName>
    <definedName name="________________SEC32">#REF!</definedName>
    <definedName name="________________sec33" localSheetId="0">#REF!</definedName>
    <definedName name="________________sec33">#REF!</definedName>
    <definedName name="________________Sec4" localSheetId="0">#REF!</definedName>
    <definedName name="________________Sec4">#REF!</definedName>
    <definedName name="________________sec45" localSheetId="0">#REF!</definedName>
    <definedName name="________________sec45">#REF!</definedName>
    <definedName name="________________SEC46" localSheetId="0">#REF!</definedName>
    <definedName name="________________SEC46">#REF!</definedName>
    <definedName name="________________sec5" localSheetId="0">#REF!</definedName>
    <definedName name="________________sec5">#REF!</definedName>
    <definedName name="________________sec55" localSheetId="0">#REF!</definedName>
    <definedName name="________________sec55">#REF!</definedName>
    <definedName name="________________SEC56" localSheetId="0">#REF!</definedName>
    <definedName name="________________SEC56">#REF!</definedName>
    <definedName name="________________sec6" localSheetId="0">#REF!</definedName>
    <definedName name="________________sec6">#REF!</definedName>
    <definedName name="________________sec66" localSheetId="0">#REF!</definedName>
    <definedName name="________________sec66">#REF!</definedName>
    <definedName name="________________SEC67" localSheetId="0">#REF!</definedName>
    <definedName name="________________SEC67">#REF!</definedName>
    <definedName name="________________sec7" localSheetId="0">#REF!</definedName>
    <definedName name="________________sec7">#REF!</definedName>
    <definedName name="________________sec71" localSheetId="0">#REF!</definedName>
    <definedName name="________________sec71">#REF!</definedName>
    <definedName name="________________SEC72" localSheetId="0">#REF!</definedName>
    <definedName name="________________SEC72">#REF!</definedName>
    <definedName name="________________SEC74" localSheetId="0">#REF!</definedName>
    <definedName name="________________SEC74">#REF!</definedName>
    <definedName name="________________SEC75" localSheetId="0">#REF!</definedName>
    <definedName name="________________SEC75">#REF!</definedName>
    <definedName name="________________SEC77" localSheetId="0">#REF!</definedName>
    <definedName name="________________SEC77">#REF!</definedName>
    <definedName name="________________sec777" localSheetId="0">#REF!</definedName>
    <definedName name="________________sec777">#REF!</definedName>
    <definedName name="________________sec78" localSheetId="0">#REF!</definedName>
    <definedName name="________________sec78">#REF!</definedName>
    <definedName name="________________sec79" localSheetId="0">#REF!</definedName>
    <definedName name="________________sec79">#REF!</definedName>
    <definedName name="________________sec8" localSheetId="0">#REF!</definedName>
    <definedName name="________________sec8">#REF!</definedName>
    <definedName name="________________sec81" localSheetId="0">#REF!</definedName>
    <definedName name="________________sec81">#REF!</definedName>
    <definedName name="________________SEC82" localSheetId="0">#REF!</definedName>
    <definedName name="________________SEC82">#REF!</definedName>
    <definedName name="________________SEC83" localSheetId="0">#REF!</definedName>
    <definedName name="________________SEC83">#REF!</definedName>
    <definedName name="________________SEC87" localSheetId="0">#REF!</definedName>
    <definedName name="________________SEC87">#REF!</definedName>
    <definedName name="________________SEC88" localSheetId="0">#REF!</definedName>
    <definedName name="________________SEC88">#REF!</definedName>
    <definedName name="________________sec888" localSheetId="0">#REF!</definedName>
    <definedName name="________________sec888">#REF!</definedName>
    <definedName name="________________sec89" localSheetId="0">#REF!</definedName>
    <definedName name="________________sec89">#REF!</definedName>
    <definedName name="________________sec899" localSheetId="0">#REF!</definedName>
    <definedName name="________________sec899">#REF!</definedName>
    <definedName name="________________SEC9" localSheetId="0">#REF!</definedName>
    <definedName name="________________SEC9">#REF!</definedName>
    <definedName name="________________SEC91" localSheetId="0">#REF!</definedName>
    <definedName name="________________SEC91">#REF!</definedName>
    <definedName name="________________SS2" localSheetId="0">#REF!</definedName>
    <definedName name="________________SS2">#REF!</definedName>
    <definedName name="________________tk1" localSheetId="0">#REF!</definedName>
    <definedName name="________________tk1">#REF!</definedName>
    <definedName name="________________xd1" localSheetId="0">#REF!</definedName>
    <definedName name="________________xd1">#REF!</definedName>
    <definedName name="________________XD2" localSheetId="0">#REF!</definedName>
    <definedName name="________________XD2">#REF!</definedName>
    <definedName name="________________xd3" localSheetId="0">#REF!</definedName>
    <definedName name="________________xd3">#REF!</definedName>
    <definedName name="________________zz1" localSheetId="0">#REF!</definedName>
    <definedName name="________________zz1">#REF!</definedName>
    <definedName name="_______________aaa1" localSheetId="0">#REF!</definedName>
    <definedName name="_______________aaa1">#REF!</definedName>
    <definedName name="_______________aaa10" localSheetId="0">#REF!</definedName>
    <definedName name="_______________aaa10">#REF!</definedName>
    <definedName name="_______________aaa11" localSheetId="0">#REF!</definedName>
    <definedName name="_______________aaa11">#REF!</definedName>
    <definedName name="_______________AAA12" localSheetId="0">#REF!</definedName>
    <definedName name="_______________AAA12">#REF!</definedName>
    <definedName name="_______________AAA21" localSheetId="0">#REF!</definedName>
    <definedName name="_______________AAA21">#REF!</definedName>
    <definedName name="_______________aaa5" localSheetId="0">#REF!</definedName>
    <definedName name="_______________aaa5">#REF!</definedName>
    <definedName name="_______________AAA51" localSheetId="0">#REF!</definedName>
    <definedName name="_______________AAA51">#REF!</definedName>
    <definedName name="_______________AAA53" localSheetId="0">#REF!</definedName>
    <definedName name="_______________AAA53">#REF!</definedName>
    <definedName name="_______________aaa54" localSheetId="0">#REF!</definedName>
    <definedName name="_______________aaa54">#REF!</definedName>
    <definedName name="_______________aaa545" localSheetId="0">#REF!</definedName>
    <definedName name="_______________aaa545">#REF!</definedName>
    <definedName name="_______________aaa55" localSheetId="0">#REF!</definedName>
    <definedName name="_______________aaa55">#REF!</definedName>
    <definedName name="_______________aaa56" localSheetId="0">#REF!</definedName>
    <definedName name="_______________aaa56">#REF!</definedName>
    <definedName name="_______________AAA57" localSheetId="0">#REF!</definedName>
    <definedName name="_______________AAA57">#REF!</definedName>
    <definedName name="_______________aaa59" localSheetId="0">#REF!</definedName>
    <definedName name="_______________aaa59">#REF!</definedName>
    <definedName name="_______________AAA6" localSheetId="0">#REF!</definedName>
    <definedName name="_______________AAA6">#REF!</definedName>
    <definedName name="_______________AAA7" localSheetId="0">#REF!</definedName>
    <definedName name="_______________AAA7">#REF!</definedName>
    <definedName name="_______________AAD5" localSheetId="0">#REF!</definedName>
    <definedName name="_______________AAD5">#REF!</definedName>
    <definedName name="_______________aad55" localSheetId="0">#REF!</definedName>
    <definedName name="_______________aad55">#REF!</definedName>
    <definedName name="_______________AAD56" localSheetId="0">#REF!</definedName>
    <definedName name="_______________AAD56">#REF!</definedName>
    <definedName name="_______________AAD57" localSheetId="0">#REF!</definedName>
    <definedName name="_______________AAD57">#REF!</definedName>
    <definedName name="_______________ast1" localSheetId="0">#REF!</definedName>
    <definedName name="_______________ast1">#REF!</definedName>
    <definedName name="_______________ast2" localSheetId="0">#REF!</definedName>
    <definedName name="_______________ast2">#REF!</definedName>
    <definedName name="_______________bbb1" localSheetId="0">#REF!</definedName>
    <definedName name="_______________bbb1">#REF!</definedName>
    <definedName name="_______________bol1" localSheetId="0">#REF!</definedName>
    <definedName name="_______________bol1">#REF!</definedName>
    <definedName name="_______________ccc1" localSheetId="0">#REF!</definedName>
    <definedName name="_______________ccc1">#REF!</definedName>
    <definedName name="_______________COL14" localSheetId="0">#REF!</definedName>
    <definedName name="_______________COL14">#REF!</definedName>
    <definedName name="_______________COL15" localSheetId="0">#REF!</definedName>
    <definedName name="_______________COL15">#REF!</definedName>
    <definedName name="_______________COL16" localSheetId="0">#REF!</definedName>
    <definedName name="_______________COL16">#REF!</definedName>
    <definedName name="_______________D199617" localSheetId="0">#REF!</definedName>
    <definedName name="_______________D199617">#REF!</definedName>
    <definedName name="_______________ddd1" localSheetId="0">#REF!</definedName>
    <definedName name="_______________ddd1">#REF!</definedName>
    <definedName name="_______________eee1" localSheetId="0">#REF!</definedName>
    <definedName name="_______________eee1">#REF!</definedName>
    <definedName name="_______________exc1" localSheetId="0">#REF!</definedName>
    <definedName name="_______________exc1">#REF!</definedName>
    <definedName name="_______________exc11" localSheetId="0">#REF!</definedName>
    <definedName name="_______________exc11">#REF!</definedName>
    <definedName name="_______________exc2" localSheetId="0">#REF!</definedName>
    <definedName name="_______________exc2">#REF!</definedName>
    <definedName name="_______________EXC3" localSheetId="0">#REF!</definedName>
    <definedName name="_______________EXC3">#REF!</definedName>
    <definedName name="_______________EXC4" localSheetId="0">#REF!</definedName>
    <definedName name="_______________EXC4">#REF!</definedName>
    <definedName name="_______________fff1" localSheetId="0">#REF!</definedName>
    <definedName name="_______________fff1">#REF!</definedName>
    <definedName name="_______________foo1" localSheetId="0">#REF!</definedName>
    <definedName name="_______________foo1">#REF!</definedName>
    <definedName name="_______________foo2" localSheetId="0">#REF!</definedName>
    <definedName name="_______________foo2">#REF!</definedName>
    <definedName name="_______________foo3" localSheetId="0">#REF!</definedName>
    <definedName name="_______________foo3">#REF!</definedName>
    <definedName name="_______________FOO4" localSheetId="0">#REF!</definedName>
    <definedName name="_______________FOO4">#REF!</definedName>
    <definedName name="_______________ief1" localSheetId="0">#REF!</definedName>
    <definedName name="_______________ief1">#REF!</definedName>
    <definedName name="_______________ind1" localSheetId="0">#REF!</definedName>
    <definedName name="_______________ind1">#REF!</definedName>
    <definedName name="_______________IND11" localSheetId="0">#REF!</definedName>
    <definedName name="_______________IND11">#REF!</definedName>
    <definedName name="_______________IND31" localSheetId="0">#REF!</definedName>
    <definedName name="_______________IND31">#REF!</definedName>
    <definedName name="_______________IRS1" localSheetId="0">#REF!</definedName>
    <definedName name="_______________IRS1">#REF!</definedName>
    <definedName name="_______________jh78">#REF!</definedName>
    <definedName name="_______________KK1" localSheetId="0">#REF!</definedName>
    <definedName name="_______________KK1">#REF!</definedName>
    <definedName name="_______________KK2" localSheetId="0">#REF!</definedName>
    <definedName name="_______________KK2">#REF!</definedName>
    <definedName name="_______________kk3" localSheetId="0">#REF!</definedName>
    <definedName name="_______________kk3">#REF!</definedName>
    <definedName name="_______________kk4" localSheetId="0">#REF!</definedName>
    <definedName name="_______________kk4">#REF!</definedName>
    <definedName name="_______________lsc44" localSheetId="0">#REF!</definedName>
    <definedName name="_______________lsc44">#REF!</definedName>
    <definedName name="_______________MF1" localSheetId="0">#REF!</definedName>
    <definedName name="_______________MF1">#REF!</definedName>
    <definedName name="_______________MM1" localSheetId="0">#REF!</definedName>
    <definedName name="_______________MM1">#REF!</definedName>
    <definedName name="_______________MM2" localSheetId="0">#REF!</definedName>
    <definedName name="_______________MM2">#REF!</definedName>
    <definedName name="_______________pcc1" localSheetId="0">#REF!</definedName>
    <definedName name="_______________pcc1">#REF!</definedName>
    <definedName name="_______________pcc2" localSheetId="0">#REF!</definedName>
    <definedName name="_______________pcc2">#REF!</definedName>
    <definedName name="_______________pcc3" localSheetId="0">#REF!</definedName>
    <definedName name="_______________pcc3">#REF!</definedName>
    <definedName name="_______________PCC4" localSheetId="0">#REF!</definedName>
    <definedName name="_______________PCC4">#REF!</definedName>
    <definedName name="_______________plb1" localSheetId="0">#REF!</definedName>
    <definedName name="_______________plb1">#REF!</definedName>
    <definedName name="_______________plb2" localSheetId="0">#REF!</definedName>
    <definedName name="_______________plb2">#REF!</definedName>
    <definedName name="_______________plb3" localSheetId="0">#REF!</definedName>
    <definedName name="_______________plb3">#REF!</definedName>
    <definedName name="_______________plb4" localSheetId="0">#REF!</definedName>
    <definedName name="_______________plb4">#REF!</definedName>
    <definedName name="_______________S12" localSheetId="0">#REF!</definedName>
    <definedName name="_______________S12">#REF!</definedName>
    <definedName name="_______________sec1" localSheetId="0">#REF!</definedName>
    <definedName name="_______________sec1">#REF!</definedName>
    <definedName name="_______________sec111" localSheetId="0">#REF!</definedName>
    <definedName name="_______________sec111">#REF!</definedName>
    <definedName name="_______________SEC15" localSheetId="0">#REF!</definedName>
    <definedName name="_______________SEC15">#REF!</definedName>
    <definedName name="_______________Sec2" localSheetId="0">#REF!</definedName>
    <definedName name="_______________Sec2">#REF!</definedName>
    <definedName name="_______________sec22" localSheetId="0">#REF!</definedName>
    <definedName name="_______________sec22">#REF!</definedName>
    <definedName name="_______________SEC23" localSheetId="0">#REF!</definedName>
    <definedName name="_______________SEC23">#REF!</definedName>
    <definedName name="_______________sec3" localSheetId="0">#REF!</definedName>
    <definedName name="_______________sec3">#REF!</definedName>
    <definedName name="_______________SEC32" localSheetId="0">#REF!</definedName>
    <definedName name="_______________SEC32">#REF!</definedName>
    <definedName name="_______________sec33" localSheetId="0">#REF!</definedName>
    <definedName name="_______________sec33">#REF!</definedName>
    <definedName name="_______________Sec4" localSheetId="0">#REF!</definedName>
    <definedName name="_______________Sec4">#REF!</definedName>
    <definedName name="_______________sec45" localSheetId="0">#REF!</definedName>
    <definedName name="_______________sec45">#REF!</definedName>
    <definedName name="_______________SEC46" localSheetId="0">#REF!</definedName>
    <definedName name="_______________SEC46">#REF!</definedName>
    <definedName name="_______________sec5" localSheetId="0">#REF!</definedName>
    <definedName name="_______________sec5">#REF!</definedName>
    <definedName name="_______________sec55" localSheetId="0">#REF!</definedName>
    <definedName name="_______________sec55">#REF!</definedName>
    <definedName name="_______________SEC56" localSheetId="0">#REF!</definedName>
    <definedName name="_______________SEC56">#REF!</definedName>
    <definedName name="_______________sec6" localSheetId="0">#REF!</definedName>
    <definedName name="_______________sec6">#REF!</definedName>
    <definedName name="_______________sec66" localSheetId="0">#REF!</definedName>
    <definedName name="_______________sec66">#REF!</definedName>
    <definedName name="_______________SEC67" localSheetId="0">#REF!</definedName>
    <definedName name="_______________SEC67">#REF!</definedName>
    <definedName name="_______________sec7" localSheetId="0">#REF!</definedName>
    <definedName name="_______________sec7">#REF!</definedName>
    <definedName name="_______________sec71" localSheetId="0">#REF!</definedName>
    <definedName name="_______________sec71">#REF!</definedName>
    <definedName name="_______________SEC72" localSheetId="0">#REF!</definedName>
    <definedName name="_______________SEC72">#REF!</definedName>
    <definedName name="_______________SEC74" localSheetId="0">#REF!</definedName>
    <definedName name="_______________SEC74">#REF!</definedName>
    <definedName name="_______________SEC75" localSheetId="0">#REF!</definedName>
    <definedName name="_______________SEC75">#REF!</definedName>
    <definedName name="_______________SEC77" localSheetId="0">#REF!</definedName>
    <definedName name="_______________SEC77">#REF!</definedName>
    <definedName name="_______________sec777" localSheetId="0">#REF!</definedName>
    <definedName name="_______________sec777">#REF!</definedName>
    <definedName name="_______________sec78" localSheetId="0">#REF!</definedName>
    <definedName name="_______________sec78">#REF!</definedName>
    <definedName name="_______________sec79" localSheetId="0">#REF!</definedName>
    <definedName name="_______________sec79">#REF!</definedName>
    <definedName name="_______________sec8" localSheetId="0">#REF!</definedName>
    <definedName name="_______________sec8">#REF!</definedName>
    <definedName name="_______________sec81" localSheetId="0">#REF!</definedName>
    <definedName name="_______________sec81">#REF!</definedName>
    <definedName name="_______________SEC82" localSheetId="0">#REF!</definedName>
    <definedName name="_______________SEC82">#REF!</definedName>
    <definedName name="_______________SEC83" localSheetId="0">#REF!</definedName>
    <definedName name="_______________SEC83">#REF!</definedName>
    <definedName name="_______________SEC87" localSheetId="0">#REF!</definedName>
    <definedName name="_______________SEC87">#REF!</definedName>
    <definedName name="_______________SEC88" localSheetId="0">#REF!</definedName>
    <definedName name="_______________SEC88">#REF!</definedName>
    <definedName name="_______________sec888" localSheetId="0">#REF!</definedName>
    <definedName name="_______________sec888">#REF!</definedName>
    <definedName name="_______________sec89" localSheetId="0">#REF!</definedName>
    <definedName name="_______________sec89">#REF!</definedName>
    <definedName name="_______________sec899" localSheetId="0">#REF!</definedName>
    <definedName name="_______________sec899">#REF!</definedName>
    <definedName name="_______________SEC9" localSheetId="0">#REF!</definedName>
    <definedName name="_______________SEC9">#REF!</definedName>
    <definedName name="_______________SEC91" localSheetId="0">#REF!</definedName>
    <definedName name="_______________SEC91">#REF!</definedName>
    <definedName name="_______________ss2" localSheetId="0">#REF!</definedName>
    <definedName name="_______________ss2">#REF!</definedName>
    <definedName name="_______________tk1" localSheetId="0">#REF!</definedName>
    <definedName name="_______________tk1">#REF!</definedName>
    <definedName name="_______________xd1" localSheetId="0">#REF!</definedName>
    <definedName name="_______________xd1">#REF!</definedName>
    <definedName name="_______________XD2" localSheetId="0">#REF!</definedName>
    <definedName name="_______________XD2">#REF!</definedName>
    <definedName name="_______________xd3" localSheetId="0">#REF!</definedName>
    <definedName name="_______________xd3">#REF!</definedName>
    <definedName name="_______________zz1" localSheetId="0">#REF!</definedName>
    <definedName name="_______________zz1">#REF!</definedName>
    <definedName name="______________aaa1" localSheetId="0">#REF!</definedName>
    <definedName name="______________aaa1">#REF!</definedName>
    <definedName name="______________aaa10" localSheetId="0">#REF!</definedName>
    <definedName name="______________aaa10">#REF!</definedName>
    <definedName name="______________aaa11" localSheetId="0">#REF!</definedName>
    <definedName name="______________aaa11">#REF!</definedName>
    <definedName name="______________AAA12" localSheetId="0">#REF!</definedName>
    <definedName name="______________AAA12">#REF!</definedName>
    <definedName name="______________AAA21" localSheetId="0">#REF!</definedName>
    <definedName name="______________AAA21">#REF!</definedName>
    <definedName name="______________aaa5" localSheetId="0">#REF!</definedName>
    <definedName name="______________aaa5">#REF!</definedName>
    <definedName name="______________AAA51" localSheetId="0">#REF!</definedName>
    <definedName name="______________AAA51">#REF!</definedName>
    <definedName name="______________AAA53" localSheetId="0">#REF!</definedName>
    <definedName name="______________AAA53">#REF!</definedName>
    <definedName name="______________aaa54" localSheetId="0">#REF!</definedName>
    <definedName name="______________aaa54">#REF!</definedName>
    <definedName name="______________aaa545" localSheetId="0">#REF!</definedName>
    <definedName name="______________aaa545">#REF!</definedName>
    <definedName name="______________aaa55" localSheetId="0">#REF!</definedName>
    <definedName name="______________aaa55">#REF!</definedName>
    <definedName name="______________aaa56" localSheetId="0">#REF!</definedName>
    <definedName name="______________aaa56">#REF!</definedName>
    <definedName name="______________AAA57" localSheetId="0">#REF!</definedName>
    <definedName name="______________AAA57">#REF!</definedName>
    <definedName name="______________aaa59" localSheetId="0">#REF!</definedName>
    <definedName name="______________aaa59">#REF!</definedName>
    <definedName name="______________AAA6" localSheetId="0">#REF!</definedName>
    <definedName name="______________AAA6">#REF!</definedName>
    <definedName name="______________AAA7" localSheetId="0">#REF!</definedName>
    <definedName name="______________AAA7">#REF!</definedName>
    <definedName name="______________AAD5" localSheetId="0">#REF!</definedName>
    <definedName name="______________AAD5">#REF!</definedName>
    <definedName name="______________aad55" localSheetId="0">#REF!</definedName>
    <definedName name="______________aad55">#REF!</definedName>
    <definedName name="______________AAD56" localSheetId="0">#REF!</definedName>
    <definedName name="______________AAD56">#REF!</definedName>
    <definedName name="______________AAD57" localSheetId="0">#REF!</definedName>
    <definedName name="______________AAD57">#REF!</definedName>
    <definedName name="______________ast1" localSheetId="0">#REF!</definedName>
    <definedName name="______________ast1">#REF!</definedName>
    <definedName name="______________ast2" localSheetId="0">#REF!</definedName>
    <definedName name="______________ast2">#REF!</definedName>
    <definedName name="______________bbb1" localSheetId="0">#REF!</definedName>
    <definedName name="______________bbb1">#REF!</definedName>
    <definedName name="______________bol1" localSheetId="0">#REF!</definedName>
    <definedName name="______________bol1">#REF!</definedName>
    <definedName name="______________ccc1" localSheetId="0">#REF!</definedName>
    <definedName name="______________ccc1">#REF!</definedName>
    <definedName name="______________COL14" localSheetId="0">#REF!</definedName>
    <definedName name="______________COL14">#REF!</definedName>
    <definedName name="______________COL15" localSheetId="0">#REF!</definedName>
    <definedName name="______________COL15">#REF!</definedName>
    <definedName name="______________COL16" localSheetId="0">#REF!</definedName>
    <definedName name="______________COL16">#REF!</definedName>
    <definedName name="______________D199617" localSheetId="0">#REF!</definedName>
    <definedName name="______________D199617">#REF!</definedName>
    <definedName name="______________ddd1" localSheetId="0">#REF!</definedName>
    <definedName name="______________ddd1">#REF!</definedName>
    <definedName name="______________eee1" localSheetId="0">#REF!</definedName>
    <definedName name="______________eee1">#REF!</definedName>
    <definedName name="______________exc1" localSheetId="0">#REF!</definedName>
    <definedName name="______________exc1">#REF!</definedName>
    <definedName name="______________exc11" localSheetId="0">#REF!</definedName>
    <definedName name="______________exc11">#REF!</definedName>
    <definedName name="______________exc2" localSheetId="0">#REF!</definedName>
    <definedName name="______________exc2">#REF!</definedName>
    <definedName name="______________EXC3" localSheetId="0">#REF!</definedName>
    <definedName name="______________EXC3">#REF!</definedName>
    <definedName name="______________EXC4" localSheetId="0">#REF!</definedName>
    <definedName name="______________EXC4">#REF!</definedName>
    <definedName name="______________fff1" localSheetId="0">#REF!</definedName>
    <definedName name="______________fff1">#REF!</definedName>
    <definedName name="______________foo1" localSheetId="0">#REF!</definedName>
    <definedName name="______________foo1">#REF!</definedName>
    <definedName name="______________foo2" localSheetId="0">#REF!</definedName>
    <definedName name="______________foo2">#REF!</definedName>
    <definedName name="______________foo3" localSheetId="0">#REF!</definedName>
    <definedName name="______________foo3">#REF!</definedName>
    <definedName name="______________FOO4" localSheetId="0">#REF!</definedName>
    <definedName name="______________FOO4">#REF!</definedName>
    <definedName name="______________ief1" localSheetId="0">#REF!</definedName>
    <definedName name="______________ief1">#REF!</definedName>
    <definedName name="______________ind1" localSheetId="0">#REF!</definedName>
    <definedName name="______________ind1">#REF!</definedName>
    <definedName name="______________IND11" localSheetId="0">#REF!</definedName>
    <definedName name="______________IND11">#REF!</definedName>
    <definedName name="______________IND31" localSheetId="0">#REF!</definedName>
    <definedName name="______________IND31">#REF!</definedName>
    <definedName name="______________IRS1" localSheetId="0">#REF!</definedName>
    <definedName name="______________IRS1">#REF!</definedName>
    <definedName name="______________jh78">#REF!</definedName>
    <definedName name="______________KK1" localSheetId="0">#REF!</definedName>
    <definedName name="______________KK1">#REF!</definedName>
    <definedName name="______________KK2" localSheetId="0">#REF!</definedName>
    <definedName name="______________KK2">#REF!</definedName>
    <definedName name="______________kk3" localSheetId="0">#REF!</definedName>
    <definedName name="______________kk3">#REF!</definedName>
    <definedName name="______________kk4" localSheetId="0">#REF!</definedName>
    <definedName name="______________kk4">#REF!</definedName>
    <definedName name="______________lsc44" localSheetId="0">#REF!</definedName>
    <definedName name="______________lsc44">#REF!</definedName>
    <definedName name="______________MF1" localSheetId="0">#REF!</definedName>
    <definedName name="______________MF1">#REF!</definedName>
    <definedName name="______________MM1" localSheetId="0">#REF!</definedName>
    <definedName name="______________MM1">#REF!</definedName>
    <definedName name="______________MM2" localSheetId="0">#REF!</definedName>
    <definedName name="______________MM2">#REF!</definedName>
    <definedName name="______________pcc1" localSheetId="0">#REF!</definedName>
    <definedName name="______________pcc1">#REF!</definedName>
    <definedName name="______________pcc2" localSheetId="0">#REF!</definedName>
    <definedName name="______________pcc2">#REF!</definedName>
    <definedName name="______________pcc3" localSheetId="0">#REF!</definedName>
    <definedName name="______________pcc3">#REF!</definedName>
    <definedName name="______________PCC4" localSheetId="0">#REF!</definedName>
    <definedName name="______________PCC4">#REF!</definedName>
    <definedName name="______________plb1" localSheetId="0">#REF!</definedName>
    <definedName name="______________plb1">#REF!</definedName>
    <definedName name="______________plb2" localSheetId="0">#REF!</definedName>
    <definedName name="______________plb2">#REF!</definedName>
    <definedName name="______________plb3" localSheetId="0">#REF!</definedName>
    <definedName name="______________plb3">#REF!</definedName>
    <definedName name="______________plb4" localSheetId="0">#REF!</definedName>
    <definedName name="______________plb4">#REF!</definedName>
    <definedName name="______________S12" localSheetId="0">#REF!</definedName>
    <definedName name="______________S12">#REF!</definedName>
    <definedName name="______________sec1" localSheetId="0">#REF!</definedName>
    <definedName name="______________sec1">#REF!</definedName>
    <definedName name="______________sec111" localSheetId="0">#REF!</definedName>
    <definedName name="______________sec111">#REF!</definedName>
    <definedName name="______________SEC15" localSheetId="0">#REF!</definedName>
    <definedName name="______________SEC15">#REF!</definedName>
    <definedName name="______________Sec2" localSheetId="0">#REF!</definedName>
    <definedName name="______________Sec2">#REF!</definedName>
    <definedName name="______________sec22" localSheetId="0">#REF!</definedName>
    <definedName name="______________sec22">#REF!</definedName>
    <definedName name="______________SEC23" localSheetId="0">#REF!</definedName>
    <definedName name="______________SEC23">#REF!</definedName>
    <definedName name="______________sec3" localSheetId="0">#REF!</definedName>
    <definedName name="______________sec3">#REF!</definedName>
    <definedName name="______________SEC32" localSheetId="0">#REF!</definedName>
    <definedName name="______________SEC32">#REF!</definedName>
    <definedName name="______________sec33" localSheetId="0">#REF!</definedName>
    <definedName name="______________sec33">#REF!</definedName>
    <definedName name="______________Sec4" localSheetId="0">#REF!</definedName>
    <definedName name="______________Sec4">#REF!</definedName>
    <definedName name="______________sec45" localSheetId="0">#REF!</definedName>
    <definedName name="______________sec45">#REF!</definedName>
    <definedName name="______________SEC46" localSheetId="0">#REF!</definedName>
    <definedName name="______________SEC46">#REF!</definedName>
    <definedName name="______________sec5" localSheetId="0">#REF!</definedName>
    <definedName name="______________sec5">#REF!</definedName>
    <definedName name="______________sec55" localSheetId="0">#REF!</definedName>
    <definedName name="______________sec55">#REF!</definedName>
    <definedName name="______________SEC56" localSheetId="0">#REF!</definedName>
    <definedName name="______________SEC56">#REF!</definedName>
    <definedName name="______________sec6" localSheetId="0">#REF!</definedName>
    <definedName name="______________sec6">#REF!</definedName>
    <definedName name="______________sec66" localSheetId="0">#REF!</definedName>
    <definedName name="______________sec66">#REF!</definedName>
    <definedName name="______________SEC67" localSheetId="0">#REF!</definedName>
    <definedName name="______________SEC67">#REF!</definedName>
    <definedName name="______________sec7" localSheetId="0">#REF!</definedName>
    <definedName name="______________sec7">#REF!</definedName>
    <definedName name="______________sec71" localSheetId="0">#REF!</definedName>
    <definedName name="______________sec71">#REF!</definedName>
    <definedName name="______________SEC72" localSheetId="0">#REF!</definedName>
    <definedName name="______________SEC72">#REF!</definedName>
    <definedName name="______________SEC74" localSheetId="0">#REF!</definedName>
    <definedName name="______________SEC74">#REF!</definedName>
    <definedName name="______________SEC75" localSheetId="0">#REF!</definedName>
    <definedName name="______________SEC75">#REF!</definedName>
    <definedName name="______________SEC77" localSheetId="0">#REF!</definedName>
    <definedName name="______________SEC77">#REF!</definedName>
    <definedName name="______________sec777" localSheetId="0">#REF!</definedName>
    <definedName name="______________sec777">#REF!</definedName>
    <definedName name="______________sec78" localSheetId="0">#REF!</definedName>
    <definedName name="______________sec78">#REF!</definedName>
    <definedName name="______________sec79" localSheetId="0">#REF!</definedName>
    <definedName name="______________sec79">#REF!</definedName>
    <definedName name="______________sec8" localSheetId="0">#REF!</definedName>
    <definedName name="______________sec8">#REF!</definedName>
    <definedName name="______________sec81" localSheetId="0">#REF!</definedName>
    <definedName name="______________sec81">#REF!</definedName>
    <definedName name="______________SEC82" localSheetId="0">#REF!</definedName>
    <definedName name="______________SEC82">#REF!</definedName>
    <definedName name="______________SEC83" localSheetId="0">#REF!</definedName>
    <definedName name="______________SEC83">#REF!</definedName>
    <definedName name="______________SEC87" localSheetId="0">#REF!</definedName>
    <definedName name="______________SEC87">#REF!</definedName>
    <definedName name="______________SEC88" localSheetId="0">#REF!</definedName>
    <definedName name="______________SEC88">#REF!</definedName>
    <definedName name="______________sec888" localSheetId="0">#REF!</definedName>
    <definedName name="______________sec888">#REF!</definedName>
    <definedName name="______________sec89" localSheetId="0">#REF!</definedName>
    <definedName name="______________sec89">#REF!</definedName>
    <definedName name="______________sec899" localSheetId="0">#REF!</definedName>
    <definedName name="______________sec899">#REF!</definedName>
    <definedName name="______________SEC9" localSheetId="0">#REF!</definedName>
    <definedName name="______________SEC9">#REF!</definedName>
    <definedName name="______________SEC91" localSheetId="0">#REF!</definedName>
    <definedName name="______________SEC91">#REF!</definedName>
    <definedName name="______________ss2" localSheetId="0">#REF!</definedName>
    <definedName name="______________ss2">#REF!</definedName>
    <definedName name="______________tk1" localSheetId="0">#REF!</definedName>
    <definedName name="______________tk1">#REF!</definedName>
    <definedName name="______________xd1" localSheetId="0">#REF!</definedName>
    <definedName name="______________xd1">#REF!</definedName>
    <definedName name="______________XD2" localSheetId="0">#REF!</definedName>
    <definedName name="______________XD2">#REF!</definedName>
    <definedName name="______________xd3" localSheetId="0">#REF!</definedName>
    <definedName name="______________xd3">#REF!</definedName>
    <definedName name="______________zz1" localSheetId="0">#REF!</definedName>
    <definedName name="______________zz1">#REF!</definedName>
    <definedName name="_____________aaa1" localSheetId="0">#REF!</definedName>
    <definedName name="_____________aaa1">#REF!</definedName>
    <definedName name="_____________aaa10" localSheetId="0">#REF!</definedName>
    <definedName name="_____________aaa10">#REF!</definedName>
    <definedName name="_____________aaa11" localSheetId="0">#REF!</definedName>
    <definedName name="_____________aaa11">#REF!</definedName>
    <definedName name="_____________AAA12" localSheetId="0">#REF!</definedName>
    <definedName name="_____________AAA12">#REF!</definedName>
    <definedName name="_____________AAA21" localSheetId="0">#REF!</definedName>
    <definedName name="_____________AAA21">#REF!</definedName>
    <definedName name="_____________aaa5" localSheetId="0">#REF!</definedName>
    <definedName name="_____________aaa5">#REF!</definedName>
    <definedName name="_____________AAA51" localSheetId="0">#REF!</definedName>
    <definedName name="_____________AAA51">#REF!</definedName>
    <definedName name="_____________AAA53" localSheetId="0">#REF!</definedName>
    <definedName name="_____________AAA53">#REF!</definedName>
    <definedName name="_____________aaa54" localSheetId="0">#REF!</definedName>
    <definedName name="_____________aaa54">#REF!</definedName>
    <definedName name="_____________aaa545" localSheetId="0">#REF!</definedName>
    <definedName name="_____________aaa545">#REF!</definedName>
    <definedName name="_____________aaa55" localSheetId="0">#REF!</definedName>
    <definedName name="_____________aaa55">#REF!</definedName>
    <definedName name="_____________aaa56" localSheetId="0">#REF!</definedName>
    <definedName name="_____________aaa56">#REF!</definedName>
    <definedName name="_____________AAA57" localSheetId="0">#REF!</definedName>
    <definedName name="_____________AAA57">#REF!</definedName>
    <definedName name="_____________aaa59" localSheetId="0">#REF!</definedName>
    <definedName name="_____________aaa59">#REF!</definedName>
    <definedName name="_____________AAA6" localSheetId="0">#REF!</definedName>
    <definedName name="_____________AAA6">#REF!</definedName>
    <definedName name="_____________AAA7" localSheetId="0">#REF!</definedName>
    <definedName name="_____________AAA7">#REF!</definedName>
    <definedName name="_____________AAD5" localSheetId="0">#REF!</definedName>
    <definedName name="_____________AAD5">#REF!</definedName>
    <definedName name="_____________aad55" localSheetId="0">#REF!</definedName>
    <definedName name="_____________aad55">#REF!</definedName>
    <definedName name="_____________AAD56" localSheetId="0">#REF!</definedName>
    <definedName name="_____________AAD56">#REF!</definedName>
    <definedName name="_____________AAD57" localSheetId="0">#REF!</definedName>
    <definedName name="_____________AAD57">#REF!</definedName>
    <definedName name="_____________ast1" localSheetId="0">#REF!</definedName>
    <definedName name="_____________ast1">#REF!</definedName>
    <definedName name="_____________ast2" localSheetId="0">#REF!</definedName>
    <definedName name="_____________ast2">#REF!</definedName>
    <definedName name="_____________bbb1" localSheetId="0">#REF!</definedName>
    <definedName name="_____________bbb1">#REF!</definedName>
    <definedName name="_____________bol1" localSheetId="0">#REF!</definedName>
    <definedName name="_____________bol1">#REF!</definedName>
    <definedName name="_____________ccc1" localSheetId="0">#REF!</definedName>
    <definedName name="_____________ccc1">#REF!</definedName>
    <definedName name="_____________COL14" localSheetId="0">#REF!</definedName>
    <definedName name="_____________COL14">#REF!</definedName>
    <definedName name="_____________COL15" localSheetId="0">#REF!</definedName>
    <definedName name="_____________COL15">#REF!</definedName>
    <definedName name="_____________COL16" localSheetId="0">#REF!</definedName>
    <definedName name="_____________COL16">#REF!</definedName>
    <definedName name="_____________D199617" localSheetId="0">#REF!</definedName>
    <definedName name="_____________D199617">#REF!</definedName>
    <definedName name="_____________ddd1" localSheetId="0">#REF!</definedName>
    <definedName name="_____________ddd1">#REF!</definedName>
    <definedName name="_____________eee1" localSheetId="0">#REF!</definedName>
    <definedName name="_____________eee1">#REF!</definedName>
    <definedName name="_____________exc1" localSheetId="0">#REF!</definedName>
    <definedName name="_____________exc1">#REF!</definedName>
    <definedName name="_____________exc11" localSheetId="0">#REF!</definedName>
    <definedName name="_____________exc11">#REF!</definedName>
    <definedName name="_____________exc2" localSheetId="0">#REF!</definedName>
    <definedName name="_____________exc2">#REF!</definedName>
    <definedName name="_____________EXC3" localSheetId="0">#REF!</definedName>
    <definedName name="_____________EXC3">#REF!</definedName>
    <definedName name="_____________EXC4" localSheetId="0">#REF!</definedName>
    <definedName name="_____________EXC4">#REF!</definedName>
    <definedName name="_____________fff1" localSheetId="0">#REF!</definedName>
    <definedName name="_____________fff1">#REF!</definedName>
    <definedName name="_____________foo1" localSheetId="0">#REF!</definedName>
    <definedName name="_____________foo1">#REF!</definedName>
    <definedName name="_____________foo2" localSheetId="0">#REF!</definedName>
    <definedName name="_____________foo2">#REF!</definedName>
    <definedName name="_____________foo3" localSheetId="0">#REF!</definedName>
    <definedName name="_____________foo3">#REF!</definedName>
    <definedName name="_____________FOO4" localSheetId="0">#REF!</definedName>
    <definedName name="_____________FOO4">#REF!</definedName>
    <definedName name="_____________ief1" localSheetId="0">#REF!</definedName>
    <definedName name="_____________ief1">#REF!</definedName>
    <definedName name="_____________ind1" localSheetId="0">#REF!</definedName>
    <definedName name="_____________ind1">#REF!</definedName>
    <definedName name="_____________IND11" localSheetId="0">#REF!</definedName>
    <definedName name="_____________IND11">#REF!</definedName>
    <definedName name="_____________IND31" localSheetId="0">#REF!</definedName>
    <definedName name="_____________IND31">#REF!</definedName>
    <definedName name="_____________IRS1" localSheetId="0">#REF!</definedName>
    <definedName name="_____________IRS1">#REF!</definedName>
    <definedName name="_____________jh78">#REF!</definedName>
    <definedName name="_____________KK1" localSheetId="0">#REF!</definedName>
    <definedName name="_____________KK1">#REF!</definedName>
    <definedName name="_____________KK2" localSheetId="0">#REF!</definedName>
    <definedName name="_____________KK2">#REF!</definedName>
    <definedName name="_____________kk3" localSheetId="0">#REF!</definedName>
    <definedName name="_____________kk3">#REF!</definedName>
    <definedName name="_____________kk4" localSheetId="0">#REF!</definedName>
    <definedName name="_____________kk4">#REF!</definedName>
    <definedName name="_____________lsc44" localSheetId="0">#REF!</definedName>
    <definedName name="_____________lsc44">#REF!</definedName>
    <definedName name="_____________MF1" localSheetId="0">#REF!</definedName>
    <definedName name="_____________MF1">#REF!</definedName>
    <definedName name="_____________MM1" localSheetId="0">#REF!</definedName>
    <definedName name="_____________MM1">#REF!</definedName>
    <definedName name="_____________MM2" localSheetId="0">#REF!</definedName>
    <definedName name="_____________MM2">#REF!</definedName>
    <definedName name="_____________pcc1" localSheetId="0">#REF!</definedName>
    <definedName name="_____________pcc1">#REF!</definedName>
    <definedName name="_____________pcc2" localSheetId="0">#REF!</definedName>
    <definedName name="_____________pcc2">#REF!</definedName>
    <definedName name="_____________pcc3" localSheetId="0">#REF!</definedName>
    <definedName name="_____________pcc3">#REF!</definedName>
    <definedName name="_____________PCC4" localSheetId="0">#REF!</definedName>
    <definedName name="_____________PCC4">#REF!</definedName>
    <definedName name="_____________plb1" localSheetId="0">#REF!</definedName>
    <definedName name="_____________plb1">#REF!</definedName>
    <definedName name="_____________plb2" localSheetId="0">#REF!</definedName>
    <definedName name="_____________plb2">#REF!</definedName>
    <definedName name="_____________plb3" localSheetId="0">#REF!</definedName>
    <definedName name="_____________plb3">#REF!</definedName>
    <definedName name="_____________plb4" localSheetId="0">#REF!</definedName>
    <definedName name="_____________plb4">#REF!</definedName>
    <definedName name="_____________RCC115">#REF!</definedName>
    <definedName name="_____________RCC12">#REF!</definedName>
    <definedName name="_____________S12" localSheetId="0">#REF!</definedName>
    <definedName name="_____________S12">#REF!</definedName>
    <definedName name="_____________sec1" localSheetId="0">#REF!</definedName>
    <definedName name="_____________sec1">#REF!</definedName>
    <definedName name="_____________sec111" localSheetId="0">#REF!</definedName>
    <definedName name="_____________sec111">#REF!</definedName>
    <definedName name="_____________SEC15" localSheetId="0">#REF!</definedName>
    <definedName name="_____________SEC15">#REF!</definedName>
    <definedName name="_____________Sec2" localSheetId="0">#REF!</definedName>
    <definedName name="_____________Sec2">#REF!</definedName>
    <definedName name="_____________sec22" localSheetId="0">#REF!</definedName>
    <definedName name="_____________sec22">#REF!</definedName>
    <definedName name="_____________SEC23" localSheetId="0">#REF!</definedName>
    <definedName name="_____________SEC23">#REF!</definedName>
    <definedName name="_____________sec3" localSheetId="0">#REF!</definedName>
    <definedName name="_____________sec3">#REF!</definedName>
    <definedName name="_____________SEC32" localSheetId="0">#REF!</definedName>
    <definedName name="_____________SEC32">#REF!</definedName>
    <definedName name="_____________sec33" localSheetId="0">#REF!</definedName>
    <definedName name="_____________sec33">#REF!</definedName>
    <definedName name="_____________Sec4" localSheetId="0">#REF!</definedName>
    <definedName name="_____________Sec4">#REF!</definedName>
    <definedName name="_____________sec45" localSheetId="0">#REF!</definedName>
    <definedName name="_____________sec45">#REF!</definedName>
    <definedName name="_____________SEC46" localSheetId="0">#REF!</definedName>
    <definedName name="_____________SEC46">#REF!</definedName>
    <definedName name="_____________sec5" localSheetId="0">#REF!</definedName>
    <definedName name="_____________sec5">#REF!</definedName>
    <definedName name="_____________sec55" localSheetId="0">#REF!</definedName>
    <definedName name="_____________sec55">#REF!</definedName>
    <definedName name="_____________SEC56" localSheetId="0">#REF!</definedName>
    <definedName name="_____________SEC56">#REF!</definedName>
    <definedName name="_____________sec6" localSheetId="0">#REF!</definedName>
    <definedName name="_____________sec6">#REF!</definedName>
    <definedName name="_____________sec66" localSheetId="0">#REF!</definedName>
    <definedName name="_____________sec66">#REF!</definedName>
    <definedName name="_____________SEC67" localSheetId="0">#REF!</definedName>
    <definedName name="_____________SEC67">#REF!</definedName>
    <definedName name="_____________sec7" localSheetId="0">#REF!</definedName>
    <definedName name="_____________sec7">#REF!</definedName>
    <definedName name="_____________sec71" localSheetId="0">#REF!</definedName>
    <definedName name="_____________sec71">#REF!</definedName>
    <definedName name="_____________SEC72" localSheetId="0">#REF!</definedName>
    <definedName name="_____________SEC72">#REF!</definedName>
    <definedName name="_____________SEC74" localSheetId="0">#REF!</definedName>
    <definedName name="_____________SEC74">#REF!</definedName>
    <definedName name="_____________SEC75" localSheetId="0">#REF!</definedName>
    <definedName name="_____________SEC75">#REF!</definedName>
    <definedName name="_____________SEC77" localSheetId="0">#REF!</definedName>
    <definedName name="_____________SEC77">#REF!</definedName>
    <definedName name="_____________sec777" localSheetId="0">#REF!</definedName>
    <definedName name="_____________sec777">#REF!</definedName>
    <definedName name="_____________sec78" localSheetId="0">#REF!</definedName>
    <definedName name="_____________sec78">#REF!</definedName>
    <definedName name="_____________sec79" localSheetId="0">#REF!</definedName>
    <definedName name="_____________sec79">#REF!</definedName>
    <definedName name="_____________sec8" localSheetId="0">#REF!</definedName>
    <definedName name="_____________sec8">#REF!</definedName>
    <definedName name="_____________sec81" localSheetId="0">#REF!</definedName>
    <definedName name="_____________sec81">#REF!</definedName>
    <definedName name="_____________SEC82" localSheetId="0">#REF!</definedName>
    <definedName name="_____________SEC82">#REF!</definedName>
    <definedName name="_____________SEC83" localSheetId="0">#REF!</definedName>
    <definedName name="_____________SEC83">#REF!</definedName>
    <definedName name="_____________SEC87" localSheetId="0">#REF!</definedName>
    <definedName name="_____________SEC87">#REF!</definedName>
    <definedName name="_____________SEC88" localSheetId="0">#REF!</definedName>
    <definedName name="_____________SEC88">#REF!</definedName>
    <definedName name="_____________sec888" localSheetId="0">#REF!</definedName>
    <definedName name="_____________sec888">#REF!</definedName>
    <definedName name="_____________sec89" localSheetId="0">#REF!</definedName>
    <definedName name="_____________sec89">#REF!</definedName>
    <definedName name="_____________sec899" localSheetId="0">#REF!</definedName>
    <definedName name="_____________sec899">#REF!</definedName>
    <definedName name="_____________SEC9" localSheetId="0">#REF!</definedName>
    <definedName name="_____________SEC9">#REF!</definedName>
    <definedName name="_____________SEC91" localSheetId="0">#REF!</definedName>
    <definedName name="_____________SEC91">#REF!</definedName>
    <definedName name="_____________ss2" localSheetId="0">#REF!</definedName>
    <definedName name="_____________ss2">#REF!</definedName>
    <definedName name="_____________tk1" localSheetId="0">#REF!</definedName>
    <definedName name="_____________tk1">#REF!</definedName>
    <definedName name="_____________xd1" localSheetId="0">#REF!</definedName>
    <definedName name="_____________xd1">#REF!</definedName>
    <definedName name="_____________XD2" localSheetId="0">#REF!</definedName>
    <definedName name="_____________XD2">#REF!</definedName>
    <definedName name="_____________xd3" localSheetId="0">#REF!</definedName>
    <definedName name="_____________xd3">#REF!</definedName>
    <definedName name="_____________zz1" localSheetId="0">#REF!</definedName>
    <definedName name="_____________zz1">#REF!</definedName>
    <definedName name="____________aaa1" localSheetId="0">#REF!</definedName>
    <definedName name="____________aaa1">#REF!</definedName>
    <definedName name="____________aaa10" localSheetId="0">#REF!</definedName>
    <definedName name="____________aaa10">#REF!</definedName>
    <definedName name="____________aaa11" localSheetId="0">#REF!</definedName>
    <definedName name="____________aaa11">#REF!</definedName>
    <definedName name="____________AAA12" localSheetId="0">#REF!</definedName>
    <definedName name="____________AAA12">#REF!</definedName>
    <definedName name="____________AAA21" localSheetId="0">#REF!</definedName>
    <definedName name="____________AAA21">#REF!</definedName>
    <definedName name="____________aaa5" localSheetId="0">#REF!</definedName>
    <definedName name="____________aaa5">#REF!</definedName>
    <definedName name="____________AAA53" localSheetId="0">#REF!</definedName>
    <definedName name="____________AAA53">#REF!</definedName>
    <definedName name="____________aaa54" localSheetId="0">#REF!</definedName>
    <definedName name="____________aaa54">#REF!</definedName>
    <definedName name="____________aaa545" localSheetId="0">#REF!</definedName>
    <definedName name="____________aaa545">#REF!</definedName>
    <definedName name="____________aaa55" localSheetId="0">#REF!</definedName>
    <definedName name="____________aaa55">#REF!</definedName>
    <definedName name="____________aaa56" localSheetId="0">#REF!</definedName>
    <definedName name="____________aaa56">#REF!</definedName>
    <definedName name="____________AAA57" localSheetId="0">#REF!</definedName>
    <definedName name="____________AAA57">#REF!</definedName>
    <definedName name="____________aaa59" localSheetId="0">#REF!</definedName>
    <definedName name="____________aaa59">#REF!</definedName>
    <definedName name="____________aad55" localSheetId="0">#REF!</definedName>
    <definedName name="____________aad55">#REF!</definedName>
    <definedName name="____________AAD56" localSheetId="0">#REF!</definedName>
    <definedName name="____________AAD56">#REF!</definedName>
    <definedName name="____________AAD57" localSheetId="0">#REF!</definedName>
    <definedName name="____________AAD57">#REF!</definedName>
    <definedName name="____________ast1" localSheetId="0">#REF!</definedName>
    <definedName name="____________ast1">#REF!</definedName>
    <definedName name="____________ast2" localSheetId="0">#REF!</definedName>
    <definedName name="____________ast2">#REF!</definedName>
    <definedName name="____________bbb1" localSheetId="0">#REF!</definedName>
    <definedName name="____________bbb1">#REF!</definedName>
    <definedName name="____________bol1" localSheetId="0">#REF!</definedName>
    <definedName name="____________bol1">#REF!</definedName>
    <definedName name="____________ccc1" localSheetId="0">#REF!</definedName>
    <definedName name="____________ccc1">#REF!</definedName>
    <definedName name="____________COL14" localSheetId="0">#REF!</definedName>
    <definedName name="____________COL14">#REF!</definedName>
    <definedName name="____________COL15" localSheetId="0">#REF!</definedName>
    <definedName name="____________COL15">#REF!</definedName>
    <definedName name="____________COL16" localSheetId="0">#REF!</definedName>
    <definedName name="____________COL16">#REF!</definedName>
    <definedName name="____________D199617" localSheetId="0">[1]DATA!$D$217</definedName>
    <definedName name="____________D199617">#REF!</definedName>
    <definedName name="____________ddd1" localSheetId="0">#REF!</definedName>
    <definedName name="____________ddd1">#REF!</definedName>
    <definedName name="____________eee1" localSheetId="0">#REF!</definedName>
    <definedName name="____________eee1">#REF!</definedName>
    <definedName name="____________exc1" localSheetId="0">#REF!</definedName>
    <definedName name="____________exc1">#REF!</definedName>
    <definedName name="____________exc11" localSheetId="0">#REF!</definedName>
    <definedName name="____________exc11">#REF!</definedName>
    <definedName name="____________exc2" localSheetId="0">#REF!</definedName>
    <definedName name="____________exc2">#REF!</definedName>
    <definedName name="____________EXC3" localSheetId="0">#REF!</definedName>
    <definedName name="____________EXC3">#REF!</definedName>
    <definedName name="____________EXC4" localSheetId="0">#REF!</definedName>
    <definedName name="____________EXC4">#REF!</definedName>
    <definedName name="____________fff1" localSheetId="0">#REF!</definedName>
    <definedName name="____________fff1">#REF!</definedName>
    <definedName name="____________foo1" localSheetId="0">#REF!</definedName>
    <definedName name="____________foo1">#REF!</definedName>
    <definedName name="____________foo2" localSheetId="0">#REF!</definedName>
    <definedName name="____________foo2">#REF!</definedName>
    <definedName name="____________foo3" localSheetId="0">#REF!</definedName>
    <definedName name="____________foo3">#REF!</definedName>
    <definedName name="____________FOO4" localSheetId="0">#REF!</definedName>
    <definedName name="____________FOO4">#REF!</definedName>
    <definedName name="____________ief1" localSheetId="0">#REF!</definedName>
    <definedName name="____________ief1">#REF!</definedName>
    <definedName name="____________ind1" localSheetId="0">#REF!</definedName>
    <definedName name="____________ind1">#REF!</definedName>
    <definedName name="____________IND11" localSheetId="0">#REF!</definedName>
    <definedName name="____________IND11">#REF!</definedName>
    <definedName name="____________IND31" localSheetId="0">#REF!</definedName>
    <definedName name="____________IND31">#REF!</definedName>
    <definedName name="____________IRS1" localSheetId="0">#REF!</definedName>
    <definedName name="____________IRS1">#REF!</definedName>
    <definedName name="____________jh78" localSheetId="0">#REF!</definedName>
    <definedName name="____________jh78">#REF!</definedName>
    <definedName name="____________KK1" localSheetId="0">#REF!</definedName>
    <definedName name="____________KK1">#REF!</definedName>
    <definedName name="____________KK2" localSheetId="0">#REF!</definedName>
    <definedName name="____________KK2">#REF!</definedName>
    <definedName name="____________kk3" localSheetId="0">#REF!</definedName>
    <definedName name="____________kk3">#REF!</definedName>
    <definedName name="____________kk4" localSheetId="0">#REF!</definedName>
    <definedName name="____________kk4">#REF!</definedName>
    <definedName name="____________lsc44" localSheetId="0">#REF!</definedName>
    <definedName name="____________lsc44">#REF!</definedName>
    <definedName name="____________MF1" localSheetId="0">#REF!</definedName>
    <definedName name="____________MF1">#REF!</definedName>
    <definedName name="____________MM1" localSheetId="0">#REF!</definedName>
    <definedName name="____________MM1">#REF!</definedName>
    <definedName name="____________MM2" localSheetId="0">#REF!</definedName>
    <definedName name="____________MM2">#REF!</definedName>
    <definedName name="____________pcc1" localSheetId="0">#REF!</definedName>
    <definedName name="____________pcc1">#REF!</definedName>
    <definedName name="____________pcc2" localSheetId="0">#REF!</definedName>
    <definedName name="____________pcc2">#REF!</definedName>
    <definedName name="____________pcc3" localSheetId="0">#REF!</definedName>
    <definedName name="____________pcc3">#REF!</definedName>
    <definedName name="____________PCC4" localSheetId="0">#REF!</definedName>
    <definedName name="____________PCC4">#REF!</definedName>
    <definedName name="____________plb1" localSheetId="0">#REF!</definedName>
    <definedName name="____________plb1">#REF!</definedName>
    <definedName name="____________plb2" localSheetId="0">#REF!</definedName>
    <definedName name="____________plb2">#REF!</definedName>
    <definedName name="____________plb3" localSheetId="0">#REF!</definedName>
    <definedName name="____________plb3">#REF!</definedName>
    <definedName name="____________plb4" localSheetId="0">#REF!</definedName>
    <definedName name="____________plb4">#REF!</definedName>
    <definedName name="____________RCC115" localSheetId="0">#REF!</definedName>
    <definedName name="____________RCC115">#REF!</definedName>
    <definedName name="____________RCC12">#REF!</definedName>
    <definedName name="____________S12" localSheetId="0">#REF!</definedName>
    <definedName name="____________S12">#REF!</definedName>
    <definedName name="____________sec1" localSheetId="0">#REF!</definedName>
    <definedName name="____________sec1">#REF!</definedName>
    <definedName name="____________sec111" localSheetId="0">#REF!</definedName>
    <definedName name="____________sec111">#REF!</definedName>
    <definedName name="____________SEC15" localSheetId="0">#REF!</definedName>
    <definedName name="____________SEC15">#REF!</definedName>
    <definedName name="____________Sec2" localSheetId="0">#REF!</definedName>
    <definedName name="____________Sec2">#REF!</definedName>
    <definedName name="____________sec22" localSheetId="0">#REF!</definedName>
    <definedName name="____________sec22">#REF!</definedName>
    <definedName name="____________SEC23" localSheetId="0">#REF!</definedName>
    <definedName name="____________SEC23">#REF!</definedName>
    <definedName name="____________sec3" localSheetId="0">#REF!</definedName>
    <definedName name="____________sec3">#REF!</definedName>
    <definedName name="____________SEC32" localSheetId="0">#REF!</definedName>
    <definedName name="____________SEC32">#REF!</definedName>
    <definedName name="____________sec33" localSheetId="0">#REF!</definedName>
    <definedName name="____________sec33">#REF!</definedName>
    <definedName name="____________Sec4" localSheetId="0">#REF!</definedName>
    <definedName name="____________Sec4">#REF!</definedName>
    <definedName name="____________sec45" localSheetId="0">#REF!</definedName>
    <definedName name="____________sec45">#REF!</definedName>
    <definedName name="____________SEC46" localSheetId="0">#REF!</definedName>
    <definedName name="____________SEC46">#REF!</definedName>
    <definedName name="____________sec5" localSheetId="0">#REF!</definedName>
    <definedName name="____________sec5">#REF!</definedName>
    <definedName name="____________sec55" localSheetId="0">#REF!</definedName>
    <definedName name="____________sec55">#REF!</definedName>
    <definedName name="____________SEC56" localSheetId="0">#REF!</definedName>
    <definedName name="____________SEC56">#REF!</definedName>
    <definedName name="____________sec6" localSheetId="0">#REF!</definedName>
    <definedName name="____________sec6">#REF!</definedName>
    <definedName name="____________sec66" localSheetId="0">#REF!</definedName>
    <definedName name="____________sec66">#REF!</definedName>
    <definedName name="____________SEC67" localSheetId="0">#REF!</definedName>
    <definedName name="____________SEC67">#REF!</definedName>
    <definedName name="____________sec7" localSheetId="0">#REF!</definedName>
    <definedName name="____________sec7">#REF!</definedName>
    <definedName name="____________sec71" localSheetId="0">#REF!</definedName>
    <definedName name="____________sec71">#REF!</definedName>
    <definedName name="____________SEC72" localSheetId="0">#REF!</definedName>
    <definedName name="____________SEC72">#REF!</definedName>
    <definedName name="____________SEC74" localSheetId="0">#REF!</definedName>
    <definedName name="____________SEC74">#REF!</definedName>
    <definedName name="____________SEC75" localSheetId="0">#REF!</definedName>
    <definedName name="____________SEC75">#REF!</definedName>
    <definedName name="____________SEC77" localSheetId="0">#REF!</definedName>
    <definedName name="____________SEC77">#REF!</definedName>
    <definedName name="____________sec777" localSheetId="0">#REF!</definedName>
    <definedName name="____________sec777">#REF!</definedName>
    <definedName name="____________sec78" localSheetId="0">#REF!</definedName>
    <definedName name="____________sec78">#REF!</definedName>
    <definedName name="____________sec79" localSheetId="0">#REF!</definedName>
    <definedName name="____________sec79">#REF!</definedName>
    <definedName name="____________sec8" localSheetId="0">#REF!</definedName>
    <definedName name="____________sec8">#REF!</definedName>
    <definedName name="____________sec81" localSheetId="0">#REF!</definedName>
    <definedName name="____________sec81">#REF!</definedName>
    <definedName name="____________SEC82" localSheetId="0">#REF!</definedName>
    <definedName name="____________SEC82">#REF!</definedName>
    <definedName name="____________SEC83" localSheetId="0">#REF!</definedName>
    <definedName name="____________SEC83">#REF!</definedName>
    <definedName name="____________SEC87" localSheetId="0">#REF!</definedName>
    <definedName name="____________SEC87">#REF!</definedName>
    <definedName name="____________SEC88" localSheetId="0">#REF!</definedName>
    <definedName name="____________SEC88">#REF!</definedName>
    <definedName name="____________sec888" localSheetId="0">#REF!</definedName>
    <definedName name="____________sec888">#REF!</definedName>
    <definedName name="____________sec89" localSheetId="0">#REF!</definedName>
    <definedName name="____________sec89">#REF!</definedName>
    <definedName name="____________sec899" localSheetId="0">#REF!</definedName>
    <definedName name="____________sec899">#REF!</definedName>
    <definedName name="____________SEC9" localSheetId="0">#REF!</definedName>
    <definedName name="____________SEC9">#REF!</definedName>
    <definedName name="____________SEC91" localSheetId="0">#REF!</definedName>
    <definedName name="____________SEC91">#REF!</definedName>
    <definedName name="____________ss2" localSheetId="0">#REF!</definedName>
    <definedName name="____________ss2">#REF!</definedName>
    <definedName name="____________tk1" localSheetId="0">#REF!</definedName>
    <definedName name="____________tk1">#REF!</definedName>
    <definedName name="____________xd1" localSheetId="0">#REF!</definedName>
    <definedName name="____________xd1">#REF!</definedName>
    <definedName name="____________XD2" localSheetId="0">#REF!</definedName>
    <definedName name="____________XD2">#REF!</definedName>
    <definedName name="____________xd3" localSheetId="0">#REF!</definedName>
    <definedName name="____________xd3">#REF!</definedName>
    <definedName name="____________xlnm.Print_Area_0_1">#REF!</definedName>
    <definedName name="____________xlnm.Print_Area_0_2">#REF!</definedName>
    <definedName name="____________xlnm.Print_Area_0_3">#REF!</definedName>
    <definedName name="____________xlnm.Print_Area_0_5">#REF!</definedName>
    <definedName name="____________xlnm.Print_Area_0_6">#REF!</definedName>
    <definedName name="____________xlnm.Print_Area_1">#REF!</definedName>
    <definedName name="____________xlnm.Print_Area_1_1">#REF!</definedName>
    <definedName name="____________xlnm.Print_Area_2">#REF!</definedName>
    <definedName name="____________xlnm.Print_Area_2_1">#REF!</definedName>
    <definedName name="____________xlnm.Print_Area_3">#REF!</definedName>
    <definedName name="____________xlnm.Print_Area_3_1">#REF!</definedName>
    <definedName name="____________xlnm.Print_Area_5">#REF!</definedName>
    <definedName name="____________xlnm.Print_Area_5_1">#REF!</definedName>
    <definedName name="____________xlnm.Print_Area_6">#REF!</definedName>
    <definedName name="____________xlnm.Print_Area_6_1">#REF!</definedName>
    <definedName name="____________zz1" localSheetId="0">#REF!</definedName>
    <definedName name="____________zz1">#REF!</definedName>
    <definedName name="___________A655600" localSheetId="0">#REF!</definedName>
    <definedName name="___________A655600">#REF!</definedName>
    <definedName name="___________aaa1" localSheetId="0">#REF!</definedName>
    <definedName name="___________aaa1">#REF!</definedName>
    <definedName name="___________aaa10" localSheetId="0">#REF!</definedName>
    <definedName name="___________aaa10">#REF!</definedName>
    <definedName name="___________aaa11" localSheetId="0">#REF!</definedName>
    <definedName name="___________aaa11">#REF!</definedName>
    <definedName name="___________AAA12" localSheetId="0">#REF!</definedName>
    <definedName name="___________AAA12">#REF!</definedName>
    <definedName name="___________AAA21" localSheetId="0">#REF!</definedName>
    <definedName name="___________AAA21">#REF!</definedName>
    <definedName name="___________aaa5" localSheetId="0">#REF!</definedName>
    <definedName name="___________aaa5">#REF!</definedName>
    <definedName name="___________AAA53" localSheetId="0">#REF!</definedName>
    <definedName name="___________AAA53">#REF!</definedName>
    <definedName name="___________aaa54" localSheetId="0">#REF!</definedName>
    <definedName name="___________aaa54">#REF!</definedName>
    <definedName name="___________aaa545" localSheetId="0">#REF!</definedName>
    <definedName name="___________aaa545">#REF!</definedName>
    <definedName name="___________aaa55" localSheetId="0">#REF!</definedName>
    <definedName name="___________aaa55">#REF!</definedName>
    <definedName name="___________aaa56" localSheetId="0">#REF!</definedName>
    <definedName name="___________aaa56">#REF!</definedName>
    <definedName name="___________AAA57" localSheetId="0">#REF!</definedName>
    <definedName name="___________AAA57">#REF!</definedName>
    <definedName name="___________aaa59" localSheetId="0">#REF!</definedName>
    <definedName name="___________aaa59">#REF!</definedName>
    <definedName name="___________aad55" localSheetId="0">#REF!</definedName>
    <definedName name="___________aad55">#REF!</definedName>
    <definedName name="___________AAD56" localSheetId="0">#REF!</definedName>
    <definedName name="___________AAD56">#REF!</definedName>
    <definedName name="___________AAD57" localSheetId="0">#REF!</definedName>
    <definedName name="___________AAD57">#REF!</definedName>
    <definedName name="___________ast1" localSheetId="0">#REF!</definedName>
    <definedName name="___________ast1">#REF!</definedName>
    <definedName name="___________ast2" localSheetId="0">#REF!</definedName>
    <definedName name="___________ast2">#REF!</definedName>
    <definedName name="___________bbb1" localSheetId="0">#REF!</definedName>
    <definedName name="___________bbb1">#REF!</definedName>
    <definedName name="___________bol1" localSheetId="0">#REF!</definedName>
    <definedName name="___________bol1">#REF!</definedName>
    <definedName name="___________ccc1" localSheetId="0">#REF!</definedName>
    <definedName name="___________ccc1">#REF!</definedName>
    <definedName name="___________COL14" localSheetId="0">#REF!</definedName>
    <definedName name="___________COL14">#REF!</definedName>
    <definedName name="___________COL15" localSheetId="0">#REF!</definedName>
    <definedName name="___________COL15">#REF!</definedName>
    <definedName name="___________COL16" localSheetId="0">#REF!</definedName>
    <definedName name="___________COL16">#REF!</definedName>
    <definedName name="___________D199617" localSheetId="0">#REF!</definedName>
    <definedName name="___________D199617">#REF!</definedName>
    <definedName name="___________ddd1" localSheetId="0">#REF!</definedName>
    <definedName name="___________ddd1">#REF!</definedName>
    <definedName name="___________eee1" localSheetId="0">#REF!</definedName>
    <definedName name="___________eee1">#REF!</definedName>
    <definedName name="___________exc1" localSheetId="0">#REF!</definedName>
    <definedName name="___________exc1">#REF!</definedName>
    <definedName name="___________exc11" localSheetId="0">#REF!</definedName>
    <definedName name="___________exc11">#REF!</definedName>
    <definedName name="___________exc2" localSheetId="0">#REF!</definedName>
    <definedName name="___________exc2">#REF!</definedName>
    <definedName name="___________EXC3" localSheetId="0">#REF!</definedName>
    <definedName name="___________EXC3">#REF!</definedName>
    <definedName name="___________EXC4" localSheetId="0">#REF!</definedName>
    <definedName name="___________EXC4">#REF!</definedName>
    <definedName name="___________fff1" localSheetId="0">#REF!</definedName>
    <definedName name="___________fff1">#REF!</definedName>
    <definedName name="___________foo1" localSheetId="0">#REF!</definedName>
    <definedName name="___________foo1">#REF!</definedName>
    <definedName name="___________foo2" localSheetId="0">#REF!</definedName>
    <definedName name="___________foo2">#REF!</definedName>
    <definedName name="___________foo3" localSheetId="0">#REF!</definedName>
    <definedName name="___________foo3">#REF!</definedName>
    <definedName name="___________FOO4" localSheetId="0">#REF!</definedName>
    <definedName name="___________FOO4">#REF!</definedName>
    <definedName name="___________ief1" localSheetId="0">#REF!</definedName>
    <definedName name="___________ief1">#REF!</definedName>
    <definedName name="___________ind1" localSheetId="0">#REF!</definedName>
    <definedName name="___________ind1">#REF!</definedName>
    <definedName name="___________IND11" localSheetId="0">#REF!</definedName>
    <definedName name="___________IND11">#REF!</definedName>
    <definedName name="___________IND31" localSheetId="0">#REF!</definedName>
    <definedName name="___________IND31">#REF!</definedName>
    <definedName name="___________IRS1" localSheetId="0">#REF!</definedName>
    <definedName name="___________IRS1">#REF!</definedName>
    <definedName name="___________jh78">#REF!</definedName>
    <definedName name="___________KK1" localSheetId="0">#REF!</definedName>
    <definedName name="___________KK1">#REF!</definedName>
    <definedName name="___________KK2" localSheetId="0">#REF!</definedName>
    <definedName name="___________KK2">#REF!</definedName>
    <definedName name="___________kk3" localSheetId="0">#REF!</definedName>
    <definedName name="___________kk3">#REF!</definedName>
    <definedName name="___________kk4" localSheetId="0">#REF!</definedName>
    <definedName name="___________kk4">#REF!</definedName>
    <definedName name="___________lsc44" localSheetId="0">#REF!</definedName>
    <definedName name="___________lsc44">#REF!</definedName>
    <definedName name="___________MF1" localSheetId="0">#REF!</definedName>
    <definedName name="___________MF1">#REF!</definedName>
    <definedName name="___________MM1" localSheetId="0">#REF!</definedName>
    <definedName name="___________MM1">#REF!</definedName>
    <definedName name="___________MM2" localSheetId="0">#REF!</definedName>
    <definedName name="___________MM2">#REF!</definedName>
    <definedName name="___________pcc1" localSheetId="0">#REF!</definedName>
    <definedName name="___________pcc1">#REF!</definedName>
    <definedName name="___________pcc2" localSheetId="0">#REF!</definedName>
    <definedName name="___________pcc2">#REF!</definedName>
    <definedName name="___________pcc3" localSheetId="0">#REF!</definedName>
    <definedName name="___________pcc3">#REF!</definedName>
    <definedName name="___________PCC4" localSheetId="0">#REF!</definedName>
    <definedName name="___________PCC4">#REF!</definedName>
    <definedName name="___________plb1" localSheetId="0">#REF!</definedName>
    <definedName name="___________plb1">#REF!</definedName>
    <definedName name="___________plb2" localSheetId="0">#REF!</definedName>
    <definedName name="___________plb2">#REF!</definedName>
    <definedName name="___________plb3" localSheetId="0">#REF!</definedName>
    <definedName name="___________plb3">#REF!</definedName>
    <definedName name="___________plb4" localSheetId="0">#REF!</definedName>
    <definedName name="___________plb4">#REF!</definedName>
    <definedName name="___________RCC115">#REF!</definedName>
    <definedName name="___________RCC12">#REF!</definedName>
    <definedName name="___________rr87" localSheetId="0">#REF!</definedName>
    <definedName name="___________rr87">#REF!</definedName>
    <definedName name="___________S12" localSheetId="0">#REF!</definedName>
    <definedName name="___________S12">#REF!</definedName>
    <definedName name="___________sec1" localSheetId="0">#REF!</definedName>
    <definedName name="___________sec1">#REF!</definedName>
    <definedName name="___________sec111" localSheetId="0">#REF!</definedName>
    <definedName name="___________sec111">#REF!</definedName>
    <definedName name="___________SEC15" localSheetId="0">#REF!</definedName>
    <definedName name="___________SEC15">#REF!</definedName>
    <definedName name="___________Sec2" localSheetId="0">#REF!</definedName>
    <definedName name="___________Sec2">#REF!</definedName>
    <definedName name="___________sec22" localSheetId="0">#REF!</definedName>
    <definedName name="___________sec22">#REF!</definedName>
    <definedName name="___________SEC23" localSheetId="0">#REF!</definedName>
    <definedName name="___________SEC23">#REF!</definedName>
    <definedName name="___________sec3" localSheetId="0">#REF!</definedName>
    <definedName name="___________sec3">#REF!</definedName>
    <definedName name="___________SEC32" localSheetId="0">#REF!</definedName>
    <definedName name="___________SEC32">#REF!</definedName>
    <definedName name="___________sec33" localSheetId="0">#REF!</definedName>
    <definedName name="___________sec33">#REF!</definedName>
    <definedName name="___________Sec4" localSheetId="0">#REF!</definedName>
    <definedName name="___________Sec4">#REF!</definedName>
    <definedName name="___________sec45" localSheetId="0">#REF!</definedName>
    <definedName name="___________sec45">#REF!</definedName>
    <definedName name="___________SEC46" localSheetId="0">#REF!</definedName>
    <definedName name="___________SEC46">#REF!</definedName>
    <definedName name="___________sec5" localSheetId="0">#REF!</definedName>
    <definedName name="___________sec5">#REF!</definedName>
    <definedName name="___________sec55" localSheetId="0">#REF!</definedName>
    <definedName name="___________sec55">#REF!</definedName>
    <definedName name="___________SEC56" localSheetId="0">#REF!</definedName>
    <definedName name="___________SEC56">#REF!</definedName>
    <definedName name="___________sec6" localSheetId="0">#REF!</definedName>
    <definedName name="___________sec6">#REF!</definedName>
    <definedName name="___________sec66" localSheetId="0">#REF!</definedName>
    <definedName name="___________sec66">#REF!</definedName>
    <definedName name="___________SEC67" localSheetId="0">#REF!</definedName>
    <definedName name="___________SEC67">#REF!</definedName>
    <definedName name="___________sec7" localSheetId="0">#REF!</definedName>
    <definedName name="___________sec7">#REF!</definedName>
    <definedName name="___________sec71" localSheetId="0">#REF!</definedName>
    <definedName name="___________sec71">#REF!</definedName>
    <definedName name="___________SEC72" localSheetId="0">#REF!</definedName>
    <definedName name="___________SEC72">#REF!</definedName>
    <definedName name="___________SEC74" localSheetId="0">#REF!</definedName>
    <definedName name="___________SEC74">#REF!</definedName>
    <definedName name="___________SEC75" localSheetId="0">#REF!</definedName>
    <definedName name="___________SEC75">#REF!</definedName>
    <definedName name="___________SEC77" localSheetId="0">#REF!</definedName>
    <definedName name="___________SEC77">#REF!</definedName>
    <definedName name="___________sec777" localSheetId="0">#REF!</definedName>
    <definedName name="___________sec777">#REF!</definedName>
    <definedName name="___________sec78" localSheetId="0">#REF!</definedName>
    <definedName name="___________sec78">#REF!</definedName>
    <definedName name="___________sec79" localSheetId="0">#REF!</definedName>
    <definedName name="___________sec79">#REF!</definedName>
    <definedName name="___________sec8" localSheetId="0">#REF!</definedName>
    <definedName name="___________sec8">#REF!</definedName>
    <definedName name="___________sec81" localSheetId="0">#REF!</definedName>
    <definedName name="___________sec81">#REF!</definedName>
    <definedName name="___________SEC82" localSheetId="0">#REF!</definedName>
    <definedName name="___________SEC82">#REF!</definedName>
    <definedName name="___________SEC83" localSheetId="0">#REF!</definedName>
    <definedName name="___________SEC83">#REF!</definedName>
    <definedName name="___________SEC87" localSheetId="0">#REF!</definedName>
    <definedName name="___________SEC87">#REF!</definedName>
    <definedName name="___________SEC88" localSheetId="0">#REF!</definedName>
    <definedName name="___________SEC88">#REF!</definedName>
    <definedName name="___________sec888" localSheetId="0">#REF!</definedName>
    <definedName name="___________sec888">#REF!</definedName>
    <definedName name="___________sec89" localSheetId="0">#REF!</definedName>
    <definedName name="___________sec89">#REF!</definedName>
    <definedName name="___________sec899" localSheetId="0">#REF!</definedName>
    <definedName name="___________sec899">#REF!</definedName>
    <definedName name="___________SEC9" localSheetId="0">#REF!</definedName>
    <definedName name="___________SEC9">#REF!</definedName>
    <definedName name="___________SEC91" localSheetId="0">#REF!</definedName>
    <definedName name="___________SEC91">#REF!</definedName>
    <definedName name="___________SH1" localSheetId="0">#REF!</definedName>
    <definedName name="___________SH1">#REF!</definedName>
    <definedName name="___________SH2" localSheetId="0">#REF!</definedName>
    <definedName name="___________SH2">#REF!</definedName>
    <definedName name="___________SH3" localSheetId="0">#REF!</definedName>
    <definedName name="___________SH3">#REF!</definedName>
    <definedName name="___________SH4" localSheetId="0">#REF!</definedName>
    <definedName name="___________SH4">#REF!</definedName>
    <definedName name="___________SH5" localSheetId="0">#REF!</definedName>
    <definedName name="___________SH5">#REF!</definedName>
    <definedName name="___________ss2" localSheetId="0">#REF!</definedName>
    <definedName name="___________ss2">#REF!</definedName>
    <definedName name="___________tk1" localSheetId="0">#REF!</definedName>
    <definedName name="___________tk1">#REF!</definedName>
    <definedName name="___________xd1" localSheetId="0">#REF!</definedName>
    <definedName name="___________xd1">#REF!</definedName>
    <definedName name="___________XD2" localSheetId="0">#REF!</definedName>
    <definedName name="___________XD2">#REF!</definedName>
    <definedName name="___________xd3" localSheetId="0">#REF!</definedName>
    <definedName name="___________xd3">#REF!</definedName>
    <definedName name="___________xlnm.Print_Area_0_1">#REF!</definedName>
    <definedName name="___________xlnm.Print_Area_0_2">#REF!</definedName>
    <definedName name="___________xlnm.Print_Area_0_3">#REF!</definedName>
    <definedName name="___________xlnm.Print_Area_0_5">#REF!</definedName>
    <definedName name="___________xlnm.Print_Area_0_6">#REF!</definedName>
    <definedName name="___________xlnm.Print_Area_1">#REF!</definedName>
    <definedName name="___________xlnm.Print_Area_1_1">#REF!</definedName>
    <definedName name="___________xlnm.Print_Area_2">#REF!</definedName>
    <definedName name="___________xlnm.Print_Area_2_1">#REF!</definedName>
    <definedName name="___________xlnm.Print_Area_3">#REF!</definedName>
    <definedName name="___________xlnm.Print_Area_3_1">#REF!</definedName>
    <definedName name="___________xlnm.Print_Area_5">#REF!</definedName>
    <definedName name="___________xlnm.Print_Area_5_1">#REF!</definedName>
    <definedName name="___________xlnm.Print_Area_6">#REF!</definedName>
    <definedName name="___________xlnm.Print_Area_6_1">#REF!</definedName>
    <definedName name="___________zz1" localSheetId="0">#REF!</definedName>
    <definedName name="___________zz1">#REF!</definedName>
    <definedName name="__________A655600" localSheetId="0">#REF!</definedName>
    <definedName name="__________A655600">#REF!</definedName>
    <definedName name="__________aaa1" localSheetId="0">#REF!</definedName>
    <definedName name="__________aaa1">#REF!</definedName>
    <definedName name="__________aaa10" localSheetId="0">#REF!</definedName>
    <definedName name="__________aaa10">#REF!</definedName>
    <definedName name="__________aaa11" localSheetId="0">#REF!</definedName>
    <definedName name="__________aaa11">#REF!</definedName>
    <definedName name="__________AAA12" localSheetId="0">#REF!</definedName>
    <definedName name="__________AAA12">#REF!</definedName>
    <definedName name="__________AAA21" localSheetId="0">#REF!</definedName>
    <definedName name="__________AAA21">#REF!</definedName>
    <definedName name="__________aaa5" localSheetId="0">#REF!</definedName>
    <definedName name="__________aaa5">#REF!</definedName>
    <definedName name="__________AAA53" localSheetId="0">#REF!</definedName>
    <definedName name="__________AAA53">#REF!</definedName>
    <definedName name="__________aaa54" localSheetId="0">#REF!</definedName>
    <definedName name="__________aaa54">#REF!</definedName>
    <definedName name="__________aaa545" localSheetId="0">#REF!</definedName>
    <definedName name="__________aaa545">#REF!</definedName>
    <definedName name="__________aaa55" localSheetId="0">#REF!</definedName>
    <definedName name="__________aaa55">#REF!</definedName>
    <definedName name="__________aaa56" localSheetId="0">#REF!</definedName>
    <definedName name="__________aaa56">#REF!</definedName>
    <definedName name="__________AAA57" localSheetId="0">#REF!</definedName>
    <definedName name="__________AAA57">#REF!</definedName>
    <definedName name="__________aaa59" localSheetId="0">#REF!</definedName>
    <definedName name="__________aaa59">#REF!</definedName>
    <definedName name="__________aad55" localSheetId="0">#REF!</definedName>
    <definedName name="__________aad55">#REF!</definedName>
    <definedName name="__________AAD56" localSheetId="0">#REF!</definedName>
    <definedName name="__________AAD56">#REF!</definedName>
    <definedName name="__________AAD57" localSheetId="0">#REF!</definedName>
    <definedName name="__________AAD57">#REF!</definedName>
    <definedName name="__________ast1" localSheetId="0">#REF!</definedName>
    <definedName name="__________ast1">#REF!</definedName>
    <definedName name="__________ast2" localSheetId="0">#REF!</definedName>
    <definedName name="__________ast2">#REF!</definedName>
    <definedName name="__________bbb1" localSheetId="0">#REF!</definedName>
    <definedName name="__________bbb1">#REF!</definedName>
    <definedName name="__________bol1" localSheetId="0">#REF!</definedName>
    <definedName name="__________bol1">#REF!</definedName>
    <definedName name="__________ccc1" localSheetId="0">#REF!</definedName>
    <definedName name="__________ccc1">#REF!</definedName>
    <definedName name="__________COL14" localSheetId="0">#REF!</definedName>
    <definedName name="__________COL14">#REF!</definedName>
    <definedName name="__________COL15" localSheetId="0">#REF!</definedName>
    <definedName name="__________COL15">#REF!</definedName>
    <definedName name="__________COL16" localSheetId="0">#REF!</definedName>
    <definedName name="__________COL16">#REF!</definedName>
    <definedName name="__________D199617" localSheetId="0">#REF!</definedName>
    <definedName name="__________D199617">#REF!</definedName>
    <definedName name="__________ddd1" localSheetId="0">#REF!</definedName>
    <definedName name="__________ddd1">#REF!</definedName>
    <definedName name="__________eee1" localSheetId="0">#REF!</definedName>
    <definedName name="__________eee1">#REF!</definedName>
    <definedName name="__________exc1" localSheetId="0">#REF!</definedName>
    <definedName name="__________exc1">#REF!</definedName>
    <definedName name="__________exc11" localSheetId="0">#REF!</definedName>
    <definedName name="__________exc11">#REF!</definedName>
    <definedName name="__________exc2" localSheetId="0">#REF!</definedName>
    <definedName name="__________exc2">#REF!</definedName>
    <definedName name="__________EXC3" localSheetId="0">#REF!</definedName>
    <definedName name="__________EXC3">#REF!</definedName>
    <definedName name="__________EXC4" localSheetId="0">#REF!</definedName>
    <definedName name="__________EXC4">#REF!</definedName>
    <definedName name="__________fff1" localSheetId="0">#REF!</definedName>
    <definedName name="__________fff1">#REF!</definedName>
    <definedName name="__________foo1" localSheetId="0">#REF!</definedName>
    <definedName name="__________foo1">#REF!</definedName>
    <definedName name="__________foo2" localSheetId="0">#REF!</definedName>
    <definedName name="__________foo2">#REF!</definedName>
    <definedName name="__________foo3" localSheetId="0">#REF!</definedName>
    <definedName name="__________foo3">#REF!</definedName>
    <definedName name="__________FOO4" localSheetId="0">#REF!</definedName>
    <definedName name="__________FOO4">#REF!</definedName>
    <definedName name="__________ief1" localSheetId="0">#REF!</definedName>
    <definedName name="__________ief1">#REF!</definedName>
    <definedName name="__________ind1" localSheetId="0">#REF!</definedName>
    <definedName name="__________ind1">#REF!</definedName>
    <definedName name="__________IND11" localSheetId="0">#REF!</definedName>
    <definedName name="__________IND11">#REF!</definedName>
    <definedName name="__________IND31" localSheetId="0">#REF!</definedName>
    <definedName name="__________IND31">#REF!</definedName>
    <definedName name="__________IRS1" localSheetId="0">#REF!</definedName>
    <definedName name="__________IRS1">#REF!</definedName>
    <definedName name="__________jh78">#REF!</definedName>
    <definedName name="__________Ki1" localSheetId="0">#REF!</definedName>
    <definedName name="__________Ki1">#REF!</definedName>
    <definedName name="__________Ki2" localSheetId="0">#REF!</definedName>
    <definedName name="__________Ki2">#REF!</definedName>
    <definedName name="__________KK1" localSheetId="0">#REF!</definedName>
    <definedName name="__________KK1">#REF!</definedName>
    <definedName name="__________KK2" localSheetId="0">#REF!</definedName>
    <definedName name="__________KK2">#REF!</definedName>
    <definedName name="__________kk3" localSheetId="0">#REF!</definedName>
    <definedName name="__________kk3">#REF!</definedName>
    <definedName name="__________kk4" localSheetId="0">#REF!</definedName>
    <definedName name="__________kk4">#REF!</definedName>
    <definedName name="__________lsc44" localSheetId="0">#REF!</definedName>
    <definedName name="__________lsc44">#REF!</definedName>
    <definedName name="__________MF1" localSheetId="0">#REF!</definedName>
    <definedName name="__________MF1">#REF!</definedName>
    <definedName name="__________MM1" localSheetId="0">#REF!</definedName>
    <definedName name="__________MM1">#REF!</definedName>
    <definedName name="__________MM2" localSheetId="0">#REF!</definedName>
    <definedName name="__________MM2">#REF!</definedName>
    <definedName name="__________pcc1" localSheetId="0">#REF!</definedName>
    <definedName name="__________pcc1">#REF!</definedName>
    <definedName name="__________pcc2" localSheetId="0">#REF!</definedName>
    <definedName name="__________pcc2">#REF!</definedName>
    <definedName name="__________pcc3" localSheetId="0">#REF!</definedName>
    <definedName name="__________pcc3">#REF!</definedName>
    <definedName name="__________PCC4" localSheetId="0">#REF!</definedName>
    <definedName name="__________PCC4">#REF!</definedName>
    <definedName name="__________plb1" localSheetId="0">#REF!</definedName>
    <definedName name="__________plb1">#REF!</definedName>
    <definedName name="__________plb2" localSheetId="0">#REF!</definedName>
    <definedName name="__________plb2">#REF!</definedName>
    <definedName name="__________plb3" localSheetId="0">#REF!</definedName>
    <definedName name="__________plb3">#REF!</definedName>
    <definedName name="__________plb4" localSheetId="0">#REF!</definedName>
    <definedName name="__________plb4">#REF!</definedName>
    <definedName name="__________RCC115">#REF!</definedName>
    <definedName name="__________RCC12">#REF!</definedName>
    <definedName name="__________rr87" localSheetId="0">'[1]ALL ITEMS-RATE'!$E$111</definedName>
    <definedName name="__________rr87">#REF!</definedName>
    <definedName name="__________S12" localSheetId="0">#REF!</definedName>
    <definedName name="__________S12">#REF!</definedName>
    <definedName name="__________sec1" localSheetId="0">#REF!</definedName>
    <definedName name="__________sec1">#REF!</definedName>
    <definedName name="__________sec111" localSheetId="0">#REF!</definedName>
    <definedName name="__________sec111">#REF!</definedName>
    <definedName name="__________SEC15" localSheetId="0">#REF!</definedName>
    <definedName name="__________SEC15">#REF!</definedName>
    <definedName name="__________Sec2" localSheetId="0">#REF!</definedName>
    <definedName name="__________Sec2">#REF!</definedName>
    <definedName name="__________sec22" localSheetId="0">#REF!</definedName>
    <definedName name="__________sec22">#REF!</definedName>
    <definedName name="__________SEC23" localSheetId="0">#REF!</definedName>
    <definedName name="__________SEC23">#REF!</definedName>
    <definedName name="__________sec3" localSheetId="0">#REF!</definedName>
    <definedName name="__________sec3">#REF!</definedName>
    <definedName name="__________SEC32" localSheetId="0">#REF!</definedName>
    <definedName name="__________SEC32">#REF!</definedName>
    <definedName name="__________sec33" localSheetId="0">#REF!</definedName>
    <definedName name="__________sec33">#REF!</definedName>
    <definedName name="__________Sec4" localSheetId="0">#REF!</definedName>
    <definedName name="__________Sec4">#REF!</definedName>
    <definedName name="__________sec45" localSheetId="0">#REF!</definedName>
    <definedName name="__________sec45">#REF!</definedName>
    <definedName name="__________SEC46" localSheetId="0">#REF!</definedName>
    <definedName name="__________SEC46">#REF!</definedName>
    <definedName name="__________sec5" localSheetId="0">#REF!</definedName>
    <definedName name="__________sec5">#REF!</definedName>
    <definedName name="__________sec55" localSheetId="0">#REF!</definedName>
    <definedName name="__________sec55">#REF!</definedName>
    <definedName name="__________SEC56" localSheetId="0">#REF!</definedName>
    <definedName name="__________SEC56">#REF!</definedName>
    <definedName name="__________sec6" localSheetId="0">#REF!</definedName>
    <definedName name="__________sec6">#REF!</definedName>
    <definedName name="__________sec66" localSheetId="0">#REF!</definedName>
    <definedName name="__________sec66">#REF!</definedName>
    <definedName name="__________SEC67" localSheetId="0">#REF!</definedName>
    <definedName name="__________SEC67">#REF!</definedName>
    <definedName name="__________sec7" localSheetId="0">#REF!</definedName>
    <definedName name="__________sec7">#REF!</definedName>
    <definedName name="__________sec71" localSheetId="0">#REF!</definedName>
    <definedName name="__________sec71">#REF!</definedName>
    <definedName name="__________SEC72" localSheetId="0">#REF!</definedName>
    <definedName name="__________SEC72">#REF!</definedName>
    <definedName name="__________SEC74" localSheetId="0">#REF!</definedName>
    <definedName name="__________SEC74">#REF!</definedName>
    <definedName name="__________SEC75" localSheetId="0">#REF!</definedName>
    <definedName name="__________SEC75">#REF!</definedName>
    <definedName name="__________SEC77" localSheetId="0">#REF!</definedName>
    <definedName name="__________SEC77">#REF!</definedName>
    <definedName name="__________sec777" localSheetId="0">#REF!</definedName>
    <definedName name="__________sec777">#REF!</definedName>
    <definedName name="__________sec78" localSheetId="0">#REF!</definedName>
    <definedName name="__________sec78">#REF!</definedName>
    <definedName name="__________sec79" localSheetId="0">#REF!</definedName>
    <definedName name="__________sec79">#REF!</definedName>
    <definedName name="__________sec8" localSheetId="0">#REF!</definedName>
    <definedName name="__________sec8">#REF!</definedName>
    <definedName name="__________sec81" localSheetId="0">#REF!</definedName>
    <definedName name="__________sec81">#REF!</definedName>
    <definedName name="__________SEC82" localSheetId="0">#REF!</definedName>
    <definedName name="__________SEC82">#REF!</definedName>
    <definedName name="__________SEC83" localSheetId="0">#REF!</definedName>
    <definedName name="__________SEC83">#REF!</definedName>
    <definedName name="__________SEC87" localSheetId="0">#REF!</definedName>
    <definedName name="__________SEC87">#REF!</definedName>
    <definedName name="__________SEC88" localSheetId="0">#REF!</definedName>
    <definedName name="__________SEC88">#REF!</definedName>
    <definedName name="__________sec888" localSheetId="0">#REF!</definedName>
    <definedName name="__________sec888">#REF!</definedName>
    <definedName name="__________sec89" localSheetId="0">#REF!</definedName>
    <definedName name="__________sec89">#REF!</definedName>
    <definedName name="__________sec899" localSheetId="0">#REF!</definedName>
    <definedName name="__________sec899">#REF!</definedName>
    <definedName name="__________SEC9" localSheetId="0">#REF!</definedName>
    <definedName name="__________SEC9">#REF!</definedName>
    <definedName name="__________SEC91" localSheetId="0">#REF!</definedName>
    <definedName name="__________SEC91">#REF!</definedName>
    <definedName name="__________SH1" localSheetId="0">#REF!</definedName>
    <definedName name="__________SH1">#REF!</definedName>
    <definedName name="__________SH2" localSheetId="0">#REF!</definedName>
    <definedName name="__________SH2">#REF!</definedName>
    <definedName name="__________SH3" localSheetId="0">#REF!</definedName>
    <definedName name="__________SH3">#REF!</definedName>
    <definedName name="__________SH4" localSheetId="0">#REF!</definedName>
    <definedName name="__________SH4">#REF!</definedName>
    <definedName name="__________SH5" localSheetId="0">#REF!</definedName>
    <definedName name="__________SH5">#REF!</definedName>
    <definedName name="__________SS2" localSheetId="0">#REF!</definedName>
    <definedName name="__________SS2">#REF!</definedName>
    <definedName name="__________tk1" localSheetId="0">#REF!</definedName>
    <definedName name="__________tk1">#REF!</definedName>
    <definedName name="__________xd1" localSheetId="0">#REF!</definedName>
    <definedName name="__________xd1">#REF!</definedName>
    <definedName name="__________XD2" localSheetId="0">#REF!</definedName>
    <definedName name="__________XD2">#REF!</definedName>
    <definedName name="__________xd3" localSheetId="0">#REF!</definedName>
    <definedName name="__________xd3">#REF!</definedName>
    <definedName name="__________xlnm.Print_Area_0_1" localSheetId="0">#REF!</definedName>
    <definedName name="__________xlnm.Print_Area_0_1">#REF!</definedName>
    <definedName name="__________xlnm.Print_Area_0_2" localSheetId="0">#REF!</definedName>
    <definedName name="__________xlnm.Print_Area_0_2">#REF!</definedName>
    <definedName name="__________xlnm.Print_Area_0_3">#REF!</definedName>
    <definedName name="__________xlnm.Print_Area_0_5">#REF!</definedName>
    <definedName name="__________xlnm.Print_Area_0_6">#REF!</definedName>
    <definedName name="__________xlnm.Print_Area_1">#REF!</definedName>
    <definedName name="__________xlnm.Print_Area_1_1">#REF!</definedName>
    <definedName name="__________xlnm.Print_Area_2">#REF!</definedName>
    <definedName name="__________xlnm.Print_Area_2_1">#REF!</definedName>
    <definedName name="__________xlnm.Print_Area_3">#REF!</definedName>
    <definedName name="__________xlnm.Print_Area_3_1">#REF!</definedName>
    <definedName name="__________xlnm.Print_Area_5">#REF!</definedName>
    <definedName name="__________xlnm.Print_Area_5_1">#REF!</definedName>
    <definedName name="__________xlnm.Print_Area_6">#REF!</definedName>
    <definedName name="__________xlnm.Print_Area_6_1">#REF!</definedName>
    <definedName name="__________zz1" localSheetId="0">#REF!</definedName>
    <definedName name="__________zz1">#REF!</definedName>
    <definedName name="_________A655600" localSheetId="0">#REF!</definedName>
    <definedName name="_________A655600">#REF!</definedName>
    <definedName name="_________aaa1" localSheetId="0">#REF!</definedName>
    <definedName name="_________aaa1">#REF!</definedName>
    <definedName name="_________aaa10" localSheetId="0">#REF!</definedName>
    <definedName name="_________aaa10">#REF!</definedName>
    <definedName name="_________aaa11" localSheetId="0">#REF!</definedName>
    <definedName name="_________aaa11">#REF!</definedName>
    <definedName name="_________AAA12" localSheetId="0">#REF!</definedName>
    <definedName name="_________AAA12">#REF!</definedName>
    <definedName name="_________AAA21" localSheetId="0">#REF!</definedName>
    <definedName name="_________AAA21">#REF!</definedName>
    <definedName name="_________aaa5" localSheetId="0">#REF!</definedName>
    <definedName name="_________aaa5">#REF!</definedName>
    <definedName name="_________AAA51" localSheetId="0">#REF!</definedName>
    <definedName name="_________AAA51">#REF!</definedName>
    <definedName name="_________AAA53" localSheetId="0">#REF!</definedName>
    <definedName name="_________AAA53">#REF!</definedName>
    <definedName name="_________aaa54" localSheetId="0">#REF!</definedName>
    <definedName name="_________aaa54">#REF!</definedName>
    <definedName name="_________aaa545" localSheetId="0">#REF!</definedName>
    <definedName name="_________aaa545">#REF!</definedName>
    <definedName name="_________aaa55" localSheetId="0">#REF!</definedName>
    <definedName name="_________aaa55">#REF!</definedName>
    <definedName name="_________aaa56" localSheetId="0">#REF!</definedName>
    <definedName name="_________aaa56">#REF!</definedName>
    <definedName name="_________AAA57" localSheetId="0">#REF!</definedName>
    <definedName name="_________AAA57">#REF!</definedName>
    <definedName name="_________aaa59" localSheetId="0">#REF!</definedName>
    <definedName name="_________aaa59">#REF!</definedName>
    <definedName name="_________AAA6" localSheetId="0">#REF!</definedName>
    <definedName name="_________AAA6">#REF!</definedName>
    <definedName name="_________AAA7" localSheetId="0">#REF!</definedName>
    <definedName name="_________AAA7">#REF!</definedName>
    <definedName name="_________AAD5" localSheetId="0">#REF!</definedName>
    <definedName name="_________AAD5">#REF!</definedName>
    <definedName name="_________aad55" localSheetId="0">#REF!</definedName>
    <definedName name="_________aad55">#REF!</definedName>
    <definedName name="_________AAD56" localSheetId="0">#REF!</definedName>
    <definedName name="_________AAD56">#REF!</definedName>
    <definedName name="_________AAD57" localSheetId="0">#REF!</definedName>
    <definedName name="_________AAD57">#REF!</definedName>
    <definedName name="_________ast1" localSheetId="0">#REF!</definedName>
    <definedName name="_________ast1">#REF!</definedName>
    <definedName name="_________ast2" localSheetId="0">#REF!</definedName>
    <definedName name="_________ast2">#REF!</definedName>
    <definedName name="_________bbb1" localSheetId="0">#REF!</definedName>
    <definedName name="_________bbb1">#REF!</definedName>
    <definedName name="_________bol1" localSheetId="0">#REF!</definedName>
    <definedName name="_________bol1">#REF!</definedName>
    <definedName name="_________ccc1" localSheetId="0">#REF!</definedName>
    <definedName name="_________ccc1">#REF!</definedName>
    <definedName name="_________COL14" localSheetId="0">#REF!</definedName>
    <definedName name="_________COL14">#REF!</definedName>
    <definedName name="_________COL15" localSheetId="0">#REF!</definedName>
    <definedName name="_________COL15">#REF!</definedName>
    <definedName name="_________COL16" localSheetId="0">#REF!</definedName>
    <definedName name="_________COL16">#REF!</definedName>
    <definedName name="_________D199617" localSheetId="0">#REF!</definedName>
    <definedName name="_________D199617">#REF!</definedName>
    <definedName name="_________ddd1" localSheetId="0">#REF!</definedName>
    <definedName name="_________ddd1">#REF!</definedName>
    <definedName name="_________eee1" localSheetId="0">#REF!</definedName>
    <definedName name="_________eee1">#REF!</definedName>
    <definedName name="_________exc1" localSheetId="0">#REF!</definedName>
    <definedName name="_________exc1">#REF!</definedName>
    <definedName name="_________exc11" localSheetId="0">#REF!</definedName>
    <definedName name="_________exc11">#REF!</definedName>
    <definedName name="_________exc2" localSheetId="0">#REF!</definedName>
    <definedName name="_________exc2">#REF!</definedName>
    <definedName name="_________EXC3" localSheetId="0">#REF!</definedName>
    <definedName name="_________EXC3">#REF!</definedName>
    <definedName name="_________EXC4" localSheetId="0">#REF!</definedName>
    <definedName name="_________EXC4">#REF!</definedName>
    <definedName name="_________fff1" localSheetId="0">#REF!</definedName>
    <definedName name="_________fff1">#REF!</definedName>
    <definedName name="_________foo1" localSheetId="0">#REF!</definedName>
    <definedName name="_________foo1">#REF!</definedName>
    <definedName name="_________foo2" localSheetId="0">#REF!</definedName>
    <definedName name="_________foo2">#REF!</definedName>
    <definedName name="_________foo3" localSheetId="0">#REF!</definedName>
    <definedName name="_________foo3">#REF!</definedName>
    <definedName name="_________FOO4" localSheetId="0">#REF!</definedName>
    <definedName name="_________FOO4">#REF!</definedName>
    <definedName name="_________ief1" localSheetId="0">#REF!</definedName>
    <definedName name="_________ief1">#REF!</definedName>
    <definedName name="_________ind1" localSheetId="0">#REF!</definedName>
    <definedName name="_________ind1">#REF!</definedName>
    <definedName name="_________IND11" localSheetId="0">#REF!</definedName>
    <definedName name="_________IND11">#REF!</definedName>
    <definedName name="_________IND31" localSheetId="0">#REF!</definedName>
    <definedName name="_________IND31">#REF!</definedName>
    <definedName name="_________IRS1" localSheetId="0">#REF!</definedName>
    <definedName name="_________IRS1">#REF!</definedName>
    <definedName name="_________jh78">#REF!</definedName>
    <definedName name="_________Ki1" localSheetId="0">#REF!</definedName>
    <definedName name="_________Ki1">#REF!</definedName>
    <definedName name="_________Ki2" localSheetId="0">#REF!</definedName>
    <definedName name="_________Ki2">#REF!</definedName>
    <definedName name="_________KK1" localSheetId="0">#REF!</definedName>
    <definedName name="_________KK1">#REF!</definedName>
    <definedName name="_________KK2" localSheetId="0">#REF!</definedName>
    <definedName name="_________KK2">#REF!</definedName>
    <definedName name="_________kk3" localSheetId="0">#REF!</definedName>
    <definedName name="_________kk3">#REF!</definedName>
    <definedName name="_________kk4" localSheetId="0">#REF!</definedName>
    <definedName name="_________kk4">#REF!</definedName>
    <definedName name="_________lsc44" localSheetId="0">#REF!</definedName>
    <definedName name="_________lsc44">#REF!</definedName>
    <definedName name="_________MF1" localSheetId="0">#REF!</definedName>
    <definedName name="_________MF1">#REF!</definedName>
    <definedName name="_________MM1" localSheetId="0">#REF!</definedName>
    <definedName name="_________MM1">#REF!</definedName>
    <definedName name="_________MM2" localSheetId="0">#REF!</definedName>
    <definedName name="_________MM2">#REF!</definedName>
    <definedName name="_________pcc1" localSheetId="0">#REF!</definedName>
    <definedName name="_________pcc1">#REF!</definedName>
    <definedName name="_________pcc2" localSheetId="0">#REF!</definedName>
    <definedName name="_________pcc2">#REF!</definedName>
    <definedName name="_________pcc3" localSheetId="0">#REF!</definedName>
    <definedName name="_________pcc3">#REF!</definedName>
    <definedName name="_________PCC4" localSheetId="0">#REF!</definedName>
    <definedName name="_________PCC4">#REF!</definedName>
    <definedName name="_________plb1" localSheetId="0">#REF!</definedName>
    <definedName name="_________plb1">#REF!</definedName>
    <definedName name="_________plb2" localSheetId="0">#REF!</definedName>
    <definedName name="_________plb2">#REF!</definedName>
    <definedName name="_________plb3" localSheetId="0">#REF!</definedName>
    <definedName name="_________plb3">#REF!</definedName>
    <definedName name="_________plb4" localSheetId="0">#REF!</definedName>
    <definedName name="_________plb4">#REF!</definedName>
    <definedName name="_________RCC115">#REF!</definedName>
    <definedName name="_________RCC12">#REF!</definedName>
    <definedName name="_________rr87" localSheetId="0">'[1]ALL ITEMS-RATE'!$E$111</definedName>
    <definedName name="_________rr87">#REF!</definedName>
    <definedName name="_________S12" localSheetId="0">#REF!</definedName>
    <definedName name="_________S12">#REF!</definedName>
    <definedName name="_________sec1" localSheetId="0">#REF!</definedName>
    <definedName name="_________sec1">#REF!</definedName>
    <definedName name="_________sec111" localSheetId="0">#REF!</definedName>
    <definedName name="_________sec111">#REF!</definedName>
    <definedName name="_________SEC15" localSheetId="0">#REF!</definedName>
    <definedName name="_________SEC15">#REF!</definedName>
    <definedName name="_________Sec2" localSheetId="0">#REF!</definedName>
    <definedName name="_________Sec2">#REF!</definedName>
    <definedName name="_________sec22" localSheetId="0">#REF!</definedName>
    <definedName name="_________sec22">#REF!</definedName>
    <definedName name="_________SEC23" localSheetId="0">#REF!</definedName>
    <definedName name="_________SEC23">#REF!</definedName>
    <definedName name="_________sec3" localSheetId="0">#REF!</definedName>
    <definedName name="_________sec3">#REF!</definedName>
    <definedName name="_________SEC32" localSheetId="0">#REF!</definedName>
    <definedName name="_________SEC32">#REF!</definedName>
    <definedName name="_________sec33" localSheetId="0">#REF!</definedName>
    <definedName name="_________sec33">#REF!</definedName>
    <definedName name="_________Sec4" localSheetId="0">#REF!</definedName>
    <definedName name="_________Sec4">#REF!</definedName>
    <definedName name="_________sec45" localSheetId="0">#REF!</definedName>
    <definedName name="_________sec45">#REF!</definedName>
    <definedName name="_________SEC46" localSheetId="0">#REF!</definedName>
    <definedName name="_________SEC46">#REF!</definedName>
    <definedName name="_________sec5" localSheetId="0">#REF!</definedName>
    <definedName name="_________sec5">#REF!</definedName>
    <definedName name="_________sec55" localSheetId="0">#REF!</definedName>
    <definedName name="_________sec55">#REF!</definedName>
    <definedName name="_________SEC56" localSheetId="0">#REF!</definedName>
    <definedName name="_________SEC56">#REF!</definedName>
    <definedName name="_________sec6" localSheetId="0">#REF!</definedName>
    <definedName name="_________sec6">#REF!</definedName>
    <definedName name="_________sec66" localSheetId="0">#REF!</definedName>
    <definedName name="_________sec66">#REF!</definedName>
    <definedName name="_________SEC67" localSheetId="0">#REF!</definedName>
    <definedName name="_________SEC67">#REF!</definedName>
    <definedName name="_________sec7" localSheetId="0">#REF!</definedName>
    <definedName name="_________sec7">#REF!</definedName>
    <definedName name="_________sec71" localSheetId="0">#REF!</definedName>
    <definedName name="_________sec71">#REF!</definedName>
    <definedName name="_________SEC72" localSheetId="0">#REF!</definedName>
    <definedName name="_________SEC72">#REF!</definedName>
    <definedName name="_________SEC74" localSheetId="0">#REF!</definedName>
    <definedName name="_________SEC74">#REF!</definedName>
    <definedName name="_________SEC75" localSheetId="0">#REF!</definedName>
    <definedName name="_________SEC75">#REF!</definedName>
    <definedName name="_________SEC77" localSheetId="0">#REF!</definedName>
    <definedName name="_________SEC77">#REF!</definedName>
    <definedName name="_________sec777" localSheetId="0">#REF!</definedName>
    <definedName name="_________sec777">#REF!</definedName>
    <definedName name="_________sec78" localSheetId="0">#REF!</definedName>
    <definedName name="_________sec78">#REF!</definedName>
    <definedName name="_________sec79" localSheetId="0">#REF!</definedName>
    <definedName name="_________sec79">#REF!</definedName>
    <definedName name="_________sec8" localSheetId="0">#REF!</definedName>
    <definedName name="_________sec8">#REF!</definedName>
    <definedName name="_________sec81" localSheetId="0">#REF!</definedName>
    <definedName name="_________sec81">#REF!</definedName>
    <definedName name="_________SEC82" localSheetId="0">#REF!</definedName>
    <definedName name="_________SEC82">#REF!</definedName>
    <definedName name="_________SEC83" localSheetId="0">#REF!</definedName>
    <definedName name="_________SEC83">#REF!</definedName>
    <definedName name="_________SEC87" localSheetId="0">#REF!</definedName>
    <definedName name="_________SEC87">#REF!</definedName>
    <definedName name="_________SEC88" localSheetId="0">#REF!</definedName>
    <definedName name="_________SEC88">#REF!</definedName>
    <definedName name="_________sec888" localSheetId="0">#REF!</definedName>
    <definedName name="_________sec888">#REF!</definedName>
    <definedName name="_________sec89" localSheetId="0">#REF!</definedName>
    <definedName name="_________sec89">#REF!</definedName>
    <definedName name="_________sec899" localSheetId="0">#REF!</definedName>
    <definedName name="_________sec899">#REF!</definedName>
    <definedName name="_________SEC9" localSheetId="0">#REF!</definedName>
    <definedName name="_________SEC9">#REF!</definedName>
    <definedName name="_________SEC91" localSheetId="0">#REF!</definedName>
    <definedName name="_________SEC91">#REF!</definedName>
    <definedName name="_________SH1" localSheetId="0">#REF!</definedName>
    <definedName name="_________SH1">#REF!</definedName>
    <definedName name="_________SH2" localSheetId="0">#REF!</definedName>
    <definedName name="_________SH2">#REF!</definedName>
    <definedName name="_________SH3" localSheetId="0">#REF!</definedName>
    <definedName name="_________SH3">#REF!</definedName>
    <definedName name="_________SH4" localSheetId="0">#REF!</definedName>
    <definedName name="_________SH4">#REF!</definedName>
    <definedName name="_________SH5" localSheetId="0">#REF!</definedName>
    <definedName name="_________SH5">#REF!</definedName>
    <definedName name="_________SS2" localSheetId="0">#REF!</definedName>
    <definedName name="_________SS2">#REF!</definedName>
    <definedName name="_________tk1" localSheetId="0">#REF!</definedName>
    <definedName name="_________tk1">#REF!</definedName>
    <definedName name="_________xd1" localSheetId="0">#REF!</definedName>
    <definedName name="_________xd1">#REF!</definedName>
    <definedName name="_________XD2" localSheetId="0">#REF!</definedName>
    <definedName name="_________XD2">#REF!</definedName>
    <definedName name="_________xd3" localSheetId="0">#REF!</definedName>
    <definedName name="_________xd3">#REF!</definedName>
    <definedName name="_________xlnm.Print_Area_0_1" localSheetId="0">#REF!</definedName>
    <definedName name="_________xlnm.Print_Area_0_1">#REF!</definedName>
    <definedName name="_________xlnm.Print_Area_0_2" localSheetId="0">#REF!</definedName>
    <definedName name="_________xlnm.Print_Area_0_2">#REF!</definedName>
    <definedName name="_________xlnm.Print_Area_0_3">#REF!</definedName>
    <definedName name="_________xlnm.Print_Area_0_5">#REF!</definedName>
    <definedName name="_________xlnm.Print_Area_0_6">#REF!</definedName>
    <definedName name="_________xlnm.Print_Area_1">#REF!</definedName>
    <definedName name="_________xlnm.Print_Area_1_1">#REF!</definedName>
    <definedName name="_________xlnm.Print_Area_2">#REF!</definedName>
    <definedName name="_________xlnm.Print_Area_2_1">#REF!</definedName>
    <definedName name="_________xlnm.Print_Area_3">#REF!</definedName>
    <definedName name="_________xlnm.Print_Area_3_1">#REF!</definedName>
    <definedName name="_________xlnm.Print_Area_5">#REF!</definedName>
    <definedName name="_________xlnm.Print_Area_5_1">#REF!</definedName>
    <definedName name="_________xlnm.Print_Area_6">#REF!</definedName>
    <definedName name="_________xlnm.Print_Area_6_1">#REF!</definedName>
    <definedName name="_________zz1" localSheetId="0">#REF!</definedName>
    <definedName name="_________zz1">#REF!</definedName>
    <definedName name="________A655600" localSheetId="0">#REF!</definedName>
    <definedName name="________A655600">#REF!</definedName>
    <definedName name="________aaa1" localSheetId="0">#REF!</definedName>
    <definedName name="________aaa1">#REF!</definedName>
    <definedName name="________aaa10" localSheetId="0">#REF!</definedName>
    <definedName name="________aaa10">#REF!</definedName>
    <definedName name="________aaa11" localSheetId="0">#REF!</definedName>
    <definedName name="________aaa11">#REF!</definedName>
    <definedName name="________AAA12" localSheetId="0">#REF!</definedName>
    <definedName name="________AAA12">#REF!</definedName>
    <definedName name="________AAA21" localSheetId="0">#REF!</definedName>
    <definedName name="________AAA21">#REF!</definedName>
    <definedName name="________aaa5" localSheetId="0">#REF!</definedName>
    <definedName name="________aaa5">#REF!</definedName>
    <definedName name="________AAA51" localSheetId="0">#REF!</definedName>
    <definedName name="________AAA51">#REF!</definedName>
    <definedName name="________AAA53" localSheetId="0">#REF!</definedName>
    <definedName name="________AAA53">#REF!</definedName>
    <definedName name="________aaa54" localSheetId="0">#REF!</definedName>
    <definedName name="________aaa54">#REF!</definedName>
    <definedName name="________aaa545" localSheetId="0">#REF!</definedName>
    <definedName name="________aaa545">#REF!</definedName>
    <definedName name="________aaa55" localSheetId="0">#REF!</definedName>
    <definedName name="________aaa55">#REF!</definedName>
    <definedName name="________aaa56" localSheetId="0">#REF!</definedName>
    <definedName name="________aaa56">#REF!</definedName>
    <definedName name="________AAA57" localSheetId="0">#REF!</definedName>
    <definedName name="________AAA57">#REF!</definedName>
    <definedName name="________aaa59" localSheetId="0">#REF!</definedName>
    <definedName name="________aaa59">#REF!</definedName>
    <definedName name="________AAA6" localSheetId="0">#REF!</definedName>
    <definedName name="________AAA6">#REF!</definedName>
    <definedName name="________AAA7" localSheetId="0">#REF!</definedName>
    <definedName name="________AAA7">#REF!</definedName>
    <definedName name="________AAD5" localSheetId="0">#REF!</definedName>
    <definedName name="________AAD5">#REF!</definedName>
    <definedName name="________aad55" localSheetId="0">#REF!</definedName>
    <definedName name="________aad55">#REF!</definedName>
    <definedName name="________AAD56" localSheetId="0">#REF!</definedName>
    <definedName name="________AAD56">#REF!</definedName>
    <definedName name="________AAD57" localSheetId="0">#REF!</definedName>
    <definedName name="________AAD57">#REF!</definedName>
    <definedName name="________ast1" localSheetId="0">#REF!</definedName>
    <definedName name="________ast1">#REF!</definedName>
    <definedName name="________ast2" localSheetId="0">#REF!</definedName>
    <definedName name="________ast2">#REF!</definedName>
    <definedName name="________bbb1" localSheetId="0">#REF!</definedName>
    <definedName name="________bbb1">#REF!</definedName>
    <definedName name="________bol1" localSheetId="0">#REF!</definedName>
    <definedName name="________bol1">#REF!</definedName>
    <definedName name="________can430">40.73</definedName>
    <definedName name="________can435">43.3</definedName>
    <definedName name="________ccc1" localSheetId="0">#REF!</definedName>
    <definedName name="________ccc1">#REF!</definedName>
    <definedName name="________COL1" localSheetId="0">#REF!</definedName>
    <definedName name="________COL1">#REF!</definedName>
    <definedName name="________COL14" localSheetId="0">#REF!</definedName>
    <definedName name="________COL14">#REF!</definedName>
    <definedName name="________COL15" localSheetId="0">#REF!</definedName>
    <definedName name="________COL15">#REF!</definedName>
    <definedName name="________COL16" localSheetId="0">#REF!</definedName>
    <definedName name="________COL16">#REF!</definedName>
    <definedName name="________D199617" localSheetId="0">#REF!</definedName>
    <definedName name="________D199617">#REF!</definedName>
    <definedName name="________ddd1" localSheetId="0">#REF!</definedName>
    <definedName name="________ddd1">#REF!</definedName>
    <definedName name="________eee1" localSheetId="0">#REF!</definedName>
    <definedName name="________eee1">#REF!</definedName>
    <definedName name="________exc1" localSheetId="0">#REF!</definedName>
    <definedName name="________exc1">#REF!</definedName>
    <definedName name="________exc11" localSheetId="0">#REF!</definedName>
    <definedName name="________exc11">#REF!</definedName>
    <definedName name="________exc2" localSheetId="0">#REF!</definedName>
    <definedName name="________exc2">#REF!</definedName>
    <definedName name="________EXC3" localSheetId="0">#REF!</definedName>
    <definedName name="________EXC3">#REF!</definedName>
    <definedName name="________EXC4" localSheetId="0">#REF!</definedName>
    <definedName name="________EXC4">#REF!</definedName>
    <definedName name="________fff1" localSheetId="0">#REF!</definedName>
    <definedName name="________fff1">#REF!</definedName>
    <definedName name="________flx200" localSheetId="0">#REF!</definedName>
    <definedName name="________flx200">#REF!</definedName>
    <definedName name="________flx250" localSheetId="0">#REF!</definedName>
    <definedName name="________flx250">#REF!</definedName>
    <definedName name="________flx300" localSheetId="0">#REF!</definedName>
    <definedName name="________flx300">#REF!</definedName>
    <definedName name="________foo1" localSheetId="0">#REF!</definedName>
    <definedName name="________foo1">#REF!</definedName>
    <definedName name="________foo2" localSheetId="0">#REF!</definedName>
    <definedName name="________foo2">#REF!</definedName>
    <definedName name="________foo3" localSheetId="0">#REF!</definedName>
    <definedName name="________foo3">#REF!</definedName>
    <definedName name="________FOO4" localSheetId="0">#REF!</definedName>
    <definedName name="________FOO4">#REF!</definedName>
    <definedName name="________ief1" localSheetId="0">#REF!</definedName>
    <definedName name="________ief1">#REF!</definedName>
    <definedName name="________ind1" localSheetId="0">#REF!</definedName>
    <definedName name="________ind1">#REF!</definedName>
    <definedName name="________IND11" localSheetId="0">#REF!</definedName>
    <definedName name="________IND11">#REF!</definedName>
    <definedName name="________IND31" localSheetId="0">#REF!</definedName>
    <definedName name="________IND31">#REF!</definedName>
    <definedName name="________IRS1" localSheetId="0">#REF!</definedName>
    <definedName name="________IRS1">#REF!</definedName>
    <definedName name="________jh78">#REF!</definedName>
    <definedName name="________Ki1" localSheetId="0">#REF!</definedName>
    <definedName name="________Ki1">#REF!</definedName>
    <definedName name="________Ki2" localSheetId="0">#REF!</definedName>
    <definedName name="________Ki2">#REF!</definedName>
    <definedName name="________KK1" localSheetId="0">#REF!</definedName>
    <definedName name="________KK1">#REF!</definedName>
    <definedName name="________KK2" localSheetId="0">#REF!</definedName>
    <definedName name="________KK2">#REF!</definedName>
    <definedName name="________kk3" localSheetId="0">#REF!</definedName>
    <definedName name="________kk3">#REF!</definedName>
    <definedName name="________kk4" localSheetId="0">#REF!</definedName>
    <definedName name="________kk4">#REF!</definedName>
    <definedName name="________lsc44" localSheetId="0">#REF!</definedName>
    <definedName name="________lsc44">#REF!</definedName>
    <definedName name="________MAN1" localSheetId="0">#REF!</definedName>
    <definedName name="________MAN1">#REF!</definedName>
    <definedName name="________MF1" localSheetId="0">#REF!</definedName>
    <definedName name="________MF1">#REF!</definedName>
    <definedName name="________MM1" localSheetId="0">#REF!</definedName>
    <definedName name="________MM1">#REF!</definedName>
    <definedName name="________MM2" localSheetId="0">#REF!</definedName>
    <definedName name="________MM2">#REF!</definedName>
    <definedName name="________PB1" localSheetId="0">#REF!</definedName>
    <definedName name="________PB1">#REF!</definedName>
    <definedName name="________pcc1" localSheetId="0">#REF!</definedName>
    <definedName name="________pcc1">#REF!</definedName>
    <definedName name="________pcc2" localSheetId="0">#REF!</definedName>
    <definedName name="________pcc2">#REF!</definedName>
    <definedName name="________pcc3" localSheetId="0">#REF!</definedName>
    <definedName name="________pcc3">#REF!</definedName>
    <definedName name="________PCC4" localSheetId="0">#REF!</definedName>
    <definedName name="________PCC4">#REF!</definedName>
    <definedName name="________plb1" localSheetId="0">#REF!</definedName>
    <definedName name="________plb1">#REF!</definedName>
    <definedName name="________plb2" localSheetId="0">#REF!</definedName>
    <definedName name="________plb2">#REF!</definedName>
    <definedName name="________plb3" localSheetId="0">#REF!</definedName>
    <definedName name="________plb3">#REF!</definedName>
    <definedName name="________plb4" localSheetId="0">#REF!</definedName>
    <definedName name="________plb4">#REF!</definedName>
    <definedName name="________RCC115">#REF!</definedName>
    <definedName name="________RCC12">#REF!</definedName>
    <definedName name="________rr87" localSheetId="0">'[2]ALL ITEMS-RATE'!$E$111</definedName>
    <definedName name="________rr87">#REF!</definedName>
    <definedName name="________S12" localSheetId="0">#REF!</definedName>
    <definedName name="________S12">#REF!</definedName>
    <definedName name="________sec1" localSheetId="0">#REF!</definedName>
    <definedName name="________sec1">#REF!</definedName>
    <definedName name="________sec111" localSheetId="0">#REF!</definedName>
    <definedName name="________sec111">#REF!</definedName>
    <definedName name="________SEC15" localSheetId="0">#REF!</definedName>
    <definedName name="________SEC15">#REF!</definedName>
    <definedName name="________Sec2" localSheetId="0">#REF!</definedName>
    <definedName name="________Sec2">#REF!</definedName>
    <definedName name="________sec22" localSheetId="0">#REF!</definedName>
    <definedName name="________sec22">#REF!</definedName>
    <definedName name="________SEC23" localSheetId="0">#REF!</definedName>
    <definedName name="________SEC23">#REF!</definedName>
    <definedName name="________SEC24" localSheetId="0">#REF!</definedName>
    <definedName name="________SEC24">#REF!</definedName>
    <definedName name="________sec3" localSheetId="0">#REF!</definedName>
    <definedName name="________sec3">#REF!</definedName>
    <definedName name="________SEC32" localSheetId="0">#REF!</definedName>
    <definedName name="________SEC32">#REF!</definedName>
    <definedName name="________sec33" localSheetId="0">#REF!</definedName>
    <definedName name="________sec33">#REF!</definedName>
    <definedName name="________Sec4" localSheetId="0">#REF!</definedName>
    <definedName name="________Sec4">#REF!</definedName>
    <definedName name="________sec45" localSheetId="0">#REF!</definedName>
    <definedName name="________sec45">#REF!</definedName>
    <definedName name="________SEC46" localSheetId="0">#REF!</definedName>
    <definedName name="________SEC46">#REF!</definedName>
    <definedName name="________sec5" localSheetId="0">#REF!</definedName>
    <definedName name="________sec5">#REF!</definedName>
    <definedName name="________sec55" localSheetId="0">#REF!</definedName>
    <definedName name="________sec55">#REF!</definedName>
    <definedName name="________SEC56" localSheetId="0">#REF!</definedName>
    <definedName name="________SEC56">#REF!</definedName>
    <definedName name="________sec6" localSheetId="0">#REF!</definedName>
    <definedName name="________sec6">#REF!</definedName>
    <definedName name="________sec66" localSheetId="0">#REF!</definedName>
    <definedName name="________sec66">#REF!</definedName>
    <definedName name="________SEC67" localSheetId="0">#REF!</definedName>
    <definedName name="________SEC67">#REF!</definedName>
    <definedName name="________sec7" localSheetId="0">#REF!</definedName>
    <definedName name="________sec7">#REF!</definedName>
    <definedName name="________sec71" localSheetId="0">#REF!</definedName>
    <definedName name="________sec71">#REF!</definedName>
    <definedName name="________SEC72" localSheetId="0">#REF!</definedName>
    <definedName name="________SEC72">#REF!</definedName>
    <definedName name="________SEC74" localSheetId="0">#REF!</definedName>
    <definedName name="________SEC74">#REF!</definedName>
    <definedName name="________SEC75" localSheetId="0">#REF!</definedName>
    <definedName name="________SEC75">#REF!</definedName>
    <definedName name="________SEC77" localSheetId="0">#REF!</definedName>
    <definedName name="________SEC77">#REF!</definedName>
    <definedName name="________sec777" localSheetId="0">#REF!</definedName>
    <definedName name="________sec777">#REF!</definedName>
    <definedName name="________sec78" localSheetId="0">#REF!</definedName>
    <definedName name="________sec78">#REF!</definedName>
    <definedName name="________sec79" localSheetId="0">#REF!</definedName>
    <definedName name="________sec79">#REF!</definedName>
    <definedName name="________sec8" localSheetId="0">#REF!</definedName>
    <definedName name="________sec8">#REF!</definedName>
    <definedName name="________sec81" localSheetId="0">#REF!</definedName>
    <definedName name="________sec81">#REF!</definedName>
    <definedName name="________SEC82" localSheetId="0">#REF!</definedName>
    <definedName name="________SEC82">#REF!</definedName>
    <definedName name="________SEC83" localSheetId="0">#REF!</definedName>
    <definedName name="________SEC83">#REF!</definedName>
    <definedName name="________SEC87" localSheetId="0">#REF!</definedName>
    <definedName name="________SEC87">#REF!</definedName>
    <definedName name="________SEC88" localSheetId="0">#REF!</definedName>
    <definedName name="________SEC88">#REF!</definedName>
    <definedName name="________sec888" localSheetId="0">#REF!</definedName>
    <definedName name="________sec888">#REF!</definedName>
    <definedName name="________sec89" localSheetId="0">#REF!</definedName>
    <definedName name="________sec89">#REF!</definedName>
    <definedName name="________sec899" localSheetId="0">#REF!</definedName>
    <definedName name="________sec899">#REF!</definedName>
    <definedName name="________SEC9" localSheetId="0">#REF!</definedName>
    <definedName name="________SEC9">#REF!</definedName>
    <definedName name="________SEC91" localSheetId="0">#REF!</definedName>
    <definedName name="________SEC91">#REF!</definedName>
    <definedName name="________SH1" localSheetId="0">#REF!</definedName>
    <definedName name="________SH1">#REF!</definedName>
    <definedName name="________SH2" localSheetId="0">#REF!</definedName>
    <definedName name="________SH2">#REF!</definedName>
    <definedName name="________SH3" localSheetId="0">#REF!</definedName>
    <definedName name="________SH3">#REF!</definedName>
    <definedName name="________SH4" localSheetId="0">#REF!</definedName>
    <definedName name="________SH4">#REF!</definedName>
    <definedName name="________SH5" localSheetId="0">#REF!</definedName>
    <definedName name="________SH5">#REF!</definedName>
    <definedName name="________SS2" localSheetId="0">#REF!</definedName>
    <definedName name="________SS2">#REF!</definedName>
    <definedName name="________tk1" localSheetId="0">#REF!</definedName>
    <definedName name="________tk1">#REF!</definedName>
    <definedName name="________xd1" localSheetId="0">#REF!</definedName>
    <definedName name="________xd1">#REF!</definedName>
    <definedName name="________XD2" localSheetId="0">#REF!</definedName>
    <definedName name="________XD2">#REF!</definedName>
    <definedName name="________xd3" localSheetId="0">#REF!</definedName>
    <definedName name="________xd3">#REF!</definedName>
    <definedName name="________xlnm.Print_Area_0_1" localSheetId="0">#REF!</definedName>
    <definedName name="________xlnm.Print_Area_0_1">#REF!</definedName>
    <definedName name="________xlnm.Print_Area_0_2" localSheetId="0">#REF!</definedName>
    <definedName name="________xlnm.Print_Area_0_2">#REF!</definedName>
    <definedName name="________xlnm.Print_Area_0_3">#REF!</definedName>
    <definedName name="________xlnm.Print_Area_0_5">#REF!</definedName>
    <definedName name="________xlnm.Print_Area_0_6">#REF!</definedName>
    <definedName name="________xlnm.Print_Area_1">#REF!</definedName>
    <definedName name="________xlnm.Print_Area_1_1">#REF!</definedName>
    <definedName name="________xlnm.Print_Area_2">#REF!</definedName>
    <definedName name="________xlnm.Print_Area_2_1">#REF!</definedName>
    <definedName name="________xlnm.Print_Area_3">#REF!</definedName>
    <definedName name="________xlnm.Print_Area_3_1">#REF!</definedName>
    <definedName name="________xlnm.Print_Area_5">#REF!</definedName>
    <definedName name="________xlnm.Print_Area_5_1">#REF!</definedName>
    <definedName name="________xlnm.Print_Area_6">#REF!</definedName>
    <definedName name="________xlnm.Print_Area_6_1">#REF!</definedName>
    <definedName name="________zz1" localSheetId="0">#REF!</definedName>
    <definedName name="________zz1">#REF!</definedName>
    <definedName name="_______a65537" localSheetId="0">#REF!</definedName>
    <definedName name="_______a65537">#REF!</definedName>
    <definedName name="_______A65555" localSheetId="0">#REF!</definedName>
    <definedName name="_______A65555">#REF!</definedName>
    <definedName name="_______A655600" localSheetId="0">#REF!</definedName>
    <definedName name="_______A655600">#REF!</definedName>
    <definedName name="_______A65658" localSheetId="0">#REF!</definedName>
    <definedName name="_______A65658">#REF!</definedName>
    <definedName name="_______aaa1" localSheetId="0">#REF!</definedName>
    <definedName name="_______aaa1">#REF!</definedName>
    <definedName name="_______aaa10" localSheetId="0">#REF!</definedName>
    <definedName name="_______aaa10">#REF!</definedName>
    <definedName name="_______aaa11" localSheetId="0">#REF!</definedName>
    <definedName name="_______aaa11">#REF!</definedName>
    <definedName name="_______AAA12" localSheetId="0">#REF!</definedName>
    <definedName name="_______AAA12">#REF!</definedName>
    <definedName name="_______AAA21" localSheetId="0">#REF!</definedName>
    <definedName name="_______AAA21">#REF!</definedName>
    <definedName name="_______aaa23" localSheetId="0">#REF!</definedName>
    <definedName name="_______aaa23">#REF!</definedName>
    <definedName name="_______aaa34" localSheetId="0">#REF!</definedName>
    <definedName name="_______aaa34">#REF!</definedName>
    <definedName name="_______aaa5" localSheetId="0">#REF!</definedName>
    <definedName name="_______aaa5">#REF!</definedName>
    <definedName name="_______AAA51" localSheetId="0">#REF!</definedName>
    <definedName name="_______AAA51">#REF!</definedName>
    <definedName name="_______AAA53" localSheetId="0">#REF!</definedName>
    <definedName name="_______AAA53">#REF!</definedName>
    <definedName name="_______aaa54" localSheetId="0">#REF!</definedName>
    <definedName name="_______aaa54">#REF!</definedName>
    <definedName name="_______aaa545" localSheetId="0">#REF!</definedName>
    <definedName name="_______aaa545">#REF!</definedName>
    <definedName name="_______aaa55" localSheetId="0">#REF!</definedName>
    <definedName name="_______aaa55">#REF!</definedName>
    <definedName name="_______aaa56" localSheetId="0">#REF!</definedName>
    <definedName name="_______aaa56">#REF!</definedName>
    <definedName name="_______AAA57" localSheetId="0">#REF!</definedName>
    <definedName name="_______AAA57">#REF!</definedName>
    <definedName name="_______aaa59" localSheetId="0">#REF!</definedName>
    <definedName name="_______aaa59">#REF!</definedName>
    <definedName name="_______AAA6" localSheetId="0">#REF!</definedName>
    <definedName name="_______AAA6">#REF!</definedName>
    <definedName name="_______AAA66" localSheetId="0">#REF!</definedName>
    <definedName name="_______AAA66">#REF!</definedName>
    <definedName name="_______AAA69" localSheetId="0">#REF!</definedName>
    <definedName name="_______AAA69">#REF!</definedName>
    <definedName name="_______AAA7" localSheetId="0">#REF!</definedName>
    <definedName name="_______AAA7">#REF!</definedName>
    <definedName name="_______AAD5" localSheetId="0">#REF!</definedName>
    <definedName name="_______AAD5">#REF!</definedName>
    <definedName name="_______aad55" localSheetId="0">#REF!</definedName>
    <definedName name="_______aad55">#REF!</definedName>
    <definedName name="_______AAD56" localSheetId="0">#REF!</definedName>
    <definedName name="_______AAD56">#REF!</definedName>
    <definedName name="_______AAD57" localSheetId="0">#REF!</definedName>
    <definedName name="_______AAD57">#REF!</definedName>
    <definedName name="_______ast1" localSheetId="0">#REF!</definedName>
    <definedName name="_______ast1">#REF!</definedName>
    <definedName name="_______ast2" localSheetId="0">#REF!</definedName>
    <definedName name="_______ast2">#REF!</definedName>
    <definedName name="_______b111121" localSheetId="0">#REF!</definedName>
    <definedName name="_______b111121">#REF!</definedName>
    <definedName name="_______bbb1" localSheetId="0">#REF!</definedName>
    <definedName name="_______bbb1">#REF!</definedName>
    <definedName name="_______bol1" localSheetId="0">#REF!</definedName>
    <definedName name="_______bol1">#REF!</definedName>
    <definedName name="_______can430">40.73</definedName>
    <definedName name="_______can435">43.3</definedName>
    <definedName name="_______ccc1" localSheetId="0">#REF!</definedName>
    <definedName name="_______ccc1">#REF!</definedName>
    <definedName name="_______COL14" localSheetId="0">#REF!</definedName>
    <definedName name="_______COL14">#REF!</definedName>
    <definedName name="_______COL15" localSheetId="0">#REF!</definedName>
    <definedName name="_______COL15">#REF!</definedName>
    <definedName name="_______COL16" localSheetId="0">#REF!</definedName>
    <definedName name="_______COL16">#REF!</definedName>
    <definedName name="_______Ctr10" localSheetId="0">#REF!</definedName>
    <definedName name="_______Ctr10">#REF!</definedName>
    <definedName name="_______D199617" localSheetId="0">#REF!</definedName>
    <definedName name="_______D199617">#REF!</definedName>
    <definedName name="_______ddd1" localSheetId="0">#REF!</definedName>
    <definedName name="_______ddd1">#REF!</definedName>
    <definedName name="_______eee1" localSheetId="0">#REF!</definedName>
    <definedName name="_______eee1">#REF!</definedName>
    <definedName name="_______exc1" localSheetId="0">#REF!</definedName>
    <definedName name="_______exc1">#REF!</definedName>
    <definedName name="_______exc11" localSheetId="0">#REF!</definedName>
    <definedName name="_______exc11">#REF!</definedName>
    <definedName name="_______exc2" localSheetId="0">#REF!</definedName>
    <definedName name="_______exc2">#REF!</definedName>
    <definedName name="_______EXC3" localSheetId="0">#REF!</definedName>
    <definedName name="_______EXC3">#REF!</definedName>
    <definedName name="_______EXC4" localSheetId="0">#REF!</definedName>
    <definedName name="_______EXC4">#REF!</definedName>
    <definedName name="_______fff1" localSheetId="0">#REF!</definedName>
    <definedName name="_______fff1">#REF!</definedName>
    <definedName name="_______flx200" localSheetId="0">#REF!</definedName>
    <definedName name="_______flx200">#REF!</definedName>
    <definedName name="_______flx250" localSheetId="0">#REF!</definedName>
    <definedName name="_______flx250">#REF!</definedName>
    <definedName name="_______flx300" localSheetId="0">#REF!</definedName>
    <definedName name="_______flx300">#REF!</definedName>
    <definedName name="_______foo1" localSheetId="0">#REF!</definedName>
    <definedName name="_______foo1">#REF!</definedName>
    <definedName name="_______foo2" localSheetId="0">#REF!</definedName>
    <definedName name="_______foo2">#REF!</definedName>
    <definedName name="_______foo3" localSheetId="0">#REF!</definedName>
    <definedName name="_______foo3">#REF!</definedName>
    <definedName name="_______FOO4" localSheetId="0">#REF!</definedName>
    <definedName name="_______FOO4">#REF!</definedName>
    <definedName name="_______ief1" localSheetId="0">#REF!</definedName>
    <definedName name="_______ief1">#REF!</definedName>
    <definedName name="_______ind1" localSheetId="0">#REF!</definedName>
    <definedName name="_______ind1">#REF!</definedName>
    <definedName name="_______IND11" localSheetId="0">#REF!</definedName>
    <definedName name="_______IND11">#REF!</definedName>
    <definedName name="_______IND31" localSheetId="0">#REF!</definedName>
    <definedName name="_______IND31">#REF!</definedName>
    <definedName name="_______IRS1" localSheetId="0">#REF!</definedName>
    <definedName name="_______IRS1">#REF!</definedName>
    <definedName name="_______jh78" localSheetId="0">#REF!</definedName>
    <definedName name="_______jh78">#REF!</definedName>
    <definedName name="_______Ki1" localSheetId="0">#REF!</definedName>
    <definedName name="_______Ki1">#REF!</definedName>
    <definedName name="_______Ki2" localSheetId="0">#REF!</definedName>
    <definedName name="_______Ki2">#REF!</definedName>
    <definedName name="_______KK1" localSheetId="0">#REF!</definedName>
    <definedName name="_______KK1">#REF!</definedName>
    <definedName name="_______KK2" localSheetId="0">#REF!</definedName>
    <definedName name="_______KK2">#REF!</definedName>
    <definedName name="_______kk3" localSheetId="0">#REF!</definedName>
    <definedName name="_______kk3">#REF!</definedName>
    <definedName name="_______kk4" localSheetId="0">#REF!</definedName>
    <definedName name="_______kk4">#REF!</definedName>
    <definedName name="_______lsc44" localSheetId="0">#REF!</definedName>
    <definedName name="_______lsc44">#REF!</definedName>
    <definedName name="_______MAN1" localSheetId="0">#REF!</definedName>
    <definedName name="_______MAN1">#REF!</definedName>
    <definedName name="_______MF1" localSheetId="0">#REF!</definedName>
    <definedName name="_______MF1">#REF!</definedName>
    <definedName name="_______MM1" localSheetId="0">#REF!</definedName>
    <definedName name="_______MM1">#REF!</definedName>
    <definedName name="_______MM2" localSheetId="0">#REF!</definedName>
    <definedName name="_______MM2">#REF!</definedName>
    <definedName name="_______NN1" localSheetId="0">#REF!</definedName>
    <definedName name="_______NN1">#REF!</definedName>
    <definedName name="_______PB1" localSheetId="0">#REF!</definedName>
    <definedName name="_______PB1">#REF!</definedName>
    <definedName name="_______pcc1" localSheetId="0">#REF!</definedName>
    <definedName name="_______pcc1">#REF!</definedName>
    <definedName name="_______pcc2" localSheetId="0">#REF!</definedName>
    <definedName name="_______pcc2">#REF!</definedName>
    <definedName name="_______pcc3" localSheetId="0">#REF!</definedName>
    <definedName name="_______pcc3">#REF!</definedName>
    <definedName name="_______PCC4" localSheetId="0">#REF!</definedName>
    <definedName name="_______PCC4">#REF!</definedName>
    <definedName name="_______plb1" localSheetId="0">#REF!</definedName>
    <definedName name="_______plb1">#REF!</definedName>
    <definedName name="_______plb2" localSheetId="0">#REF!</definedName>
    <definedName name="_______plb2">#REF!</definedName>
    <definedName name="_______plb3" localSheetId="0">#REF!</definedName>
    <definedName name="_______plb3">#REF!</definedName>
    <definedName name="_______plb4" localSheetId="0">#REF!</definedName>
    <definedName name="_______plb4">#REF!</definedName>
    <definedName name="_______RCC115">#REF!</definedName>
    <definedName name="_______RCC12">#REF!</definedName>
    <definedName name="_______S12" localSheetId="0">#REF!</definedName>
    <definedName name="_______S12">#REF!</definedName>
    <definedName name="_______sec1" localSheetId="0">#REF!</definedName>
    <definedName name="_______sec1">#REF!</definedName>
    <definedName name="_______sec111" localSheetId="0">#REF!</definedName>
    <definedName name="_______sec111">#REF!</definedName>
    <definedName name="_______SEC15" localSheetId="0">#REF!</definedName>
    <definedName name="_______SEC15">#REF!</definedName>
    <definedName name="_______Sec2" localSheetId="0">#REF!</definedName>
    <definedName name="_______Sec2">#REF!</definedName>
    <definedName name="_______sec22" localSheetId="0">#REF!</definedName>
    <definedName name="_______sec22">#REF!</definedName>
    <definedName name="_______SEC23" localSheetId="0">#REF!</definedName>
    <definedName name="_______SEC23">#REF!</definedName>
    <definedName name="_______SEC24" localSheetId="0">#REF!</definedName>
    <definedName name="_______SEC24">#REF!</definedName>
    <definedName name="_______sec3" localSheetId="0">#REF!</definedName>
    <definedName name="_______sec3">#REF!</definedName>
    <definedName name="_______SEC32" localSheetId="0">#REF!</definedName>
    <definedName name="_______SEC32">#REF!</definedName>
    <definedName name="_______sec33" localSheetId="0">#REF!</definedName>
    <definedName name="_______sec33">#REF!</definedName>
    <definedName name="_______Sec4" localSheetId="0">#REF!</definedName>
    <definedName name="_______Sec4">#REF!</definedName>
    <definedName name="_______sec45" localSheetId="0">#REF!</definedName>
    <definedName name="_______sec45">#REF!</definedName>
    <definedName name="_______SEC46" localSheetId="0">#REF!</definedName>
    <definedName name="_______SEC46">#REF!</definedName>
    <definedName name="_______sec5" localSheetId="0">#REF!</definedName>
    <definedName name="_______sec5">#REF!</definedName>
    <definedName name="_______sec55" localSheetId="0">#REF!</definedName>
    <definedName name="_______sec55">#REF!</definedName>
    <definedName name="_______SEC56" localSheetId="0">#REF!</definedName>
    <definedName name="_______SEC56">#REF!</definedName>
    <definedName name="_______sec6" localSheetId="0">#REF!</definedName>
    <definedName name="_______sec6">#REF!</definedName>
    <definedName name="_______sec66" localSheetId="0">#REF!</definedName>
    <definedName name="_______sec66">#REF!</definedName>
    <definedName name="_______SEC67" localSheetId="0">#REF!</definedName>
    <definedName name="_______SEC67">#REF!</definedName>
    <definedName name="_______sec7" localSheetId="0">#REF!</definedName>
    <definedName name="_______sec7">#REF!</definedName>
    <definedName name="_______sec71" localSheetId="0">#REF!</definedName>
    <definedName name="_______sec71">#REF!</definedName>
    <definedName name="_______SEC72" localSheetId="0">#REF!</definedName>
    <definedName name="_______SEC72">#REF!</definedName>
    <definedName name="_______SEC74" localSheetId="0">#REF!</definedName>
    <definedName name="_______SEC74">#REF!</definedName>
    <definedName name="_______SEC75" localSheetId="0">#REF!</definedName>
    <definedName name="_______SEC75">#REF!</definedName>
    <definedName name="_______SEC77" localSheetId="0">#REF!</definedName>
    <definedName name="_______SEC77">#REF!</definedName>
    <definedName name="_______sec777" localSheetId="0">#REF!</definedName>
    <definedName name="_______sec777">#REF!</definedName>
    <definedName name="_______sec78" localSheetId="0">#REF!</definedName>
    <definedName name="_______sec78">#REF!</definedName>
    <definedName name="_______sec79" localSheetId="0">#REF!</definedName>
    <definedName name="_______sec79">#REF!</definedName>
    <definedName name="_______sec8" localSheetId="0">#REF!</definedName>
    <definedName name="_______sec8">#REF!</definedName>
    <definedName name="_______sec81" localSheetId="0">#REF!</definedName>
    <definedName name="_______sec81">#REF!</definedName>
    <definedName name="_______SEC82" localSheetId="0">#REF!</definedName>
    <definedName name="_______SEC82">#REF!</definedName>
    <definedName name="_______SEC83" localSheetId="0">#REF!</definedName>
    <definedName name="_______SEC83">#REF!</definedName>
    <definedName name="_______SEC87" localSheetId="0">#REF!</definedName>
    <definedName name="_______SEC87">#REF!</definedName>
    <definedName name="_______SEC88" localSheetId="0">#REF!</definedName>
    <definedName name="_______SEC88">#REF!</definedName>
    <definedName name="_______sec888" localSheetId="0">#REF!</definedName>
    <definedName name="_______sec888">#REF!</definedName>
    <definedName name="_______sec89" localSheetId="0">#REF!</definedName>
    <definedName name="_______sec89">#REF!</definedName>
    <definedName name="_______sec899" localSheetId="0">#REF!</definedName>
    <definedName name="_______sec899">#REF!</definedName>
    <definedName name="_______SEC9" localSheetId="0">#REF!</definedName>
    <definedName name="_______SEC9">#REF!</definedName>
    <definedName name="_______SEC91" localSheetId="0">#REF!</definedName>
    <definedName name="_______SEC91">#REF!</definedName>
    <definedName name="_______SH1" localSheetId="0">#REF!</definedName>
    <definedName name="_______SH1">#REF!</definedName>
    <definedName name="_______SH2" localSheetId="0">#REF!</definedName>
    <definedName name="_______SH2">#REF!</definedName>
    <definedName name="_______SH3" localSheetId="0">#REF!</definedName>
    <definedName name="_______SH3">#REF!</definedName>
    <definedName name="_______SH4" localSheetId="0">#REF!</definedName>
    <definedName name="_______SH4">#REF!</definedName>
    <definedName name="_______SH5" localSheetId="0">#REF!</definedName>
    <definedName name="_______SH5">#REF!</definedName>
    <definedName name="_______SS2" localSheetId="0">#REF!</definedName>
    <definedName name="_______SS2">#REF!</definedName>
    <definedName name="_______TB2" localSheetId="0">#REF!</definedName>
    <definedName name="_______TB2">#REF!</definedName>
    <definedName name="_______tk1" localSheetId="0">#REF!</definedName>
    <definedName name="_______tk1">#REF!</definedName>
    <definedName name="_______xd1" localSheetId="0">#REF!</definedName>
    <definedName name="_______xd1">#REF!</definedName>
    <definedName name="_______XD2" localSheetId="0">#REF!</definedName>
    <definedName name="_______XD2">#REF!</definedName>
    <definedName name="_______xd3" localSheetId="0">#REF!</definedName>
    <definedName name="_______xd3">#REF!</definedName>
    <definedName name="_______xlnm.Print_Area_0_1">#REF!</definedName>
    <definedName name="_______xlnm.Print_Area_0_2">#REF!</definedName>
    <definedName name="_______xlnm.Print_Area_0_3">#REF!</definedName>
    <definedName name="_______xlnm.Print_Area_0_5">#REF!</definedName>
    <definedName name="_______xlnm.Print_Area_0_6">#REF!</definedName>
    <definedName name="_______xlnm.Print_Area_1">#REF!</definedName>
    <definedName name="_______xlnm.Print_Area_1_1">#REF!</definedName>
    <definedName name="_______xlnm.Print_Area_2">#REF!</definedName>
    <definedName name="_______xlnm.Print_Area_2_1">#REF!</definedName>
    <definedName name="_______xlnm.Print_Area_3">#REF!</definedName>
    <definedName name="_______xlnm.Print_Area_3_1">#REF!</definedName>
    <definedName name="_______xlnm.Print_Area_5">#REF!</definedName>
    <definedName name="_______xlnm.Print_Area_5_1">#REF!</definedName>
    <definedName name="_______xlnm.Print_Area_6">#REF!</definedName>
    <definedName name="_______xlnm.Print_Area_6_1">#REF!</definedName>
    <definedName name="_______zz1" localSheetId="0">#REF!</definedName>
    <definedName name="_______zz1">#REF!</definedName>
    <definedName name="______a65537" localSheetId="0">#REF!</definedName>
    <definedName name="______a65537">#REF!</definedName>
    <definedName name="______A65555" localSheetId="0">#REF!</definedName>
    <definedName name="______A65555">#REF!</definedName>
    <definedName name="______A655600" localSheetId="0">#REF!</definedName>
    <definedName name="______A655600">#REF!</definedName>
    <definedName name="______A65658" localSheetId="0">#REF!</definedName>
    <definedName name="______A65658">#REF!</definedName>
    <definedName name="______aaa1" localSheetId="0">#REF!</definedName>
    <definedName name="______aaa1">#REF!</definedName>
    <definedName name="______aaa10" localSheetId="0">#REF!</definedName>
    <definedName name="______aaa10">#REF!</definedName>
    <definedName name="______aaa11" localSheetId="0">#REF!</definedName>
    <definedName name="______aaa11">#REF!</definedName>
    <definedName name="______AAA12" localSheetId="0">#REF!</definedName>
    <definedName name="______AAA12">#REF!</definedName>
    <definedName name="______AAA21" localSheetId="0">#REF!</definedName>
    <definedName name="______AAA21">#REF!</definedName>
    <definedName name="______aaa23" localSheetId="0">#REF!</definedName>
    <definedName name="______aaa23">#REF!</definedName>
    <definedName name="______aaa34" localSheetId="0">#REF!</definedName>
    <definedName name="______aaa34">#REF!</definedName>
    <definedName name="______aaa5" localSheetId="0">#REF!</definedName>
    <definedName name="______aaa5">#REF!</definedName>
    <definedName name="______AAA51" localSheetId="0">#REF!</definedName>
    <definedName name="______AAA51">#REF!</definedName>
    <definedName name="______AAA53" localSheetId="0">#REF!</definedName>
    <definedName name="______AAA53">#REF!</definedName>
    <definedName name="______aaa54" localSheetId="0">#REF!</definedName>
    <definedName name="______aaa54">#REF!</definedName>
    <definedName name="______aaa545" localSheetId="0">#REF!</definedName>
    <definedName name="______aaa545">#REF!</definedName>
    <definedName name="______aaa55" localSheetId="0">#REF!</definedName>
    <definedName name="______aaa55">#REF!</definedName>
    <definedName name="______aaa56" localSheetId="0">#REF!</definedName>
    <definedName name="______aaa56">#REF!</definedName>
    <definedName name="______AAA57" localSheetId="0">#REF!</definedName>
    <definedName name="______AAA57">#REF!</definedName>
    <definedName name="______aaa59" localSheetId="0">#REF!</definedName>
    <definedName name="______aaa59">#REF!</definedName>
    <definedName name="______AAA6" localSheetId="0">#REF!</definedName>
    <definedName name="______AAA6">#REF!</definedName>
    <definedName name="______AAA66" localSheetId="0">#REF!</definedName>
    <definedName name="______AAA66">#REF!</definedName>
    <definedName name="______AAA69" localSheetId="0">#REF!</definedName>
    <definedName name="______AAA69">#REF!</definedName>
    <definedName name="______AAA7" localSheetId="0">#REF!</definedName>
    <definedName name="______AAA7">#REF!</definedName>
    <definedName name="______AAD5" localSheetId="0">#REF!</definedName>
    <definedName name="______AAD5">#REF!</definedName>
    <definedName name="______aad55" localSheetId="0">#REF!</definedName>
    <definedName name="______aad55">#REF!</definedName>
    <definedName name="______AAD56" localSheetId="0">#REF!</definedName>
    <definedName name="______AAD56">#REF!</definedName>
    <definedName name="______AAD57" localSheetId="0">#REF!</definedName>
    <definedName name="______AAD57">#REF!</definedName>
    <definedName name="______ast1" localSheetId="0">#REF!</definedName>
    <definedName name="______ast1">#REF!</definedName>
    <definedName name="______ast2" localSheetId="0">#REF!</definedName>
    <definedName name="______ast2">#REF!</definedName>
    <definedName name="______b111121" localSheetId="0">#REF!</definedName>
    <definedName name="______b111121">#REF!</definedName>
    <definedName name="______bbb1" localSheetId="0">#REF!</definedName>
    <definedName name="______bbb1">#REF!</definedName>
    <definedName name="______bol1" localSheetId="0">#REF!</definedName>
    <definedName name="______bol1">#REF!</definedName>
    <definedName name="______can430">40.73</definedName>
    <definedName name="______can435">43.3</definedName>
    <definedName name="______ccc1" localSheetId="0">#REF!</definedName>
    <definedName name="______ccc1">#REF!</definedName>
    <definedName name="______COL1" localSheetId="0">#REF!</definedName>
    <definedName name="______COL1">#REF!</definedName>
    <definedName name="______COL14" localSheetId="0">#REF!</definedName>
    <definedName name="______COL14">#REF!</definedName>
    <definedName name="______COL15" localSheetId="0">#REF!</definedName>
    <definedName name="______COL15">#REF!</definedName>
    <definedName name="______COL16" localSheetId="0">#REF!</definedName>
    <definedName name="______COL16">#REF!</definedName>
    <definedName name="______Ctr10" localSheetId="0">#REF!</definedName>
    <definedName name="______Ctr10">#REF!</definedName>
    <definedName name="______D199617" localSheetId="0">#REF!</definedName>
    <definedName name="______D199617">#REF!</definedName>
    <definedName name="______ddd1" localSheetId="0">#REF!</definedName>
    <definedName name="______ddd1">#REF!</definedName>
    <definedName name="______Doc1" localSheetId="0">#REF!</definedName>
    <definedName name="______Doc1">#REF!</definedName>
    <definedName name="______eee1" localSheetId="0">#REF!</definedName>
    <definedName name="______eee1">#REF!</definedName>
    <definedName name="______exc1" localSheetId="0">#REF!</definedName>
    <definedName name="______exc1">#REF!</definedName>
    <definedName name="______exc11" localSheetId="0">#REF!</definedName>
    <definedName name="______exc11">#REF!</definedName>
    <definedName name="______exc2" localSheetId="0">#REF!</definedName>
    <definedName name="______exc2">#REF!</definedName>
    <definedName name="______EXC3" localSheetId="0">#REF!</definedName>
    <definedName name="______EXC3">#REF!</definedName>
    <definedName name="______EXC4" localSheetId="0">#REF!</definedName>
    <definedName name="______EXC4">#REF!</definedName>
    <definedName name="______fff1" localSheetId="0">#REF!</definedName>
    <definedName name="______fff1">#REF!</definedName>
    <definedName name="______flx200" localSheetId="0">#REF!</definedName>
    <definedName name="______flx200">#REF!</definedName>
    <definedName name="______flx250" localSheetId="0">#REF!</definedName>
    <definedName name="______flx250">#REF!</definedName>
    <definedName name="______flx300" localSheetId="0">#REF!</definedName>
    <definedName name="______flx300">#REF!</definedName>
    <definedName name="______foo1" localSheetId="0">#REF!</definedName>
    <definedName name="______foo1">#REF!</definedName>
    <definedName name="______foo2" localSheetId="0">#REF!</definedName>
    <definedName name="______foo2">#REF!</definedName>
    <definedName name="______foo3" localSheetId="0">#REF!</definedName>
    <definedName name="______foo3">#REF!</definedName>
    <definedName name="______FOO4" localSheetId="0">#REF!</definedName>
    <definedName name="______FOO4">#REF!</definedName>
    <definedName name="______ief1" localSheetId="0">#REF!</definedName>
    <definedName name="______ief1">#REF!</definedName>
    <definedName name="______ind1" localSheetId="0">#REF!</definedName>
    <definedName name="______ind1">#REF!</definedName>
    <definedName name="______IND11" localSheetId="0">#REF!</definedName>
    <definedName name="______IND11">#REF!</definedName>
    <definedName name="______IND31" localSheetId="0">#REF!</definedName>
    <definedName name="______IND31">#REF!</definedName>
    <definedName name="______IRS1" localSheetId="0">#REF!</definedName>
    <definedName name="______IRS1">#REF!</definedName>
    <definedName name="______jh78" localSheetId="0">#REF!</definedName>
    <definedName name="______jh78">#REF!</definedName>
    <definedName name="______Ki1" localSheetId="0">#REF!</definedName>
    <definedName name="______Ki1">#REF!</definedName>
    <definedName name="______Ki2" localSheetId="0">#REF!</definedName>
    <definedName name="______Ki2">#REF!</definedName>
    <definedName name="______KK1" localSheetId="0">#REF!</definedName>
    <definedName name="______KK1">#REF!</definedName>
    <definedName name="______KK2" localSheetId="0">#REF!</definedName>
    <definedName name="______KK2">#REF!</definedName>
    <definedName name="______kk3" localSheetId="0">#REF!</definedName>
    <definedName name="______kk3">#REF!</definedName>
    <definedName name="______kk4" localSheetId="0">#REF!</definedName>
    <definedName name="______kk4">#REF!</definedName>
    <definedName name="______lsc44" localSheetId="0">#REF!</definedName>
    <definedName name="______lsc44">#REF!</definedName>
    <definedName name="______MAN1" localSheetId="0">#REF!</definedName>
    <definedName name="______MAN1">#REF!</definedName>
    <definedName name="______MF1" localSheetId="0">#REF!</definedName>
    <definedName name="______MF1">#REF!</definedName>
    <definedName name="______MM1" localSheetId="0">#REF!</definedName>
    <definedName name="______MM1">#REF!</definedName>
    <definedName name="______MM2" localSheetId="0">#REF!</definedName>
    <definedName name="______MM2">#REF!</definedName>
    <definedName name="______NN1" localSheetId="0">#REF!</definedName>
    <definedName name="______NN1">#REF!</definedName>
    <definedName name="______PB1" localSheetId="0">#REF!</definedName>
    <definedName name="______PB1">#REF!</definedName>
    <definedName name="______pcc1" localSheetId="0">#REF!</definedName>
    <definedName name="______pcc1">#REF!</definedName>
    <definedName name="______pcc2" localSheetId="0">#REF!</definedName>
    <definedName name="______pcc2">#REF!</definedName>
    <definedName name="______pcc3" localSheetId="0">#REF!</definedName>
    <definedName name="______pcc3">#REF!</definedName>
    <definedName name="______PCC4" localSheetId="0">#REF!</definedName>
    <definedName name="______PCC4">#REF!</definedName>
    <definedName name="______plb1" localSheetId="0">#REF!</definedName>
    <definedName name="______plb1">#REF!</definedName>
    <definedName name="______plb2" localSheetId="0">#REF!</definedName>
    <definedName name="______plb2">#REF!</definedName>
    <definedName name="______plb3" localSheetId="0">#REF!</definedName>
    <definedName name="______plb3">#REF!</definedName>
    <definedName name="______plb4" localSheetId="0">#REF!</definedName>
    <definedName name="______plb4">#REF!</definedName>
    <definedName name="______rab20" localSheetId="0">#REF!</definedName>
    <definedName name="______rab20">#REF!</definedName>
    <definedName name="______RCC115">#REF!</definedName>
    <definedName name="______RCC12">#REF!</definedName>
    <definedName name="______S12" localSheetId="0">#REF!</definedName>
    <definedName name="______S12">#REF!</definedName>
    <definedName name="______sec1" localSheetId="0">#REF!</definedName>
    <definedName name="______sec1">#REF!</definedName>
    <definedName name="______sec111" localSheetId="0">#REF!</definedName>
    <definedName name="______sec111">#REF!</definedName>
    <definedName name="______SEC15" localSheetId="0">#REF!</definedName>
    <definedName name="______SEC15">#REF!</definedName>
    <definedName name="______Sec2" localSheetId="0">#REF!</definedName>
    <definedName name="______Sec2">#REF!</definedName>
    <definedName name="______sec22" localSheetId="0">#REF!</definedName>
    <definedName name="______sec22">#REF!</definedName>
    <definedName name="______SEC23" localSheetId="0">#REF!</definedName>
    <definedName name="______SEC23">#REF!</definedName>
    <definedName name="______sec3" localSheetId="0">#REF!</definedName>
    <definedName name="______sec3">#REF!</definedName>
    <definedName name="______SEC32" localSheetId="0">#REF!</definedName>
    <definedName name="______SEC32">#REF!</definedName>
    <definedName name="______sec33" localSheetId="0">#REF!</definedName>
    <definedName name="______sec33">#REF!</definedName>
    <definedName name="______Sec4" localSheetId="0">#REF!</definedName>
    <definedName name="______Sec4">#REF!</definedName>
    <definedName name="______sec45" localSheetId="0">#REF!</definedName>
    <definedName name="______sec45">#REF!</definedName>
    <definedName name="______SEC46" localSheetId="0">#REF!</definedName>
    <definedName name="______SEC46">#REF!</definedName>
    <definedName name="______sec5" localSheetId="0">#REF!</definedName>
    <definedName name="______sec5">#REF!</definedName>
    <definedName name="______sec55" localSheetId="0">#REF!</definedName>
    <definedName name="______sec55">#REF!</definedName>
    <definedName name="______SEC56" localSheetId="0">#REF!</definedName>
    <definedName name="______SEC56">#REF!</definedName>
    <definedName name="______sec6" localSheetId="0">#REF!</definedName>
    <definedName name="______sec6">#REF!</definedName>
    <definedName name="______sec66" localSheetId="0">#REF!</definedName>
    <definedName name="______sec66">#REF!</definedName>
    <definedName name="______SEC67" localSheetId="0">#REF!</definedName>
    <definedName name="______SEC67">#REF!</definedName>
    <definedName name="______sec7" localSheetId="0">#REF!</definedName>
    <definedName name="______sec7">#REF!</definedName>
    <definedName name="______sec71" localSheetId="0">#REF!</definedName>
    <definedName name="______sec71">#REF!</definedName>
    <definedName name="______SEC72" localSheetId="0">#REF!</definedName>
    <definedName name="______SEC72">#REF!</definedName>
    <definedName name="______SEC74" localSheetId="0">#REF!</definedName>
    <definedName name="______SEC74">#REF!</definedName>
    <definedName name="______SEC75" localSheetId="0">#REF!</definedName>
    <definedName name="______SEC75">#REF!</definedName>
    <definedName name="______SEC77" localSheetId="0">#REF!</definedName>
    <definedName name="______SEC77">#REF!</definedName>
    <definedName name="______sec777" localSheetId="0">#REF!</definedName>
    <definedName name="______sec777">#REF!</definedName>
    <definedName name="______sec78" localSheetId="0">#REF!</definedName>
    <definedName name="______sec78">#REF!</definedName>
    <definedName name="______sec79" localSheetId="0">#REF!</definedName>
    <definedName name="______sec79">#REF!</definedName>
    <definedName name="______sec8" localSheetId="0">#REF!</definedName>
    <definedName name="______sec8">#REF!</definedName>
    <definedName name="______sec81" localSheetId="0">#REF!</definedName>
    <definedName name="______sec81">#REF!</definedName>
    <definedName name="______SEC82" localSheetId="0">#REF!</definedName>
    <definedName name="______SEC82">#REF!</definedName>
    <definedName name="______SEC83" localSheetId="0">#REF!</definedName>
    <definedName name="______SEC83">#REF!</definedName>
    <definedName name="______SEC87" localSheetId="0">#REF!</definedName>
    <definedName name="______SEC87">#REF!</definedName>
    <definedName name="______SEC88" localSheetId="0">#REF!</definedName>
    <definedName name="______SEC88">#REF!</definedName>
    <definedName name="______sec888" localSheetId="0">#REF!</definedName>
    <definedName name="______sec888">#REF!</definedName>
    <definedName name="______sec89" localSheetId="0">#REF!</definedName>
    <definedName name="______sec89">#REF!</definedName>
    <definedName name="______sec899" localSheetId="0">#REF!</definedName>
    <definedName name="______sec899">#REF!</definedName>
    <definedName name="______SEC9" localSheetId="0">#REF!</definedName>
    <definedName name="______SEC9">#REF!</definedName>
    <definedName name="______SEC91" localSheetId="0">#REF!</definedName>
    <definedName name="______SEC91">#REF!</definedName>
    <definedName name="______SH1" localSheetId="0">#REF!</definedName>
    <definedName name="______SH1">#REF!</definedName>
    <definedName name="______SH2" localSheetId="0">#REF!</definedName>
    <definedName name="______SH2">#REF!</definedName>
    <definedName name="______SH3" localSheetId="0">#REF!</definedName>
    <definedName name="______SH3">#REF!</definedName>
    <definedName name="______SH4" localSheetId="0">#REF!</definedName>
    <definedName name="______SH4">#REF!</definedName>
    <definedName name="______SH5" localSheetId="0">#REF!</definedName>
    <definedName name="______SH5">#REF!</definedName>
    <definedName name="______SS2" localSheetId="0">#REF!</definedName>
    <definedName name="______SS2">#REF!</definedName>
    <definedName name="______tk1" localSheetId="0">#REF!</definedName>
    <definedName name="______tk1">#REF!</definedName>
    <definedName name="______xd1" localSheetId="0">#REF!</definedName>
    <definedName name="______xd1">#REF!</definedName>
    <definedName name="______XD2" localSheetId="0">#REF!</definedName>
    <definedName name="______XD2">#REF!</definedName>
    <definedName name="______xd3" localSheetId="0">#REF!</definedName>
    <definedName name="______xd3">#REF!</definedName>
    <definedName name="______xlnm.Print_Area_0_1">#REF!</definedName>
    <definedName name="______xlnm.Print_Area_0_2">#REF!</definedName>
    <definedName name="______xlnm.Print_Area_0_3">#REF!</definedName>
    <definedName name="______xlnm.Print_Area_0_5">#REF!</definedName>
    <definedName name="______xlnm.Print_Area_0_6">#REF!</definedName>
    <definedName name="______xlnm.Print_Area_1">#REF!</definedName>
    <definedName name="______xlnm.Print_Area_1_1">#REF!</definedName>
    <definedName name="______xlnm.Print_Area_2">#REF!</definedName>
    <definedName name="______xlnm.Print_Area_2_1">#REF!</definedName>
    <definedName name="______xlnm.Print_Area_3">#REF!</definedName>
    <definedName name="______xlnm.Print_Area_3_1">#REF!</definedName>
    <definedName name="______xlnm.Print_Area_5">#REF!</definedName>
    <definedName name="______xlnm.Print_Area_5_1">#REF!</definedName>
    <definedName name="______xlnm.Print_Area_6">#REF!</definedName>
    <definedName name="______xlnm.Print_Area_6_1">#REF!</definedName>
    <definedName name="______zz1" localSheetId="0">#REF!</definedName>
    <definedName name="______zz1">#REF!</definedName>
    <definedName name="_____a1" localSheetId="0">#REF!</definedName>
    <definedName name="_____a1">#REF!</definedName>
    <definedName name="_____A2" localSheetId="0">#REF!</definedName>
    <definedName name="_____A2">#REF!</definedName>
    <definedName name="_____a65537" localSheetId="0">#REF!</definedName>
    <definedName name="_____a65537">#REF!</definedName>
    <definedName name="_____A65555" localSheetId="0">#REF!</definedName>
    <definedName name="_____A65555">#REF!</definedName>
    <definedName name="_____A655600" localSheetId="0">#REF!</definedName>
    <definedName name="_____A655600">#REF!</definedName>
    <definedName name="_____A65658" localSheetId="0">#REF!</definedName>
    <definedName name="_____A65658">#REF!</definedName>
    <definedName name="_____a999999" localSheetId="0">#REF!</definedName>
    <definedName name="_____a999999">#REF!</definedName>
    <definedName name="_____aaa1" localSheetId="0">#REF!</definedName>
    <definedName name="_____aaa1">#REF!</definedName>
    <definedName name="_____aaa10" localSheetId="0">#REF!</definedName>
    <definedName name="_____aaa10">#REF!</definedName>
    <definedName name="_____aaa11" localSheetId="0">#REF!</definedName>
    <definedName name="_____aaa11">#REF!</definedName>
    <definedName name="_____AAA12" localSheetId="0">#REF!</definedName>
    <definedName name="_____AAA12">#REF!</definedName>
    <definedName name="_____AAA21" localSheetId="0">#REF!</definedName>
    <definedName name="_____AAA21">#REF!</definedName>
    <definedName name="_____aaa23" localSheetId="0">#REF!</definedName>
    <definedName name="_____aaa23">#REF!</definedName>
    <definedName name="_____aaa34" localSheetId="0">#REF!</definedName>
    <definedName name="_____aaa34">#REF!</definedName>
    <definedName name="_____aaa5" localSheetId="0">#REF!</definedName>
    <definedName name="_____aaa5">#REF!</definedName>
    <definedName name="_____AAA51" localSheetId="0">#REF!</definedName>
    <definedName name="_____AAA51">#REF!</definedName>
    <definedName name="_____AAA53" localSheetId="0">#REF!</definedName>
    <definedName name="_____AAA53">#REF!</definedName>
    <definedName name="_____aaa54" localSheetId="0">#REF!</definedName>
    <definedName name="_____aaa54">#REF!</definedName>
    <definedName name="_____aaa545" localSheetId="0">#REF!</definedName>
    <definedName name="_____aaa545">#REF!</definedName>
    <definedName name="_____aaa55" localSheetId="0">#REF!</definedName>
    <definedName name="_____aaa55">#REF!</definedName>
    <definedName name="_____aaa56" localSheetId="0">#REF!</definedName>
    <definedName name="_____aaa56">#REF!</definedName>
    <definedName name="_____AAA57" localSheetId="0">#REF!</definedName>
    <definedName name="_____AAA57">#REF!</definedName>
    <definedName name="_____aaa59" localSheetId="0">#REF!</definedName>
    <definedName name="_____aaa59">#REF!</definedName>
    <definedName name="_____AAA6" localSheetId="0">#REF!</definedName>
    <definedName name="_____AAA6">#REF!</definedName>
    <definedName name="_____AAA66" localSheetId="0">#REF!</definedName>
    <definedName name="_____AAA66">#REF!</definedName>
    <definedName name="_____AAA69" localSheetId="0">#REF!</definedName>
    <definedName name="_____AAA69">#REF!</definedName>
    <definedName name="_____AAA7" localSheetId="0">#REF!</definedName>
    <definedName name="_____AAA7">#REF!</definedName>
    <definedName name="_____aad55" localSheetId="0">#REF!</definedName>
    <definedName name="_____aad55">#REF!</definedName>
    <definedName name="_____AAD56" localSheetId="0">#REF!</definedName>
    <definedName name="_____AAD56">#REF!</definedName>
    <definedName name="_____AAD57" localSheetId="0">#REF!</definedName>
    <definedName name="_____AAD57">#REF!</definedName>
    <definedName name="_____ast1" localSheetId="0">#REF!</definedName>
    <definedName name="_____ast1">#REF!</definedName>
    <definedName name="_____ast2" localSheetId="0">#REF!</definedName>
    <definedName name="_____ast2">#REF!</definedName>
    <definedName name="_____b111121" localSheetId="0">#REF!</definedName>
    <definedName name="_____b111121">#REF!</definedName>
    <definedName name="_____bbb1" localSheetId="0">#REF!</definedName>
    <definedName name="_____bbb1">#REF!</definedName>
    <definedName name="_____bol1" localSheetId="0">#REF!</definedName>
    <definedName name="_____bol1">#REF!</definedName>
    <definedName name="_____can430">40.73</definedName>
    <definedName name="_____can435">43.3</definedName>
    <definedName name="_____ccc1" localSheetId="0">#REF!</definedName>
    <definedName name="_____ccc1">#REF!</definedName>
    <definedName name="_____COL1" localSheetId="0">#REF!</definedName>
    <definedName name="_____COL1">#REF!</definedName>
    <definedName name="_____COL14" localSheetId="0">#REF!</definedName>
    <definedName name="_____COL14">#REF!</definedName>
    <definedName name="_____COL15" localSheetId="0">#REF!</definedName>
    <definedName name="_____COL15">#REF!</definedName>
    <definedName name="_____COL16" localSheetId="0">#REF!</definedName>
    <definedName name="_____COL16">#REF!</definedName>
    <definedName name="_____Ctr10" localSheetId="0">#REF!</definedName>
    <definedName name="_____Ctr10">#REF!</definedName>
    <definedName name="_____D199617" localSheetId="0">#REF!</definedName>
    <definedName name="_____D199617">#REF!</definedName>
    <definedName name="_____ddd1" localSheetId="0">#REF!</definedName>
    <definedName name="_____ddd1">#REF!</definedName>
    <definedName name="_____Doc1" localSheetId="0">#REF!</definedName>
    <definedName name="_____Doc1">#REF!</definedName>
    <definedName name="_____eee1" localSheetId="0">#REF!</definedName>
    <definedName name="_____eee1">#REF!</definedName>
    <definedName name="_____esc1" localSheetId="0">#REF!</definedName>
    <definedName name="_____esc1">#REF!</definedName>
    <definedName name="_____exc1" localSheetId="0">#REF!</definedName>
    <definedName name="_____exc1">#REF!</definedName>
    <definedName name="_____exc11" localSheetId="0">#REF!</definedName>
    <definedName name="_____exc11">#REF!</definedName>
    <definedName name="_____exc2" localSheetId="0">#REF!</definedName>
    <definedName name="_____exc2">#REF!</definedName>
    <definedName name="_____EXC3" localSheetId="0">#REF!</definedName>
    <definedName name="_____EXC3">#REF!</definedName>
    <definedName name="_____EXC4" localSheetId="0">#REF!</definedName>
    <definedName name="_____EXC4">#REF!</definedName>
    <definedName name="_____fff1" localSheetId="0">#REF!</definedName>
    <definedName name="_____fff1">#REF!</definedName>
    <definedName name="_____flx200" localSheetId="0">#REF!</definedName>
    <definedName name="_____flx200">#REF!</definedName>
    <definedName name="_____flx250" localSheetId="0">#REF!</definedName>
    <definedName name="_____flx250">#REF!</definedName>
    <definedName name="_____flx300" localSheetId="0">#REF!</definedName>
    <definedName name="_____flx300">#REF!</definedName>
    <definedName name="_____foo1" localSheetId="0">#REF!</definedName>
    <definedName name="_____foo1">#REF!</definedName>
    <definedName name="_____foo2" localSheetId="0">#REF!</definedName>
    <definedName name="_____foo2">#REF!</definedName>
    <definedName name="_____foo3" localSheetId="0">#REF!</definedName>
    <definedName name="_____foo3">#REF!</definedName>
    <definedName name="_____FOO4" localSheetId="0">#REF!</definedName>
    <definedName name="_____FOO4">#REF!</definedName>
    <definedName name="_____ief1" localSheetId="0">#REF!</definedName>
    <definedName name="_____ief1">#REF!</definedName>
    <definedName name="_____ind1" localSheetId="0">#REF!</definedName>
    <definedName name="_____ind1">#REF!</definedName>
    <definedName name="_____IND11" localSheetId="0">#REF!</definedName>
    <definedName name="_____IND11">#REF!</definedName>
    <definedName name="_____IND31" localSheetId="0">#REF!</definedName>
    <definedName name="_____IND31">#REF!</definedName>
    <definedName name="_____IRS1" localSheetId="0">#REF!</definedName>
    <definedName name="_____IRS1">#REF!</definedName>
    <definedName name="_____jh78" localSheetId="0">#REF!</definedName>
    <definedName name="_____jh78">#REF!</definedName>
    <definedName name="_____Ki1" localSheetId="0">#REF!</definedName>
    <definedName name="_____Ki1">#REF!</definedName>
    <definedName name="_____Ki2" localSheetId="0">#REF!</definedName>
    <definedName name="_____Ki2">#REF!</definedName>
    <definedName name="_____KK1" localSheetId="0">#REF!</definedName>
    <definedName name="_____KK1">#REF!</definedName>
    <definedName name="_____KK2" localSheetId="0">#REF!</definedName>
    <definedName name="_____KK2">#REF!</definedName>
    <definedName name="_____kk3" localSheetId="0">#REF!</definedName>
    <definedName name="_____kk3">#REF!</definedName>
    <definedName name="_____kk4" localSheetId="0">#REF!</definedName>
    <definedName name="_____kk4">#REF!</definedName>
    <definedName name="_____lsc44" localSheetId="0">#REF!</definedName>
    <definedName name="_____lsc44">#REF!</definedName>
    <definedName name="_____MAN1" localSheetId="0">#REF!</definedName>
    <definedName name="_____MAN1">#REF!</definedName>
    <definedName name="_____MF1" localSheetId="0">#REF!</definedName>
    <definedName name="_____MF1">#REF!</definedName>
    <definedName name="_____mix1" localSheetId="0">#REF!</definedName>
    <definedName name="_____mix1">#REF!</definedName>
    <definedName name="_____mix2" localSheetId="0">#REF!</definedName>
    <definedName name="_____mix2">#REF!</definedName>
    <definedName name="_____miy1" localSheetId="0">#REF!</definedName>
    <definedName name="_____miy1">#REF!</definedName>
    <definedName name="_____miy2" localSheetId="0">#REF!</definedName>
    <definedName name="_____miy2">#REF!</definedName>
    <definedName name="_____MM1" localSheetId="0">#REF!</definedName>
    <definedName name="_____MM1">#REF!</definedName>
    <definedName name="_____MM2" localSheetId="0">#REF!</definedName>
    <definedName name="_____MM2">#REF!</definedName>
    <definedName name="_____mnk1" localSheetId="0">#REF!</definedName>
    <definedName name="_____mnk1">#REF!</definedName>
    <definedName name="_____mux1" localSheetId="0">#REF!</definedName>
    <definedName name="_____mux1">#REF!</definedName>
    <definedName name="_____muy1" localSheetId="0">#REF!</definedName>
    <definedName name="_____muy1">#REF!</definedName>
    <definedName name="_____NN1" localSheetId="0">#REF!</definedName>
    <definedName name="_____NN1">#REF!</definedName>
    <definedName name="_____pan1" localSheetId="0">#REF!</definedName>
    <definedName name="_____pan1">#REF!</definedName>
    <definedName name="_____PAN2" localSheetId="0">#REF!</definedName>
    <definedName name="_____PAN2">#REF!</definedName>
    <definedName name="_____PB1" localSheetId="0">#REF!</definedName>
    <definedName name="_____PB1">#REF!</definedName>
    <definedName name="_____pcc1" localSheetId="0">#REF!</definedName>
    <definedName name="_____pcc1">#REF!</definedName>
    <definedName name="_____pcc2" localSheetId="0">#REF!</definedName>
    <definedName name="_____pcc2">#REF!</definedName>
    <definedName name="_____pcc3" localSheetId="0">#REF!</definedName>
    <definedName name="_____pcc3">#REF!</definedName>
    <definedName name="_____PCC4" localSheetId="0">#REF!</definedName>
    <definedName name="_____PCC4">#REF!</definedName>
    <definedName name="_____plb1" localSheetId="0">#REF!</definedName>
    <definedName name="_____plb1">#REF!</definedName>
    <definedName name="_____plb2" localSheetId="0">#REF!</definedName>
    <definedName name="_____plb2">#REF!</definedName>
    <definedName name="_____plb3" localSheetId="0">#REF!</definedName>
    <definedName name="_____plb3">#REF!</definedName>
    <definedName name="_____plb4" localSheetId="0">#REF!</definedName>
    <definedName name="_____plb4">#REF!</definedName>
    <definedName name="_____rab20" localSheetId="0">#REF!</definedName>
    <definedName name="_____rab20">#REF!</definedName>
    <definedName name="_____RCC115">#REF!</definedName>
    <definedName name="_____RCC12">#REF!</definedName>
    <definedName name="_____Re1" localSheetId="0">#REF!</definedName>
    <definedName name="_____Re1">#REF!</definedName>
    <definedName name="_____rr87">#REF!</definedName>
    <definedName name="_____Rs1" localSheetId="0">#REF!</definedName>
    <definedName name="_____Rs1">#REF!</definedName>
    <definedName name="_____S12" localSheetId="0">#REF!</definedName>
    <definedName name="_____S12">#REF!</definedName>
    <definedName name="_____s41" localSheetId="0" hidden="1">{"form-D1",#N/A,FALSE,"FORM-D1";"form-D1_amt",#N/A,FALSE,"FORM-D1"}</definedName>
    <definedName name="_____s41" hidden="1">{"form-D1",#N/A,FALSE,"FORM-D1";"form-D1_amt",#N/A,FALSE,"FORM-D1"}</definedName>
    <definedName name="_____s41_1" localSheetId="0" hidden="1">{"form-D1",#N/A,FALSE,"FORM-D1";"form-D1_amt",#N/A,FALSE,"FORM-D1"}</definedName>
    <definedName name="_____s41_1" hidden="1">{"form-D1",#N/A,FALSE,"FORM-D1";"form-D1_amt",#N/A,FALSE,"FORM-D1"}</definedName>
    <definedName name="_____sec1" localSheetId="0">#REF!</definedName>
    <definedName name="_____sec1">#REF!</definedName>
    <definedName name="_____sec111" localSheetId="0">#REF!</definedName>
    <definedName name="_____sec111">#REF!</definedName>
    <definedName name="_____SEC15" localSheetId="0">#REF!</definedName>
    <definedName name="_____SEC15">#REF!</definedName>
    <definedName name="_____Sec2" localSheetId="0">#REF!</definedName>
    <definedName name="_____Sec2">#REF!</definedName>
    <definedName name="_____sec22" localSheetId="0">#REF!</definedName>
    <definedName name="_____sec22">#REF!</definedName>
    <definedName name="_____SEC23" localSheetId="0">#REF!</definedName>
    <definedName name="_____SEC23">#REF!</definedName>
    <definedName name="_____SEC24" localSheetId="0">#REF!</definedName>
    <definedName name="_____SEC24">#REF!</definedName>
    <definedName name="_____sec3" localSheetId="0">#REF!</definedName>
    <definedName name="_____sec3">#REF!</definedName>
    <definedName name="_____SEC32" localSheetId="0">#REF!</definedName>
    <definedName name="_____SEC32">#REF!</definedName>
    <definedName name="_____sec33" localSheetId="0">#REF!</definedName>
    <definedName name="_____sec33">#REF!</definedName>
    <definedName name="_____Sec4" localSheetId="0">#REF!</definedName>
    <definedName name="_____Sec4">#REF!</definedName>
    <definedName name="_____sec45" localSheetId="0">#REF!</definedName>
    <definedName name="_____sec45">#REF!</definedName>
    <definedName name="_____SEC46" localSheetId="0">#REF!</definedName>
    <definedName name="_____SEC46">#REF!</definedName>
    <definedName name="_____sec5" localSheetId="0">#REF!</definedName>
    <definedName name="_____sec5">#REF!</definedName>
    <definedName name="_____sec55" localSheetId="0">#REF!</definedName>
    <definedName name="_____sec55">#REF!</definedName>
    <definedName name="_____SEC56" localSheetId="0">#REF!</definedName>
    <definedName name="_____SEC56">#REF!</definedName>
    <definedName name="_____sec6" localSheetId="0">#REF!</definedName>
    <definedName name="_____sec6">#REF!</definedName>
    <definedName name="_____sec66" localSheetId="0">#REF!</definedName>
    <definedName name="_____sec66">#REF!</definedName>
    <definedName name="_____SEC67" localSheetId="0">#REF!</definedName>
    <definedName name="_____SEC67">#REF!</definedName>
    <definedName name="_____sec7" localSheetId="0">#REF!</definedName>
    <definedName name="_____sec7">#REF!</definedName>
    <definedName name="_____sec71" localSheetId="0">#REF!</definedName>
    <definedName name="_____sec71">#REF!</definedName>
    <definedName name="_____SEC72" localSheetId="0">#REF!</definedName>
    <definedName name="_____SEC72">#REF!</definedName>
    <definedName name="_____SEC74" localSheetId="0">#REF!</definedName>
    <definedName name="_____SEC74">#REF!</definedName>
    <definedName name="_____SEC75" localSheetId="0">#REF!</definedName>
    <definedName name="_____SEC75">#REF!</definedName>
    <definedName name="_____SEC77" localSheetId="0">#REF!</definedName>
    <definedName name="_____SEC77">#REF!</definedName>
    <definedName name="_____sec777" localSheetId="0">#REF!</definedName>
    <definedName name="_____sec777">#REF!</definedName>
    <definedName name="_____sec78" localSheetId="0">#REF!</definedName>
    <definedName name="_____sec78">#REF!</definedName>
    <definedName name="_____sec79" localSheetId="0">#REF!</definedName>
    <definedName name="_____sec79">#REF!</definedName>
    <definedName name="_____sec8" localSheetId="0">#REF!</definedName>
    <definedName name="_____sec8">#REF!</definedName>
    <definedName name="_____sec81" localSheetId="0">#REF!</definedName>
    <definedName name="_____sec81">#REF!</definedName>
    <definedName name="_____SEC82" localSheetId="0">#REF!</definedName>
    <definedName name="_____SEC82">#REF!</definedName>
    <definedName name="_____SEC83" localSheetId="0">#REF!</definedName>
    <definedName name="_____SEC83">#REF!</definedName>
    <definedName name="_____SEC87" localSheetId="0">#REF!</definedName>
    <definedName name="_____SEC87">#REF!</definedName>
    <definedName name="_____SEC88" localSheetId="0">#REF!</definedName>
    <definedName name="_____SEC88">#REF!</definedName>
    <definedName name="_____sec888" localSheetId="0">#REF!</definedName>
    <definedName name="_____sec888">#REF!</definedName>
    <definedName name="_____sec89" localSheetId="0">#REF!</definedName>
    <definedName name="_____sec89">#REF!</definedName>
    <definedName name="_____sec899" localSheetId="0">#REF!</definedName>
    <definedName name="_____sec899">#REF!</definedName>
    <definedName name="_____SEC9" localSheetId="0">#REF!</definedName>
    <definedName name="_____SEC9">#REF!</definedName>
    <definedName name="_____SEC91" localSheetId="0">#REF!</definedName>
    <definedName name="_____SEC91">#REF!</definedName>
    <definedName name="_____SH1" localSheetId="0">#REF!</definedName>
    <definedName name="_____SH1">#REF!</definedName>
    <definedName name="_____SH2" localSheetId="0">#REF!</definedName>
    <definedName name="_____SH2">#REF!</definedName>
    <definedName name="_____SH3" localSheetId="0">#REF!</definedName>
    <definedName name="_____SH3">#REF!</definedName>
    <definedName name="_____SH4" localSheetId="0">#REF!</definedName>
    <definedName name="_____SH4">#REF!</definedName>
    <definedName name="_____SH5" localSheetId="0">#REF!</definedName>
    <definedName name="_____SH5">#REF!</definedName>
    <definedName name="_____ss2" localSheetId="0">#REF!</definedName>
    <definedName name="_____ss2">#REF!</definedName>
    <definedName name="_____tk1" localSheetId="0">#REF!</definedName>
    <definedName name="_____tk1">#REF!</definedName>
    <definedName name="_____xd1" localSheetId="0">#REF!</definedName>
    <definedName name="_____xd1">#REF!</definedName>
    <definedName name="_____XD2" localSheetId="0">#REF!</definedName>
    <definedName name="_____XD2">#REF!</definedName>
    <definedName name="_____xd3" localSheetId="0">#REF!</definedName>
    <definedName name="_____xd3">#REF!</definedName>
    <definedName name="_____xlnm.Print_Area_0_1">#REF!</definedName>
    <definedName name="_____xlnm.Print_Area_0_2">#REF!</definedName>
    <definedName name="_____xlnm.Print_Area_0_3">#REF!</definedName>
    <definedName name="_____xlnm.Print_Area_0_5">#REF!</definedName>
    <definedName name="_____xlnm.Print_Area_0_6">#REF!</definedName>
    <definedName name="_____xlnm.Print_Area_1">#REF!</definedName>
    <definedName name="_____xlnm.Print_Area_1_1">#REF!</definedName>
    <definedName name="_____xlnm.Print_Area_2">#REF!</definedName>
    <definedName name="_____xlnm.Print_Area_2_1">#REF!</definedName>
    <definedName name="_____xlnm.Print_Area_3">#REF!</definedName>
    <definedName name="_____xlnm.Print_Area_3_1">#REF!</definedName>
    <definedName name="_____xlnm.Print_Area_5">#REF!</definedName>
    <definedName name="_____xlnm.Print_Area_5_1">#REF!</definedName>
    <definedName name="_____xlnm.Print_Area_6">#REF!</definedName>
    <definedName name="_____xlnm.Print_Area_6_1">#REF!</definedName>
    <definedName name="_____zz1" localSheetId="0">#REF!</definedName>
    <definedName name="_____zz1">#REF!</definedName>
    <definedName name="____a1" localSheetId="0">#REF!</definedName>
    <definedName name="____a1">#REF!</definedName>
    <definedName name="____A2" localSheetId="0">#REF!</definedName>
    <definedName name="____A2">#REF!</definedName>
    <definedName name="____a65537" localSheetId="0">#REF!</definedName>
    <definedName name="____a65537">#REF!</definedName>
    <definedName name="____A65555" localSheetId="0">#REF!</definedName>
    <definedName name="____A65555">#REF!</definedName>
    <definedName name="____A655600" localSheetId="0">#REF!</definedName>
    <definedName name="____A655600">#REF!</definedName>
    <definedName name="____A65658" localSheetId="0">#REF!</definedName>
    <definedName name="____A65658">#REF!</definedName>
    <definedName name="____a999999" localSheetId="0">#REF!</definedName>
    <definedName name="____a999999">#REF!</definedName>
    <definedName name="____aaa1" localSheetId="0">#REF!</definedName>
    <definedName name="____aaa1">#REF!</definedName>
    <definedName name="____aaa10" localSheetId="0">#REF!</definedName>
    <definedName name="____aaa10">#REF!</definedName>
    <definedName name="____aaa11" localSheetId="0">#REF!</definedName>
    <definedName name="____aaa11">#REF!</definedName>
    <definedName name="____AAA12" localSheetId="0">#REF!</definedName>
    <definedName name="____AAA12">#REF!</definedName>
    <definedName name="____AAA21" localSheetId="0">#REF!</definedName>
    <definedName name="____AAA21">#REF!</definedName>
    <definedName name="____aaa23" localSheetId="0">#REF!</definedName>
    <definedName name="____aaa23">#REF!</definedName>
    <definedName name="____aaa34" localSheetId="0">#REF!</definedName>
    <definedName name="____aaa34">#REF!</definedName>
    <definedName name="____aaa5" localSheetId="0">#REF!</definedName>
    <definedName name="____aaa5">#REF!</definedName>
    <definedName name="____AAA53" localSheetId="0">#REF!</definedName>
    <definedName name="____AAA53">#REF!</definedName>
    <definedName name="____aaa54" localSheetId="0">#REF!</definedName>
    <definedName name="____aaa54">#REF!</definedName>
    <definedName name="____aaa545" localSheetId="0">#REF!</definedName>
    <definedName name="____aaa545">#REF!</definedName>
    <definedName name="____aaa55" localSheetId="0">#REF!</definedName>
    <definedName name="____aaa55">#REF!</definedName>
    <definedName name="____aaa56" localSheetId="0">#REF!</definedName>
    <definedName name="____aaa56">#REF!</definedName>
    <definedName name="____AAA57" localSheetId="0">#REF!</definedName>
    <definedName name="____AAA57">#REF!</definedName>
    <definedName name="____aaa59" localSheetId="0">#REF!</definedName>
    <definedName name="____aaa59">#REF!</definedName>
    <definedName name="____AAA66" localSheetId="0">#REF!</definedName>
    <definedName name="____AAA66">#REF!</definedName>
    <definedName name="____AAA69" localSheetId="0">#REF!</definedName>
    <definedName name="____AAA69">#REF!</definedName>
    <definedName name="____aad55" localSheetId="0">#REF!</definedName>
    <definedName name="____aad55">#REF!</definedName>
    <definedName name="____AAD56" localSheetId="0">#REF!</definedName>
    <definedName name="____AAD56">#REF!</definedName>
    <definedName name="____AAD57" localSheetId="0">#REF!</definedName>
    <definedName name="____AAD57">#REF!</definedName>
    <definedName name="____ast1" localSheetId="0">#REF!</definedName>
    <definedName name="____ast1">#REF!</definedName>
    <definedName name="____ast2" localSheetId="0">#REF!</definedName>
    <definedName name="____ast2">#REF!</definedName>
    <definedName name="____b111121" localSheetId="0">#REF!</definedName>
    <definedName name="____b111121">#REF!</definedName>
    <definedName name="____bbb1" localSheetId="0">#REF!</definedName>
    <definedName name="____bbb1">#REF!</definedName>
    <definedName name="____bol1" localSheetId="0">#REF!</definedName>
    <definedName name="____bol1">#REF!</definedName>
    <definedName name="____can430">40.73</definedName>
    <definedName name="____can435">43.3</definedName>
    <definedName name="____ccc1" localSheetId="0">#REF!</definedName>
    <definedName name="____ccc1">#REF!</definedName>
    <definedName name="____COL1" localSheetId="0">#REF!</definedName>
    <definedName name="____COL1">#REF!</definedName>
    <definedName name="____COL14" localSheetId="0">#REF!</definedName>
    <definedName name="____COL14">#REF!</definedName>
    <definedName name="____COL15" localSheetId="0">#REF!</definedName>
    <definedName name="____COL15">#REF!</definedName>
    <definedName name="____COL16" localSheetId="0">#REF!</definedName>
    <definedName name="____COL16">#REF!</definedName>
    <definedName name="____Ctr10" localSheetId="0">#REF!</definedName>
    <definedName name="____Ctr10">#REF!</definedName>
    <definedName name="____D199617" localSheetId="0">#REF!</definedName>
    <definedName name="____D199617">#REF!</definedName>
    <definedName name="____ddd1" localSheetId="0">#REF!</definedName>
    <definedName name="____ddd1">#REF!</definedName>
    <definedName name="____eee1" localSheetId="0">#REF!</definedName>
    <definedName name="____eee1">#REF!</definedName>
    <definedName name="____esc1" localSheetId="0">#REF!</definedName>
    <definedName name="____esc1">#REF!</definedName>
    <definedName name="____exc1" localSheetId="0">#REF!</definedName>
    <definedName name="____exc1">#REF!</definedName>
    <definedName name="____exc11" localSheetId="0">#REF!</definedName>
    <definedName name="____exc11">#REF!</definedName>
    <definedName name="____exc2" localSheetId="0">#REF!</definedName>
    <definedName name="____exc2">#REF!</definedName>
    <definedName name="____EXC3" localSheetId="0">#REF!</definedName>
    <definedName name="____EXC3">#REF!</definedName>
    <definedName name="____EXC4" localSheetId="0">#REF!</definedName>
    <definedName name="____EXC4">#REF!</definedName>
    <definedName name="____fff1" localSheetId="0">#REF!</definedName>
    <definedName name="____fff1">#REF!</definedName>
    <definedName name="____flx200" localSheetId="0">#REF!</definedName>
    <definedName name="____flx200">#REF!</definedName>
    <definedName name="____flx250" localSheetId="0">#REF!</definedName>
    <definedName name="____flx250">#REF!</definedName>
    <definedName name="____flx300" localSheetId="0">#REF!</definedName>
    <definedName name="____flx300">#REF!</definedName>
    <definedName name="____foo1" localSheetId="0">#REF!</definedName>
    <definedName name="____foo1">#REF!</definedName>
    <definedName name="____foo2" localSheetId="0">#REF!</definedName>
    <definedName name="____foo2">#REF!</definedName>
    <definedName name="____foo3" localSheetId="0">#REF!</definedName>
    <definedName name="____foo3">#REF!</definedName>
    <definedName name="____FOO4" localSheetId="0">#REF!</definedName>
    <definedName name="____FOO4">#REF!</definedName>
    <definedName name="____ief1" localSheetId="0">#REF!</definedName>
    <definedName name="____ief1">#REF!</definedName>
    <definedName name="____ind1" localSheetId="0">#REF!</definedName>
    <definedName name="____ind1">#REF!</definedName>
    <definedName name="____IND11" localSheetId="0">#REF!</definedName>
    <definedName name="____IND11">#REF!</definedName>
    <definedName name="____IND31" localSheetId="0">#REF!</definedName>
    <definedName name="____IND31">#REF!</definedName>
    <definedName name="____IRS1" localSheetId="0">#REF!</definedName>
    <definedName name="____IRS1">#REF!</definedName>
    <definedName name="____jh78" localSheetId="0">#REF!</definedName>
    <definedName name="____jh78">#REF!</definedName>
    <definedName name="____Ki1" localSheetId="0">#REF!</definedName>
    <definedName name="____Ki1">#REF!</definedName>
    <definedName name="____Ki2" localSheetId="0">#REF!</definedName>
    <definedName name="____Ki2">#REF!</definedName>
    <definedName name="____KK1" localSheetId="0">#REF!</definedName>
    <definedName name="____KK1">#REF!</definedName>
    <definedName name="____KK2" localSheetId="0">#REF!</definedName>
    <definedName name="____KK2">#REF!</definedName>
    <definedName name="____kk3" localSheetId="0">#REF!</definedName>
    <definedName name="____kk3">#REF!</definedName>
    <definedName name="____kk4" localSheetId="0">#REF!</definedName>
    <definedName name="____kk4">#REF!</definedName>
    <definedName name="____lsc44" localSheetId="0">#REF!</definedName>
    <definedName name="____lsc44">#REF!</definedName>
    <definedName name="____MAN1" localSheetId="0">#REF!</definedName>
    <definedName name="____MAN1">#REF!</definedName>
    <definedName name="____MF1" localSheetId="0">#REF!</definedName>
    <definedName name="____MF1">#REF!</definedName>
    <definedName name="____mix1" localSheetId="0">#REF!</definedName>
    <definedName name="____mix1">#REF!</definedName>
    <definedName name="____mix2" localSheetId="0">#REF!</definedName>
    <definedName name="____mix2">#REF!</definedName>
    <definedName name="____miy1" localSheetId="0">#REF!</definedName>
    <definedName name="____miy1">#REF!</definedName>
    <definedName name="____miy2" localSheetId="0">#REF!</definedName>
    <definedName name="____miy2">#REF!</definedName>
    <definedName name="____MM1" localSheetId="0">#REF!</definedName>
    <definedName name="____MM1">#REF!</definedName>
    <definedName name="____MM2" localSheetId="0">#REF!</definedName>
    <definedName name="____MM2">#REF!</definedName>
    <definedName name="____mnk1" localSheetId="0">#REF!</definedName>
    <definedName name="____mnk1">#REF!</definedName>
    <definedName name="____mux1" localSheetId="0">#REF!</definedName>
    <definedName name="____mux1">#REF!</definedName>
    <definedName name="____muy1" localSheetId="0">#REF!</definedName>
    <definedName name="____muy1">#REF!</definedName>
    <definedName name="____NN1" localSheetId="0">#REF!</definedName>
    <definedName name="____NN1">#REF!</definedName>
    <definedName name="____ns1" localSheetId="0" hidden="1">{#N/A,#N/A,FALSE,"COVER1.XLS ";#N/A,#N/A,FALSE,"RACT1.XLS";#N/A,#N/A,FALSE,"RACT2.XLS";#N/A,#N/A,FALSE,"ECCMP";#N/A,#N/A,FALSE,"WELDER.XLS"}</definedName>
    <definedName name="____ns1" hidden="1">{#N/A,#N/A,FALSE,"COVER1.XLS ";#N/A,#N/A,FALSE,"RACT1.XLS";#N/A,#N/A,FALSE,"RACT2.XLS";#N/A,#N/A,FALSE,"ECCMP";#N/A,#N/A,FALSE,"WELDER.XLS"}</definedName>
    <definedName name="____pan1" localSheetId="0">#REF!</definedName>
    <definedName name="____pan1">#REF!</definedName>
    <definedName name="____PAN2" localSheetId="0">#REF!</definedName>
    <definedName name="____PAN2">#REF!</definedName>
    <definedName name="____PB1" localSheetId="0">#REF!</definedName>
    <definedName name="____PB1">#REF!</definedName>
    <definedName name="____pcc1" localSheetId="0">#REF!</definedName>
    <definedName name="____pcc1">#REF!</definedName>
    <definedName name="____pcc2" localSheetId="0">#REF!</definedName>
    <definedName name="____pcc2">#REF!</definedName>
    <definedName name="____pcc3" localSheetId="0">#REF!</definedName>
    <definedName name="____pcc3">#REF!</definedName>
    <definedName name="____PCC4" localSheetId="0">#REF!</definedName>
    <definedName name="____PCC4">#REF!</definedName>
    <definedName name="____plb1" localSheetId="0">#REF!</definedName>
    <definedName name="____plb1">#REF!</definedName>
    <definedName name="____plb2" localSheetId="0">#REF!</definedName>
    <definedName name="____plb2">#REF!</definedName>
    <definedName name="____plb3" localSheetId="0">#REF!</definedName>
    <definedName name="____plb3">#REF!</definedName>
    <definedName name="____plb4" localSheetId="0">#REF!</definedName>
    <definedName name="____plb4">#REF!</definedName>
    <definedName name="____rab20" localSheetId="0">#REF!</definedName>
    <definedName name="____rab20">#REF!</definedName>
    <definedName name="____RCC115">#REF!</definedName>
    <definedName name="____RCC12">#REF!</definedName>
    <definedName name="____Re1" localSheetId="0">#REF!</definedName>
    <definedName name="____Re1">#REF!</definedName>
    <definedName name="____rr87">#REF!</definedName>
    <definedName name="____Rs1" localSheetId="0">#REF!</definedName>
    <definedName name="____Rs1">#REF!</definedName>
    <definedName name="____S12" localSheetId="0">#REF!</definedName>
    <definedName name="____S12">#REF!</definedName>
    <definedName name="____s41" localSheetId="0" hidden="1">{"form-D1",#N/A,FALSE,"FORM-D1";"form-D1_amt",#N/A,FALSE,"FORM-D1"}</definedName>
    <definedName name="____s41" hidden="1">{"form-D1",#N/A,FALSE,"FORM-D1";"form-D1_amt",#N/A,FALSE,"FORM-D1"}</definedName>
    <definedName name="____s41_1" localSheetId="0" hidden="1">{"form-D1",#N/A,FALSE,"FORM-D1";"form-D1_amt",#N/A,FALSE,"FORM-D1"}</definedName>
    <definedName name="____s41_1" hidden="1">{"form-D1",#N/A,FALSE,"FORM-D1";"form-D1_amt",#N/A,FALSE,"FORM-D1"}</definedName>
    <definedName name="____sec1" localSheetId="0">#REF!</definedName>
    <definedName name="____sec1">#REF!</definedName>
    <definedName name="____sec111" localSheetId="0">#REF!</definedName>
    <definedName name="____sec111">#REF!</definedName>
    <definedName name="____SEC15" localSheetId="0">#REF!</definedName>
    <definedName name="____SEC15">#REF!</definedName>
    <definedName name="____Sec2" localSheetId="0">#REF!</definedName>
    <definedName name="____Sec2">#REF!</definedName>
    <definedName name="____sec22" localSheetId="0">#REF!</definedName>
    <definedName name="____sec22">#REF!</definedName>
    <definedName name="____SEC23" localSheetId="0">#REF!</definedName>
    <definedName name="____SEC23">#REF!</definedName>
    <definedName name="____SEC24" localSheetId="0">#REF!</definedName>
    <definedName name="____SEC24">#REF!</definedName>
    <definedName name="____sec3" localSheetId="0">#REF!</definedName>
    <definedName name="____sec3">#REF!</definedName>
    <definedName name="____SEC32" localSheetId="0">#REF!</definedName>
    <definedName name="____SEC32">#REF!</definedName>
    <definedName name="____sec33" localSheetId="0">#REF!</definedName>
    <definedName name="____sec33">#REF!</definedName>
    <definedName name="____Sec4" localSheetId="0">#REF!</definedName>
    <definedName name="____Sec4">#REF!</definedName>
    <definedName name="____sec45" localSheetId="0">#REF!</definedName>
    <definedName name="____sec45">#REF!</definedName>
    <definedName name="____SEC46" localSheetId="0">#REF!</definedName>
    <definedName name="____SEC46">#REF!</definedName>
    <definedName name="____sec5" localSheetId="0">#REF!</definedName>
    <definedName name="____sec5">#REF!</definedName>
    <definedName name="____sec55" localSheetId="0">#REF!</definedName>
    <definedName name="____sec55">#REF!</definedName>
    <definedName name="____SEC56" localSheetId="0">#REF!</definedName>
    <definedName name="____SEC56">#REF!</definedName>
    <definedName name="____sec6" localSheetId="0">#REF!</definedName>
    <definedName name="____sec6">#REF!</definedName>
    <definedName name="____sec66" localSheetId="0">#REF!</definedName>
    <definedName name="____sec66">#REF!</definedName>
    <definedName name="____SEC67" localSheetId="0">#REF!</definedName>
    <definedName name="____SEC67">#REF!</definedName>
    <definedName name="____sec7" localSheetId="0">#REF!</definedName>
    <definedName name="____sec7">#REF!</definedName>
    <definedName name="____sec71" localSheetId="0">#REF!</definedName>
    <definedName name="____sec71">#REF!</definedName>
    <definedName name="____SEC72" localSheetId="0">#REF!</definedName>
    <definedName name="____SEC72">#REF!</definedName>
    <definedName name="____SEC74" localSheetId="0">#REF!</definedName>
    <definedName name="____SEC74">#REF!</definedName>
    <definedName name="____SEC75" localSheetId="0">#REF!</definedName>
    <definedName name="____SEC75">#REF!</definedName>
    <definedName name="____SEC77" localSheetId="0">#REF!</definedName>
    <definedName name="____SEC77">#REF!</definedName>
    <definedName name="____sec777" localSheetId="0">#REF!</definedName>
    <definedName name="____sec777">#REF!</definedName>
    <definedName name="____sec78" localSheetId="0">#REF!</definedName>
    <definedName name="____sec78">#REF!</definedName>
    <definedName name="____sec79" localSheetId="0">#REF!</definedName>
    <definedName name="____sec79">#REF!</definedName>
    <definedName name="____sec8" localSheetId="0">#REF!</definedName>
    <definedName name="____sec8">#REF!</definedName>
    <definedName name="____sec81" localSheetId="0">#REF!</definedName>
    <definedName name="____sec81">#REF!</definedName>
    <definedName name="____SEC82" localSheetId="0">#REF!</definedName>
    <definedName name="____SEC82">#REF!</definedName>
    <definedName name="____SEC83" localSheetId="0">#REF!</definedName>
    <definedName name="____SEC83">#REF!</definedName>
    <definedName name="____SEC87" localSheetId="0">#REF!</definedName>
    <definedName name="____SEC87">#REF!</definedName>
    <definedName name="____SEC88" localSheetId="0">#REF!</definedName>
    <definedName name="____SEC88">#REF!</definedName>
    <definedName name="____sec888" localSheetId="0">#REF!</definedName>
    <definedName name="____sec888">#REF!</definedName>
    <definedName name="____sec89" localSheetId="0">#REF!</definedName>
    <definedName name="____sec89">#REF!</definedName>
    <definedName name="____sec899" localSheetId="0">#REF!</definedName>
    <definedName name="____sec899">#REF!</definedName>
    <definedName name="____SEC9" localSheetId="0">#REF!</definedName>
    <definedName name="____SEC9">#REF!</definedName>
    <definedName name="____SEC91" localSheetId="0">#REF!</definedName>
    <definedName name="____SEC91">#REF!</definedName>
    <definedName name="____SH1" localSheetId="0">#REF!</definedName>
    <definedName name="____SH1">#REF!</definedName>
    <definedName name="____SH2" localSheetId="0">#REF!</definedName>
    <definedName name="____SH2">#REF!</definedName>
    <definedName name="____SH3" localSheetId="0">#REF!</definedName>
    <definedName name="____SH3">#REF!</definedName>
    <definedName name="____SH4" localSheetId="0">#REF!</definedName>
    <definedName name="____SH4">#REF!</definedName>
    <definedName name="____SH5" localSheetId="0">#REF!</definedName>
    <definedName name="____SH5">#REF!</definedName>
    <definedName name="____ss2" localSheetId="0">#REF!</definedName>
    <definedName name="____ss2">#REF!</definedName>
    <definedName name="____TB2" localSheetId="0">#REF!</definedName>
    <definedName name="____TB2">#REF!</definedName>
    <definedName name="____tk1" localSheetId="0">#REF!</definedName>
    <definedName name="____tk1">#REF!</definedName>
    <definedName name="____xd1" localSheetId="0">#REF!</definedName>
    <definedName name="____xd1">#REF!</definedName>
    <definedName name="____XD2" localSheetId="0">#REF!</definedName>
    <definedName name="____XD2">#REF!</definedName>
    <definedName name="____xd3" localSheetId="0">#REF!</definedName>
    <definedName name="____xd3">#REF!</definedName>
    <definedName name="____xlnm.Print_Area_0_1">#REF!</definedName>
    <definedName name="____xlnm.Print_Area_0_2">#REF!</definedName>
    <definedName name="____xlnm.Print_Area_0_3">#REF!</definedName>
    <definedName name="____xlnm.Print_Area_0_5">#REF!</definedName>
    <definedName name="____xlnm.Print_Area_0_6">#REF!</definedName>
    <definedName name="____xlnm.Print_Area_1">#REF!</definedName>
    <definedName name="____xlnm.Print_Area_1_1">#REF!</definedName>
    <definedName name="____xlnm.Print_Area_2">#REF!</definedName>
    <definedName name="____xlnm.Print_Area_2_1">#REF!</definedName>
    <definedName name="____xlnm.Print_Area_3">#REF!</definedName>
    <definedName name="____xlnm.Print_Area_3_1">#REF!</definedName>
    <definedName name="____xlnm.Print_Area_5">#REF!</definedName>
    <definedName name="____xlnm.Print_Area_5_1">#REF!</definedName>
    <definedName name="____xlnm.Print_Area_6">#REF!</definedName>
    <definedName name="____xlnm.Print_Area_6_1">#REF!</definedName>
    <definedName name="____zz1" localSheetId="0">#REF!</definedName>
    <definedName name="____zz1">#REF!</definedName>
    <definedName name="___a1" localSheetId="0">#REF!</definedName>
    <definedName name="___a1">#REF!</definedName>
    <definedName name="___A2" localSheetId="0">#REF!</definedName>
    <definedName name="___A2">#REF!</definedName>
    <definedName name="___a65537" localSheetId="0">#REF!</definedName>
    <definedName name="___a65537">#REF!</definedName>
    <definedName name="___A65555" localSheetId="0">#REF!</definedName>
    <definedName name="___A65555">#REF!</definedName>
    <definedName name="___A655600" localSheetId="0">#REF!</definedName>
    <definedName name="___A655600">#REF!</definedName>
    <definedName name="___A65658" localSheetId="0">#REF!</definedName>
    <definedName name="___A65658">#REF!</definedName>
    <definedName name="___a999999" localSheetId="0">#REF!</definedName>
    <definedName name="___a999999">#REF!</definedName>
    <definedName name="___aaa1" localSheetId="0">#REF!</definedName>
    <definedName name="___aaa1">#REF!</definedName>
    <definedName name="___aaa10" localSheetId="0">#REF!</definedName>
    <definedName name="___aaa10">#REF!</definedName>
    <definedName name="___aaa11" localSheetId="0">#REF!</definedName>
    <definedName name="___aaa11">#REF!</definedName>
    <definedName name="___AAA12" localSheetId="0">#REF!</definedName>
    <definedName name="___AAA12">#REF!</definedName>
    <definedName name="___AAA21" localSheetId="0">#REF!</definedName>
    <definedName name="___AAA21">#REF!</definedName>
    <definedName name="___aaa23" localSheetId="0">#REF!</definedName>
    <definedName name="___aaa23">#REF!</definedName>
    <definedName name="___aaa34" localSheetId="0">#REF!</definedName>
    <definedName name="___aaa34">#REF!</definedName>
    <definedName name="___aaa5" localSheetId="0">#REF!</definedName>
    <definedName name="___aaa5">#REF!</definedName>
    <definedName name="___AAA53" localSheetId="0">#REF!</definedName>
    <definedName name="___AAA53">#REF!</definedName>
    <definedName name="___aaa54" localSheetId="0">#REF!</definedName>
    <definedName name="___aaa54">#REF!</definedName>
    <definedName name="___aaa545" localSheetId="0">#REF!</definedName>
    <definedName name="___aaa545">#REF!</definedName>
    <definedName name="___aaa55" localSheetId="0">#REF!</definedName>
    <definedName name="___aaa55">#REF!</definedName>
    <definedName name="___aaa56" localSheetId="0">#REF!</definedName>
    <definedName name="___aaa56">#REF!</definedName>
    <definedName name="___AAA57" localSheetId="0">#REF!</definedName>
    <definedName name="___AAA57">#REF!</definedName>
    <definedName name="___aaa59" localSheetId="0">#REF!</definedName>
    <definedName name="___aaa59">#REF!</definedName>
    <definedName name="___AAA66" localSheetId="0">#REF!</definedName>
    <definedName name="___AAA66">#REF!</definedName>
    <definedName name="___AAA69" localSheetId="0">#REF!</definedName>
    <definedName name="___AAA69">#REF!</definedName>
    <definedName name="___AAD5" localSheetId="0">#REF!</definedName>
    <definedName name="___AAD5">#REF!</definedName>
    <definedName name="___aad55" localSheetId="0">#REF!</definedName>
    <definedName name="___aad55">#REF!</definedName>
    <definedName name="___AAD56" localSheetId="0">#REF!</definedName>
    <definedName name="___AAD56">#REF!</definedName>
    <definedName name="___AAD57" localSheetId="0">#REF!</definedName>
    <definedName name="___AAD57">#REF!</definedName>
    <definedName name="___ast1" localSheetId="0">#REF!</definedName>
    <definedName name="___ast1">#REF!</definedName>
    <definedName name="___ast2" localSheetId="0">#REF!</definedName>
    <definedName name="___ast2">#REF!</definedName>
    <definedName name="___b111121" localSheetId="0">#REF!</definedName>
    <definedName name="___b111121">#REF!</definedName>
    <definedName name="___bbb1" localSheetId="0">#REF!</definedName>
    <definedName name="___bbb1">#REF!</definedName>
    <definedName name="___bol1" localSheetId="0">#REF!</definedName>
    <definedName name="___bol1">#REF!</definedName>
    <definedName name="___can430">40.73</definedName>
    <definedName name="___can435">43.3</definedName>
    <definedName name="___ccc1" localSheetId="0">#REF!</definedName>
    <definedName name="___ccc1">#REF!</definedName>
    <definedName name="___COL1" localSheetId="0">#REF!</definedName>
    <definedName name="___COL1">#REF!</definedName>
    <definedName name="___COL14" localSheetId="0">#REF!</definedName>
    <definedName name="___COL14">#REF!</definedName>
    <definedName name="___COL15" localSheetId="0">#REF!</definedName>
    <definedName name="___COL15">#REF!</definedName>
    <definedName name="___COL16" localSheetId="0">#REF!</definedName>
    <definedName name="___COL16">#REF!</definedName>
    <definedName name="___Ctr10" localSheetId="0">#REF!</definedName>
    <definedName name="___Ctr10">#REF!</definedName>
    <definedName name="___D199617" localSheetId="0">#REF!</definedName>
    <definedName name="___D199617">#REF!</definedName>
    <definedName name="___ddd1" localSheetId="0">#REF!</definedName>
    <definedName name="___ddd1">#REF!</definedName>
    <definedName name="___dk1" localSheetId="0" hidden="1">{#N/A,#N/A,FALSE,"COVER.XLS";#N/A,#N/A,FALSE,"RACT1.XLS";#N/A,#N/A,FALSE,"RACT2.XLS";#N/A,#N/A,FALSE,"ECCMP";#N/A,#N/A,FALSE,"WELDER.XLS"}</definedName>
    <definedName name="___dk1" hidden="1">{#N/A,#N/A,FALSE,"COVER.XLS";#N/A,#N/A,FALSE,"RACT1.XLS";#N/A,#N/A,FALSE,"RACT2.XLS";#N/A,#N/A,FALSE,"ECCMP";#N/A,#N/A,FALSE,"WELDER.XLS"}</definedName>
    <definedName name="___Doc1" localSheetId="0">#REF!</definedName>
    <definedName name="___Doc1">#REF!</definedName>
    <definedName name="___eee1" localSheetId="0">#REF!</definedName>
    <definedName name="___eee1">#REF!</definedName>
    <definedName name="___esc1" localSheetId="0">#REF!</definedName>
    <definedName name="___esc1">#REF!</definedName>
    <definedName name="___exc1" localSheetId="0">#REF!</definedName>
    <definedName name="___exc1">#REF!</definedName>
    <definedName name="___exc11" localSheetId="0">#REF!</definedName>
    <definedName name="___exc11">#REF!</definedName>
    <definedName name="___exc2" localSheetId="0">#REF!</definedName>
    <definedName name="___exc2">#REF!</definedName>
    <definedName name="___EXC3" localSheetId="0">#REF!</definedName>
    <definedName name="___EXC3">#REF!</definedName>
    <definedName name="___EXC4" localSheetId="0">#REF!</definedName>
    <definedName name="___EXC4">#REF!</definedName>
    <definedName name="___fco2" localSheetId="0" hidden="1">{#N/A,#N/A,FALSE,"gc (2)"}</definedName>
    <definedName name="___fco2" hidden="1">{#N/A,#N/A,FALSE,"gc (2)"}</definedName>
    <definedName name="___fff1" localSheetId="0">#REF!</definedName>
    <definedName name="___fff1">#REF!</definedName>
    <definedName name="___flx200" localSheetId="0">#REF!</definedName>
    <definedName name="___flx200">#REF!</definedName>
    <definedName name="___flx250" localSheetId="0">#REF!</definedName>
    <definedName name="___flx250">#REF!</definedName>
    <definedName name="___flx300" localSheetId="0">#REF!</definedName>
    <definedName name="___flx300">#REF!</definedName>
    <definedName name="___foo1" localSheetId="0">#REF!</definedName>
    <definedName name="___foo1">#REF!</definedName>
    <definedName name="___foo2" localSheetId="0">#REF!</definedName>
    <definedName name="___foo2">#REF!</definedName>
    <definedName name="___foo3" localSheetId="0">#REF!</definedName>
    <definedName name="___foo3">#REF!</definedName>
    <definedName name="___FOO4" localSheetId="0">#REF!</definedName>
    <definedName name="___FOO4">#REF!</definedName>
    <definedName name="___hp10" localSheetId="0"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ief1" localSheetId="0">#REF!</definedName>
    <definedName name="___ief1">#REF!</definedName>
    <definedName name="___ind1" localSheetId="0">#REF!</definedName>
    <definedName name="___ind1">#REF!</definedName>
    <definedName name="___IND11" localSheetId="0">#REF!</definedName>
    <definedName name="___IND11">#REF!</definedName>
    <definedName name="___IND31" localSheetId="0">#REF!</definedName>
    <definedName name="___IND31">#REF!</definedName>
    <definedName name="___IRS1" localSheetId="0">#REF!</definedName>
    <definedName name="___IRS1">#REF!</definedName>
    <definedName name="___jh78" localSheetId="0">#REF!</definedName>
    <definedName name="___jh78">#REF!</definedName>
    <definedName name="___key2" localSheetId="0" hidden="1">#REF!</definedName>
    <definedName name="___key2" hidden="1">#REF!</definedName>
    <definedName name="___Ki1" localSheetId="0">#REF!</definedName>
    <definedName name="___Ki1">#REF!</definedName>
    <definedName name="___Ki2" localSheetId="0">#REF!</definedName>
    <definedName name="___Ki2">#REF!</definedName>
    <definedName name="___KK1" localSheetId="0">#REF!</definedName>
    <definedName name="___KK1">#REF!</definedName>
    <definedName name="___KK2" localSheetId="0">#REF!</definedName>
    <definedName name="___KK2">#REF!</definedName>
    <definedName name="___kk3" localSheetId="0">#REF!</definedName>
    <definedName name="___kk3">#REF!</definedName>
    <definedName name="___kk4" localSheetId="0">#REF!</definedName>
    <definedName name="___kk4">#REF!</definedName>
    <definedName name="___kvs1" localSheetId="0" hidden="1">{#N/A,#N/A,FALSE,"COVER1.XLS ";#N/A,#N/A,FALSE,"RACT1.XLS";#N/A,#N/A,FALSE,"RACT2.XLS";#N/A,#N/A,FALSE,"ECCMP";#N/A,#N/A,FALSE,"WELDER.XLS"}</definedName>
    <definedName name="___kvs1" hidden="1">{#N/A,#N/A,FALSE,"COVER1.XLS ";#N/A,#N/A,FALSE,"RACT1.XLS";#N/A,#N/A,FALSE,"RACT2.XLS";#N/A,#N/A,FALSE,"ECCMP";#N/A,#N/A,FALSE,"WELDER.XLS"}</definedName>
    <definedName name="___kvs2" localSheetId="0" hidden="1">{#N/A,#N/A,FALSE,"COVER1.XLS ";#N/A,#N/A,FALSE,"RACT1.XLS";#N/A,#N/A,FALSE,"RACT2.XLS";#N/A,#N/A,FALSE,"ECCMP";#N/A,#N/A,FALSE,"WELDER.XLS"}</definedName>
    <definedName name="___kvs2" hidden="1">{#N/A,#N/A,FALSE,"COVER1.XLS ";#N/A,#N/A,FALSE,"RACT1.XLS";#N/A,#N/A,FALSE,"RACT2.XLS";#N/A,#N/A,FALSE,"ECCMP";#N/A,#N/A,FALSE,"WELDER.XLS"}</definedName>
    <definedName name="___kvs5" localSheetId="0" hidden="1">{#N/A,#N/A,FALSE,"COVER.XLS";#N/A,#N/A,FALSE,"RACT1.XLS";#N/A,#N/A,FALSE,"RACT2.XLS";#N/A,#N/A,FALSE,"ECCMP";#N/A,#N/A,FALSE,"WELDER.XLS"}</definedName>
    <definedName name="___kvs5" hidden="1">{#N/A,#N/A,FALSE,"COVER.XLS";#N/A,#N/A,FALSE,"RACT1.XLS";#N/A,#N/A,FALSE,"RACT2.XLS";#N/A,#N/A,FALSE,"ECCMP";#N/A,#N/A,FALSE,"WELDER.XLS"}</definedName>
    <definedName name="___kvs8" localSheetId="0" hidden="1">{#N/A,#N/A,FALSE,"COVER1.XLS ";#N/A,#N/A,FALSE,"RACT1.XLS";#N/A,#N/A,FALSE,"RACT2.XLS";#N/A,#N/A,FALSE,"ECCMP";#N/A,#N/A,FALSE,"WELDER.XLS"}</definedName>
    <definedName name="___kvs8" hidden="1">{#N/A,#N/A,FALSE,"COVER1.XLS ";#N/A,#N/A,FALSE,"RACT1.XLS";#N/A,#N/A,FALSE,"RACT2.XLS";#N/A,#N/A,FALSE,"ECCMP";#N/A,#N/A,FALSE,"WELDER.XLS"}</definedName>
    <definedName name="___lk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sc44" localSheetId="0">#REF!</definedName>
    <definedName name="___lsc44">#REF!</definedName>
    <definedName name="___MAN1" localSheetId="0">#REF!</definedName>
    <definedName name="___MAN1">#REF!</definedName>
    <definedName name="___MF1" localSheetId="0">#REF!</definedName>
    <definedName name="___MF1">#REF!</definedName>
    <definedName name="___mix1" localSheetId="0">#REF!</definedName>
    <definedName name="___mix1">#REF!</definedName>
    <definedName name="___mix2" localSheetId="0">#REF!</definedName>
    <definedName name="___mix2">#REF!</definedName>
    <definedName name="___miy1" localSheetId="0">#REF!</definedName>
    <definedName name="___miy1">#REF!</definedName>
    <definedName name="___miy2" localSheetId="0">#REF!</definedName>
    <definedName name="___miy2">#REF!</definedName>
    <definedName name="___MM1" localSheetId="0">#REF!</definedName>
    <definedName name="___MM1">#REF!</definedName>
    <definedName name="___MM2" localSheetId="0">#REF!</definedName>
    <definedName name="___MM2">#REF!</definedName>
    <definedName name="___mnk1" localSheetId="0">#REF!</definedName>
    <definedName name="___mnk1">#REF!</definedName>
    <definedName name="___mux1" localSheetId="0">#REF!</definedName>
    <definedName name="___mux1">#REF!</definedName>
    <definedName name="___muy1" localSheetId="0">#REF!</definedName>
    <definedName name="___muy1">#REF!</definedName>
    <definedName name="___NN1" localSheetId="0">#REF!</definedName>
    <definedName name="___NN1">#REF!</definedName>
    <definedName name="___ns1" localSheetId="0" hidden="1">{#N/A,#N/A,FALSE,"COVER1.XLS ";#N/A,#N/A,FALSE,"RACT1.XLS";#N/A,#N/A,FALSE,"RACT2.XLS";#N/A,#N/A,FALSE,"ECCMP";#N/A,#N/A,FALSE,"WELDER.XLS"}</definedName>
    <definedName name="___ns1" hidden="1">{#N/A,#N/A,FALSE,"COVER1.XLS ";#N/A,#N/A,FALSE,"RACT1.XLS";#N/A,#N/A,FALSE,"RACT2.XLS";#N/A,#N/A,FALSE,"ECCMP";#N/A,#N/A,FALSE,"WELDER.XLS"}</definedName>
    <definedName name="___oz1" localSheetId="0">#REF!</definedName>
    <definedName name="___oz1">#REF!</definedName>
    <definedName name="___pan1" localSheetId="0">#REF!</definedName>
    <definedName name="___pan1">#REF!</definedName>
    <definedName name="___PAN2" localSheetId="0">#REF!</definedName>
    <definedName name="___PAN2">#REF!</definedName>
    <definedName name="___PB1" localSheetId="0">#REF!</definedName>
    <definedName name="___PB1">#REF!</definedName>
    <definedName name="___pcc1" localSheetId="0">#REF!</definedName>
    <definedName name="___pcc1">#REF!</definedName>
    <definedName name="___pcc2" localSheetId="0">#REF!</definedName>
    <definedName name="___pcc2">#REF!</definedName>
    <definedName name="___pcc3" localSheetId="0">#REF!</definedName>
    <definedName name="___pcc3">#REF!</definedName>
    <definedName name="___PCC4" localSheetId="0">#REF!</definedName>
    <definedName name="___PCC4">#REF!</definedName>
    <definedName name="___plb1" localSheetId="0">#REF!</definedName>
    <definedName name="___plb1">#REF!</definedName>
    <definedName name="___plb2" localSheetId="0">#REF!</definedName>
    <definedName name="___plb2">#REF!</definedName>
    <definedName name="___plb3" localSheetId="0">#REF!</definedName>
    <definedName name="___plb3">#REF!</definedName>
    <definedName name="___plb4" localSheetId="0">#REF!</definedName>
    <definedName name="___plb4">#REF!</definedName>
    <definedName name="___PRN1" localSheetId="0" hidden="1">{#N/A,#N/A,FALSE,"COVER.XLS";#N/A,#N/A,FALSE,"RACT1.XLS";#N/A,#N/A,FALSE,"RACT2.XLS";#N/A,#N/A,FALSE,"ECCMP";#N/A,#N/A,FALSE,"WELDER.XLS"}</definedName>
    <definedName name="___PRN1" hidden="1">{#N/A,#N/A,FALSE,"COVER.XLS";#N/A,#N/A,FALSE,"RACT1.XLS";#N/A,#N/A,FALSE,"RACT2.XLS";#N/A,#N/A,FALSE,"ECCMP";#N/A,#N/A,FALSE,"WELDER.XLS"}</definedName>
    <definedName name="___rab20" localSheetId="0">#REF!</definedName>
    <definedName name="___rab20">#REF!</definedName>
    <definedName name="___ram1" localSheetId="0" hidden="1">{#N/A,#N/A,FALSE,"gc (2)"}</definedName>
    <definedName name="___ram1" hidden="1">{#N/A,#N/A,FALSE,"gc (2)"}</definedName>
    <definedName name="___RCC115" localSheetId="0">#REF!</definedName>
    <definedName name="___RCC115">#REF!</definedName>
    <definedName name="___RCC12">#REF!</definedName>
    <definedName name="___Re1" localSheetId="0">#REF!</definedName>
    <definedName name="___Re1">#REF!</definedName>
    <definedName name="___rr87">#REF!</definedName>
    <definedName name="___Rs1" localSheetId="0">#REF!</definedName>
    <definedName name="___Rs1">#REF!</definedName>
    <definedName name="___S12" localSheetId="0">#REF!</definedName>
    <definedName name="___S12">#REF!</definedName>
    <definedName name="___s41" localSheetId="0" hidden="1">{"form-D1",#N/A,FALSE,"FORM-D1";"form-D1_amt",#N/A,FALSE,"FORM-D1"}</definedName>
    <definedName name="___s41" hidden="1">{"form-D1",#N/A,FALSE,"FORM-D1";"form-D1_amt",#N/A,FALSE,"FORM-D1"}</definedName>
    <definedName name="___s41_1" localSheetId="0" hidden="1">{"form-D1",#N/A,FALSE,"FORM-D1";"form-D1_amt",#N/A,FALSE,"FORM-D1"}</definedName>
    <definedName name="___s41_1" hidden="1">{"form-D1",#N/A,FALSE,"FORM-D1";"form-D1_amt",#N/A,FALSE,"FORM-D1"}</definedName>
    <definedName name="___sdb2" localSheetId="0">#REF!</definedName>
    <definedName name="___sdb2">#REF!</definedName>
    <definedName name="___sec1" localSheetId="0">#REF!</definedName>
    <definedName name="___sec1">#REF!</definedName>
    <definedName name="___sec111" localSheetId="0">#REF!</definedName>
    <definedName name="___sec111">#REF!</definedName>
    <definedName name="___SEC15" localSheetId="0">#REF!</definedName>
    <definedName name="___SEC15">#REF!</definedName>
    <definedName name="___Sec2" localSheetId="0">#REF!</definedName>
    <definedName name="___Sec2">#REF!</definedName>
    <definedName name="___sec22" localSheetId="0">#REF!</definedName>
    <definedName name="___sec22">#REF!</definedName>
    <definedName name="___SEC23" localSheetId="0">#REF!</definedName>
    <definedName name="___SEC23">#REF!</definedName>
    <definedName name="___SEC24" localSheetId="0">#REF!</definedName>
    <definedName name="___SEC24">#REF!</definedName>
    <definedName name="___sec3" localSheetId="0">#REF!</definedName>
    <definedName name="___sec3">#REF!</definedName>
    <definedName name="___SEC32" localSheetId="0">#REF!</definedName>
    <definedName name="___SEC32">#REF!</definedName>
    <definedName name="___sec33" localSheetId="0">#REF!</definedName>
    <definedName name="___sec33">#REF!</definedName>
    <definedName name="___Sec4" localSheetId="0">#REF!</definedName>
    <definedName name="___Sec4">#REF!</definedName>
    <definedName name="___sec45" localSheetId="0">#REF!</definedName>
    <definedName name="___sec45">#REF!</definedName>
    <definedName name="___SEC46" localSheetId="0">#REF!</definedName>
    <definedName name="___SEC46">#REF!</definedName>
    <definedName name="___sec5" localSheetId="0">#REF!</definedName>
    <definedName name="___sec5">#REF!</definedName>
    <definedName name="___sec55" localSheetId="0">#REF!</definedName>
    <definedName name="___sec55">#REF!</definedName>
    <definedName name="___SEC56" localSheetId="0">#REF!</definedName>
    <definedName name="___SEC56">#REF!</definedName>
    <definedName name="___sec6" localSheetId="0">#REF!</definedName>
    <definedName name="___sec6">#REF!</definedName>
    <definedName name="___sec66" localSheetId="0">#REF!</definedName>
    <definedName name="___sec66">#REF!</definedName>
    <definedName name="___SEC67" localSheetId="0">#REF!</definedName>
    <definedName name="___SEC67">#REF!</definedName>
    <definedName name="___sec7" localSheetId="0">#REF!</definedName>
    <definedName name="___sec7">#REF!</definedName>
    <definedName name="___sec71" localSheetId="0">#REF!</definedName>
    <definedName name="___sec71">#REF!</definedName>
    <definedName name="___SEC72" localSheetId="0">#REF!</definedName>
    <definedName name="___SEC72">#REF!</definedName>
    <definedName name="___SEC74" localSheetId="0">#REF!</definedName>
    <definedName name="___SEC74">#REF!</definedName>
    <definedName name="___SEC75" localSheetId="0">#REF!</definedName>
    <definedName name="___SEC75">#REF!</definedName>
    <definedName name="___SEC77" localSheetId="0">#REF!</definedName>
    <definedName name="___SEC77">#REF!</definedName>
    <definedName name="___sec777" localSheetId="0">#REF!</definedName>
    <definedName name="___sec777">#REF!</definedName>
    <definedName name="___sec78" localSheetId="0">#REF!</definedName>
    <definedName name="___sec78">#REF!</definedName>
    <definedName name="___sec79" localSheetId="0">#REF!</definedName>
    <definedName name="___sec79">#REF!</definedName>
    <definedName name="___sec8" localSheetId="0">#REF!</definedName>
    <definedName name="___sec8">#REF!</definedName>
    <definedName name="___sec81" localSheetId="0">#REF!</definedName>
    <definedName name="___sec81">#REF!</definedName>
    <definedName name="___SEC82" localSheetId="0">#REF!</definedName>
    <definedName name="___SEC82">#REF!</definedName>
    <definedName name="___SEC83" localSheetId="0">#REF!</definedName>
    <definedName name="___SEC83">#REF!</definedName>
    <definedName name="___SEC87" localSheetId="0">#REF!</definedName>
    <definedName name="___SEC87">#REF!</definedName>
    <definedName name="___SEC88" localSheetId="0">#REF!</definedName>
    <definedName name="___SEC88">#REF!</definedName>
    <definedName name="___sec888" localSheetId="0">#REF!</definedName>
    <definedName name="___sec888">#REF!</definedName>
    <definedName name="___sec89" localSheetId="0">#REF!</definedName>
    <definedName name="___sec89">#REF!</definedName>
    <definedName name="___sec899" localSheetId="0">#REF!</definedName>
    <definedName name="___sec899">#REF!</definedName>
    <definedName name="___SEC9" localSheetId="0">#REF!</definedName>
    <definedName name="___SEC9">#REF!</definedName>
    <definedName name="___SEC91" localSheetId="0">#REF!</definedName>
    <definedName name="___SEC91">#REF!</definedName>
    <definedName name="___SH1" localSheetId="0">#REF!</definedName>
    <definedName name="___SH1">#REF!</definedName>
    <definedName name="___SH2" localSheetId="0">#REF!</definedName>
    <definedName name="___SH2">#REF!</definedName>
    <definedName name="___SH3" localSheetId="0">#REF!</definedName>
    <definedName name="___SH3">#REF!</definedName>
    <definedName name="___SH4" localSheetId="0">#REF!</definedName>
    <definedName name="___SH4">#REF!</definedName>
    <definedName name="___SH5" localSheetId="0">#REF!</definedName>
    <definedName name="___SH5">#REF!</definedName>
    <definedName name="___SS2" localSheetId="0">#REF!</definedName>
    <definedName name="___SS2">#REF!</definedName>
    <definedName name="___sti02" localSheetId="0" hidden="1">{#N/A,#N/A,FALSE,"gc (2)"}</definedName>
    <definedName name="___sti02" hidden="1">{#N/A,#N/A,FALSE,"gc (2)"}</definedName>
    <definedName name="__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a1" localSheetId="0" hidden="1">{#N/A,#N/A,TRUE,"Financials";#N/A,#N/A,TRUE,"Operating Statistics";#N/A,#N/A,TRUE,"Capex &amp; Depreciation";#N/A,#N/A,TRUE,"Debt"}</definedName>
    <definedName name="___ta1" hidden="1">{#N/A,#N/A,TRUE,"Financials";#N/A,#N/A,TRUE,"Operating Statistics";#N/A,#N/A,TRUE,"Capex &amp; Depreciation";#N/A,#N/A,TRUE,"Debt"}</definedName>
    <definedName name="___tb1" localSheetId="0" hidden="1">{#N/A,#N/A,FALSE,"One Pager";#N/A,#N/A,FALSE,"Technical"}</definedName>
    <definedName name="___tb1" hidden="1">{#N/A,#N/A,FALSE,"One Pager";#N/A,#N/A,FALSE,"Technical"}</definedName>
    <definedName name="___TB2" localSheetId="0">#REF!</definedName>
    <definedName name="___TB2">#REF!</definedName>
    <definedName name="___tk1" localSheetId="0">#REF!</definedName>
    <definedName name="___tk1">#REF!</definedName>
    <definedName name="__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2" localSheetId="0" hidden="1">{#N/A,#N/A,FALSE,"COVER1.XLS ";#N/A,#N/A,FALSE,"RACT1.XLS";#N/A,#N/A,FALSE,"RACT2.XLS";#N/A,#N/A,FALSE,"ECCMP";#N/A,#N/A,FALSE,"WELDER.XLS"}</definedName>
    <definedName name="___WRN2" hidden="1">{#N/A,#N/A,FALSE,"COVER1.XLS ";#N/A,#N/A,FALSE,"RACT1.XLS";#N/A,#N/A,FALSE,"RACT2.XLS";#N/A,#N/A,FALSE,"ECCMP";#N/A,#N/A,FALSE,"WELDER.XLS"}</definedName>
    <definedName name="___WRN3" localSheetId="0" hidden="1">{#N/A,#N/A,FALSE,"consu_cover";#N/A,#N/A,FALSE,"consu_strategy";#N/A,#N/A,FALSE,"consu_flow";#N/A,#N/A,FALSE,"Summary_reqmt";#N/A,#N/A,FALSE,"field_ppg";#N/A,#N/A,FALSE,"ppg_shop";#N/A,#N/A,FALSE,"strl";#N/A,#N/A,FALSE,"tankages";#N/A,#N/A,FALSE,"gases"}</definedName>
    <definedName name="___WRN3" hidden="1">{#N/A,#N/A,FALSE,"consu_cover";#N/A,#N/A,FALSE,"consu_strategy";#N/A,#N/A,FALSE,"consu_flow";#N/A,#N/A,FALSE,"Summary_reqmt";#N/A,#N/A,FALSE,"field_ppg";#N/A,#N/A,FALSE,"ppg_shop";#N/A,#N/A,FALSE,"strl";#N/A,#N/A,FALSE,"tankages";#N/A,#N/A,FALSE,"gases"}</definedName>
    <definedName name="___xd1" localSheetId="0">#REF!</definedName>
    <definedName name="___xd1">#REF!</definedName>
    <definedName name="___XD2" localSheetId="0">#REF!</definedName>
    <definedName name="___XD2">#REF!</definedName>
    <definedName name="___xd3" localSheetId="0">#REF!</definedName>
    <definedName name="___xd3">#REF!</definedName>
    <definedName name="___xlfn.BAHTTEXT" hidden="1">#NAME?</definedName>
    <definedName name="___xlnm.Print_Area_0_1" localSheetId="0">#REF!</definedName>
    <definedName name="___xlnm.Print_Area_0_1">#REF!</definedName>
    <definedName name="___xlnm.Print_Area_0_2">#REF!</definedName>
    <definedName name="___xlnm.Print_Area_0_3">#REF!</definedName>
    <definedName name="___xlnm.Print_Area_0_5">#REF!</definedName>
    <definedName name="___xlnm.Print_Area_0_6">#REF!</definedName>
    <definedName name="___xlnm.Print_Area_1">#REF!</definedName>
    <definedName name="___xlnm.Print_Area_1_1">#REF!</definedName>
    <definedName name="___xlnm.Print_Area_2">#REF!</definedName>
    <definedName name="___xlnm.Print_Area_2_1">#REF!</definedName>
    <definedName name="___xlnm.Print_Area_3">#REF!</definedName>
    <definedName name="___xlnm.Print_Area_3_1">#REF!</definedName>
    <definedName name="___xlnm.Print_Area_5">#REF!</definedName>
    <definedName name="___xlnm.Print_Area_5_1">#REF!</definedName>
    <definedName name="___xlnm.Print_Area_6">#REF!</definedName>
    <definedName name="___xlnm.Print_Area_6_1">#REF!</definedName>
    <definedName name="__123Graph_AIncome" localSheetId="0" hidden="1">#REF!</definedName>
    <definedName name="__123Graph_AIncome" hidden="1">#REF!</definedName>
    <definedName name="__123Graph_ASummary" localSheetId="0" hidden="1">#REF!</definedName>
    <definedName name="__123Graph_ASummary" hidden="1">#REF!</definedName>
    <definedName name="__123Graph_B" localSheetId="0" hidden="1">#REF!</definedName>
    <definedName name="__123Graph_B" hidden="1">#REF!</definedName>
    <definedName name="__123Graph_BIncome" localSheetId="0" hidden="1">#REF!</definedName>
    <definedName name="__123Graph_BIncome" hidden="1">#REF!</definedName>
    <definedName name="__123Graph_BSummary" localSheetId="0" hidden="1">#REF!</definedName>
    <definedName name="__123Graph_BSummary" hidden="1">#REF!</definedName>
    <definedName name="__123Graph_D" localSheetId="0" hidden="1">#REF!</definedName>
    <definedName name="__123Graph_D" hidden="1">#REF!</definedName>
    <definedName name="__123Graph_F" localSheetId="0" hidden="1">#REF!</definedName>
    <definedName name="__123Graph_F" hidden="1">#REF!</definedName>
    <definedName name="__123Graph_X" localSheetId="0" hidden="1">#REF!</definedName>
    <definedName name="__123Graph_X" hidden="1">#REF!</definedName>
    <definedName name="__123Graph_XIncome" localSheetId="0" hidden="1">#REF!</definedName>
    <definedName name="__123Graph_XIncome" hidden="1">#REF!</definedName>
    <definedName name="__a1" localSheetId="0">#REF!</definedName>
    <definedName name="__a1">#REF!</definedName>
    <definedName name="__A2" localSheetId="0">#REF!</definedName>
    <definedName name="__A2">#REF!</definedName>
    <definedName name="__a65537" localSheetId="0">#REF!</definedName>
    <definedName name="__a65537">#REF!</definedName>
    <definedName name="__A65555" localSheetId="0">#REF!</definedName>
    <definedName name="__A65555">#REF!</definedName>
    <definedName name="__A655600" localSheetId="0">#REF!</definedName>
    <definedName name="__A655600">#REF!</definedName>
    <definedName name="__A65658" localSheetId="0">#REF!</definedName>
    <definedName name="__A65658">#REF!</definedName>
    <definedName name="__a999999" localSheetId="0">#REF!</definedName>
    <definedName name="__a999999">#REF!</definedName>
    <definedName name="__AAA1" localSheetId="0">#REF!</definedName>
    <definedName name="__AAA1">#REF!</definedName>
    <definedName name="__aaa10" localSheetId="0">#REF!</definedName>
    <definedName name="__aaa10">#REF!</definedName>
    <definedName name="__aaa11" localSheetId="0">#REF!</definedName>
    <definedName name="__aaa11">#REF!</definedName>
    <definedName name="__AAA12" localSheetId="0">#REF!</definedName>
    <definedName name="__AAA12">#REF!</definedName>
    <definedName name="__AAA21" localSheetId="0">#REF!</definedName>
    <definedName name="__AAA21">#REF!</definedName>
    <definedName name="__aaa23" localSheetId="0">#REF!</definedName>
    <definedName name="__aaa23">#REF!</definedName>
    <definedName name="__aaa34" localSheetId="0">#REF!</definedName>
    <definedName name="__aaa34">#REF!</definedName>
    <definedName name="__aaa5" localSheetId="0">#REF!</definedName>
    <definedName name="__aaa5">#REF!</definedName>
    <definedName name="__AAA53" localSheetId="0">#REF!</definedName>
    <definedName name="__AAA53">#REF!</definedName>
    <definedName name="__aaa54" localSheetId="0">#REF!</definedName>
    <definedName name="__aaa54">#REF!</definedName>
    <definedName name="__aaa545" localSheetId="0">#REF!</definedName>
    <definedName name="__aaa545">#REF!</definedName>
    <definedName name="__aaa55" localSheetId="0">#REF!</definedName>
    <definedName name="__aaa55">#REF!</definedName>
    <definedName name="__aaa56" localSheetId="0">#REF!</definedName>
    <definedName name="__aaa56">#REF!</definedName>
    <definedName name="__AAA57" localSheetId="0">#REF!</definedName>
    <definedName name="__AAA57">#REF!</definedName>
    <definedName name="__aaa59" localSheetId="0">#REF!</definedName>
    <definedName name="__aaa59">#REF!</definedName>
    <definedName name="__AAA66" localSheetId="0">#REF!</definedName>
    <definedName name="__AAA66">#REF!</definedName>
    <definedName name="__AAA69" localSheetId="0">#REF!</definedName>
    <definedName name="__AAA69">#REF!</definedName>
    <definedName name="__aad55" localSheetId="0">#REF!</definedName>
    <definedName name="__aad55">#REF!</definedName>
    <definedName name="__AAD56" localSheetId="0">#REF!</definedName>
    <definedName name="__AAD56">#REF!</definedName>
    <definedName name="__AAD57" localSheetId="0">#REF!</definedName>
    <definedName name="__AAD57">#REF!</definedName>
    <definedName name="__aj1" localSheetId="0">#REF!</definedName>
    <definedName name="__aj1">#REF!</definedName>
    <definedName name="__ast1" localSheetId="0">#REF!</definedName>
    <definedName name="__ast1">#REF!</definedName>
    <definedName name="__ast2" localSheetId="0">#REF!</definedName>
    <definedName name="__ast2">#REF!</definedName>
    <definedName name="__b111121" localSheetId="0">#REF!</definedName>
    <definedName name="__b111121">#REF!</definedName>
    <definedName name="__bbb1" localSheetId="0">#REF!</definedName>
    <definedName name="__bbb1">#REF!</definedName>
    <definedName name="__bol1" localSheetId="0">#REF!</definedName>
    <definedName name="__bol1">#REF!</definedName>
    <definedName name="__bua1" localSheetId="0">#REF!</definedName>
    <definedName name="__bua1">#REF!</definedName>
    <definedName name="__can430">40.73</definedName>
    <definedName name="__can435">43.3</definedName>
    <definedName name="__ccc1" localSheetId="0">#REF!</definedName>
    <definedName name="__ccc1">#REF!</definedName>
    <definedName name="__COL1" localSheetId="0">#REF!</definedName>
    <definedName name="__COL1">#REF!</definedName>
    <definedName name="__COL14" localSheetId="0">#REF!</definedName>
    <definedName name="__COL14">#REF!</definedName>
    <definedName name="__COL15" localSheetId="0">#REF!</definedName>
    <definedName name="__COL15">#REF!</definedName>
    <definedName name="__COL16" localSheetId="0">#REF!</definedName>
    <definedName name="__COL16">#REF!</definedName>
    <definedName name="__Ctr10" localSheetId="0">#REF!</definedName>
    <definedName name="__Ctr10">#REF!</definedName>
    <definedName name="__D199617" localSheetId="0">[1]DATA!$D$217</definedName>
    <definedName name="__D199617">#REF!</definedName>
    <definedName name="__ddd1" localSheetId="0">#REF!</definedName>
    <definedName name="__ddd1">#REF!</definedName>
    <definedName name="__dk1" localSheetId="0" hidden="1">{#N/A,#N/A,FALSE,"COVER.XLS";#N/A,#N/A,FALSE,"RACT1.XLS";#N/A,#N/A,FALSE,"RACT2.XLS";#N/A,#N/A,FALSE,"ECCMP";#N/A,#N/A,FALSE,"WELDER.XLS"}</definedName>
    <definedName name="__dk1" hidden="1">{#N/A,#N/A,FALSE,"COVER.XLS";#N/A,#N/A,FALSE,"RACT1.XLS";#N/A,#N/A,FALSE,"RACT2.XLS";#N/A,#N/A,FALSE,"ECCMP";#N/A,#N/A,FALSE,"WELDER.XLS"}</definedName>
    <definedName name="__Doc1" localSheetId="0">#REF!</definedName>
    <definedName name="__Doc1">#REF!</definedName>
    <definedName name="__eee1" localSheetId="0">#REF!</definedName>
    <definedName name="__eee1">#REF!</definedName>
    <definedName name="__esc1" localSheetId="0">#REF!</definedName>
    <definedName name="__esc1">#REF!</definedName>
    <definedName name="__exc1" localSheetId="0">#REF!</definedName>
    <definedName name="__exc1">#REF!</definedName>
    <definedName name="__exc11" localSheetId="0">#REF!</definedName>
    <definedName name="__exc11">#REF!</definedName>
    <definedName name="__exc2" localSheetId="0">#REF!</definedName>
    <definedName name="__exc2">#REF!</definedName>
    <definedName name="__EXC3" localSheetId="0">#REF!</definedName>
    <definedName name="__EXC3">#REF!</definedName>
    <definedName name="__EXC4" localSheetId="0">#REF!</definedName>
    <definedName name="__EXC4">#REF!</definedName>
    <definedName name="__FDS_HYPERLINK_TOGGLE_STATE__" hidden="1">"ON"</definedName>
    <definedName name="__fff1" localSheetId="0">#REF!</definedName>
    <definedName name="__fff1">#REF!</definedName>
    <definedName name="__flx200" localSheetId="0">#REF!</definedName>
    <definedName name="__flx200">#REF!</definedName>
    <definedName name="__flx250" localSheetId="0">#REF!</definedName>
    <definedName name="__flx250">#REF!</definedName>
    <definedName name="__flx300" localSheetId="0">#REF!</definedName>
    <definedName name="__flx300">#REF!</definedName>
    <definedName name="__foo1" localSheetId="0">#REF!</definedName>
    <definedName name="__foo1">#REF!</definedName>
    <definedName name="__foo2" localSheetId="0">#REF!</definedName>
    <definedName name="__foo2">#REF!</definedName>
    <definedName name="__foo3" localSheetId="0">#REF!</definedName>
    <definedName name="__foo3">#REF!</definedName>
    <definedName name="__FOO4" localSheetId="0">#REF!</definedName>
    <definedName name="__FOO4">#REF!</definedName>
    <definedName name="__G1" localSheetId="0">#REF!</definedName>
    <definedName name="__G1">#REF!</definedName>
    <definedName name="__hp10" localSheetId="0"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ief1" localSheetId="0">#REF!</definedName>
    <definedName name="__ief1">#REF!</definedName>
    <definedName name="__ind1" localSheetId="0">#REF!</definedName>
    <definedName name="__ind1">#REF!</definedName>
    <definedName name="__IND11" localSheetId="0">#REF!</definedName>
    <definedName name="__IND11">#REF!</definedName>
    <definedName name="__IND31" localSheetId="0">#REF!</definedName>
    <definedName name="__IND31">#REF!</definedName>
    <definedName name="__IntlFixup" hidden="1">TRUE</definedName>
    <definedName name="__IntlFixupTable" localSheetId="0" hidden="1">#REF!</definedName>
    <definedName name="__IntlFixupTable" hidden="1">#REF!</definedName>
    <definedName name="__IRS1" localSheetId="0">#REF!</definedName>
    <definedName name="__IRS1">#REF!</definedName>
    <definedName name="__jh78" localSheetId="0">#REF!</definedName>
    <definedName name="__jh78">#REF!</definedName>
    <definedName name="__key2" localSheetId="0" hidden="1">#REF!</definedName>
    <definedName name="__key2" hidden="1">#REF!</definedName>
    <definedName name="__Ki1" localSheetId="0">#REF!</definedName>
    <definedName name="__Ki1">#REF!</definedName>
    <definedName name="__Ki2" localSheetId="0">#REF!</definedName>
    <definedName name="__Ki2">#REF!</definedName>
    <definedName name="__KK1" localSheetId="0">#REF!</definedName>
    <definedName name="__KK1">#REF!</definedName>
    <definedName name="__KK2" localSheetId="0">#REF!</definedName>
    <definedName name="__KK2">#REF!</definedName>
    <definedName name="__kk3" localSheetId="0">#REF!</definedName>
    <definedName name="__kk3">#REF!</definedName>
    <definedName name="__kk4" localSheetId="0">#REF!</definedName>
    <definedName name="__kk4">#REF!</definedName>
    <definedName name="__kvs1" localSheetId="0" hidden="1">{#N/A,#N/A,FALSE,"COVER1.XLS ";#N/A,#N/A,FALSE,"RACT1.XLS";#N/A,#N/A,FALSE,"RACT2.XLS";#N/A,#N/A,FALSE,"ECCMP";#N/A,#N/A,FALSE,"WELDER.XLS"}</definedName>
    <definedName name="__kvs1" hidden="1">{#N/A,#N/A,FALSE,"COVER1.XLS ";#N/A,#N/A,FALSE,"RACT1.XLS";#N/A,#N/A,FALSE,"RACT2.XLS";#N/A,#N/A,FALSE,"ECCMP";#N/A,#N/A,FALSE,"WELDER.XLS"}</definedName>
    <definedName name="__kvs2" localSheetId="0" hidden="1">{#N/A,#N/A,FALSE,"COVER1.XLS ";#N/A,#N/A,FALSE,"RACT1.XLS";#N/A,#N/A,FALSE,"RACT2.XLS";#N/A,#N/A,FALSE,"ECCMP";#N/A,#N/A,FALSE,"WELDER.XLS"}</definedName>
    <definedName name="__kvs2" hidden="1">{#N/A,#N/A,FALSE,"COVER1.XLS ";#N/A,#N/A,FALSE,"RACT1.XLS";#N/A,#N/A,FALSE,"RACT2.XLS";#N/A,#N/A,FALSE,"ECCMP";#N/A,#N/A,FALSE,"WELDER.XLS"}</definedName>
    <definedName name="__kvs5" localSheetId="0" hidden="1">{#N/A,#N/A,FALSE,"COVER.XLS";#N/A,#N/A,FALSE,"RACT1.XLS";#N/A,#N/A,FALSE,"RACT2.XLS";#N/A,#N/A,FALSE,"ECCMP";#N/A,#N/A,FALSE,"WELDER.XLS"}</definedName>
    <definedName name="__kvs5" hidden="1">{#N/A,#N/A,FALSE,"COVER.XLS";#N/A,#N/A,FALSE,"RACT1.XLS";#N/A,#N/A,FALSE,"RACT2.XLS";#N/A,#N/A,FALSE,"ECCMP";#N/A,#N/A,FALSE,"WELDER.XLS"}</definedName>
    <definedName name="__kvs8" localSheetId="0" hidden="1">{#N/A,#N/A,FALSE,"COVER1.XLS ";#N/A,#N/A,FALSE,"RACT1.XLS";#N/A,#N/A,FALSE,"RACT2.XLS";#N/A,#N/A,FALSE,"ECCMP";#N/A,#N/A,FALSE,"WELDER.XLS"}</definedName>
    <definedName name="__kvs8" hidden="1">{#N/A,#N/A,FALSE,"COVER1.XLS ";#N/A,#N/A,FALSE,"RACT1.XLS";#N/A,#N/A,FALSE,"RACT2.XLS";#N/A,#N/A,FALSE,"ECCMP";#N/A,#N/A,FALSE,"WELDER.XLS"}</definedName>
    <definedName name="__L1" localSheetId="0">#REF!</definedName>
    <definedName name="__L1">#REF!</definedName>
    <definedName name="__lk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sc44" localSheetId="0">#REF!</definedName>
    <definedName name="__lsc44">#REF!</definedName>
    <definedName name="__MAN1" localSheetId="0">#REF!</definedName>
    <definedName name="__MAN1">#REF!</definedName>
    <definedName name="__MF1" localSheetId="0">#REF!</definedName>
    <definedName name="__MF1">#REF!</definedName>
    <definedName name="__mix1" localSheetId="0">#REF!</definedName>
    <definedName name="__mix1">#REF!</definedName>
    <definedName name="__mix2" localSheetId="0">#REF!</definedName>
    <definedName name="__mix2">#REF!</definedName>
    <definedName name="__miy1" localSheetId="0">#REF!</definedName>
    <definedName name="__miy1">#REF!</definedName>
    <definedName name="__miy2" localSheetId="0">#REF!</definedName>
    <definedName name="__miy2">#REF!</definedName>
    <definedName name="__MM1" localSheetId="0">#REF!</definedName>
    <definedName name="__MM1">#REF!</definedName>
    <definedName name="__MM2" localSheetId="0">#REF!</definedName>
    <definedName name="__MM2">#REF!</definedName>
    <definedName name="__mnk1" localSheetId="0">#REF!</definedName>
    <definedName name="__mnk1">#REF!</definedName>
    <definedName name="__MR10"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ux1" localSheetId="0">#REF!</definedName>
    <definedName name="__mux1">#REF!</definedName>
    <definedName name="__muy1" localSheetId="0">#REF!</definedName>
    <definedName name="__muy1">#REF!</definedName>
    <definedName name="__NN1" localSheetId="0">#REF!</definedName>
    <definedName name="__NN1">#REF!</definedName>
    <definedName name="__ns1" localSheetId="0" hidden="1">{#N/A,#N/A,FALSE,"COVER1.XLS ";#N/A,#N/A,FALSE,"RACT1.XLS";#N/A,#N/A,FALSE,"RACT2.XLS";#N/A,#N/A,FALSE,"ECCMP";#N/A,#N/A,FALSE,"WELDER.XLS"}</definedName>
    <definedName name="__ns1" hidden="1">{#N/A,#N/A,FALSE,"COVER1.XLS ";#N/A,#N/A,FALSE,"RACT1.XLS";#N/A,#N/A,FALSE,"RACT2.XLS";#N/A,#N/A,FALSE,"ECCMP";#N/A,#N/A,FALSE,"WELDER.XLS"}</definedName>
    <definedName name="__oz1" localSheetId="0">#REF!</definedName>
    <definedName name="__oz1">#REF!</definedName>
    <definedName name="__pan1" localSheetId="0">#REF!</definedName>
    <definedName name="__pan1">#REF!</definedName>
    <definedName name="__PAN2" localSheetId="0">#REF!</definedName>
    <definedName name="__PAN2">#REF!</definedName>
    <definedName name="__PB1" localSheetId="0">#REF!</definedName>
    <definedName name="__PB1">#REF!</definedName>
    <definedName name="__pcc1" localSheetId="0">#REF!</definedName>
    <definedName name="__pcc1">#REF!</definedName>
    <definedName name="__pcc2" localSheetId="0">#REF!</definedName>
    <definedName name="__pcc2">#REF!</definedName>
    <definedName name="__pcc3" localSheetId="0">#REF!</definedName>
    <definedName name="__pcc3">#REF!</definedName>
    <definedName name="__PCC4" localSheetId="0">#REF!</definedName>
    <definedName name="__PCC4">#REF!</definedName>
    <definedName name="__plb1" localSheetId="0">#REF!</definedName>
    <definedName name="__plb1">#REF!</definedName>
    <definedName name="__plb2" localSheetId="0">#REF!</definedName>
    <definedName name="__plb2">#REF!</definedName>
    <definedName name="__plb3" localSheetId="0">#REF!</definedName>
    <definedName name="__plb3">#REF!</definedName>
    <definedName name="__plb4" localSheetId="0">#REF!</definedName>
    <definedName name="__plb4">#REF!</definedName>
    <definedName name="__PRN1" localSheetId="0" hidden="1">{#N/A,#N/A,FALSE,"COVER.XLS";#N/A,#N/A,FALSE,"RACT1.XLS";#N/A,#N/A,FALSE,"RACT2.XLS";#N/A,#N/A,FALSE,"ECCMP";#N/A,#N/A,FALSE,"WELDER.XLS"}</definedName>
    <definedName name="__PRN1" hidden="1">{#N/A,#N/A,FALSE,"COVER.XLS";#N/A,#N/A,FALSE,"RACT1.XLS";#N/A,#N/A,FALSE,"RACT2.XLS";#N/A,#N/A,FALSE,"ECCMP";#N/A,#N/A,FALSE,"WELDER.XLS"}</definedName>
    <definedName name="__rab20" localSheetId="0">#REF!</definedName>
    <definedName name="__rab20">#REF!</definedName>
    <definedName name="__RCC115">#REF!</definedName>
    <definedName name="__RCC12">#REF!</definedName>
    <definedName name="__Re1" localSheetId="0">#REF!</definedName>
    <definedName name="__Re1">#REF!</definedName>
    <definedName name="__rr87" localSheetId="0">#REF!</definedName>
    <definedName name="__rr87">#REF!</definedName>
    <definedName name="__Rs1" localSheetId="0">#REF!</definedName>
    <definedName name="__Rs1">#REF!</definedName>
    <definedName name="__rto1" localSheetId="0">'[3]Agreed rates'!$A$2:$D$862</definedName>
    <definedName name="__rto1">'[4]Agreed rates'!$A$2:$D$862</definedName>
    <definedName name="__S12" localSheetId="0">#REF!</definedName>
    <definedName name="__S12">#REF!</definedName>
    <definedName name="__s41" localSheetId="0" hidden="1">{"form-D1",#N/A,FALSE,"FORM-D1";"form-D1_amt",#N/A,FALSE,"FORM-D1"}</definedName>
    <definedName name="__s41" hidden="1">{"form-D1",#N/A,FALSE,"FORM-D1";"form-D1_amt",#N/A,FALSE,"FORM-D1"}</definedName>
    <definedName name="__s41_1" localSheetId="0" hidden="1">{"form-D1",#N/A,FALSE,"FORM-D1";"form-D1_amt",#N/A,FALSE,"FORM-D1"}</definedName>
    <definedName name="__s41_1" hidden="1">{"form-D1",#N/A,FALSE,"FORM-D1";"form-D1_amt",#N/A,FALSE,"FORM-D1"}</definedName>
    <definedName name="__s41_1_1" localSheetId="0" hidden="1">{"form-D1",#N/A,FALSE,"FORM-D1";"form-D1_amt",#N/A,FALSE,"FORM-D1"}</definedName>
    <definedName name="__s41_1_1" hidden="1">{"form-D1",#N/A,FALSE,"FORM-D1";"form-D1_amt",#N/A,FALSE,"FORM-D1"}</definedName>
    <definedName name="__s41_1_2" localSheetId="0" hidden="1">{"form-D1",#N/A,FALSE,"FORM-D1";"form-D1_amt",#N/A,FALSE,"FORM-D1"}</definedName>
    <definedName name="__s41_1_2" hidden="1">{"form-D1",#N/A,FALSE,"FORM-D1";"form-D1_amt",#N/A,FALSE,"FORM-D1"}</definedName>
    <definedName name="__s41_2" localSheetId="0" hidden="1">{"form-D1",#N/A,FALSE,"FORM-D1";"form-D1_amt",#N/A,FALSE,"FORM-D1"}</definedName>
    <definedName name="__s41_2" hidden="1">{"form-D1",#N/A,FALSE,"FORM-D1";"form-D1_amt",#N/A,FALSE,"FORM-D1"}</definedName>
    <definedName name="__s41_2_1" localSheetId="0" hidden="1">{"form-D1",#N/A,FALSE,"FORM-D1";"form-D1_amt",#N/A,FALSE,"FORM-D1"}</definedName>
    <definedName name="__s41_2_1" hidden="1">{"form-D1",#N/A,FALSE,"FORM-D1";"form-D1_amt",#N/A,FALSE,"FORM-D1"}</definedName>
    <definedName name="__s41_3" localSheetId="0" hidden="1">{"form-D1",#N/A,FALSE,"FORM-D1";"form-D1_amt",#N/A,FALSE,"FORM-D1"}</definedName>
    <definedName name="__s41_3" hidden="1">{"form-D1",#N/A,FALSE,"FORM-D1";"form-D1_amt",#N/A,FALSE,"FORM-D1"}</definedName>
    <definedName name="__s41_3_1" localSheetId="0" hidden="1">{"form-D1",#N/A,FALSE,"FORM-D1";"form-D1_amt",#N/A,FALSE,"FORM-D1"}</definedName>
    <definedName name="__s41_3_1" hidden="1">{"form-D1",#N/A,FALSE,"FORM-D1";"form-D1_amt",#N/A,FALSE,"FORM-D1"}</definedName>
    <definedName name="__s41_4" localSheetId="0" hidden="1">{"form-D1",#N/A,FALSE,"FORM-D1";"form-D1_amt",#N/A,FALSE,"FORM-D1"}</definedName>
    <definedName name="__s41_4" hidden="1">{"form-D1",#N/A,FALSE,"FORM-D1";"form-D1_amt",#N/A,FALSE,"FORM-D1"}</definedName>
    <definedName name="__s41_4_1" localSheetId="0" hidden="1">{"form-D1",#N/A,FALSE,"FORM-D1";"form-D1_amt",#N/A,FALSE,"FORM-D1"}</definedName>
    <definedName name="__s41_4_1" hidden="1">{"form-D1",#N/A,FALSE,"FORM-D1";"form-D1_amt",#N/A,FALSE,"FORM-D1"}</definedName>
    <definedName name="__s41_5" localSheetId="0" hidden="1">{"form-D1",#N/A,FALSE,"FORM-D1";"form-D1_amt",#N/A,FALSE,"FORM-D1"}</definedName>
    <definedName name="__s41_5" hidden="1">{"form-D1",#N/A,FALSE,"FORM-D1";"form-D1_amt",#N/A,FALSE,"FORM-D1"}</definedName>
    <definedName name="__s41_5_1" localSheetId="0" hidden="1">{"form-D1",#N/A,FALSE,"FORM-D1";"form-D1_amt",#N/A,FALSE,"FORM-D1"}</definedName>
    <definedName name="__s41_5_1" hidden="1">{"form-D1",#N/A,FALSE,"FORM-D1";"form-D1_amt",#N/A,FALSE,"FORM-D1"}</definedName>
    <definedName name="__sdb2" localSheetId="0">#REF!</definedName>
    <definedName name="__sdb2">#REF!</definedName>
    <definedName name="__sec1" localSheetId="0">#REF!</definedName>
    <definedName name="__sec1">#REF!</definedName>
    <definedName name="__sec111" localSheetId="0">#REF!</definedName>
    <definedName name="__sec111">#REF!</definedName>
    <definedName name="__SEC15" localSheetId="0">#REF!</definedName>
    <definedName name="__SEC15">#REF!</definedName>
    <definedName name="__Sec2" localSheetId="0">#REF!</definedName>
    <definedName name="__Sec2">#REF!</definedName>
    <definedName name="__sec22" localSheetId="0">#REF!</definedName>
    <definedName name="__sec22">#REF!</definedName>
    <definedName name="__SEC23" localSheetId="0">#REF!</definedName>
    <definedName name="__SEC23">#REF!</definedName>
    <definedName name="__SEC24" localSheetId="0">#REF!</definedName>
    <definedName name="__SEC24">#REF!</definedName>
    <definedName name="__sec3" localSheetId="0">#REF!</definedName>
    <definedName name="__sec3">#REF!</definedName>
    <definedName name="__SEC32" localSheetId="0">#REF!</definedName>
    <definedName name="__SEC32">#REF!</definedName>
    <definedName name="__sec33" localSheetId="0">#REF!</definedName>
    <definedName name="__sec33">#REF!</definedName>
    <definedName name="__Sec4" localSheetId="0">#REF!</definedName>
    <definedName name="__Sec4">#REF!</definedName>
    <definedName name="__sec45" localSheetId="0">#REF!</definedName>
    <definedName name="__sec45">#REF!</definedName>
    <definedName name="__SEC46" localSheetId="0">#REF!</definedName>
    <definedName name="__SEC46">#REF!</definedName>
    <definedName name="__sec5" localSheetId="0">#REF!</definedName>
    <definedName name="__sec5">#REF!</definedName>
    <definedName name="__sec55" localSheetId="0">#REF!</definedName>
    <definedName name="__sec55">#REF!</definedName>
    <definedName name="__SEC56" localSheetId="0">#REF!</definedName>
    <definedName name="__SEC56">#REF!</definedName>
    <definedName name="__sec6" localSheetId="0">#REF!</definedName>
    <definedName name="__sec6">#REF!</definedName>
    <definedName name="__sec66" localSheetId="0">#REF!</definedName>
    <definedName name="__sec66">#REF!</definedName>
    <definedName name="__SEC67" localSheetId="0">#REF!</definedName>
    <definedName name="__SEC67">#REF!</definedName>
    <definedName name="__sec7" localSheetId="0">#REF!</definedName>
    <definedName name="__sec7">#REF!</definedName>
    <definedName name="__sec71" localSheetId="0">#REF!</definedName>
    <definedName name="__sec71">#REF!</definedName>
    <definedName name="__SEC72" localSheetId="0">#REF!</definedName>
    <definedName name="__SEC72">#REF!</definedName>
    <definedName name="__SEC74" localSheetId="0">#REF!</definedName>
    <definedName name="__SEC74">#REF!</definedName>
    <definedName name="__SEC75" localSheetId="0">#REF!</definedName>
    <definedName name="__SEC75">#REF!</definedName>
    <definedName name="__SEC77" localSheetId="0">#REF!</definedName>
    <definedName name="__SEC77">#REF!</definedName>
    <definedName name="__sec777" localSheetId="0">#REF!</definedName>
    <definedName name="__sec777">#REF!</definedName>
    <definedName name="__sec78" localSheetId="0">#REF!</definedName>
    <definedName name="__sec78">#REF!</definedName>
    <definedName name="__sec79" localSheetId="0">#REF!</definedName>
    <definedName name="__sec79">#REF!</definedName>
    <definedName name="__sec8" localSheetId="0">#REF!</definedName>
    <definedName name="__sec8">#REF!</definedName>
    <definedName name="__sec81" localSheetId="0">#REF!</definedName>
    <definedName name="__sec81">#REF!</definedName>
    <definedName name="__SEC82" localSheetId="0">#REF!</definedName>
    <definedName name="__SEC82">#REF!</definedName>
    <definedName name="__SEC83" localSheetId="0">#REF!</definedName>
    <definedName name="__SEC83">#REF!</definedName>
    <definedName name="__SEC87" localSheetId="0">#REF!</definedName>
    <definedName name="__SEC87">#REF!</definedName>
    <definedName name="__SEC88" localSheetId="0">#REF!</definedName>
    <definedName name="__SEC88">#REF!</definedName>
    <definedName name="__sec888" localSheetId="0">#REF!</definedName>
    <definedName name="__sec888">#REF!</definedName>
    <definedName name="__sec89" localSheetId="0">#REF!</definedName>
    <definedName name="__sec89">#REF!</definedName>
    <definedName name="__sec899" localSheetId="0">#REF!</definedName>
    <definedName name="__sec899">#REF!</definedName>
    <definedName name="__SEC9" localSheetId="0">#REF!</definedName>
    <definedName name="__SEC9">#REF!</definedName>
    <definedName name="__SEC91" localSheetId="0">#REF!</definedName>
    <definedName name="__SEC91">#REF!</definedName>
    <definedName name="__SH1" localSheetId="0">#REF!</definedName>
    <definedName name="__SH1">#REF!</definedName>
    <definedName name="__SH2" localSheetId="0">#REF!</definedName>
    <definedName name="__SH2">#REF!</definedName>
    <definedName name="__SH3" localSheetId="0">#REF!</definedName>
    <definedName name="__SH3">#REF!</definedName>
    <definedName name="__SH4" localSheetId="0">#REF!</definedName>
    <definedName name="__SH4">#REF!</definedName>
    <definedName name="__SH5" localSheetId="0">#REF!</definedName>
    <definedName name="__SH5">#REF!</definedName>
    <definedName name="__SS2" localSheetId="0">#REF!</definedName>
    <definedName name="__SS2">#REF!</definedName>
    <definedName name="_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a1" localSheetId="0" hidden="1">{#N/A,#N/A,TRUE,"Financials";#N/A,#N/A,TRUE,"Operating Statistics";#N/A,#N/A,TRUE,"Capex &amp; Depreciation";#N/A,#N/A,TRUE,"Debt"}</definedName>
    <definedName name="__ta1" hidden="1">{#N/A,#N/A,TRUE,"Financials";#N/A,#N/A,TRUE,"Operating Statistics";#N/A,#N/A,TRUE,"Capex &amp; Depreciation";#N/A,#N/A,TRUE,"Debt"}</definedName>
    <definedName name="__tb1" localSheetId="0" hidden="1">{#N/A,#N/A,FALSE,"One Pager";#N/A,#N/A,FALSE,"Technical"}</definedName>
    <definedName name="__tb1" hidden="1">{#N/A,#N/A,FALSE,"One Pager";#N/A,#N/A,FALSE,"Technical"}</definedName>
    <definedName name="__TB2" localSheetId="0">#REF!</definedName>
    <definedName name="__TB2">#REF!</definedName>
    <definedName name="__tk1" localSheetId="0">#REF!</definedName>
    <definedName name="__tk1">#REF!</definedName>
    <definedName name="_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DL1" localSheetId="0">#REF!</definedName>
    <definedName name="__UDL1">#REF!</definedName>
    <definedName name="__UDL2" localSheetId="0">#REF!</definedName>
    <definedName name="__UDL2">#REF!</definedName>
    <definedName name="__UDL3" localSheetId="0">#REF!</definedName>
    <definedName name="__UDL3">#REF!</definedName>
    <definedName name="__wrn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2" localSheetId="0" hidden="1">{#N/A,#N/A,FALSE,"COVER1.XLS ";#N/A,#N/A,FALSE,"RACT1.XLS";#N/A,#N/A,FALSE,"RACT2.XLS";#N/A,#N/A,FALSE,"ECCMP";#N/A,#N/A,FALSE,"WELDER.XLS"}</definedName>
    <definedName name="__WRN2" hidden="1">{#N/A,#N/A,FALSE,"COVER1.XLS ";#N/A,#N/A,FALSE,"RACT1.XLS";#N/A,#N/A,FALSE,"RACT2.XLS";#N/A,#N/A,FALSE,"ECCMP";#N/A,#N/A,FALSE,"WELDER.XLS"}</definedName>
    <definedName name="__WRN3" localSheetId="0" hidden="1">{#N/A,#N/A,FALSE,"consu_cover";#N/A,#N/A,FALSE,"consu_strategy";#N/A,#N/A,FALSE,"consu_flow";#N/A,#N/A,FALSE,"Summary_reqmt";#N/A,#N/A,FALSE,"field_ppg";#N/A,#N/A,FALSE,"ppg_shop";#N/A,#N/A,FALSE,"strl";#N/A,#N/A,FALSE,"tankages";#N/A,#N/A,FALSE,"gases"}</definedName>
    <definedName name="__WRN3" hidden="1">{#N/A,#N/A,FALSE,"consu_cover";#N/A,#N/A,FALSE,"consu_strategy";#N/A,#N/A,FALSE,"consu_flow";#N/A,#N/A,FALSE,"Summary_reqmt";#N/A,#N/A,FALSE,"field_ppg";#N/A,#N/A,FALSE,"ppg_shop";#N/A,#N/A,FALSE,"strl";#N/A,#N/A,FALSE,"tankages";#N/A,#N/A,FALSE,"gases"}</definedName>
    <definedName name="__xd1" localSheetId="0">#REF!</definedName>
    <definedName name="__xd1">#REF!</definedName>
    <definedName name="__XD2" localSheetId="0">#REF!</definedName>
    <definedName name="__XD2">#REF!</definedName>
    <definedName name="__xd3" localSheetId="0">#REF!</definedName>
    <definedName name="__xd3">#REF!</definedName>
    <definedName name="__Xl1" localSheetId="0">#REF!</definedName>
    <definedName name="__Xl1">#REF!</definedName>
    <definedName name="__xlfn.BAHTTEXT" hidden="1">#NAME?</definedName>
    <definedName name="__xlnm.Print_Area_0_1" localSheetId="0">#REF!</definedName>
    <definedName name="__xlnm.Print_Area_0_1">#REF!</definedName>
    <definedName name="__xlnm.Print_Area_0_2" localSheetId="0">#REF!</definedName>
    <definedName name="__xlnm.Print_Area_0_2">#REF!</definedName>
    <definedName name="__xlnm.Print_Area_0_3" localSheetId="0">#REF!</definedName>
    <definedName name="__xlnm.Print_Area_0_3">#REF!</definedName>
    <definedName name="__xlnm.Print_Area_0_5">#REF!</definedName>
    <definedName name="__xlnm.Print_Area_0_6">#REF!</definedName>
    <definedName name="__xlnm.Print_Area_1">#REF!</definedName>
    <definedName name="__xlnm.Print_Area_1_1">#REF!</definedName>
    <definedName name="__xlnm.Print_Area_2">#REF!</definedName>
    <definedName name="__xlnm.Print_Area_2_1">#REF!</definedName>
    <definedName name="__xlnm.Print_Area_3">#REF!</definedName>
    <definedName name="__xlnm.Print_Area_3_1">#REF!</definedName>
    <definedName name="__xlnm.Print_Area_5">#REF!</definedName>
    <definedName name="__xlnm.Print_Area_5_1">#REF!</definedName>
    <definedName name="__xlnm.Print_Area_6">#REF!</definedName>
    <definedName name="__xlnm.Print_Area_6_1">#REF!</definedName>
    <definedName name="__zz1" localSheetId="0">#REF!</definedName>
    <definedName name="__zz1">#REF!</definedName>
    <definedName name="_0" localSheetId="0">#REF!</definedName>
    <definedName name="_0">#REF!</definedName>
    <definedName name="_0___0" localSheetId="0">#REF!</definedName>
    <definedName name="_0___0">#REF!</definedName>
    <definedName name="_1" localSheetId="0">#REF!</definedName>
    <definedName name="_1">#REF!</definedName>
    <definedName name="_1__123Graph_AAdmin_Expenses" localSheetId="0" hidden="1">#REF!</definedName>
    <definedName name="_1__123Graph_AAdmin_Expenses" hidden="1">#REF!</definedName>
    <definedName name="_1000A01">#N/A</definedName>
    <definedName name="_1Excel_BuiltIn_Print_Area_1_1" localSheetId="0">#REF!</definedName>
    <definedName name="_1Excel_BuiltIn_Print_Area_1_1">#REF!</definedName>
    <definedName name="_1Excel_BuiltIn_Print_Area_3_1" localSheetId="0">#REF!</definedName>
    <definedName name="_1Excel_BuiltIn_Print_Area_3_1">#REF!</definedName>
    <definedName name="_1M3_________One_cubic_metre" localSheetId="0">#REF!</definedName>
    <definedName name="_1M3_________One_cubic_metre">#REF!</definedName>
    <definedName name="_2" localSheetId="0">#REF!</definedName>
    <definedName name="_2">#REF!</definedName>
    <definedName name="_2__123Graph_AChart_1AJ" localSheetId="0" hidden="1">#REF!</definedName>
    <definedName name="_2__123Graph_AChart_1AJ" hidden="1">#REF!</definedName>
    <definedName name="_2__123Graph_AService_Expense" localSheetId="0" hidden="1">#REF!</definedName>
    <definedName name="_2__123Graph_AService_Expense" hidden="1">#REF!</definedName>
    <definedName name="_2Excel_BuiltIn_Print_Area_2_1" localSheetId="0">#REF!</definedName>
    <definedName name="_2Excel_BuiltIn_Print_Area_2_1">#REF!</definedName>
    <definedName name="_2Excel_BuiltIn_Print_Titles_1_1" localSheetId="0">#REF!</definedName>
    <definedName name="_2Excel_BuiltIn_Print_Titles_1_1">#REF!</definedName>
    <definedName name="_2m_100" localSheetId="0">#REF!</definedName>
    <definedName name="_2m_100">#REF!</definedName>
    <definedName name="_2m_150" localSheetId="0">#REF!</definedName>
    <definedName name="_2m_150">#REF!</definedName>
    <definedName name="_2m_200" localSheetId="0">#REF!</definedName>
    <definedName name="_2m_200">#REF!</definedName>
    <definedName name="_2m_25" localSheetId="0">#REF!</definedName>
    <definedName name="_2m_25">#REF!</definedName>
    <definedName name="_2m_250" localSheetId="0">#REF!</definedName>
    <definedName name="_2m_250">#REF!</definedName>
    <definedName name="_2m_300" localSheetId="0">#REF!</definedName>
    <definedName name="_2m_300">#REF!</definedName>
    <definedName name="_2m_32" localSheetId="0">#REF!</definedName>
    <definedName name="_2m_32">#REF!</definedName>
    <definedName name="_2m_40" localSheetId="0">#REF!</definedName>
    <definedName name="_2m_40">#REF!</definedName>
    <definedName name="_2m_50" localSheetId="0">#REF!</definedName>
    <definedName name="_2m_50">#REF!</definedName>
    <definedName name="_2m_65" localSheetId="0">#REF!</definedName>
    <definedName name="_2m_65">#REF!</definedName>
    <definedName name="_2m_80" localSheetId="0">#REF!</definedName>
    <definedName name="_2m_80">#REF!</definedName>
    <definedName name="_3__123Graph_AChart_1Q" localSheetId="0" hidden="1">#REF!</definedName>
    <definedName name="_3__123Graph_AChart_1Q" hidden="1">#REF!</definedName>
    <definedName name="_3__123Graph_BAdmin_Expenses" localSheetId="0" hidden="1">#REF!</definedName>
    <definedName name="_3__123Graph_BAdmin_Expenses" hidden="1">#REF!</definedName>
    <definedName name="_3m_100" localSheetId="0">#REF!</definedName>
    <definedName name="_3m_100">#REF!</definedName>
    <definedName name="_3m_150" localSheetId="0">#REF!</definedName>
    <definedName name="_3m_150">#REF!</definedName>
    <definedName name="_3m_200" localSheetId="0">#REF!</definedName>
    <definedName name="_3m_200">#REF!</definedName>
    <definedName name="_3m_25" localSheetId="0">#REF!</definedName>
    <definedName name="_3m_25">#REF!</definedName>
    <definedName name="_3m_250" localSheetId="0">#REF!</definedName>
    <definedName name="_3m_250">#REF!</definedName>
    <definedName name="_3m_300" localSheetId="0">#REF!</definedName>
    <definedName name="_3m_300">#REF!</definedName>
    <definedName name="_3m_32" localSheetId="0">#REF!</definedName>
    <definedName name="_3m_32">#REF!</definedName>
    <definedName name="_3m_40" localSheetId="0">#REF!</definedName>
    <definedName name="_3m_40">#REF!</definedName>
    <definedName name="_3m_50" localSheetId="0">#REF!</definedName>
    <definedName name="_3m_50">#REF!</definedName>
    <definedName name="_3m_65" localSheetId="0">#REF!</definedName>
    <definedName name="_3m_65">#REF!</definedName>
    <definedName name="_3m_80" localSheetId="0">#REF!</definedName>
    <definedName name="_3m_80">#REF!</definedName>
    <definedName name="_4__123Graph_BChart_1Q" localSheetId="0" hidden="1">#REF!</definedName>
    <definedName name="_4__123Graph_BChart_1Q" hidden="1">#REF!</definedName>
    <definedName name="_4__123Graph_BService_Expense" localSheetId="0" hidden="1">#REF!</definedName>
    <definedName name="_4__123Graph_BService_Expense" hidden="1">#REF!</definedName>
    <definedName name="_5__123Graph_XAdmin_Expenses" localSheetId="0" hidden="1">#REF!</definedName>
    <definedName name="_5__123Graph_XAdmin_Expenses" hidden="1">#REF!</definedName>
    <definedName name="_6__123Graph_XService_Expense" localSheetId="0" hidden="1">#REF!</definedName>
    <definedName name="_6__123Graph_XService_Expense" hidden="1">#REF!</definedName>
    <definedName name="_a1" localSheetId="0">#REF!</definedName>
    <definedName name="_a1">#REF!</definedName>
    <definedName name="_a2" localSheetId="0">#REF!</definedName>
    <definedName name="_a2">#REF!</definedName>
    <definedName name="_a65537" localSheetId="0">#REF!</definedName>
    <definedName name="_a65537">#REF!</definedName>
    <definedName name="_A65555" localSheetId="0">#REF!</definedName>
    <definedName name="_A65555">#REF!</definedName>
    <definedName name="_A655600" localSheetId="0">#REF!</definedName>
    <definedName name="_A655600">#REF!</definedName>
    <definedName name="_A655601" localSheetId="0">#REF!</definedName>
    <definedName name="_A655601">#REF!</definedName>
    <definedName name="_A65658" localSheetId="0">#REF!</definedName>
    <definedName name="_A65658">#REF!</definedName>
    <definedName name="_A99999" localSheetId="0">#REF!</definedName>
    <definedName name="_A99999">#REF!</definedName>
    <definedName name="_a999999" localSheetId="0">#REF!</definedName>
    <definedName name="_a999999">#REF!</definedName>
    <definedName name="_AAA1" localSheetId="0">#REF!</definedName>
    <definedName name="_AAA1">#REF!</definedName>
    <definedName name="_aaa10" localSheetId="0">#REF!</definedName>
    <definedName name="_aaa10">#REF!</definedName>
    <definedName name="_aaa11" localSheetId="0">#REF!</definedName>
    <definedName name="_aaa11">#REF!</definedName>
    <definedName name="_AAA12" localSheetId="0">#REF!</definedName>
    <definedName name="_AAA12">#REF!</definedName>
    <definedName name="_AAA21" localSheetId="0">#REF!</definedName>
    <definedName name="_AAA21">#REF!</definedName>
    <definedName name="_aaa23" localSheetId="0">#REF!</definedName>
    <definedName name="_aaa23">#REF!</definedName>
    <definedName name="_aaa34" localSheetId="0">#REF!</definedName>
    <definedName name="_aaa34">#REF!</definedName>
    <definedName name="_aaa5" localSheetId="0">#REF!</definedName>
    <definedName name="_aaa5">#REF!</definedName>
    <definedName name="_AAA53" localSheetId="0">#REF!</definedName>
    <definedName name="_AAA53">#REF!</definedName>
    <definedName name="_aaa54" localSheetId="0">#REF!</definedName>
    <definedName name="_aaa54">#REF!</definedName>
    <definedName name="_aaa545" localSheetId="0">#REF!</definedName>
    <definedName name="_aaa545">#REF!</definedName>
    <definedName name="_aaa55" localSheetId="0">#REF!</definedName>
    <definedName name="_aaa55">#REF!</definedName>
    <definedName name="_aaa56" localSheetId="0">#REF!</definedName>
    <definedName name="_aaa56">#REF!</definedName>
    <definedName name="_AAA57" localSheetId="0">#REF!</definedName>
    <definedName name="_AAA57">#REF!</definedName>
    <definedName name="_aaa59" localSheetId="0">#REF!</definedName>
    <definedName name="_aaa59">#REF!</definedName>
    <definedName name="_AAA66" localSheetId="0">#REF!</definedName>
    <definedName name="_AAA66">#REF!</definedName>
    <definedName name="_AAA69" localSheetId="0">#REF!</definedName>
    <definedName name="_AAA69">#REF!</definedName>
    <definedName name="_aad55" localSheetId="0">#REF!</definedName>
    <definedName name="_aad55">#REF!</definedName>
    <definedName name="_AAD56" localSheetId="0">#REF!</definedName>
    <definedName name="_AAD56">#REF!</definedName>
    <definedName name="_AAD57" localSheetId="0">#REF!</definedName>
    <definedName name="_AAD57">#REF!</definedName>
    <definedName name="_AGG10" localSheetId="0">#REF!</definedName>
    <definedName name="_AGG10">#REF!</definedName>
    <definedName name="_Agg12" localSheetId="0">#REF!</definedName>
    <definedName name="_Agg12">#REF!</definedName>
    <definedName name="_Agg20" localSheetId="0">#REF!</definedName>
    <definedName name="_Agg20">#REF!</definedName>
    <definedName name="_Agg40" localSheetId="0">#REF!</definedName>
    <definedName name="_Agg40">#REF!</definedName>
    <definedName name="_Agg6" localSheetId="0">#REF!</definedName>
    <definedName name="_Agg6">#REF!</definedName>
    <definedName name="_aj1" localSheetId="0">#REF!</definedName>
    <definedName name="_aj1">#REF!</definedName>
    <definedName name="_ast1" localSheetId="0">#REF!</definedName>
    <definedName name="_ast1">#REF!</definedName>
    <definedName name="_ast2" localSheetId="0">#REF!</definedName>
    <definedName name="_ast2">#REF!</definedName>
    <definedName name="_axx1" localSheetId="0">#REF!</definedName>
    <definedName name="_axx1">#REF!</definedName>
    <definedName name="_axx2" localSheetId="0">#REF!</definedName>
    <definedName name="_axx2">#REF!</definedName>
    <definedName name="_axx3" localSheetId="0">#REF!</definedName>
    <definedName name="_axx3">#REF!</definedName>
    <definedName name="_b111121" localSheetId="0">#REF!</definedName>
    <definedName name="_b111121">#REF!</definedName>
    <definedName name="_bbb1" localSheetId="0">#REF!</definedName>
    <definedName name="_bbb1">#REF!</definedName>
    <definedName name="_bct75" localSheetId="0">#REF!</definedName>
    <definedName name="_bct75">#REF!</definedName>
    <definedName name="_bit3040" localSheetId="0">#REF!</definedName>
    <definedName name="_bit3040">#REF!</definedName>
    <definedName name="_BIT6070" localSheetId="0">#REF!</definedName>
    <definedName name="_BIT6070">#REF!</definedName>
    <definedName name="_bit8525" localSheetId="0">#REF!</definedName>
    <definedName name="_bit8525">#REF!</definedName>
    <definedName name="_bol1" localSheetId="0">#REF!</definedName>
    <definedName name="_bol1">#REF!</definedName>
    <definedName name="_bua1" localSheetId="0">#REF!</definedName>
    <definedName name="_bua1">#REF!</definedName>
    <definedName name="_buh11" localSheetId="0">#REF!</definedName>
    <definedName name="_buh11">#REF!</definedName>
    <definedName name="_C" localSheetId="0">#REF!</definedName>
    <definedName name="_C">#REF!</definedName>
    <definedName name="_C___0" localSheetId="0">#REF!</definedName>
    <definedName name="_C___0">#REF!</definedName>
    <definedName name="_C___13" localSheetId="0">#REF!</definedName>
    <definedName name="_C___13">#REF!</definedName>
    <definedName name="_can430">40.73</definedName>
    <definedName name="_can435">43.3</definedName>
    <definedName name="_ccc1" localSheetId="0">#REF!</definedName>
    <definedName name="_ccc1">#REF!</definedName>
    <definedName name="_CCT220" localSheetId="0">#REF!</definedName>
    <definedName name="_CCT220">#REF!</definedName>
    <definedName name="_CEM43" localSheetId="0">#REF!</definedName>
    <definedName name="_CEM43">#REF!</definedName>
    <definedName name="_cli5" localSheetId="0">#REF!</definedName>
    <definedName name="_cli5">#REF!</definedName>
    <definedName name="_COL1" localSheetId="0">#REF!</definedName>
    <definedName name="_COL1">#REF!</definedName>
    <definedName name="_COL14" localSheetId="0">#REF!</definedName>
    <definedName name="_COL14">#REF!</definedName>
    <definedName name="_COL15" localSheetId="0">#REF!</definedName>
    <definedName name="_COL15">#REF!</definedName>
    <definedName name="_COL16" localSheetId="0">#REF!</definedName>
    <definedName name="_COL16">#REF!</definedName>
    <definedName name="_Ctr10" localSheetId="0">#REF!</definedName>
    <definedName name="_Ctr10">#REF!</definedName>
    <definedName name="_CVT220" localSheetId="0">#REF!</definedName>
    <definedName name="_CVT220">#REF!</definedName>
    <definedName name="_CY53__" localSheetId="0">#REF!</definedName>
    <definedName name="_CY53__">#REF!</definedName>
    <definedName name="_D199617" localSheetId="0">[5]DATA!$D$217</definedName>
    <definedName name="_D199617">#REF!</definedName>
    <definedName name="_ddd1" localSheetId="0">#REF!</definedName>
    <definedName name="_ddd1">#REF!</definedName>
    <definedName name="_del1" localSheetId="0">#REF!</definedName>
    <definedName name="_del1">#REF!</definedName>
    <definedName name="_dk1" localSheetId="0" hidden="1">{#N/A,#N/A,FALSE,"COVER.XLS";#N/A,#N/A,FALSE,"RACT1.XLS";#N/A,#N/A,FALSE,"RACT2.XLS";#N/A,#N/A,FALSE,"ECCMP";#N/A,#N/A,FALSE,"WELDER.XLS"}</definedName>
    <definedName name="_dk1" hidden="1">{#N/A,#N/A,FALSE,"COVER.XLS";#N/A,#N/A,FALSE,"RACT1.XLS";#N/A,#N/A,FALSE,"RACT2.XLS";#N/A,#N/A,FALSE,"ECCMP";#N/A,#N/A,FALSE,"WELDER.XLS"}</definedName>
    <definedName name="_DKT75" localSheetId="0">#REF!</definedName>
    <definedName name="_DKT75">#REF!</definedName>
    <definedName name="_Doc1" localSheetId="0">#REF!</definedName>
    <definedName name="_Doc1">#REF!</definedName>
    <definedName name="_eee1" localSheetId="0">#REF!</definedName>
    <definedName name="_eee1">#REF!</definedName>
    <definedName name="_EN1000000" localSheetId="0">#REF!</definedName>
    <definedName name="_EN1000000">#REF!</definedName>
    <definedName name="_esc1" localSheetId="0">#REF!</definedName>
    <definedName name="_esc1">#REF!</definedName>
    <definedName name="_exc1" localSheetId="0">#REF!</definedName>
    <definedName name="_exc1">#REF!</definedName>
    <definedName name="_exc11" localSheetId="0">#REF!</definedName>
    <definedName name="_exc11">#REF!</definedName>
    <definedName name="_exc12." localSheetId="0">#REF!</definedName>
    <definedName name="_exc12.">#REF!</definedName>
    <definedName name="_exc2" localSheetId="0">#REF!</definedName>
    <definedName name="_exc2">#REF!</definedName>
    <definedName name="_EXC3" localSheetId="0">#REF!</definedName>
    <definedName name="_EXC3">#REF!</definedName>
    <definedName name="_EXC4" localSheetId="0">#REF!</definedName>
    <definedName name="_EXC4">#REF!</definedName>
    <definedName name="_f1" localSheetId="0">#REF!</definedName>
    <definedName name="_f1">#REF!</definedName>
    <definedName name="_fac1" localSheetId="0">#REF!</definedName>
    <definedName name="_fac1">#REF!</definedName>
    <definedName name="_fac2" localSheetId="0">#REF!</definedName>
    <definedName name="_fac2">#REF!</definedName>
    <definedName name="_fco2" localSheetId="0" hidden="1">{#N/A,#N/A,FALSE,"gc (2)"}</definedName>
    <definedName name="_fco2" hidden="1">{#N/A,#N/A,FALSE,"gc (2)"}</definedName>
    <definedName name="_fff1" localSheetId="0">#REF!</definedName>
    <definedName name="_fff1">#REF!</definedName>
    <definedName name="_Fill" localSheetId="0" hidden="1">#REF!</definedName>
    <definedName name="_Fill" hidden="1">#REF!</definedName>
    <definedName name="_xlnm._FilterDatabase" localSheetId="0">#REF!</definedName>
    <definedName name="_xlnm._FilterDatabase" hidden="1">#REF!</definedName>
    <definedName name="_flx200" localSheetId="0">#REF!</definedName>
    <definedName name="_flx200">#REF!</definedName>
    <definedName name="_flx250" localSheetId="0">#REF!</definedName>
    <definedName name="_flx250">#REF!</definedName>
    <definedName name="_flx300" localSheetId="0">#REF!</definedName>
    <definedName name="_flx300">#REF!</definedName>
    <definedName name="_foo1" localSheetId="0">#REF!</definedName>
    <definedName name="_foo1">#REF!</definedName>
    <definedName name="_foo2" localSheetId="0">#REF!</definedName>
    <definedName name="_foo2">#REF!</definedName>
    <definedName name="_foo3" localSheetId="0">#REF!</definedName>
    <definedName name="_foo3">#REF!</definedName>
    <definedName name="_FOO4" localSheetId="0">#REF!</definedName>
    <definedName name="_FOO4">#REF!</definedName>
    <definedName name="_G1" localSheetId="0">#REF!</definedName>
    <definedName name="_G1">#REF!</definedName>
    <definedName name="_GEN125" localSheetId="0">#REF!</definedName>
    <definedName name="_GEN125">#REF!</definedName>
    <definedName name="_GEN250" localSheetId="0">#REF!</definedName>
    <definedName name="_GEN250">#REF!</definedName>
    <definedName name="_GEN63" localSheetId="0">#REF!</definedName>
    <definedName name="_GEN63">#REF!</definedName>
    <definedName name="_GOTO_I10_" localSheetId="0">#REF!</definedName>
    <definedName name="_GOTO_I10_">#REF!</definedName>
    <definedName name="_hfi1" localSheetId="0">#REF!</definedName>
    <definedName name="_hfi1">#REF!</definedName>
    <definedName name="_hfi3" localSheetId="0">#REF!</definedName>
    <definedName name="_hfi3">#REF!</definedName>
    <definedName name="_hp10" localSheetId="0"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hp10_1" localSheetId="0" hidden="1">{#N/A,#N/A,TRUE,"Front";#N/A,#N/A,TRUE,"Simple Letter";#N/A,#N/A,TRUE,"Inside";#N/A,#N/A,TRUE,"Contents";#N/A,#N/A,TRUE,"Basis";#N/A,#N/A,TRUE,"Inclusions";#N/A,#N/A,TRUE,"Exclusions";#N/A,#N/A,TRUE,"Areas";#N/A,#N/A,TRUE,"Summary";#N/A,#N/A,TRUE,"Detail"}</definedName>
    <definedName name="_hp10_1" hidden="1">{#N/A,#N/A,TRUE,"Front";#N/A,#N/A,TRUE,"Simple Letter";#N/A,#N/A,TRUE,"Inside";#N/A,#N/A,TRUE,"Contents";#N/A,#N/A,TRUE,"Basis";#N/A,#N/A,TRUE,"Inclusions";#N/A,#N/A,TRUE,"Exclusions";#N/A,#N/A,TRUE,"Areas";#N/A,#N/A,TRUE,"Summary";#N/A,#N/A,TRUE,"Detail"}</definedName>
    <definedName name="_hs1" localSheetId="0">#REF!</definedName>
    <definedName name="_hs1">#REF!</definedName>
    <definedName name="_hxa1" localSheetId="0">#REF!</definedName>
    <definedName name="_hxa1">#REF!</definedName>
    <definedName name="_hxa2" localSheetId="0">#REF!</definedName>
    <definedName name="_hxa2">#REF!</definedName>
    <definedName name="_hxb1" localSheetId="0">#REF!</definedName>
    <definedName name="_hxb1">#REF!</definedName>
    <definedName name="_hxb2" localSheetId="0">#REF!</definedName>
    <definedName name="_hxb2">#REF!</definedName>
    <definedName name="_hxc1" localSheetId="0">#REF!</definedName>
    <definedName name="_hxc1">#REF!</definedName>
    <definedName name="_hxc2" localSheetId="0">#REF!</definedName>
    <definedName name="_hxc2">#REF!</definedName>
    <definedName name="_ief1" localSheetId="0">#REF!</definedName>
    <definedName name="_ief1">#REF!</definedName>
    <definedName name="_ind1" localSheetId="0">#REF!</definedName>
    <definedName name="_ind1">#REF!</definedName>
    <definedName name="_IND11" localSheetId="0">#REF!</definedName>
    <definedName name="_IND11">#REF!</definedName>
    <definedName name="_IND31" localSheetId="0">#REF!</definedName>
    <definedName name="_IND31">#REF!</definedName>
    <definedName name="_IRS1" localSheetId="0">#REF!</definedName>
    <definedName name="_IRS1">#REF!</definedName>
    <definedName name="_ISO220" localSheetId="0">#REF!</definedName>
    <definedName name="_ISO220">#REF!</definedName>
    <definedName name="_iv66666" localSheetId="0">#REF!</definedName>
    <definedName name="_iv66666">#REF!</definedName>
    <definedName name="_jh78" localSheetId="0">#REF!</definedName>
    <definedName name="_jh78">#REF!</definedName>
    <definedName name="_Key2" localSheetId="0" hidden="1">#REF!</definedName>
    <definedName name="_Key2" hidden="1">#REF!</definedName>
    <definedName name="_Ki1" localSheetId="0">#REF!</definedName>
    <definedName name="_Ki1">#REF!</definedName>
    <definedName name="_Ki2" localSheetId="0">#REF!</definedName>
    <definedName name="_Ki2">#REF!</definedName>
    <definedName name="_KK1" localSheetId="0">#REF!</definedName>
    <definedName name="_KK1">#REF!</definedName>
    <definedName name="_KK2" localSheetId="0">#REF!</definedName>
    <definedName name="_KK2">#REF!</definedName>
    <definedName name="_kk3" localSheetId="0">#REF!</definedName>
    <definedName name="_kk3">#REF!</definedName>
    <definedName name="_kk4" localSheetId="0">#REF!</definedName>
    <definedName name="_kk4">#REF!</definedName>
    <definedName name="_kvs1" localSheetId="0" hidden="1">{#N/A,#N/A,FALSE,"COVER1.XLS ";#N/A,#N/A,FALSE,"RACT1.XLS";#N/A,#N/A,FALSE,"RACT2.XLS";#N/A,#N/A,FALSE,"ECCMP";#N/A,#N/A,FALSE,"WELDER.XLS"}</definedName>
    <definedName name="_kvs1" hidden="1">{#N/A,#N/A,FALSE,"COVER1.XLS ";#N/A,#N/A,FALSE,"RACT1.XLS";#N/A,#N/A,FALSE,"RACT2.XLS";#N/A,#N/A,FALSE,"ECCMP";#N/A,#N/A,FALSE,"WELDER.XLS"}</definedName>
    <definedName name="_kvs2" localSheetId="0" hidden="1">{#N/A,#N/A,FALSE,"COVER1.XLS ";#N/A,#N/A,FALSE,"RACT1.XLS";#N/A,#N/A,FALSE,"RACT2.XLS";#N/A,#N/A,FALSE,"ECCMP";#N/A,#N/A,FALSE,"WELDER.XLS"}</definedName>
    <definedName name="_kvs2" hidden="1">{#N/A,#N/A,FALSE,"COVER1.XLS ";#N/A,#N/A,FALSE,"RACT1.XLS";#N/A,#N/A,FALSE,"RACT2.XLS";#N/A,#N/A,FALSE,"ECCMP";#N/A,#N/A,FALSE,"WELDER.XLS"}</definedName>
    <definedName name="_kvs5" localSheetId="0" hidden="1">{#N/A,#N/A,FALSE,"COVER.XLS";#N/A,#N/A,FALSE,"RACT1.XLS";#N/A,#N/A,FALSE,"RACT2.XLS";#N/A,#N/A,FALSE,"ECCMP";#N/A,#N/A,FALSE,"WELDER.XLS"}</definedName>
    <definedName name="_kvs5" hidden="1">{#N/A,#N/A,FALSE,"COVER.XLS";#N/A,#N/A,FALSE,"RACT1.XLS";#N/A,#N/A,FALSE,"RACT2.XLS";#N/A,#N/A,FALSE,"ECCMP";#N/A,#N/A,FALSE,"WELDER.XLS"}</definedName>
    <definedName name="_kvs8" localSheetId="0" hidden="1">{#N/A,#N/A,FALSE,"COVER1.XLS ";#N/A,#N/A,FALSE,"RACT1.XLS";#N/A,#N/A,FALSE,"RACT2.XLS";#N/A,#N/A,FALSE,"ECCMP";#N/A,#N/A,FALSE,"WELDER.XLS"}</definedName>
    <definedName name="_kvs8" hidden="1">{#N/A,#N/A,FALSE,"COVER1.XLS ";#N/A,#N/A,FALSE,"RACT1.XLS";#N/A,#N/A,FALSE,"RACT2.XLS";#N/A,#N/A,FALSE,"ECCMP";#N/A,#N/A,FALSE,"WELDER.XLS"}</definedName>
    <definedName name="_L1" localSheetId="0">#REF!</definedName>
    <definedName name="_L1">#REF!</definedName>
    <definedName name="_lb1" localSheetId="0">#REF!</definedName>
    <definedName name="_lb1">#REF!</definedName>
    <definedName name="_lb2" localSheetId="0">#REF!</definedName>
    <definedName name="_lb2">#REF!</definedName>
    <definedName name="_lef1">#N/A</definedName>
    <definedName name="_lef1_1">#N/A</definedName>
    <definedName name="_lef2">#N/A</definedName>
    <definedName name="_lef2_1">#N/A</definedName>
    <definedName name="_lel1">#N/A</definedName>
    <definedName name="_lel1_1">#N/A</definedName>
    <definedName name="_lel2">#N/A</definedName>
    <definedName name="_lel2_1">#N/A</definedName>
    <definedName name="_lk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MH1" localSheetId="0">#REF!</definedName>
    <definedName name="_LMH1">#REF!</definedName>
    <definedName name="_LMH2" localSheetId="0">#REF!</definedName>
    <definedName name="_LMH2">#REF!</definedName>
    <definedName name="_ls1" localSheetId="0">#REF!</definedName>
    <definedName name="_ls1">#REF!</definedName>
    <definedName name="_ls2" localSheetId="0">#REF!</definedName>
    <definedName name="_ls2">#REF!</definedName>
    <definedName name="_ls3" localSheetId="0">#REF!</definedName>
    <definedName name="_ls3">#REF!</definedName>
    <definedName name="_ls4" localSheetId="0">#REF!</definedName>
    <definedName name="_ls4">#REF!</definedName>
    <definedName name="_lsc44" localSheetId="0">#REF!</definedName>
    <definedName name="_lsc44">#REF!</definedName>
    <definedName name="_LSEC45" localSheetId="0">#REF!</definedName>
    <definedName name="_LSEC45">#REF!</definedName>
    <definedName name="_m20" localSheetId="0">#REF!</definedName>
    <definedName name="_m20">#REF!</definedName>
    <definedName name="_mac2">200</definedName>
    <definedName name="_MAN1" localSheetId="0">#REF!</definedName>
    <definedName name="_MAN1">#REF!</definedName>
    <definedName name="_md1" localSheetId="0">#REF!</definedName>
    <definedName name="_md1">#REF!</definedName>
    <definedName name="_md10" localSheetId="0">#REF!</definedName>
    <definedName name="_md10">#REF!</definedName>
    <definedName name="_md11" localSheetId="0">#REF!</definedName>
    <definedName name="_md11">#REF!</definedName>
    <definedName name="_md12" localSheetId="0">#REF!</definedName>
    <definedName name="_md12">#REF!</definedName>
    <definedName name="_md13" localSheetId="0">#REF!</definedName>
    <definedName name="_md13">#REF!</definedName>
    <definedName name="_md14" localSheetId="0">#REF!</definedName>
    <definedName name="_md14">#REF!</definedName>
    <definedName name="_md15" localSheetId="0">#REF!</definedName>
    <definedName name="_md15">#REF!</definedName>
    <definedName name="_md2" localSheetId="0">#REF!</definedName>
    <definedName name="_md2">#REF!</definedName>
    <definedName name="_md3" localSheetId="0">#REF!</definedName>
    <definedName name="_md3">#REF!</definedName>
    <definedName name="_md4" localSheetId="0">#REF!</definedName>
    <definedName name="_md4">#REF!</definedName>
    <definedName name="_md5" localSheetId="0">#REF!</definedName>
    <definedName name="_md5">#REF!</definedName>
    <definedName name="_md6" localSheetId="0">#REF!</definedName>
    <definedName name="_md6">#REF!</definedName>
    <definedName name="_md7" localSheetId="0">#REF!</definedName>
    <definedName name="_md7">#REF!</definedName>
    <definedName name="_md8" localSheetId="0">#REF!</definedName>
    <definedName name="_md8">#REF!</definedName>
    <definedName name="_md9" localSheetId="0">#REF!</definedName>
    <definedName name="_md9">#REF!</definedName>
    <definedName name="_MF1" localSheetId="0">#REF!</definedName>
    <definedName name="_MF1">#REF!</definedName>
    <definedName name="_mix1" localSheetId="0">#REF!</definedName>
    <definedName name="_mix1">#REF!</definedName>
    <definedName name="_mix10">4.5</definedName>
    <definedName name="_mix15">264/50</definedName>
    <definedName name="_mix2" localSheetId="0">#REF!</definedName>
    <definedName name="_mix2">#REF!</definedName>
    <definedName name="_mix20">330/50</definedName>
    <definedName name="_mix30">350/50</definedName>
    <definedName name="_mix40">450/50</definedName>
    <definedName name="_miy1" localSheetId="0">#REF!</definedName>
    <definedName name="_miy1">#REF!</definedName>
    <definedName name="_miy2" localSheetId="0">#REF!</definedName>
    <definedName name="_miy2">#REF!</definedName>
    <definedName name="_MM1" localSheetId="0">#REF!</definedName>
    <definedName name="_MM1">#REF!</definedName>
    <definedName name="_MM2" localSheetId="0">#REF!</definedName>
    <definedName name="_MM2">#REF!</definedName>
    <definedName name="_mm3" localSheetId="0">#REF!</definedName>
    <definedName name="_mm3">#REF!</definedName>
    <definedName name="_MMB220" localSheetId="0">#REF!</definedName>
    <definedName name="_MMB220">#REF!</definedName>
    <definedName name="_mnk1" localSheetId="0">#REF!</definedName>
    <definedName name="_mnk1">#REF!</definedName>
    <definedName name="_MR10"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T10" localSheetId="0">#REF!</definedName>
    <definedName name="_MT10">#REF!</definedName>
    <definedName name="_MT20" localSheetId="0">#REF!</definedName>
    <definedName name="_MT20">#REF!</definedName>
    <definedName name="_MT40" localSheetId="0">#REF!</definedName>
    <definedName name="_MT40">#REF!</definedName>
    <definedName name="_MT90" localSheetId="0">#REF!</definedName>
    <definedName name="_MT90">#REF!</definedName>
    <definedName name="_mux1" localSheetId="0">#REF!</definedName>
    <definedName name="_mux1">#REF!</definedName>
    <definedName name="_muy1" localSheetId="0">#REF!</definedName>
    <definedName name="_muy1">#REF!</definedName>
    <definedName name="_NN1" localSheetId="0">#REF!</definedName>
    <definedName name="_NN1">#REF!</definedName>
    <definedName name="_nt75" localSheetId="0">#REF!</definedName>
    <definedName name="_nt75">#REF!</definedName>
    <definedName name="_OC43" localSheetId="0">#REF!</definedName>
    <definedName name="_OC43">#REF!</definedName>
    <definedName name="_OPC4" localSheetId="0">#REF!</definedName>
    <definedName name="_OPC4">#REF!</definedName>
    <definedName name="_OPC53" localSheetId="0">#REF!</definedName>
    <definedName name="_OPC53">#REF!</definedName>
    <definedName name="_Order1" hidden="1">255</definedName>
    <definedName name="_Order1_1" hidden="1">0</definedName>
    <definedName name="_Order2" hidden="1">255</definedName>
    <definedName name="_Order2_1" hidden="1">0</definedName>
    <definedName name="_Order2_2" hidden="1">255</definedName>
    <definedName name="_oz1" localSheetId="0">#REF!</definedName>
    <definedName name="_oz1">#REF!</definedName>
    <definedName name="_pan1" localSheetId="0">#REF!</definedName>
    <definedName name="_pan1">#REF!</definedName>
    <definedName name="_PAN2" localSheetId="0">#REF!</definedName>
    <definedName name="_PAN2">#REF!</definedName>
    <definedName name="_Parse_Out" localSheetId="0" hidden="1">#REF!</definedName>
    <definedName name="_Parse_Out" hidden="1">#REF!</definedName>
    <definedName name="_PB1" localSheetId="0">#REF!</definedName>
    <definedName name="_PB1">#REF!</definedName>
    <definedName name="_pcc1" localSheetId="0">#REF!</definedName>
    <definedName name="_pcc1">#REF!</definedName>
    <definedName name="_pcc2" localSheetId="0">#REF!</definedName>
    <definedName name="_pcc2">#REF!</definedName>
    <definedName name="_pcc3" localSheetId="0">#REF!</definedName>
    <definedName name="_pcc3">#REF!</definedName>
    <definedName name="_PCC4" localSheetId="0">#REF!</definedName>
    <definedName name="_PCC4">#REF!</definedName>
    <definedName name="_plb1" localSheetId="0">#REF!</definedName>
    <definedName name="_plb1">#REF!</definedName>
    <definedName name="_plb2" localSheetId="0">#REF!</definedName>
    <definedName name="_plb2">#REF!</definedName>
    <definedName name="_plb3" localSheetId="0">#REF!</definedName>
    <definedName name="_plb3">#REF!</definedName>
    <definedName name="_plb4" localSheetId="0">#REF!</definedName>
    <definedName name="_plb4">#REF!</definedName>
    <definedName name="_PLF1" localSheetId="0">#REF!</definedName>
    <definedName name="_PLF1">#REF!</definedName>
    <definedName name="_PLF2" localSheetId="0">#REF!</definedName>
    <definedName name="_PLF2">#REF!</definedName>
    <definedName name="_PLF3" localSheetId="0">#REF!</definedName>
    <definedName name="_PLF3">#REF!</definedName>
    <definedName name="_PPRN3..AF242" localSheetId="0">#REF!</definedName>
    <definedName name="_PPRN3..AF242">#REF!</definedName>
    <definedName name="_PRN1" localSheetId="0" hidden="1">{#N/A,#N/A,FALSE,"COVER.XLS";#N/A,#N/A,FALSE,"RACT1.XLS";#N/A,#N/A,FALSE,"RACT2.XLS";#N/A,#N/A,FALSE,"ECCMP";#N/A,#N/A,FALSE,"WELDER.XLS"}</definedName>
    <definedName name="_PRN1" hidden="1">{#N/A,#N/A,FALSE,"COVER.XLS";#N/A,#N/A,FALSE,"RACT1.XLS";#N/A,#N/A,FALSE,"RACT2.XLS";#N/A,#N/A,FALSE,"ECCMP";#N/A,#N/A,FALSE,"WELDER.XLS"}</definedName>
    <definedName name="_QQQ" localSheetId="0">#REF!</definedName>
    <definedName name="_QQQ">#REF!</definedName>
    <definedName name="_r" localSheetId="0">#REF!</definedName>
    <definedName name="_r">#REF!</definedName>
    <definedName name="_rab20" localSheetId="0">#REF!</definedName>
    <definedName name="_rab20">#REF!</definedName>
    <definedName name="_ram1" localSheetId="0" hidden="1">{#N/A,#N/A,FALSE,"gc (2)"}</definedName>
    <definedName name="_ram1" hidden="1">{#N/A,#N/A,FALSE,"gc (2)"}</definedName>
    <definedName name="_RCC115" localSheetId="0">#REF!</definedName>
    <definedName name="_RCC115">#REF!</definedName>
    <definedName name="_RCC12">#REF!</definedName>
    <definedName name="_Re1" localSheetId="0">#REF!</definedName>
    <definedName name="_Re1">#REF!</definedName>
    <definedName name="_Regression_X" localSheetId="0" hidden="1">#REF!</definedName>
    <definedName name="_Regression_X" hidden="1">#REF!</definedName>
    <definedName name="_rel1">#N/A</definedName>
    <definedName name="_rel1_1">#N/A</definedName>
    <definedName name="_rel2">#N/A</definedName>
    <definedName name="_rel2_1">#N/A</definedName>
    <definedName name="_rig1">#N/A</definedName>
    <definedName name="_rig1_1">#N/A</definedName>
    <definedName name="_rig2">#N/A</definedName>
    <definedName name="_rig2_1">#N/A</definedName>
    <definedName name="_Rl1" localSheetId="0">#REF!</definedName>
    <definedName name="_Rl1">#REF!</definedName>
    <definedName name="_rr87" localSheetId="0">'[5]ALL ITEMS-RATE'!$E$111</definedName>
    <definedName name="_rr87">#REF!</definedName>
    <definedName name="_Rs1" localSheetId="0">#REF!</definedName>
    <definedName name="_Rs1">#REF!</definedName>
    <definedName name="_rto1" localSheetId="0">'[3]Agreed rates'!$A$2:$D$862</definedName>
    <definedName name="_rto1">'[4]Agreed rates'!$A$2:$D$862</definedName>
    <definedName name="_RVAE306___DOWN" localSheetId="0">#REF!</definedName>
    <definedName name="_RVAE306___DOWN">#REF!</definedName>
    <definedName name="_RVAE358___DOWN" localSheetId="0">#REF!</definedName>
    <definedName name="_RVAE358___DOWN">#REF!</definedName>
    <definedName name="_RVAE395___DOWN" localSheetId="0">#REF!</definedName>
    <definedName name="_RVAE395___DOWN">#REF!</definedName>
    <definedName name="_RVY53..AE53__" localSheetId="0">#REF!</definedName>
    <definedName name="_RVY53..AE53__">#REF!</definedName>
    <definedName name="_S12" localSheetId="0">#REF!</definedName>
    <definedName name="_S12">#REF!</definedName>
    <definedName name="_s41" localSheetId="0" hidden="1">{"form-D1",#N/A,FALSE,"FORM-D1";"form-D1_amt",#N/A,FALSE,"FORM-D1"}</definedName>
    <definedName name="_s41" hidden="1">{"form-D1",#N/A,FALSE,"FORM-D1";"form-D1_amt",#N/A,FALSE,"FORM-D1"}</definedName>
    <definedName name="_s41_1" localSheetId="0" hidden="1">{"form-D1",#N/A,FALSE,"FORM-D1";"form-D1_amt",#N/A,FALSE,"FORM-D1"}</definedName>
    <definedName name="_s41_1" hidden="1">{"form-D1",#N/A,FALSE,"FORM-D1";"form-D1_amt",#N/A,FALSE,"FORM-D1"}</definedName>
    <definedName name="_s41_1_1" localSheetId="0" hidden="1">{"form-D1",#N/A,FALSE,"FORM-D1";"form-D1_amt",#N/A,FALSE,"FORM-D1"}</definedName>
    <definedName name="_s41_1_1" hidden="1">{"form-D1",#N/A,FALSE,"FORM-D1";"form-D1_amt",#N/A,FALSE,"FORM-D1"}</definedName>
    <definedName name="_s41_1_2" localSheetId="0" hidden="1">{"form-D1",#N/A,FALSE,"FORM-D1";"form-D1_amt",#N/A,FALSE,"FORM-D1"}</definedName>
    <definedName name="_s41_1_2" hidden="1">{"form-D1",#N/A,FALSE,"FORM-D1";"form-D1_amt",#N/A,FALSE,"FORM-D1"}</definedName>
    <definedName name="_s41_2" localSheetId="0" hidden="1">{"form-D1",#N/A,FALSE,"FORM-D1";"form-D1_amt",#N/A,FALSE,"FORM-D1"}</definedName>
    <definedName name="_s41_2" hidden="1">{"form-D1",#N/A,FALSE,"FORM-D1";"form-D1_amt",#N/A,FALSE,"FORM-D1"}</definedName>
    <definedName name="_s41_2_1" localSheetId="0" hidden="1">{"form-D1",#N/A,FALSE,"FORM-D1";"form-D1_amt",#N/A,FALSE,"FORM-D1"}</definedName>
    <definedName name="_s41_2_1" hidden="1">{"form-D1",#N/A,FALSE,"FORM-D1";"form-D1_amt",#N/A,FALSE,"FORM-D1"}</definedName>
    <definedName name="_s41_3" localSheetId="0" hidden="1">{"form-D1",#N/A,FALSE,"FORM-D1";"form-D1_amt",#N/A,FALSE,"FORM-D1"}</definedName>
    <definedName name="_s41_3" hidden="1">{"form-D1",#N/A,FALSE,"FORM-D1";"form-D1_amt",#N/A,FALSE,"FORM-D1"}</definedName>
    <definedName name="_s41_3_1" localSheetId="0" hidden="1">{"form-D1",#N/A,FALSE,"FORM-D1";"form-D1_amt",#N/A,FALSE,"FORM-D1"}</definedName>
    <definedName name="_s41_3_1" hidden="1">{"form-D1",#N/A,FALSE,"FORM-D1";"form-D1_amt",#N/A,FALSE,"FORM-D1"}</definedName>
    <definedName name="_s41_4" localSheetId="0" hidden="1">{"form-D1",#N/A,FALSE,"FORM-D1";"form-D1_amt",#N/A,FALSE,"FORM-D1"}</definedName>
    <definedName name="_s41_4" hidden="1">{"form-D1",#N/A,FALSE,"FORM-D1";"form-D1_amt",#N/A,FALSE,"FORM-D1"}</definedName>
    <definedName name="_s41_4_1" localSheetId="0" hidden="1">{"form-D1",#N/A,FALSE,"FORM-D1";"form-D1_amt",#N/A,FALSE,"FORM-D1"}</definedName>
    <definedName name="_s41_4_1" hidden="1">{"form-D1",#N/A,FALSE,"FORM-D1";"form-D1_amt",#N/A,FALSE,"FORM-D1"}</definedName>
    <definedName name="_s41_5" localSheetId="0" hidden="1">{"form-D1",#N/A,FALSE,"FORM-D1";"form-D1_amt",#N/A,FALSE,"FORM-D1"}</definedName>
    <definedName name="_s41_5" hidden="1">{"form-D1",#N/A,FALSE,"FORM-D1";"form-D1_amt",#N/A,FALSE,"FORM-D1"}</definedName>
    <definedName name="_s41_5_1" localSheetId="0" hidden="1">{"form-D1",#N/A,FALSE,"FORM-D1";"form-D1_amt",#N/A,FALSE,"FORM-D1"}</definedName>
    <definedName name="_s41_5_1" hidden="1">{"form-D1",#N/A,FALSE,"FORM-D1";"form-D1_amt",#N/A,FALSE,"FORM-D1"}</definedName>
    <definedName name="_sdb2" localSheetId="0">#REF!</definedName>
    <definedName name="_sdb2">#REF!</definedName>
    <definedName name="_sec1" localSheetId="0">#REF!</definedName>
    <definedName name="_sec1">#REF!</definedName>
    <definedName name="_sec111" localSheetId="0">#REF!</definedName>
    <definedName name="_sec111">#REF!</definedName>
    <definedName name="_SEC15" localSheetId="0">#REF!</definedName>
    <definedName name="_SEC15">#REF!</definedName>
    <definedName name="_Sec2" localSheetId="0">#REF!</definedName>
    <definedName name="_Sec2">#REF!</definedName>
    <definedName name="_sec22" localSheetId="0">#REF!</definedName>
    <definedName name="_sec22">#REF!</definedName>
    <definedName name="_SEC23" localSheetId="0">#REF!</definedName>
    <definedName name="_SEC23">#REF!</definedName>
    <definedName name="_SEC24" localSheetId="0">#REF!</definedName>
    <definedName name="_SEC24">#REF!</definedName>
    <definedName name="_sec3" localSheetId="0">#REF!</definedName>
    <definedName name="_sec3">#REF!</definedName>
    <definedName name="_SEC32" localSheetId="0">#REF!</definedName>
    <definedName name="_SEC32">#REF!</definedName>
    <definedName name="_sec33" localSheetId="0">#REF!</definedName>
    <definedName name="_sec33">#REF!</definedName>
    <definedName name="_Sec4" localSheetId="0">#REF!</definedName>
    <definedName name="_Sec4">#REF!</definedName>
    <definedName name="_sec45" localSheetId="0">#REF!</definedName>
    <definedName name="_sec45">#REF!</definedName>
    <definedName name="_SEC46" localSheetId="0">#REF!</definedName>
    <definedName name="_SEC46">#REF!</definedName>
    <definedName name="_sec5" localSheetId="0">#REF!</definedName>
    <definedName name="_sec5">#REF!</definedName>
    <definedName name="_sec55" localSheetId="0">#REF!</definedName>
    <definedName name="_sec55">#REF!</definedName>
    <definedName name="_SEC56" localSheetId="0">#REF!</definedName>
    <definedName name="_SEC56">#REF!</definedName>
    <definedName name="_sec6" localSheetId="0">#REF!</definedName>
    <definedName name="_sec6">#REF!</definedName>
    <definedName name="_sec66" localSheetId="0">#REF!</definedName>
    <definedName name="_sec66">#REF!</definedName>
    <definedName name="_SEC67" localSheetId="0">#REF!</definedName>
    <definedName name="_SEC67">#REF!</definedName>
    <definedName name="_sec7" localSheetId="0">#REF!</definedName>
    <definedName name="_sec7">#REF!</definedName>
    <definedName name="_sec71" localSheetId="0">#REF!</definedName>
    <definedName name="_sec71">#REF!</definedName>
    <definedName name="_SEC72" localSheetId="0">#REF!</definedName>
    <definedName name="_SEC72">#REF!</definedName>
    <definedName name="_SEC74" localSheetId="0">#REF!</definedName>
    <definedName name="_SEC74">#REF!</definedName>
    <definedName name="_SEC75" localSheetId="0">#REF!</definedName>
    <definedName name="_SEC75">#REF!</definedName>
    <definedName name="_SEC77" localSheetId="0">#REF!</definedName>
    <definedName name="_SEC77">#REF!</definedName>
    <definedName name="_sec777" localSheetId="0">#REF!</definedName>
    <definedName name="_sec777">#REF!</definedName>
    <definedName name="_sec78" localSheetId="0">#REF!</definedName>
    <definedName name="_sec78">#REF!</definedName>
    <definedName name="_sec79" localSheetId="0">#REF!</definedName>
    <definedName name="_sec79">#REF!</definedName>
    <definedName name="_sec8" localSheetId="0">#REF!</definedName>
    <definedName name="_sec8">#REF!</definedName>
    <definedName name="_sec81" localSheetId="0">#REF!</definedName>
    <definedName name="_sec81">#REF!</definedName>
    <definedName name="_SEC82" localSheetId="0">#REF!</definedName>
    <definedName name="_SEC82">#REF!</definedName>
    <definedName name="_SEC83" localSheetId="0">#REF!</definedName>
    <definedName name="_SEC83">#REF!</definedName>
    <definedName name="_SEC87" localSheetId="0">#REF!</definedName>
    <definedName name="_SEC87">#REF!</definedName>
    <definedName name="_SEC88" localSheetId="0">#REF!</definedName>
    <definedName name="_SEC88">#REF!</definedName>
    <definedName name="_sec888" localSheetId="0">#REF!</definedName>
    <definedName name="_sec888">#REF!</definedName>
    <definedName name="_sec89" localSheetId="0">#REF!</definedName>
    <definedName name="_sec89">#REF!</definedName>
    <definedName name="_sec899" localSheetId="0">#REF!</definedName>
    <definedName name="_sec899">#REF!</definedName>
    <definedName name="_SEC9" localSheetId="0">#REF!</definedName>
    <definedName name="_SEC9">#REF!</definedName>
    <definedName name="_SEC91" localSheetId="0">#REF!</definedName>
    <definedName name="_SEC91">#REF!</definedName>
    <definedName name="_SH1" localSheetId="0">#REF!</definedName>
    <definedName name="_SH1">#REF!</definedName>
    <definedName name="_SH2" localSheetId="0">#REF!</definedName>
    <definedName name="_SH2">#REF!</definedName>
    <definedName name="_SH3" localSheetId="0">#REF!</definedName>
    <definedName name="_SH3">#REF!</definedName>
    <definedName name="_SH4" localSheetId="0">#REF!</definedName>
    <definedName name="_SH4">#REF!</definedName>
    <definedName name="_SH5" localSheetId="0">#REF!</definedName>
    <definedName name="_SH5">#REF!</definedName>
    <definedName name="_sit75" localSheetId="0">#REF!</definedName>
    <definedName name="_sit75">#REF!</definedName>
    <definedName name="_Sort" localSheetId="0" hidden="1">#REF!</definedName>
    <definedName name="_Sort" hidden="1">#REF!</definedName>
    <definedName name="_SS2" localSheetId="0">#REF!</definedName>
    <definedName name="_SS2">#REF!</definedName>
    <definedName name="_sti02" localSheetId="0" hidden="1">{#N/A,#N/A,FALSE,"gc (2)"}</definedName>
    <definedName name="_sti02" hidden="1">{#N/A,#N/A,FALSE,"gc (2)"}</definedName>
    <definedName name="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localSheetId="0" hidden="1">{#N/A,#N/A,TRUE,"Financials";#N/A,#N/A,TRUE,"Operating Statistics";#N/A,#N/A,TRUE,"Capex &amp; Depreciation";#N/A,#N/A,TRUE,"Debt"}</definedName>
    <definedName name="_ta1" hidden="1">{#N/A,#N/A,TRUE,"Financials";#N/A,#N/A,TRUE,"Operating Statistics";#N/A,#N/A,TRUE,"Capex &amp; Depreciation";#N/A,#N/A,TRUE,"Debt"}</definedName>
    <definedName name="_tab1" localSheetId="0">#REF!</definedName>
    <definedName name="_tab1">#REF!</definedName>
    <definedName name="_tab2" localSheetId="0">#REF!</definedName>
    <definedName name="_tab2">#REF!</definedName>
    <definedName name="_Table2_In1" localSheetId="0" hidden="1">#REF!</definedName>
    <definedName name="_Table2_In1" hidden="1">#REF!</definedName>
    <definedName name="_Table2_In2" localSheetId="0" hidden="1">#REF!</definedName>
    <definedName name="_Table2_In2" hidden="1">#REF!</definedName>
    <definedName name="_Table2_Out" localSheetId="0" hidden="1">#REF!</definedName>
    <definedName name="_Table2_Out" hidden="1">#REF!</definedName>
    <definedName name="_tb1" localSheetId="0" hidden="1">{#N/A,#N/A,FALSE,"One Pager";#N/A,#N/A,FALSE,"Technical"}</definedName>
    <definedName name="_tb1" hidden="1">{#N/A,#N/A,FALSE,"One Pager";#N/A,#N/A,FALSE,"Technical"}</definedName>
    <definedName name="_TB2" localSheetId="0">#REF!</definedName>
    <definedName name="_TB2">#REF!</definedName>
    <definedName name="_tk1" localSheetId="0">#REF!</definedName>
    <definedName name="_tk1">#REF!</definedName>
    <definedName name="_Tkl1" localSheetId="0">#REF!</definedName>
    <definedName name="_Tkl1">#REF!</definedName>
    <definedName name="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75" localSheetId="0">#REF!</definedName>
    <definedName name="_tr75">#REF!</definedName>
    <definedName name="_trt75" localSheetId="0">#REF!</definedName>
    <definedName name="_trt75">#REF!</definedName>
    <definedName name="_tt75" localSheetId="0">#REF!</definedName>
    <definedName name="_tt75">#REF!</definedName>
    <definedName name="_UDL1" localSheetId="0">#REF!</definedName>
    <definedName name="_UDL1">#REF!</definedName>
    <definedName name="_UDL2" localSheetId="0">#REF!</definedName>
    <definedName name="_UDL2">#REF!</definedName>
    <definedName name="_UDL3" localSheetId="0">#REF!</definedName>
    <definedName name="_UDL3">#REF!</definedName>
    <definedName name="_Vf1" localSheetId="0">#REF!</definedName>
    <definedName name="_Vf1">#REF!</definedName>
    <definedName name="_Vf2" localSheetId="0">#REF!</definedName>
    <definedName name="_Vf2">#REF!</definedName>
    <definedName name="_vl1" localSheetId="0">#REF!</definedName>
    <definedName name="_vl1">#REF!</definedName>
    <definedName name="_vl2" localSheetId="0">#REF!</definedName>
    <definedName name="_vl2">#REF!</definedName>
    <definedName name="_vl3" localSheetId="0">#REF!</definedName>
    <definedName name="_vl3">#REF!</definedName>
    <definedName name="_WGZY_" localSheetId="0">#REF!</definedName>
    <definedName name="_WGZY_">#REF!</definedName>
    <definedName name="_wp1" localSheetId="0">#REF!</definedName>
    <definedName name="_wp1">#REF!</definedName>
    <definedName name="_wrn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2" localSheetId="0" hidden="1">{#N/A,#N/A,FALSE,"COVER1.XLS ";#N/A,#N/A,FALSE,"RACT1.XLS";#N/A,#N/A,FALSE,"RACT2.XLS";#N/A,#N/A,FALSE,"ECCMP";#N/A,#N/A,FALSE,"WELDER.XLS"}</definedName>
    <definedName name="_WRN2" hidden="1">{#N/A,#N/A,FALSE,"COVER1.XLS ";#N/A,#N/A,FALSE,"RACT1.XLS";#N/A,#N/A,FALSE,"RACT2.XLS";#N/A,#N/A,FALSE,"ECCMP";#N/A,#N/A,FALSE,"WELDER.XLS"}</definedName>
    <definedName name="_WRN3" localSheetId="0" hidden="1">{#N/A,#N/A,FALSE,"consu_cover";#N/A,#N/A,FALSE,"consu_strategy";#N/A,#N/A,FALSE,"consu_flow";#N/A,#N/A,FALSE,"Summary_reqmt";#N/A,#N/A,FALSE,"field_ppg";#N/A,#N/A,FALSE,"ppg_shop";#N/A,#N/A,FALSE,"strl";#N/A,#N/A,FALSE,"tankages";#N/A,#N/A,FALSE,"gases"}</definedName>
    <definedName name="_WRN3" hidden="1">{#N/A,#N/A,FALSE,"consu_cover";#N/A,#N/A,FALSE,"consu_strategy";#N/A,#N/A,FALSE,"consu_flow";#N/A,#N/A,FALSE,"Summary_reqmt";#N/A,#N/A,FALSE,"field_ppg";#N/A,#N/A,FALSE,"ppg_shop";#N/A,#N/A,FALSE,"strl";#N/A,#N/A,FALSE,"tankages";#N/A,#N/A,FALSE,"gases"}</definedName>
    <definedName name="_xd1" localSheetId="0">#REF!</definedName>
    <definedName name="_xd1">#REF!</definedName>
    <definedName name="_XD2" localSheetId="0">#REF!</definedName>
    <definedName name="_XD2">#REF!</definedName>
    <definedName name="_xd3" localSheetId="0">#REF!</definedName>
    <definedName name="_xd3">#REF!</definedName>
    <definedName name="_zz1" localSheetId="0">#REF!</definedName>
    <definedName name="_zz1">#REF!</definedName>
    <definedName name="a" localSheetId="0">#REF!</definedName>
    <definedName name="a">#REF!</definedName>
    <definedName name="A.C.Pipe">#REF!</definedName>
    <definedName name="A.C.sheet" localSheetId="0">#REF!</definedName>
    <definedName name="A.C.sheet">[6]Data!#REF!</definedName>
    <definedName name="A.NOS" localSheetId="0">#REF!</definedName>
    <definedName name="A.NOS">#REF!</definedName>
    <definedName name="a___0" localSheetId="0">#REF!</definedName>
    <definedName name="a___0">#REF!</definedName>
    <definedName name="a___13" localSheetId="0">#REF!</definedName>
    <definedName name="a___13">#REF!</definedName>
    <definedName name="A0" localSheetId="0">#REF!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 localSheetId="0">#REF!</definedName>
    <definedName name="A1.">#REF!</definedName>
    <definedName name="A1_" localSheetId="0">#REF!</definedName>
    <definedName name="A1_">#REF!</definedName>
    <definedName name="A1____0" localSheetId="0">#REF!</definedName>
    <definedName name="A1____0">#REF!</definedName>
    <definedName name="A1____13" localSheetId="0">#REF!</definedName>
    <definedName name="A1____13">#REF!</definedName>
    <definedName name="A1__18" localSheetId="0">#REF!</definedName>
    <definedName name="A1__18">#REF!</definedName>
    <definedName name="A10_" localSheetId="0">#REF!</definedName>
    <definedName name="A10_">#REF!</definedName>
    <definedName name="A10____0" localSheetId="0">#REF!</definedName>
    <definedName name="A10____0">#REF!</definedName>
    <definedName name="A10____13" localSheetId="0">#REF!</definedName>
    <definedName name="A10____13">#REF!</definedName>
    <definedName name="A10__18" localSheetId="0">#REF!</definedName>
    <definedName name="A10__18">#REF!</definedName>
    <definedName name="A13_" localSheetId="0">#REF!</definedName>
    <definedName name="A13_">#REF!</definedName>
    <definedName name="A13____0" localSheetId="0">#REF!</definedName>
    <definedName name="A13____0">#REF!</definedName>
    <definedName name="A13____13" localSheetId="0">#REF!</definedName>
    <definedName name="A13____13">#REF!</definedName>
    <definedName name="A13__18" localSheetId="0">#REF!</definedName>
    <definedName name="A13__18">#REF!</definedName>
    <definedName name="A1M170" localSheetId="0">#REF!</definedName>
    <definedName name="A1M170">#REF!</definedName>
    <definedName name="A2_" localSheetId="0">#REF!</definedName>
    <definedName name="A2_">#REF!</definedName>
    <definedName name="A2____0" localSheetId="0">#REF!</definedName>
    <definedName name="A2____0">#REF!</definedName>
    <definedName name="A2____13" localSheetId="0">#REF!</definedName>
    <definedName name="A2____13">#REF!</definedName>
    <definedName name="A2__18" localSheetId="0">#REF!</definedName>
    <definedName name="A2__18">#REF!</definedName>
    <definedName name="A3.3" localSheetId="0">#REF!</definedName>
    <definedName name="A3.3">#REF!</definedName>
    <definedName name="A3_" localSheetId="0">#REF!</definedName>
    <definedName name="A3_">#REF!</definedName>
    <definedName name="A3____0" localSheetId="0">#REF!</definedName>
    <definedName name="A3____0">#REF!</definedName>
    <definedName name="A3____13" localSheetId="0">#REF!</definedName>
    <definedName name="A3____13">#REF!</definedName>
    <definedName name="A3__18" localSheetId="0">#REF!</definedName>
    <definedName name="A3__18">#REF!</definedName>
    <definedName name="A4_" localSheetId="0">#REF!</definedName>
    <definedName name="A4_">#REF!</definedName>
    <definedName name="A4____0" localSheetId="0">#REF!</definedName>
    <definedName name="A4____0">#REF!</definedName>
    <definedName name="A4____13" localSheetId="0">#REF!</definedName>
    <definedName name="A4____13">#REF!</definedName>
    <definedName name="A4__18" localSheetId="0">#REF!</definedName>
    <definedName name="A4__18">#REF!</definedName>
    <definedName name="A5_" localSheetId="0">#REF!</definedName>
    <definedName name="A5_">#REF!</definedName>
    <definedName name="A5____0" localSheetId="0">#REF!</definedName>
    <definedName name="A5____0">#REF!</definedName>
    <definedName name="A5____13" localSheetId="0">#REF!</definedName>
    <definedName name="A5____13">#REF!</definedName>
    <definedName name="A5__18" localSheetId="0">#REF!</definedName>
    <definedName name="A5__18">#REF!</definedName>
    <definedName name="A6_" localSheetId="0">#REF!</definedName>
    <definedName name="A6_">#REF!</definedName>
    <definedName name="A6____0" localSheetId="0">#REF!</definedName>
    <definedName name="A6____0">#REF!</definedName>
    <definedName name="A6____13" localSheetId="0">#REF!</definedName>
    <definedName name="A6____13">#REF!</definedName>
    <definedName name="A6__18" localSheetId="0">#REF!</definedName>
    <definedName name="A6__18">#REF!</definedName>
    <definedName name="A7_" localSheetId="0">#REF!</definedName>
    <definedName name="A7_">#REF!</definedName>
    <definedName name="A7____0" localSheetId="0">#REF!</definedName>
    <definedName name="A7____0">#REF!</definedName>
    <definedName name="A7____13" localSheetId="0">#REF!</definedName>
    <definedName name="A7____13">#REF!</definedName>
    <definedName name="A7__18" localSheetId="0">#REF!</definedName>
    <definedName name="A7__18">#REF!</definedName>
    <definedName name="A8_" localSheetId="0">#REF!</definedName>
    <definedName name="A8_">#REF!</definedName>
    <definedName name="A8____0" localSheetId="0">#REF!</definedName>
    <definedName name="A8____0">#REF!</definedName>
    <definedName name="A8____13" localSheetId="0">#REF!</definedName>
    <definedName name="A8____13">#REF!</definedName>
    <definedName name="A8__18" localSheetId="0">#REF!</definedName>
    <definedName name="A8__18">#REF!</definedName>
    <definedName name="A9_" localSheetId="0">#REF!</definedName>
    <definedName name="A9_">#REF!</definedName>
    <definedName name="A9____0" localSheetId="0">#REF!</definedName>
    <definedName name="A9____0">#REF!</definedName>
    <definedName name="A9____13" localSheetId="0">#REF!</definedName>
    <definedName name="A9____13">#REF!</definedName>
    <definedName name="A9__18" localSheetId="0">#REF!</definedName>
    <definedName name="A9__18">#REF!</definedName>
    <definedName name="AA.Report.Files" localSheetId="0" hidden="1">#REF!</definedName>
    <definedName name="AA.Report.Files" hidden="1">#REF!</definedName>
    <definedName name="AA.Reports.Available" localSheetId="0" hidden="1">#REF!</definedName>
    <definedName name="AA.Reports.Available" hidden="1">#REF!</definedName>
    <definedName name="aaa" localSheetId="0">#REF!</definedName>
    <definedName name="aaa">#REF!</definedName>
    <definedName name="AAA5A" localSheetId="0">#REF!</definedName>
    <definedName name="AAA5A">#REF!</definedName>
    <definedName name="aaaa" localSheetId="0">#REF!</definedName>
    <definedName name="aaaa">#REF!</definedName>
    <definedName name="aaaa5" localSheetId="0">#REF!</definedName>
    <definedName name="aaaa5">#REF!</definedName>
    <definedName name="aaaa55" localSheetId="0">#REF!</definedName>
    <definedName name="aaaa55">#REF!</definedName>
    <definedName name="AAAA56" localSheetId="0">#REF!</definedName>
    <definedName name="AAAA56">#REF!</definedName>
    <definedName name="aaaa59" localSheetId="0">#REF!</definedName>
    <definedName name="aaaa59">#REF!</definedName>
    <definedName name="AAAA6" localSheetId="0">#REF!</definedName>
    <definedName name="AAAA6">#REF!</definedName>
    <definedName name="aaaaa" localSheetId="0">#REF!</definedName>
    <definedName name="aaaaa">#REF!</definedName>
    <definedName name="AAAAA5" localSheetId="0">#REF!</definedName>
    <definedName name="AAAAA5">#REF!</definedName>
    <definedName name="aaaaaa" localSheetId="0">#REF!</definedName>
    <definedName name="aaaaaa">#REF!</definedName>
    <definedName name="aaaaaaa" localSheetId="0">#REF!</definedName>
    <definedName name="aaaaaaa">#REF!</definedName>
    <definedName name="aaaaaaaaaaa" localSheetId="0">#REF!</definedName>
    <definedName name="aaaaaaaaaaa">#REF!</definedName>
    <definedName name="AAAAAAAAAAAAAAAAAAAAAAAAAAAAAAAAAAAAAA">#N/A</definedName>
    <definedName name="AAAAAAAAAAAAAAAAAAAAAAAAAAAAAAAAAAAAAAAAA" localSheetId="0">#REF!</definedName>
    <definedName name="AAAAAAAAAAAAAAAAAAAAAAAAAAAAAAAAAAAAAAAAA">#REF!</definedName>
    <definedName name="aaasa" localSheetId="0">#REF!</definedName>
    <definedName name="aaasa">#REF!</definedName>
    <definedName name="aad" localSheetId="0">#REF!</definedName>
    <definedName name="aad">#REF!</definedName>
    <definedName name="aadawawdaW" localSheetId="0">#REF!</definedName>
    <definedName name="aadawawdaW">#REF!</definedName>
    <definedName name="aaffa" localSheetId="0" hidden="1">{#N/A,#N/A,FALSE,"COVER.XLS";#N/A,#N/A,FALSE,"RACT1.XLS";#N/A,#N/A,FALSE,"RACT2.XLS";#N/A,#N/A,FALSE,"ECCMP";#N/A,#N/A,FALSE,"WELDER.XLS"}</definedName>
    <definedName name="aaffa" hidden="1">{#N/A,#N/A,FALSE,"COVER.XLS";#N/A,#N/A,FALSE,"RACT1.XLS";#N/A,#N/A,FALSE,"RACT2.XLS";#N/A,#N/A,FALSE,"ECCMP";#N/A,#N/A,FALSE,"WELDER.XLS"}</definedName>
    <definedName name="aamin" localSheetId="0">#REF!</definedName>
    <definedName name="aamin">#REF!</definedName>
    <definedName name="aAXX1" localSheetId="0">#REF!</definedName>
    <definedName name="aAXX1">#REF!</definedName>
    <definedName name="ab" localSheetId="0">#REF!</definedName>
    <definedName name="ab">#REF!</definedName>
    <definedName name="aba" localSheetId="0" hidden="1">{#N/A,#N/A,FALSE,"COVER1.XLS ";#N/A,#N/A,FALSE,"RACT1.XLS";#N/A,#N/A,FALSE,"RACT2.XLS";#N/A,#N/A,FALSE,"ECCMP";#N/A,#N/A,FALSE,"WELDER.XLS"}</definedName>
    <definedName name="aba" hidden="1">{#N/A,#N/A,FALSE,"COVER1.XLS ";#N/A,#N/A,FALSE,"RACT1.XLS";#N/A,#N/A,FALSE,"RACT2.XLS";#N/A,#N/A,FALSE,"ECCMP";#N/A,#N/A,FALSE,"WELDER.XLS"}</definedName>
    <definedName name="aBasicTax" localSheetId="0">#REF!</definedName>
    <definedName name="aBasicTax">#REF!</definedName>
    <definedName name="abc" localSheetId="0" hidden="1">{#N/A,#N/A,TRUE,"Financials";#N/A,#N/A,TRUE,"Operating Statistics";#N/A,#N/A,TRUE,"Capex &amp; Depreciation";#N/A,#N/A,TRUE,"Debt"}</definedName>
    <definedName name="abc" hidden="1">{#N/A,#N/A,TRUE,"Financials";#N/A,#N/A,TRUE,"Operating Statistics";#N/A,#N/A,TRUE,"Capex &amp; Depreciation";#N/A,#N/A,TRUE,"Debt"}</definedName>
    <definedName name="abcd" localSheetId="0">#REF!</definedName>
    <definedName name="abcd">#REF!</definedName>
    <definedName name="Abs" localSheetId="0" hidden="1">#REF!</definedName>
    <definedName name="Abs" hidden="1">#REF!</definedName>
    <definedName name="absbill" localSheetId="0">#REF!</definedName>
    <definedName name="absbill">#REF!</definedName>
    <definedName name="Abst" localSheetId="0">#REF!</definedName>
    <definedName name="Abst">#REF!</definedName>
    <definedName name="ABSTRACT" localSheetId="0">#REF!</definedName>
    <definedName name="ABSTRACT">#REF!</definedName>
    <definedName name="ac" localSheetId="0">#REF!</definedName>
    <definedName name="Ac" hidden="1">{#N/A,#N/A,FALSE,"One Pager";#N/A,#N/A,FALSE,"Technical"}</definedName>
    <definedName name="aCashSpread" localSheetId="0">#REF!</definedName>
    <definedName name="aCashSpread">#REF!</definedName>
    <definedName name="acc" localSheetId="0">#REF!</definedName>
    <definedName name="acc">#REF!</definedName>
    <definedName name="Acc.Recon" localSheetId="0">#REF!</definedName>
    <definedName name="Acc.Recon">#REF!</definedName>
    <definedName name="AccessDatabase" hidden="1">"C:\data\excel\temp.mdb"</definedName>
    <definedName name="accomation" localSheetId="0" hidden="1">#REF!</definedName>
    <definedName name="accomation" hidden="1">#REF!</definedName>
    <definedName name="accounts" localSheetId="0">#REF!</definedName>
    <definedName name="accounts">#REF!</definedName>
    <definedName name="accp" localSheetId="0">#REF!</definedName>
    <definedName name="accp">#REF!</definedName>
    <definedName name="accrExpPct" localSheetId="0">#REF!</definedName>
    <definedName name="accrExpPct">#REF!</definedName>
    <definedName name="accu" localSheetId="0">#REF!</definedName>
    <definedName name="accu">#REF!</definedName>
    <definedName name="ACT" localSheetId="0">#REF!</definedName>
    <definedName name="ACT">#REF!</definedName>
    <definedName name="ActCode" localSheetId="0">#REF!</definedName>
    <definedName name="ActCode">#REF!</definedName>
    <definedName name="ActPilot" localSheetId="0">#REF!</definedName>
    <definedName name="ActPilot">#REF!</definedName>
    <definedName name="ActSignal" localSheetId="0">#REF!</definedName>
    <definedName name="ActSignal">#REF!</definedName>
    <definedName name="ActType" localSheetId="0">#REF!</definedName>
    <definedName name="ActType">#REF!</definedName>
    <definedName name="ActualCv" localSheetId="0">#REF!</definedName>
    <definedName name="ActualCv">#REF!</definedName>
    <definedName name="ActualPress" localSheetId="0">#REF!</definedName>
    <definedName name="ActualPress">#REF!</definedName>
    <definedName name="ada" localSheetId="0"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 localSheetId="0">#REF!</definedName>
    <definedName name="ADADAD">#REF!</definedName>
    <definedName name="ADADASASDASD" localSheetId="0">#REF!</definedName>
    <definedName name="ADADASASDASD">#REF!</definedName>
    <definedName name="adadd" localSheetId="0" hidden="1">{#N/A,#N/A,FALSE,"COVER1.XLS ";#N/A,#N/A,FALSE,"RACT1.XLS";#N/A,#N/A,FALSE,"RACT2.XLS";#N/A,#N/A,FALSE,"ECCMP";#N/A,#N/A,FALSE,"WELDER.XLS"}</definedName>
    <definedName name="adadd" hidden="1">{#N/A,#N/A,FALSE,"COVER1.XLS ";#N/A,#N/A,FALSE,"RACT1.XLS";#N/A,#N/A,FALSE,"RACT2.XLS";#N/A,#N/A,FALSE,"ECCMP";#N/A,#N/A,FALSE,"WELDER.XLS"}</definedName>
    <definedName name="ADADDA" localSheetId="0">#REF!</definedName>
    <definedName name="ADADDA">#REF!</definedName>
    <definedName name="ADASASDASASDASDAS" localSheetId="0">#REF!</definedName>
    <definedName name="ADASASDASASDASDAS">#REF!</definedName>
    <definedName name="ADASASDASDASDAD" localSheetId="0">#REF!</definedName>
    <definedName name="ADASASDASDASDAD">#REF!</definedName>
    <definedName name="ADASDASASDAS" localSheetId="0">#REF!</definedName>
    <definedName name="ADASDASASDAS">#REF!</definedName>
    <definedName name="ADASDASDASDAS" localSheetId="0">#REF!</definedName>
    <definedName name="ADASDASDASDAS">#REF!</definedName>
    <definedName name="ADCFDAFC" localSheetId="0">#REF!</definedName>
    <definedName name="ADCFDAFC">#REF!</definedName>
    <definedName name="ADCSADCFDAF" localSheetId="0">#REF!</definedName>
    <definedName name="ADCSADCFDAF">#REF!</definedName>
    <definedName name="ADD.STRUTT" localSheetId="0">#REF!</definedName>
    <definedName name="ADD.STRUTT">#REF!</definedName>
    <definedName name="addf" localSheetId="0">#REF!</definedName>
    <definedName name="addf">#REF!</definedName>
    <definedName name="additional" localSheetId="0">#REF!</definedName>
    <definedName name="additional">#REF!</definedName>
    <definedName name="additional1" localSheetId="0">#REF!</definedName>
    <definedName name="additional1">#REF!</definedName>
    <definedName name="ADDITIONAL2" localSheetId="0">#REF!</definedName>
    <definedName name="ADDITIONAL2">#REF!</definedName>
    <definedName name="Address" localSheetId="0">#REF!</definedName>
    <definedName name="Address">#REF!</definedName>
    <definedName name="adf" localSheetId="0" hidden="1">{#N/A,#N/A,FALSE,"COVER1.XLS ";#N/A,#N/A,FALSE,"RACT1.XLS";#N/A,#N/A,FALSE,"RACT2.XLS";#N/A,#N/A,FALSE,"ECCMP";#N/A,#N/A,FALSE,"WELDER.XLS"}</definedName>
    <definedName name="adf" hidden="1">{#N/A,#N/A,FALSE,"COVER1.XLS ";#N/A,#N/A,FALSE,"RACT1.XLS";#N/A,#N/A,FALSE,"RACT2.XLS";#N/A,#N/A,FALSE,"ECCMP";#N/A,#N/A,FALSE,"WELDER.XLS"}</definedName>
    <definedName name="ADFADD" localSheetId="0">#REF!</definedName>
    <definedName name="ADFADD">#REF!</definedName>
    <definedName name="adfadsff" localSheetId="0">#REF!</definedName>
    <definedName name="adfadsff">#REF!</definedName>
    <definedName name="ADFASDAD" localSheetId="0">#REF!</definedName>
    <definedName name="ADFASDAD">#REF!</definedName>
    <definedName name="adfd" localSheetId="0">#REF!</definedName>
    <definedName name="adfd">#REF!</definedName>
    <definedName name="ADFFG" localSheetId="0">#REF!</definedName>
    <definedName name="ADFFG">#REF!</definedName>
    <definedName name="ADFGFG" localSheetId="0">#REF!</definedName>
    <definedName name="ADFGFG">#REF!</definedName>
    <definedName name="ADFS" localSheetId="0">#REF!</definedName>
    <definedName name="ADFS">#REF!</definedName>
    <definedName name="aDividendTax" localSheetId="0">#REF!</definedName>
    <definedName name="aDividendTax">#REF!</definedName>
    <definedName name="AdminExp" localSheetId="0">#REF!</definedName>
    <definedName name="AdminExp">#REF!</definedName>
    <definedName name="AdminExp_I" localSheetId="0">#REF!</definedName>
    <definedName name="AdminExp_I">#REF!</definedName>
    <definedName name="AdminExpWash" localSheetId="0">#REF!</definedName>
    <definedName name="AdminExpWash">#REF!</definedName>
    <definedName name="AdminExpWash_I" localSheetId="0">#REF!</definedName>
    <definedName name="AdminExpWash_I">#REF!</definedName>
    <definedName name="Administrative" localSheetId="0">#REF!</definedName>
    <definedName name="Administrative">#REF!</definedName>
    <definedName name="Admix" localSheetId="0">#REF!</definedName>
    <definedName name="Admix">#REF!</definedName>
    <definedName name="Admixture" localSheetId="0">#REF!</definedName>
    <definedName name="Admixture">#REF!</definedName>
    <definedName name="admn_off" localSheetId="0">#REF!</definedName>
    <definedName name="admn_off">#REF!</definedName>
    <definedName name="admn_site" localSheetId="0">#REF!</definedName>
    <definedName name="admn_site">#REF!</definedName>
    <definedName name="ads" localSheetId="0" hidden="1">{#N/A,#N/A,FALSE,"COVER1.XLS ";#N/A,#N/A,FALSE,"RACT1.XLS";#N/A,#N/A,FALSE,"RACT2.XLS";#N/A,#N/A,FALSE,"ECCMP";#N/A,#N/A,FALSE,"WELDER.XLS"}</definedName>
    <definedName name="ads" hidden="1">{#N/A,#N/A,FALSE,"COVER1.XLS ";#N/A,#N/A,FALSE,"RACT1.XLS";#N/A,#N/A,FALSE,"RACT2.XLS";#N/A,#N/A,FALSE,"ECCMP";#N/A,#N/A,FALSE,"WELDER.XLS"}</definedName>
    <definedName name="ADSAD" localSheetId="0">#REF!</definedName>
    <definedName name="ADSAD">#REF!</definedName>
    <definedName name="afloor" localSheetId="0">#REF!</definedName>
    <definedName name="afloor">#REF!</definedName>
    <definedName name="aForeignDebt" localSheetId="0">#REF!</definedName>
    <definedName name="aForeignDebt">#REF!</definedName>
    <definedName name="Ag" localSheetId="0">#REF!</definedName>
    <definedName name="Ag">#REF!</definedName>
    <definedName name="Ag___0" localSheetId="0">#REF!</definedName>
    <definedName name="Ag___0">#REF!</definedName>
    <definedName name="Ag___13" localSheetId="0">#REF!</definedName>
    <definedName name="Ag___13">#REF!</definedName>
    <definedName name="Agr12mm" localSheetId="0">#REF!</definedName>
    <definedName name="Agr12mm">#REF!</definedName>
    <definedName name="Agr20mm" localSheetId="0">#REF!</definedName>
    <definedName name="Agr20mm">#REF!</definedName>
    <definedName name="Agr40mm" localSheetId="0">#REF!</definedName>
    <definedName name="Agr40mm">#REF!</definedName>
    <definedName name="Agr53mm" localSheetId="0">#REF!</definedName>
    <definedName name="Agr53mm">#REF!</definedName>
    <definedName name="Agr6mm" localSheetId="0">#REF!</definedName>
    <definedName name="Agr6mm">#REF!</definedName>
    <definedName name="agrP" localSheetId="0">#REF!</definedName>
    <definedName name="agrP">#REF!</definedName>
    <definedName name="ah" localSheetId="0">#REF!</definedName>
    <definedName name="ah">#REF!</definedName>
    <definedName name="aht">#REF!</definedName>
    <definedName name="ai" localSheetId="0">#REF!</definedName>
    <definedName name="ai">#REF!</definedName>
    <definedName name="aicc" localSheetId="0">#REF!</definedName>
    <definedName name="aicc">#REF!</definedName>
    <definedName name="aii" localSheetId="0">#REF!</definedName>
    <definedName name="aii">#REF!</definedName>
    <definedName name="Air_Conditioning" localSheetId="0">#REF!</definedName>
    <definedName name="Air_Conditioning">#REF!</definedName>
    <definedName name="aji" localSheetId="0">#REF!</definedName>
    <definedName name="aji">#REF!</definedName>
    <definedName name="ajitha" localSheetId="0">#REF!</definedName>
    <definedName name="ajitha">#REF!</definedName>
    <definedName name="ajslk" localSheetId="0" hidden="1">{"form-D1",#N/A,FALSE,"FORM-D1";"form-D1_amt",#N/A,FALSE,"FORM-D1"}</definedName>
    <definedName name="ajslk" hidden="1">{"form-D1",#N/A,FALSE,"FORM-D1";"form-D1_amt",#N/A,FALSE,"FORM-D1"}</definedName>
    <definedName name="ajslk_1" localSheetId="0" hidden="1">{"form-D1",#N/A,FALSE,"FORM-D1";"form-D1_amt",#N/A,FALSE,"FORM-D1"}</definedName>
    <definedName name="ajslk_1" hidden="1">{"form-D1",#N/A,FALSE,"FORM-D1";"form-D1_amt",#N/A,FALSE,"FORM-D1"}</definedName>
    <definedName name="ajslk_1_1" localSheetId="0" hidden="1">{"form-D1",#N/A,FALSE,"FORM-D1";"form-D1_amt",#N/A,FALSE,"FORM-D1"}</definedName>
    <definedName name="ajslk_1_1" hidden="1">{"form-D1",#N/A,FALSE,"FORM-D1";"form-D1_amt",#N/A,FALSE,"FORM-D1"}</definedName>
    <definedName name="ajslk_1_2" localSheetId="0" hidden="1">{"form-D1",#N/A,FALSE,"FORM-D1";"form-D1_amt",#N/A,FALSE,"FORM-D1"}</definedName>
    <definedName name="ajslk_1_2" hidden="1">{"form-D1",#N/A,FALSE,"FORM-D1";"form-D1_amt",#N/A,FALSE,"FORM-D1"}</definedName>
    <definedName name="ajslk_2" localSheetId="0" hidden="1">{"form-D1",#N/A,FALSE,"FORM-D1";"form-D1_amt",#N/A,FALSE,"FORM-D1"}</definedName>
    <definedName name="ajslk_2" hidden="1">{"form-D1",#N/A,FALSE,"FORM-D1";"form-D1_amt",#N/A,FALSE,"FORM-D1"}</definedName>
    <definedName name="ajslk_2_1" localSheetId="0" hidden="1">{"form-D1",#N/A,FALSE,"FORM-D1";"form-D1_amt",#N/A,FALSE,"FORM-D1"}</definedName>
    <definedName name="ajslk_2_1" hidden="1">{"form-D1",#N/A,FALSE,"FORM-D1";"form-D1_amt",#N/A,FALSE,"FORM-D1"}</definedName>
    <definedName name="ajslk_3" localSheetId="0" hidden="1">{"form-D1",#N/A,FALSE,"FORM-D1";"form-D1_amt",#N/A,FALSE,"FORM-D1"}</definedName>
    <definedName name="ajslk_3" hidden="1">{"form-D1",#N/A,FALSE,"FORM-D1";"form-D1_amt",#N/A,FALSE,"FORM-D1"}</definedName>
    <definedName name="ajslk_3_1" localSheetId="0" hidden="1">{"form-D1",#N/A,FALSE,"FORM-D1";"form-D1_amt",#N/A,FALSE,"FORM-D1"}</definedName>
    <definedName name="ajslk_3_1" hidden="1">{"form-D1",#N/A,FALSE,"FORM-D1";"form-D1_amt",#N/A,FALSE,"FORM-D1"}</definedName>
    <definedName name="ajslk_4" localSheetId="0" hidden="1">{"form-D1",#N/A,FALSE,"FORM-D1";"form-D1_amt",#N/A,FALSE,"FORM-D1"}</definedName>
    <definedName name="ajslk_4" hidden="1">{"form-D1",#N/A,FALSE,"FORM-D1";"form-D1_amt",#N/A,FALSE,"FORM-D1"}</definedName>
    <definedName name="ajslk_4_1" localSheetId="0" hidden="1">{"form-D1",#N/A,FALSE,"FORM-D1";"form-D1_amt",#N/A,FALSE,"FORM-D1"}</definedName>
    <definedName name="ajslk_4_1" hidden="1">{"form-D1",#N/A,FALSE,"FORM-D1";"form-D1_amt",#N/A,FALSE,"FORM-D1"}</definedName>
    <definedName name="ajslk_5" localSheetId="0" hidden="1">{"form-D1",#N/A,FALSE,"FORM-D1";"form-D1_amt",#N/A,FALSE,"FORM-D1"}</definedName>
    <definedName name="ajslk_5" hidden="1">{"form-D1",#N/A,FALSE,"FORM-D1";"form-D1_amt",#N/A,FALSE,"FORM-D1"}</definedName>
    <definedName name="ajslk_5_1" localSheetId="0" hidden="1">{"form-D1",#N/A,FALSE,"FORM-D1";"form-D1_amt",#N/A,FALSE,"FORM-D1"}</definedName>
    <definedName name="ajslk_5_1" hidden="1">{"form-D1",#N/A,FALSE,"FORM-D1";"form-D1_amt",#N/A,FALSE,"FORM-D1"}</definedName>
    <definedName name="ajslk1" localSheetId="0" hidden="1">{"form-D1",#N/A,FALSE,"FORM-D1";"form-D1_amt",#N/A,FALSE,"FORM-D1"}</definedName>
    <definedName name="ajslk1" hidden="1">{"form-D1",#N/A,FALSE,"FORM-D1";"form-D1_amt",#N/A,FALSE,"FORM-D1"}</definedName>
    <definedName name="ajslk1_1" localSheetId="0" hidden="1">{"form-D1",#N/A,FALSE,"FORM-D1";"form-D1_amt",#N/A,FALSE,"FORM-D1"}</definedName>
    <definedName name="ajslk1_1" hidden="1">{"form-D1",#N/A,FALSE,"FORM-D1";"form-D1_amt",#N/A,FALSE,"FORM-D1"}</definedName>
    <definedName name="ajslk1_1_1" localSheetId="0" hidden="1">{"form-D1",#N/A,FALSE,"FORM-D1";"form-D1_amt",#N/A,FALSE,"FORM-D1"}</definedName>
    <definedName name="ajslk1_1_1" hidden="1">{"form-D1",#N/A,FALSE,"FORM-D1";"form-D1_amt",#N/A,FALSE,"FORM-D1"}</definedName>
    <definedName name="ajslk1_2" localSheetId="0" hidden="1">{"form-D1",#N/A,FALSE,"FORM-D1";"form-D1_amt",#N/A,FALSE,"FORM-D1"}</definedName>
    <definedName name="ajslk1_2" hidden="1">{"form-D1",#N/A,FALSE,"FORM-D1";"form-D1_amt",#N/A,FALSE,"FORM-D1"}</definedName>
    <definedName name="ajslk1_2_1" localSheetId="0" hidden="1">{"form-D1",#N/A,FALSE,"FORM-D1";"form-D1_amt",#N/A,FALSE,"FORM-D1"}</definedName>
    <definedName name="ajslk1_2_1" hidden="1">{"form-D1",#N/A,FALSE,"FORM-D1";"form-D1_amt",#N/A,FALSE,"FORM-D1"}</definedName>
    <definedName name="ajslk1_3" localSheetId="0" hidden="1">{"form-D1",#N/A,FALSE,"FORM-D1";"form-D1_amt",#N/A,FALSE,"FORM-D1"}</definedName>
    <definedName name="ajslk1_3" hidden="1">{"form-D1",#N/A,FALSE,"FORM-D1";"form-D1_amt",#N/A,FALSE,"FORM-D1"}</definedName>
    <definedName name="ajslk1_3_1" localSheetId="0" hidden="1">{"form-D1",#N/A,FALSE,"FORM-D1";"form-D1_amt",#N/A,FALSE,"FORM-D1"}</definedName>
    <definedName name="ajslk1_3_1" hidden="1">{"form-D1",#N/A,FALSE,"FORM-D1";"form-D1_amt",#N/A,FALSE,"FORM-D1"}</definedName>
    <definedName name="ajslk1_4" localSheetId="0" hidden="1">{"form-D1",#N/A,FALSE,"FORM-D1";"form-D1_amt",#N/A,FALSE,"FORM-D1"}</definedName>
    <definedName name="ajslk1_4" hidden="1">{"form-D1",#N/A,FALSE,"FORM-D1";"form-D1_amt",#N/A,FALSE,"FORM-D1"}</definedName>
    <definedName name="ak" localSheetId="0">#REF!</definedName>
    <definedName name="ak">#REF!</definedName>
    <definedName name="aksj" localSheetId="0" hidden="1">{"form-D1",#N/A,FALSE,"FORM-D1";"form-D1_amt",#N/A,FALSE,"FORM-D1"}</definedName>
    <definedName name="aksj" hidden="1">{"form-D1",#N/A,FALSE,"FORM-D1";"form-D1_amt",#N/A,FALSE,"FORM-D1"}</definedName>
    <definedName name="aksj_1" localSheetId="0" hidden="1">{"form-D1",#N/A,FALSE,"FORM-D1";"form-D1_amt",#N/A,FALSE,"FORM-D1"}</definedName>
    <definedName name="aksj_1" hidden="1">{"form-D1",#N/A,FALSE,"FORM-D1";"form-D1_amt",#N/A,FALSE,"FORM-D1"}</definedName>
    <definedName name="aksj_1_1" localSheetId="0" hidden="1">{"form-D1",#N/A,FALSE,"FORM-D1";"form-D1_amt",#N/A,FALSE,"FORM-D1"}</definedName>
    <definedName name="aksj_1_1" hidden="1">{"form-D1",#N/A,FALSE,"FORM-D1";"form-D1_amt",#N/A,FALSE,"FORM-D1"}</definedName>
    <definedName name="aksj_1_2" localSheetId="0" hidden="1">{"form-D1",#N/A,FALSE,"FORM-D1";"form-D1_amt",#N/A,FALSE,"FORM-D1"}</definedName>
    <definedName name="aksj_1_2" hidden="1">{"form-D1",#N/A,FALSE,"FORM-D1";"form-D1_amt",#N/A,FALSE,"FORM-D1"}</definedName>
    <definedName name="aksj_2" localSheetId="0" hidden="1">{"form-D1",#N/A,FALSE,"FORM-D1";"form-D1_amt",#N/A,FALSE,"FORM-D1"}</definedName>
    <definedName name="aksj_2" hidden="1">{"form-D1",#N/A,FALSE,"FORM-D1";"form-D1_amt",#N/A,FALSE,"FORM-D1"}</definedName>
    <definedName name="aksj_2_1" localSheetId="0" hidden="1">{"form-D1",#N/A,FALSE,"FORM-D1";"form-D1_amt",#N/A,FALSE,"FORM-D1"}</definedName>
    <definedName name="aksj_2_1" hidden="1">{"form-D1",#N/A,FALSE,"FORM-D1";"form-D1_amt",#N/A,FALSE,"FORM-D1"}</definedName>
    <definedName name="aksj_3" localSheetId="0" hidden="1">{"form-D1",#N/A,FALSE,"FORM-D1";"form-D1_amt",#N/A,FALSE,"FORM-D1"}</definedName>
    <definedName name="aksj_3" hidden="1">{"form-D1",#N/A,FALSE,"FORM-D1";"form-D1_amt",#N/A,FALSE,"FORM-D1"}</definedName>
    <definedName name="aksj_3_1" localSheetId="0" hidden="1">{"form-D1",#N/A,FALSE,"FORM-D1";"form-D1_amt",#N/A,FALSE,"FORM-D1"}</definedName>
    <definedName name="aksj_3_1" hidden="1">{"form-D1",#N/A,FALSE,"FORM-D1";"form-D1_amt",#N/A,FALSE,"FORM-D1"}</definedName>
    <definedName name="aksj_4" localSheetId="0" hidden="1">{"form-D1",#N/A,FALSE,"FORM-D1";"form-D1_amt",#N/A,FALSE,"FORM-D1"}</definedName>
    <definedName name="aksj_4" hidden="1">{"form-D1",#N/A,FALSE,"FORM-D1";"form-D1_amt",#N/A,FALSE,"FORM-D1"}</definedName>
    <definedName name="aksj_4_1" localSheetId="0" hidden="1">{"form-D1",#N/A,FALSE,"FORM-D1";"form-D1_amt",#N/A,FALSE,"FORM-D1"}</definedName>
    <definedName name="aksj_4_1" hidden="1">{"form-D1",#N/A,FALSE,"FORM-D1";"form-D1_amt",#N/A,FALSE,"FORM-D1"}</definedName>
    <definedName name="aksj_5" localSheetId="0" hidden="1">{"form-D1",#N/A,FALSE,"FORM-D1";"form-D1_amt",#N/A,FALSE,"FORM-D1"}</definedName>
    <definedName name="aksj_5" hidden="1">{"form-D1",#N/A,FALSE,"FORM-D1";"form-D1_amt",#N/A,FALSE,"FORM-D1"}</definedName>
    <definedName name="aksj_5_1" localSheetId="0" hidden="1">{"form-D1",#N/A,FALSE,"FORM-D1";"form-D1_amt",#N/A,FALSE,"FORM-D1"}</definedName>
    <definedName name="aksj_5_1" hidden="1">{"form-D1",#N/A,FALSE,"FORM-D1";"form-D1_amt",#N/A,FALSE,"FORM-D1"}</definedName>
    <definedName name="all" localSheetId="0">#REF!</definedName>
    <definedName name="all">[6]Data!#REF!</definedName>
    <definedName name="All_Item" localSheetId="0">#REF!</definedName>
    <definedName name="All_Item">#REF!</definedName>
    <definedName name="alpan" localSheetId="0">#REF!</definedName>
    <definedName name="alpan">#REF!</definedName>
    <definedName name="alpha" localSheetId="0">#REF!</definedName>
    <definedName name="alpha">#REF!</definedName>
    <definedName name="alphabet" localSheetId="0">#REF!</definedName>
    <definedName name="alphabet">#REF!</definedName>
    <definedName name="ALPIN">#N/A</definedName>
    <definedName name="ALPJYOU">#N/A</definedName>
    <definedName name="ALPTOI">#N/A</definedName>
    <definedName name="Alterations" localSheetId="0">#REF!</definedName>
    <definedName name="Alterations">#REF!</definedName>
    <definedName name="Alw" localSheetId="0">#REF!</definedName>
    <definedName name="Alw">#REF!</definedName>
    <definedName name="alwarsump" localSheetId="0">#REF!</definedName>
    <definedName name="alwarsump">#REF!</definedName>
    <definedName name="amin" localSheetId="0">#REF!</definedName>
    <definedName name="amin">#REF!</definedName>
    <definedName name="amin1" localSheetId="0">#REF!</definedName>
    <definedName name="amin1">#REF!</definedName>
    <definedName name="amin2" localSheetId="0">#REF!</definedName>
    <definedName name="amin2">#REF!</definedName>
    <definedName name="aMinApTax" localSheetId="0">#REF!</definedName>
    <definedName name="aMinApTax">#REF!</definedName>
    <definedName name="aMinOpCash" localSheetId="0">#REF!</definedName>
    <definedName name="aMinOpCash">#REF!</definedName>
    <definedName name="Amount_Dhs.">"F1"</definedName>
    <definedName name="ams" localSheetId="0">#REF!</definedName>
    <definedName name="ams">#REF!</definedName>
    <definedName name="Analysis" localSheetId="0">#REF!</definedName>
    <definedName name="Analysis">#REF!</definedName>
    <definedName name="analysis2" localSheetId="0">#REF!</definedName>
    <definedName name="analysis2">#REF!</definedName>
    <definedName name="analysis3" localSheetId="0">#REF!</definedName>
    <definedName name="analysis3">#REF!</definedName>
    <definedName name="anb" localSheetId="0">#REF!</definedName>
    <definedName name="anb">#REF!</definedName>
    <definedName name="anjaneyulu" localSheetId="0">#REF!</definedName>
    <definedName name="anjaneyulu">#REF!</definedName>
    <definedName name="ank" localSheetId="0">#REF!</definedName>
    <definedName name="ank">#REF!</definedName>
    <definedName name="ankit" localSheetId="0">#REF!</definedName>
    <definedName name="ankit">#REF!</definedName>
    <definedName name="ann" localSheetId="0">#REF!</definedName>
    <definedName name="ann">#REF!</definedName>
    <definedName name="anne" localSheetId="0">#REF!</definedName>
    <definedName name="anne">#REF!</definedName>
    <definedName name="annealing" localSheetId="0">#REF!</definedName>
    <definedName name="annealing">#REF!</definedName>
    <definedName name="annealing1" localSheetId="0">#REF!</definedName>
    <definedName name="annealing1">#REF!</definedName>
    <definedName name="ANNEX2" localSheetId="0">#REF!</definedName>
    <definedName name="ANNEX2">#REF!</definedName>
    <definedName name="ANNEX2A" localSheetId="0">#REF!</definedName>
    <definedName name="ANNEX2A">#REF!</definedName>
    <definedName name="ANNEX4" localSheetId="0">#REF!</definedName>
    <definedName name="ANNEX4">#REF!</definedName>
    <definedName name="annex4.1" localSheetId="0">#REF!</definedName>
    <definedName name="annex4.1">#REF!</definedName>
    <definedName name="annex4.1a" localSheetId="0">#REF!</definedName>
    <definedName name="annex4.1a">#REF!</definedName>
    <definedName name="ANNEX4A" localSheetId="0">#REF!</definedName>
    <definedName name="ANNEX4A">#REF!</definedName>
    <definedName name="anscount" hidden="1">1</definedName>
    <definedName name="anuj" localSheetId="0">#REF!</definedName>
    <definedName name="anuj">#REF!</definedName>
    <definedName name="anuj1" localSheetId="0">#REF!</definedName>
    <definedName name="anuj1">#REF!</definedName>
    <definedName name="anuj10">#N/A</definedName>
    <definedName name="anuj100" localSheetId="0">#REF!</definedName>
    <definedName name="anuj100">#REF!</definedName>
    <definedName name="anuj101" localSheetId="0" hidden="1">{#N/A,#N/A,TRUE,"Front";#N/A,#N/A,TRUE,"Simple Letter";#N/A,#N/A,TRUE,"Inside";#N/A,#N/A,TRUE,"Contents";#N/A,#N/A,TRUE,"Basis";#N/A,#N/A,TRUE,"Inclusions";#N/A,#N/A,TRUE,"Exclusions";#N/A,#N/A,TRUE,"Areas";#N/A,#N/A,TRUE,"Summary";#N/A,#N/A,TRUE,"Detail"}</definedName>
    <definedName name="anuj101" hidden="1">{#N/A,#N/A,TRUE,"Front";#N/A,#N/A,TRUE,"Simple Letter";#N/A,#N/A,TRUE,"Inside";#N/A,#N/A,TRUE,"Contents";#N/A,#N/A,TRUE,"Basis";#N/A,#N/A,TRUE,"Inclusions";#N/A,#N/A,TRUE,"Exclusions";#N/A,#N/A,TRUE,"Areas";#N/A,#N/A,TRUE,"Summary";#N/A,#N/A,TRUE,"Detail"}</definedName>
    <definedName name="anuj101_1" localSheetId="0" hidden="1">{#N/A,#N/A,TRUE,"Front";#N/A,#N/A,TRUE,"Simple Letter";#N/A,#N/A,TRUE,"Inside";#N/A,#N/A,TRUE,"Contents";#N/A,#N/A,TRUE,"Basis";#N/A,#N/A,TRUE,"Inclusions";#N/A,#N/A,TRUE,"Exclusions";#N/A,#N/A,TRUE,"Areas";#N/A,#N/A,TRUE,"Summary";#N/A,#N/A,TRUE,"Detail"}</definedName>
    <definedName name="anuj101_1" hidden="1">{#N/A,#N/A,TRUE,"Front";#N/A,#N/A,TRUE,"Simple Letter";#N/A,#N/A,TRUE,"Inside";#N/A,#N/A,TRUE,"Contents";#N/A,#N/A,TRUE,"Basis";#N/A,#N/A,TRUE,"Inclusions";#N/A,#N/A,TRUE,"Exclusions";#N/A,#N/A,TRUE,"Areas";#N/A,#N/A,TRUE,"Summary";#N/A,#N/A,TRUE,"Detail"}</definedName>
    <definedName name="anuj101_1_1" localSheetId="0" hidden="1">{#N/A,#N/A,TRUE,"Front";#N/A,#N/A,TRUE,"Simple Letter";#N/A,#N/A,TRUE,"Inside";#N/A,#N/A,TRUE,"Contents";#N/A,#N/A,TRUE,"Basis";#N/A,#N/A,TRUE,"Inclusions";#N/A,#N/A,TRUE,"Exclusions";#N/A,#N/A,TRUE,"Areas";#N/A,#N/A,TRUE,"Summary";#N/A,#N/A,TRUE,"Detail"}</definedName>
    <definedName name="anuj101_1_1" hidden="1">{#N/A,#N/A,TRUE,"Front";#N/A,#N/A,TRUE,"Simple Letter";#N/A,#N/A,TRUE,"Inside";#N/A,#N/A,TRUE,"Contents";#N/A,#N/A,TRUE,"Basis";#N/A,#N/A,TRUE,"Inclusions";#N/A,#N/A,TRUE,"Exclusions";#N/A,#N/A,TRUE,"Areas";#N/A,#N/A,TRUE,"Summary";#N/A,#N/A,TRUE,"Detail"}</definedName>
    <definedName name="anuj101_1_2" localSheetId="0" hidden="1">{#N/A,#N/A,TRUE,"Front";#N/A,#N/A,TRUE,"Simple Letter";#N/A,#N/A,TRUE,"Inside";#N/A,#N/A,TRUE,"Contents";#N/A,#N/A,TRUE,"Basis";#N/A,#N/A,TRUE,"Inclusions";#N/A,#N/A,TRUE,"Exclusions";#N/A,#N/A,TRUE,"Areas";#N/A,#N/A,TRUE,"Summary";#N/A,#N/A,TRUE,"Detail"}</definedName>
    <definedName name="anuj101_1_2" hidden="1">{#N/A,#N/A,TRUE,"Front";#N/A,#N/A,TRUE,"Simple Letter";#N/A,#N/A,TRUE,"Inside";#N/A,#N/A,TRUE,"Contents";#N/A,#N/A,TRUE,"Basis";#N/A,#N/A,TRUE,"Inclusions";#N/A,#N/A,TRUE,"Exclusions";#N/A,#N/A,TRUE,"Areas";#N/A,#N/A,TRUE,"Summary";#N/A,#N/A,TRUE,"Detail"}</definedName>
    <definedName name="anuj101_2" localSheetId="0" hidden="1">{#N/A,#N/A,TRUE,"Front";#N/A,#N/A,TRUE,"Simple Letter";#N/A,#N/A,TRUE,"Inside";#N/A,#N/A,TRUE,"Contents";#N/A,#N/A,TRUE,"Basis";#N/A,#N/A,TRUE,"Inclusions";#N/A,#N/A,TRUE,"Exclusions";#N/A,#N/A,TRUE,"Areas";#N/A,#N/A,TRUE,"Summary";#N/A,#N/A,TRUE,"Detail"}</definedName>
    <definedName name="anuj101_2" hidden="1">{#N/A,#N/A,TRUE,"Front";#N/A,#N/A,TRUE,"Simple Letter";#N/A,#N/A,TRUE,"Inside";#N/A,#N/A,TRUE,"Contents";#N/A,#N/A,TRUE,"Basis";#N/A,#N/A,TRUE,"Inclusions";#N/A,#N/A,TRUE,"Exclusions";#N/A,#N/A,TRUE,"Areas";#N/A,#N/A,TRUE,"Summary";#N/A,#N/A,TRUE,"Detail"}</definedName>
    <definedName name="anuj101_2_1" localSheetId="0" hidden="1">{#N/A,#N/A,TRUE,"Front";#N/A,#N/A,TRUE,"Simple Letter";#N/A,#N/A,TRUE,"Inside";#N/A,#N/A,TRUE,"Contents";#N/A,#N/A,TRUE,"Basis";#N/A,#N/A,TRUE,"Inclusions";#N/A,#N/A,TRUE,"Exclusions";#N/A,#N/A,TRUE,"Areas";#N/A,#N/A,TRUE,"Summary";#N/A,#N/A,TRUE,"Detail"}</definedName>
    <definedName name="anuj101_2_1" hidden="1">{#N/A,#N/A,TRUE,"Front";#N/A,#N/A,TRUE,"Simple Letter";#N/A,#N/A,TRUE,"Inside";#N/A,#N/A,TRUE,"Contents";#N/A,#N/A,TRUE,"Basis";#N/A,#N/A,TRUE,"Inclusions";#N/A,#N/A,TRUE,"Exclusions";#N/A,#N/A,TRUE,"Areas";#N/A,#N/A,TRUE,"Summary";#N/A,#N/A,TRUE,"Detail"}</definedName>
    <definedName name="anuj101_3" localSheetId="0" hidden="1">{#N/A,#N/A,TRUE,"Front";#N/A,#N/A,TRUE,"Simple Letter";#N/A,#N/A,TRUE,"Inside";#N/A,#N/A,TRUE,"Contents";#N/A,#N/A,TRUE,"Basis";#N/A,#N/A,TRUE,"Inclusions";#N/A,#N/A,TRUE,"Exclusions";#N/A,#N/A,TRUE,"Areas";#N/A,#N/A,TRUE,"Summary";#N/A,#N/A,TRUE,"Detail"}</definedName>
    <definedName name="anuj101_3" hidden="1">{#N/A,#N/A,TRUE,"Front";#N/A,#N/A,TRUE,"Simple Letter";#N/A,#N/A,TRUE,"Inside";#N/A,#N/A,TRUE,"Contents";#N/A,#N/A,TRUE,"Basis";#N/A,#N/A,TRUE,"Inclusions";#N/A,#N/A,TRUE,"Exclusions";#N/A,#N/A,TRUE,"Areas";#N/A,#N/A,TRUE,"Summary";#N/A,#N/A,TRUE,"Detail"}</definedName>
    <definedName name="anuj101_4" localSheetId="0" hidden="1">{#N/A,#N/A,TRUE,"Front";#N/A,#N/A,TRUE,"Simple Letter";#N/A,#N/A,TRUE,"Inside";#N/A,#N/A,TRUE,"Contents";#N/A,#N/A,TRUE,"Basis";#N/A,#N/A,TRUE,"Inclusions";#N/A,#N/A,TRUE,"Exclusions";#N/A,#N/A,TRUE,"Areas";#N/A,#N/A,TRUE,"Summary";#N/A,#N/A,TRUE,"Detail"}</definedName>
    <definedName name="anuj101_4" hidden="1">{#N/A,#N/A,TRUE,"Front";#N/A,#N/A,TRUE,"Simple Letter";#N/A,#N/A,TRUE,"Inside";#N/A,#N/A,TRUE,"Contents";#N/A,#N/A,TRUE,"Basis";#N/A,#N/A,TRUE,"Inclusions";#N/A,#N/A,TRUE,"Exclusions";#N/A,#N/A,TRUE,"Areas";#N/A,#N/A,TRUE,"Summary";#N/A,#N/A,TRUE,"Detail"}</definedName>
    <definedName name="anuj102" localSheetId="0"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2_1" localSheetId="0" hidden="1">{#N/A,#N/A,TRUE,"Front";#N/A,#N/A,TRUE,"Simple Letter";#N/A,#N/A,TRUE,"Inside";#N/A,#N/A,TRUE,"Contents";#N/A,#N/A,TRUE,"Basis";#N/A,#N/A,TRUE,"Inclusions";#N/A,#N/A,TRUE,"Exclusions";#N/A,#N/A,TRUE,"Areas";#N/A,#N/A,TRUE,"Summary";#N/A,#N/A,TRUE,"Detail"}</definedName>
    <definedName name="anuj102_1" hidden="1">{#N/A,#N/A,TRUE,"Front";#N/A,#N/A,TRUE,"Simple Letter";#N/A,#N/A,TRUE,"Inside";#N/A,#N/A,TRUE,"Contents";#N/A,#N/A,TRUE,"Basis";#N/A,#N/A,TRUE,"Inclusions";#N/A,#N/A,TRUE,"Exclusions";#N/A,#N/A,TRUE,"Areas";#N/A,#N/A,TRUE,"Summary";#N/A,#N/A,TRUE,"Detail"}</definedName>
    <definedName name="anuj102_1_1" localSheetId="0" hidden="1">{#N/A,#N/A,TRUE,"Front";#N/A,#N/A,TRUE,"Simple Letter";#N/A,#N/A,TRUE,"Inside";#N/A,#N/A,TRUE,"Contents";#N/A,#N/A,TRUE,"Basis";#N/A,#N/A,TRUE,"Inclusions";#N/A,#N/A,TRUE,"Exclusions";#N/A,#N/A,TRUE,"Areas";#N/A,#N/A,TRUE,"Summary";#N/A,#N/A,TRUE,"Detail"}</definedName>
    <definedName name="anuj102_1_1" hidden="1">{#N/A,#N/A,TRUE,"Front";#N/A,#N/A,TRUE,"Simple Letter";#N/A,#N/A,TRUE,"Inside";#N/A,#N/A,TRUE,"Contents";#N/A,#N/A,TRUE,"Basis";#N/A,#N/A,TRUE,"Inclusions";#N/A,#N/A,TRUE,"Exclusions";#N/A,#N/A,TRUE,"Areas";#N/A,#N/A,TRUE,"Summary";#N/A,#N/A,TRUE,"Detail"}</definedName>
    <definedName name="anuj102_1_2" localSheetId="0" hidden="1">{#N/A,#N/A,TRUE,"Front";#N/A,#N/A,TRUE,"Simple Letter";#N/A,#N/A,TRUE,"Inside";#N/A,#N/A,TRUE,"Contents";#N/A,#N/A,TRUE,"Basis";#N/A,#N/A,TRUE,"Inclusions";#N/A,#N/A,TRUE,"Exclusions";#N/A,#N/A,TRUE,"Areas";#N/A,#N/A,TRUE,"Summary";#N/A,#N/A,TRUE,"Detail"}</definedName>
    <definedName name="anuj102_1_2" hidden="1">{#N/A,#N/A,TRUE,"Front";#N/A,#N/A,TRUE,"Simple Letter";#N/A,#N/A,TRUE,"Inside";#N/A,#N/A,TRUE,"Contents";#N/A,#N/A,TRUE,"Basis";#N/A,#N/A,TRUE,"Inclusions";#N/A,#N/A,TRUE,"Exclusions";#N/A,#N/A,TRUE,"Areas";#N/A,#N/A,TRUE,"Summary";#N/A,#N/A,TRUE,"Detail"}</definedName>
    <definedName name="anuj102_2" localSheetId="0" hidden="1">{#N/A,#N/A,TRUE,"Front";#N/A,#N/A,TRUE,"Simple Letter";#N/A,#N/A,TRUE,"Inside";#N/A,#N/A,TRUE,"Contents";#N/A,#N/A,TRUE,"Basis";#N/A,#N/A,TRUE,"Inclusions";#N/A,#N/A,TRUE,"Exclusions";#N/A,#N/A,TRUE,"Areas";#N/A,#N/A,TRUE,"Summary";#N/A,#N/A,TRUE,"Detail"}</definedName>
    <definedName name="anuj102_2" hidden="1">{#N/A,#N/A,TRUE,"Front";#N/A,#N/A,TRUE,"Simple Letter";#N/A,#N/A,TRUE,"Inside";#N/A,#N/A,TRUE,"Contents";#N/A,#N/A,TRUE,"Basis";#N/A,#N/A,TRUE,"Inclusions";#N/A,#N/A,TRUE,"Exclusions";#N/A,#N/A,TRUE,"Areas";#N/A,#N/A,TRUE,"Summary";#N/A,#N/A,TRUE,"Detail"}</definedName>
    <definedName name="anuj102_2_1" localSheetId="0" hidden="1">{#N/A,#N/A,TRUE,"Front";#N/A,#N/A,TRUE,"Simple Letter";#N/A,#N/A,TRUE,"Inside";#N/A,#N/A,TRUE,"Contents";#N/A,#N/A,TRUE,"Basis";#N/A,#N/A,TRUE,"Inclusions";#N/A,#N/A,TRUE,"Exclusions";#N/A,#N/A,TRUE,"Areas";#N/A,#N/A,TRUE,"Summary";#N/A,#N/A,TRUE,"Detail"}</definedName>
    <definedName name="anuj102_2_1" hidden="1">{#N/A,#N/A,TRUE,"Front";#N/A,#N/A,TRUE,"Simple Letter";#N/A,#N/A,TRUE,"Inside";#N/A,#N/A,TRUE,"Contents";#N/A,#N/A,TRUE,"Basis";#N/A,#N/A,TRUE,"Inclusions";#N/A,#N/A,TRUE,"Exclusions";#N/A,#N/A,TRUE,"Areas";#N/A,#N/A,TRUE,"Summary";#N/A,#N/A,TRUE,"Detail"}</definedName>
    <definedName name="anuj102_3" localSheetId="0" hidden="1">{#N/A,#N/A,TRUE,"Front";#N/A,#N/A,TRUE,"Simple Letter";#N/A,#N/A,TRUE,"Inside";#N/A,#N/A,TRUE,"Contents";#N/A,#N/A,TRUE,"Basis";#N/A,#N/A,TRUE,"Inclusions";#N/A,#N/A,TRUE,"Exclusions";#N/A,#N/A,TRUE,"Areas";#N/A,#N/A,TRUE,"Summary";#N/A,#N/A,TRUE,"Detail"}</definedName>
    <definedName name="anuj102_3" hidden="1">{#N/A,#N/A,TRUE,"Front";#N/A,#N/A,TRUE,"Simple Letter";#N/A,#N/A,TRUE,"Inside";#N/A,#N/A,TRUE,"Contents";#N/A,#N/A,TRUE,"Basis";#N/A,#N/A,TRUE,"Inclusions";#N/A,#N/A,TRUE,"Exclusions";#N/A,#N/A,TRUE,"Areas";#N/A,#N/A,TRUE,"Summary";#N/A,#N/A,TRUE,"Detail"}</definedName>
    <definedName name="anuj102_4" localSheetId="0" hidden="1">{#N/A,#N/A,TRUE,"Front";#N/A,#N/A,TRUE,"Simple Letter";#N/A,#N/A,TRUE,"Inside";#N/A,#N/A,TRUE,"Contents";#N/A,#N/A,TRUE,"Basis";#N/A,#N/A,TRUE,"Inclusions";#N/A,#N/A,TRUE,"Exclusions";#N/A,#N/A,TRUE,"Areas";#N/A,#N/A,TRUE,"Summary";#N/A,#N/A,TRUE,"Detail"}</definedName>
    <definedName name="anuj102_4" hidden="1">{#N/A,#N/A,TRUE,"Front";#N/A,#N/A,TRUE,"Simple Letter";#N/A,#N/A,TRUE,"Inside";#N/A,#N/A,TRUE,"Contents";#N/A,#N/A,TRUE,"Basis";#N/A,#N/A,TRUE,"Inclusions";#N/A,#N/A,TRUE,"Exclusions";#N/A,#N/A,TRUE,"Areas";#N/A,#N/A,TRUE,"Summary";#N/A,#N/A,TRUE,"Detail"}</definedName>
    <definedName name="anuj103" localSheetId="0"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3_1" localSheetId="0" hidden="1">{#N/A,#N/A,TRUE,"Front";#N/A,#N/A,TRUE,"Simple Letter";#N/A,#N/A,TRUE,"Inside";#N/A,#N/A,TRUE,"Contents";#N/A,#N/A,TRUE,"Basis";#N/A,#N/A,TRUE,"Inclusions";#N/A,#N/A,TRUE,"Exclusions";#N/A,#N/A,TRUE,"Areas";#N/A,#N/A,TRUE,"Summary";#N/A,#N/A,TRUE,"Detail"}</definedName>
    <definedName name="anuj103_1" hidden="1">{#N/A,#N/A,TRUE,"Front";#N/A,#N/A,TRUE,"Simple Letter";#N/A,#N/A,TRUE,"Inside";#N/A,#N/A,TRUE,"Contents";#N/A,#N/A,TRUE,"Basis";#N/A,#N/A,TRUE,"Inclusions";#N/A,#N/A,TRUE,"Exclusions";#N/A,#N/A,TRUE,"Areas";#N/A,#N/A,TRUE,"Summary";#N/A,#N/A,TRUE,"Detail"}</definedName>
    <definedName name="anuj103_1_1" localSheetId="0" hidden="1">{#N/A,#N/A,TRUE,"Front";#N/A,#N/A,TRUE,"Simple Letter";#N/A,#N/A,TRUE,"Inside";#N/A,#N/A,TRUE,"Contents";#N/A,#N/A,TRUE,"Basis";#N/A,#N/A,TRUE,"Inclusions";#N/A,#N/A,TRUE,"Exclusions";#N/A,#N/A,TRUE,"Areas";#N/A,#N/A,TRUE,"Summary";#N/A,#N/A,TRUE,"Detail"}</definedName>
    <definedName name="anuj103_1_1" hidden="1">{#N/A,#N/A,TRUE,"Front";#N/A,#N/A,TRUE,"Simple Letter";#N/A,#N/A,TRUE,"Inside";#N/A,#N/A,TRUE,"Contents";#N/A,#N/A,TRUE,"Basis";#N/A,#N/A,TRUE,"Inclusions";#N/A,#N/A,TRUE,"Exclusions";#N/A,#N/A,TRUE,"Areas";#N/A,#N/A,TRUE,"Summary";#N/A,#N/A,TRUE,"Detail"}</definedName>
    <definedName name="anuj103_1_2" localSheetId="0" hidden="1">{#N/A,#N/A,TRUE,"Front";#N/A,#N/A,TRUE,"Simple Letter";#N/A,#N/A,TRUE,"Inside";#N/A,#N/A,TRUE,"Contents";#N/A,#N/A,TRUE,"Basis";#N/A,#N/A,TRUE,"Inclusions";#N/A,#N/A,TRUE,"Exclusions";#N/A,#N/A,TRUE,"Areas";#N/A,#N/A,TRUE,"Summary";#N/A,#N/A,TRUE,"Detail"}</definedName>
    <definedName name="anuj103_1_2" hidden="1">{#N/A,#N/A,TRUE,"Front";#N/A,#N/A,TRUE,"Simple Letter";#N/A,#N/A,TRUE,"Inside";#N/A,#N/A,TRUE,"Contents";#N/A,#N/A,TRUE,"Basis";#N/A,#N/A,TRUE,"Inclusions";#N/A,#N/A,TRUE,"Exclusions";#N/A,#N/A,TRUE,"Areas";#N/A,#N/A,TRUE,"Summary";#N/A,#N/A,TRUE,"Detail"}</definedName>
    <definedName name="anuj103_2" localSheetId="0" hidden="1">{#N/A,#N/A,TRUE,"Front";#N/A,#N/A,TRUE,"Simple Letter";#N/A,#N/A,TRUE,"Inside";#N/A,#N/A,TRUE,"Contents";#N/A,#N/A,TRUE,"Basis";#N/A,#N/A,TRUE,"Inclusions";#N/A,#N/A,TRUE,"Exclusions";#N/A,#N/A,TRUE,"Areas";#N/A,#N/A,TRUE,"Summary";#N/A,#N/A,TRUE,"Detail"}</definedName>
    <definedName name="anuj103_2" hidden="1">{#N/A,#N/A,TRUE,"Front";#N/A,#N/A,TRUE,"Simple Letter";#N/A,#N/A,TRUE,"Inside";#N/A,#N/A,TRUE,"Contents";#N/A,#N/A,TRUE,"Basis";#N/A,#N/A,TRUE,"Inclusions";#N/A,#N/A,TRUE,"Exclusions";#N/A,#N/A,TRUE,"Areas";#N/A,#N/A,TRUE,"Summary";#N/A,#N/A,TRUE,"Detail"}</definedName>
    <definedName name="anuj103_2_1" localSheetId="0" hidden="1">{#N/A,#N/A,TRUE,"Front";#N/A,#N/A,TRUE,"Simple Letter";#N/A,#N/A,TRUE,"Inside";#N/A,#N/A,TRUE,"Contents";#N/A,#N/A,TRUE,"Basis";#N/A,#N/A,TRUE,"Inclusions";#N/A,#N/A,TRUE,"Exclusions";#N/A,#N/A,TRUE,"Areas";#N/A,#N/A,TRUE,"Summary";#N/A,#N/A,TRUE,"Detail"}</definedName>
    <definedName name="anuj103_2_1" hidden="1">{#N/A,#N/A,TRUE,"Front";#N/A,#N/A,TRUE,"Simple Letter";#N/A,#N/A,TRUE,"Inside";#N/A,#N/A,TRUE,"Contents";#N/A,#N/A,TRUE,"Basis";#N/A,#N/A,TRUE,"Inclusions";#N/A,#N/A,TRUE,"Exclusions";#N/A,#N/A,TRUE,"Areas";#N/A,#N/A,TRUE,"Summary";#N/A,#N/A,TRUE,"Detail"}</definedName>
    <definedName name="anuj103_3" localSheetId="0" hidden="1">{#N/A,#N/A,TRUE,"Front";#N/A,#N/A,TRUE,"Simple Letter";#N/A,#N/A,TRUE,"Inside";#N/A,#N/A,TRUE,"Contents";#N/A,#N/A,TRUE,"Basis";#N/A,#N/A,TRUE,"Inclusions";#N/A,#N/A,TRUE,"Exclusions";#N/A,#N/A,TRUE,"Areas";#N/A,#N/A,TRUE,"Summary";#N/A,#N/A,TRUE,"Detail"}</definedName>
    <definedName name="anuj103_3" hidden="1">{#N/A,#N/A,TRUE,"Front";#N/A,#N/A,TRUE,"Simple Letter";#N/A,#N/A,TRUE,"Inside";#N/A,#N/A,TRUE,"Contents";#N/A,#N/A,TRUE,"Basis";#N/A,#N/A,TRUE,"Inclusions";#N/A,#N/A,TRUE,"Exclusions";#N/A,#N/A,TRUE,"Areas";#N/A,#N/A,TRUE,"Summary";#N/A,#N/A,TRUE,"Detail"}</definedName>
    <definedName name="anuj103_4" localSheetId="0" hidden="1">{#N/A,#N/A,TRUE,"Front";#N/A,#N/A,TRUE,"Simple Letter";#N/A,#N/A,TRUE,"Inside";#N/A,#N/A,TRUE,"Contents";#N/A,#N/A,TRUE,"Basis";#N/A,#N/A,TRUE,"Inclusions";#N/A,#N/A,TRUE,"Exclusions";#N/A,#N/A,TRUE,"Areas";#N/A,#N/A,TRUE,"Summary";#N/A,#N/A,TRUE,"Detail"}</definedName>
    <definedName name="anuj103_4" hidden="1">{#N/A,#N/A,TRUE,"Front";#N/A,#N/A,TRUE,"Simple Letter";#N/A,#N/A,TRUE,"Inside";#N/A,#N/A,TRUE,"Contents";#N/A,#N/A,TRUE,"Basis";#N/A,#N/A,TRUE,"Inclusions";#N/A,#N/A,TRUE,"Exclusions";#N/A,#N/A,TRUE,"Areas";#N/A,#N/A,TRUE,"Summary";#N/A,#N/A,TRUE,"Detail"}</definedName>
    <definedName name="anuj104" localSheetId="0"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4_1" localSheetId="0" hidden="1">{#N/A,#N/A,TRUE,"Front";#N/A,#N/A,TRUE,"Simple Letter";#N/A,#N/A,TRUE,"Inside";#N/A,#N/A,TRUE,"Contents";#N/A,#N/A,TRUE,"Basis";#N/A,#N/A,TRUE,"Inclusions";#N/A,#N/A,TRUE,"Exclusions";#N/A,#N/A,TRUE,"Areas";#N/A,#N/A,TRUE,"Summary";#N/A,#N/A,TRUE,"Detail"}</definedName>
    <definedName name="anuj104_1" hidden="1">{#N/A,#N/A,TRUE,"Front";#N/A,#N/A,TRUE,"Simple Letter";#N/A,#N/A,TRUE,"Inside";#N/A,#N/A,TRUE,"Contents";#N/A,#N/A,TRUE,"Basis";#N/A,#N/A,TRUE,"Inclusions";#N/A,#N/A,TRUE,"Exclusions";#N/A,#N/A,TRUE,"Areas";#N/A,#N/A,TRUE,"Summary";#N/A,#N/A,TRUE,"Detail"}</definedName>
    <definedName name="anuj104_1_1" localSheetId="0" hidden="1">{#N/A,#N/A,TRUE,"Front";#N/A,#N/A,TRUE,"Simple Letter";#N/A,#N/A,TRUE,"Inside";#N/A,#N/A,TRUE,"Contents";#N/A,#N/A,TRUE,"Basis";#N/A,#N/A,TRUE,"Inclusions";#N/A,#N/A,TRUE,"Exclusions";#N/A,#N/A,TRUE,"Areas";#N/A,#N/A,TRUE,"Summary";#N/A,#N/A,TRUE,"Detail"}</definedName>
    <definedName name="anuj104_1_1" hidden="1">{#N/A,#N/A,TRUE,"Front";#N/A,#N/A,TRUE,"Simple Letter";#N/A,#N/A,TRUE,"Inside";#N/A,#N/A,TRUE,"Contents";#N/A,#N/A,TRUE,"Basis";#N/A,#N/A,TRUE,"Inclusions";#N/A,#N/A,TRUE,"Exclusions";#N/A,#N/A,TRUE,"Areas";#N/A,#N/A,TRUE,"Summary";#N/A,#N/A,TRUE,"Detail"}</definedName>
    <definedName name="anuj104_1_2" localSheetId="0" hidden="1">{#N/A,#N/A,TRUE,"Front";#N/A,#N/A,TRUE,"Simple Letter";#N/A,#N/A,TRUE,"Inside";#N/A,#N/A,TRUE,"Contents";#N/A,#N/A,TRUE,"Basis";#N/A,#N/A,TRUE,"Inclusions";#N/A,#N/A,TRUE,"Exclusions";#N/A,#N/A,TRUE,"Areas";#N/A,#N/A,TRUE,"Summary";#N/A,#N/A,TRUE,"Detail"}</definedName>
    <definedName name="anuj104_1_2" hidden="1">{#N/A,#N/A,TRUE,"Front";#N/A,#N/A,TRUE,"Simple Letter";#N/A,#N/A,TRUE,"Inside";#N/A,#N/A,TRUE,"Contents";#N/A,#N/A,TRUE,"Basis";#N/A,#N/A,TRUE,"Inclusions";#N/A,#N/A,TRUE,"Exclusions";#N/A,#N/A,TRUE,"Areas";#N/A,#N/A,TRUE,"Summary";#N/A,#N/A,TRUE,"Detail"}</definedName>
    <definedName name="anuj104_2" localSheetId="0" hidden="1">{#N/A,#N/A,TRUE,"Front";#N/A,#N/A,TRUE,"Simple Letter";#N/A,#N/A,TRUE,"Inside";#N/A,#N/A,TRUE,"Contents";#N/A,#N/A,TRUE,"Basis";#N/A,#N/A,TRUE,"Inclusions";#N/A,#N/A,TRUE,"Exclusions";#N/A,#N/A,TRUE,"Areas";#N/A,#N/A,TRUE,"Summary";#N/A,#N/A,TRUE,"Detail"}</definedName>
    <definedName name="anuj104_2" hidden="1">{#N/A,#N/A,TRUE,"Front";#N/A,#N/A,TRUE,"Simple Letter";#N/A,#N/A,TRUE,"Inside";#N/A,#N/A,TRUE,"Contents";#N/A,#N/A,TRUE,"Basis";#N/A,#N/A,TRUE,"Inclusions";#N/A,#N/A,TRUE,"Exclusions";#N/A,#N/A,TRUE,"Areas";#N/A,#N/A,TRUE,"Summary";#N/A,#N/A,TRUE,"Detail"}</definedName>
    <definedName name="anuj104_2_1" localSheetId="0" hidden="1">{#N/A,#N/A,TRUE,"Front";#N/A,#N/A,TRUE,"Simple Letter";#N/A,#N/A,TRUE,"Inside";#N/A,#N/A,TRUE,"Contents";#N/A,#N/A,TRUE,"Basis";#N/A,#N/A,TRUE,"Inclusions";#N/A,#N/A,TRUE,"Exclusions";#N/A,#N/A,TRUE,"Areas";#N/A,#N/A,TRUE,"Summary";#N/A,#N/A,TRUE,"Detail"}</definedName>
    <definedName name="anuj104_2_1" hidden="1">{#N/A,#N/A,TRUE,"Front";#N/A,#N/A,TRUE,"Simple Letter";#N/A,#N/A,TRUE,"Inside";#N/A,#N/A,TRUE,"Contents";#N/A,#N/A,TRUE,"Basis";#N/A,#N/A,TRUE,"Inclusions";#N/A,#N/A,TRUE,"Exclusions";#N/A,#N/A,TRUE,"Areas";#N/A,#N/A,TRUE,"Summary";#N/A,#N/A,TRUE,"Detail"}</definedName>
    <definedName name="anuj104_3" localSheetId="0" hidden="1">{#N/A,#N/A,TRUE,"Front";#N/A,#N/A,TRUE,"Simple Letter";#N/A,#N/A,TRUE,"Inside";#N/A,#N/A,TRUE,"Contents";#N/A,#N/A,TRUE,"Basis";#N/A,#N/A,TRUE,"Inclusions";#N/A,#N/A,TRUE,"Exclusions";#N/A,#N/A,TRUE,"Areas";#N/A,#N/A,TRUE,"Summary";#N/A,#N/A,TRUE,"Detail"}</definedName>
    <definedName name="anuj104_3" hidden="1">{#N/A,#N/A,TRUE,"Front";#N/A,#N/A,TRUE,"Simple Letter";#N/A,#N/A,TRUE,"Inside";#N/A,#N/A,TRUE,"Contents";#N/A,#N/A,TRUE,"Basis";#N/A,#N/A,TRUE,"Inclusions";#N/A,#N/A,TRUE,"Exclusions";#N/A,#N/A,TRUE,"Areas";#N/A,#N/A,TRUE,"Summary";#N/A,#N/A,TRUE,"Detail"}</definedName>
    <definedName name="anuj104_4" localSheetId="0" hidden="1">{#N/A,#N/A,TRUE,"Front";#N/A,#N/A,TRUE,"Simple Letter";#N/A,#N/A,TRUE,"Inside";#N/A,#N/A,TRUE,"Contents";#N/A,#N/A,TRUE,"Basis";#N/A,#N/A,TRUE,"Inclusions";#N/A,#N/A,TRUE,"Exclusions";#N/A,#N/A,TRUE,"Areas";#N/A,#N/A,TRUE,"Summary";#N/A,#N/A,TRUE,"Detail"}</definedName>
    <definedName name="anuj104_4" hidden="1">{#N/A,#N/A,TRUE,"Front";#N/A,#N/A,TRUE,"Simple Letter";#N/A,#N/A,TRUE,"Inside";#N/A,#N/A,TRUE,"Contents";#N/A,#N/A,TRUE,"Basis";#N/A,#N/A,TRUE,"Inclusions";#N/A,#N/A,TRUE,"Exclusions";#N/A,#N/A,TRUE,"Areas";#N/A,#N/A,TRUE,"Summary";#N/A,#N/A,TRUE,"Detail"}</definedName>
    <definedName name="anuj105" localSheetId="0"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05_1" localSheetId="0" hidden="1">{#N/A,#N/A,TRUE,"Front";#N/A,#N/A,TRUE,"Simple Letter";#N/A,#N/A,TRUE,"Inside";#N/A,#N/A,TRUE,"Contents";#N/A,#N/A,TRUE,"Basis";#N/A,#N/A,TRUE,"Inclusions";#N/A,#N/A,TRUE,"Exclusions";#N/A,#N/A,TRUE,"Areas";#N/A,#N/A,TRUE,"Summary";#N/A,#N/A,TRUE,"Detail"}</definedName>
    <definedName name="anuj105_1" hidden="1">{#N/A,#N/A,TRUE,"Front";#N/A,#N/A,TRUE,"Simple Letter";#N/A,#N/A,TRUE,"Inside";#N/A,#N/A,TRUE,"Contents";#N/A,#N/A,TRUE,"Basis";#N/A,#N/A,TRUE,"Inclusions";#N/A,#N/A,TRUE,"Exclusions";#N/A,#N/A,TRUE,"Areas";#N/A,#N/A,TRUE,"Summary";#N/A,#N/A,TRUE,"Detail"}</definedName>
    <definedName name="anuj105_1_1" localSheetId="0" hidden="1">{#N/A,#N/A,TRUE,"Front";#N/A,#N/A,TRUE,"Simple Letter";#N/A,#N/A,TRUE,"Inside";#N/A,#N/A,TRUE,"Contents";#N/A,#N/A,TRUE,"Basis";#N/A,#N/A,TRUE,"Inclusions";#N/A,#N/A,TRUE,"Exclusions";#N/A,#N/A,TRUE,"Areas";#N/A,#N/A,TRUE,"Summary";#N/A,#N/A,TRUE,"Detail"}</definedName>
    <definedName name="anuj105_1_1" hidden="1">{#N/A,#N/A,TRUE,"Front";#N/A,#N/A,TRUE,"Simple Letter";#N/A,#N/A,TRUE,"Inside";#N/A,#N/A,TRUE,"Contents";#N/A,#N/A,TRUE,"Basis";#N/A,#N/A,TRUE,"Inclusions";#N/A,#N/A,TRUE,"Exclusions";#N/A,#N/A,TRUE,"Areas";#N/A,#N/A,TRUE,"Summary";#N/A,#N/A,TRUE,"Detail"}</definedName>
    <definedName name="anuj105_1_2" localSheetId="0" hidden="1">{#N/A,#N/A,TRUE,"Front";#N/A,#N/A,TRUE,"Simple Letter";#N/A,#N/A,TRUE,"Inside";#N/A,#N/A,TRUE,"Contents";#N/A,#N/A,TRUE,"Basis";#N/A,#N/A,TRUE,"Inclusions";#N/A,#N/A,TRUE,"Exclusions";#N/A,#N/A,TRUE,"Areas";#N/A,#N/A,TRUE,"Summary";#N/A,#N/A,TRUE,"Detail"}</definedName>
    <definedName name="anuj105_1_2" hidden="1">{#N/A,#N/A,TRUE,"Front";#N/A,#N/A,TRUE,"Simple Letter";#N/A,#N/A,TRUE,"Inside";#N/A,#N/A,TRUE,"Contents";#N/A,#N/A,TRUE,"Basis";#N/A,#N/A,TRUE,"Inclusions";#N/A,#N/A,TRUE,"Exclusions";#N/A,#N/A,TRUE,"Areas";#N/A,#N/A,TRUE,"Summary";#N/A,#N/A,TRUE,"Detail"}</definedName>
    <definedName name="anuj105_2" localSheetId="0" hidden="1">{#N/A,#N/A,TRUE,"Front";#N/A,#N/A,TRUE,"Simple Letter";#N/A,#N/A,TRUE,"Inside";#N/A,#N/A,TRUE,"Contents";#N/A,#N/A,TRUE,"Basis";#N/A,#N/A,TRUE,"Inclusions";#N/A,#N/A,TRUE,"Exclusions";#N/A,#N/A,TRUE,"Areas";#N/A,#N/A,TRUE,"Summary";#N/A,#N/A,TRUE,"Detail"}</definedName>
    <definedName name="anuj105_2" hidden="1">{#N/A,#N/A,TRUE,"Front";#N/A,#N/A,TRUE,"Simple Letter";#N/A,#N/A,TRUE,"Inside";#N/A,#N/A,TRUE,"Contents";#N/A,#N/A,TRUE,"Basis";#N/A,#N/A,TRUE,"Inclusions";#N/A,#N/A,TRUE,"Exclusions";#N/A,#N/A,TRUE,"Areas";#N/A,#N/A,TRUE,"Summary";#N/A,#N/A,TRUE,"Detail"}</definedName>
    <definedName name="anuj105_2_1" localSheetId="0" hidden="1">{#N/A,#N/A,TRUE,"Front";#N/A,#N/A,TRUE,"Simple Letter";#N/A,#N/A,TRUE,"Inside";#N/A,#N/A,TRUE,"Contents";#N/A,#N/A,TRUE,"Basis";#N/A,#N/A,TRUE,"Inclusions";#N/A,#N/A,TRUE,"Exclusions";#N/A,#N/A,TRUE,"Areas";#N/A,#N/A,TRUE,"Summary";#N/A,#N/A,TRUE,"Detail"}</definedName>
    <definedName name="anuj105_2_1" hidden="1">{#N/A,#N/A,TRUE,"Front";#N/A,#N/A,TRUE,"Simple Letter";#N/A,#N/A,TRUE,"Inside";#N/A,#N/A,TRUE,"Contents";#N/A,#N/A,TRUE,"Basis";#N/A,#N/A,TRUE,"Inclusions";#N/A,#N/A,TRUE,"Exclusions";#N/A,#N/A,TRUE,"Areas";#N/A,#N/A,TRUE,"Summary";#N/A,#N/A,TRUE,"Detail"}</definedName>
    <definedName name="anuj105_3" localSheetId="0" hidden="1">{#N/A,#N/A,TRUE,"Front";#N/A,#N/A,TRUE,"Simple Letter";#N/A,#N/A,TRUE,"Inside";#N/A,#N/A,TRUE,"Contents";#N/A,#N/A,TRUE,"Basis";#N/A,#N/A,TRUE,"Inclusions";#N/A,#N/A,TRUE,"Exclusions";#N/A,#N/A,TRUE,"Areas";#N/A,#N/A,TRUE,"Summary";#N/A,#N/A,TRUE,"Detail"}</definedName>
    <definedName name="anuj105_3" hidden="1">{#N/A,#N/A,TRUE,"Front";#N/A,#N/A,TRUE,"Simple Letter";#N/A,#N/A,TRUE,"Inside";#N/A,#N/A,TRUE,"Contents";#N/A,#N/A,TRUE,"Basis";#N/A,#N/A,TRUE,"Inclusions";#N/A,#N/A,TRUE,"Exclusions";#N/A,#N/A,TRUE,"Areas";#N/A,#N/A,TRUE,"Summary";#N/A,#N/A,TRUE,"Detail"}</definedName>
    <definedName name="anuj105_4" localSheetId="0" hidden="1">{#N/A,#N/A,TRUE,"Front";#N/A,#N/A,TRUE,"Simple Letter";#N/A,#N/A,TRUE,"Inside";#N/A,#N/A,TRUE,"Contents";#N/A,#N/A,TRUE,"Basis";#N/A,#N/A,TRUE,"Inclusions";#N/A,#N/A,TRUE,"Exclusions";#N/A,#N/A,TRUE,"Areas";#N/A,#N/A,TRUE,"Summary";#N/A,#N/A,TRUE,"Detail"}</definedName>
    <definedName name="anuj105_4" hidden="1">{#N/A,#N/A,TRUE,"Front";#N/A,#N/A,TRUE,"Simple Letter";#N/A,#N/A,TRUE,"Inside";#N/A,#N/A,TRUE,"Contents";#N/A,#N/A,TRUE,"Basis";#N/A,#N/A,TRUE,"Inclusions";#N/A,#N/A,TRUE,"Exclusions";#N/A,#N/A,TRUE,"Areas";#N/A,#N/A,TRUE,"Summary";#N/A,#N/A,TRUE,"Detail"}</definedName>
    <definedName name="anuj11" localSheetId="0">#REF!</definedName>
    <definedName name="anuj11">#REF!</definedName>
    <definedName name="anuj12" localSheetId="0"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2_1" localSheetId="0" hidden="1">{#N/A,#N/A,TRUE,"Front";#N/A,#N/A,TRUE,"Simple Letter";#N/A,#N/A,TRUE,"Inside";#N/A,#N/A,TRUE,"Contents";#N/A,#N/A,TRUE,"Basis";#N/A,#N/A,TRUE,"Inclusions";#N/A,#N/A,TRUE,"Exclusions";#N/A,#N/A,TRUE,"Areas";#N/A,#N/A,TRUE,"Summary";#N/A,#N/A,TRUE,"Detail"}</definedName>
    <definedName name="anuj12_1" hidden="1">{#N/A,#N/A,TRUE,"Front";#N/A,#N/A,TRUE,"Simple Letter";#N/A,#N/A,TRUE,"Inside";#N/A,#N/A,TRUE,"Contents";#N/A,#N/A,TRUE,"Basis";#N/A,#N/A,TRUE,"Inclusions";#N/A,#N/A,TRUE,"Exclusions";#N/A,#N/A,TRUE,"Areas";#N/A,#N/A,TRUE,"Summary";#N/A,#N/A,TRUE,"Detail"}</definedName>
    <definedName name="anuj12_1_1" localSheetId="0" hidden="1">{#N/A,#N/A,TRUE,"Front";#N/A,#N/A,TRUE,"Simple Letter";#N/A,#N/A,TRUE,"Inside";#N/A,#N/A,TRUE,"Contents";#N/A,#N/A,TRUE,"Basis";#N/A,#N/A,TRUE,"Inclusions";#N/A,#N/A,TRUE,"Exclusions";#N/A,#N/A,TRUE,"Areas";#N/A,#N/A,TRUE,"Summary";#N/A,#N/A,TRUE,"Detail"}</definedName>
    <definedName name="anuj12_1_1" hidden="1">{#N/A,#N/A,TRUE,"Front";#N/A,#N/A,TRUE,"Simple Letter";#N/A,#N/A,TRUE,"Inside";#N/A,#N/A,TRUE,"Contents";#N/A,#N/A,TRUE,"Basis";#N/A,#N/A,TRUE,"Inclusions";#N/A,#N/A,TRUE,"Exclusions";#N/A,#N/A,TRUE,"Areas";#N/A,#N/A,TRUE,"Summary";#N/A,#N/A,TRUE,"Detail"}</definedName>
    <definedName name="anuj12_1_2" localSheetId="0" hidden="1">{#N/A,#N/A,TRUE,"Front";#N/A,#N/A,TRUE,"Simple Letter";#N/A,#N/A,TRUE,"Inside";#N/A,#N/A,TRUE,"Contents";#N/A,#N/A,TRUE,"Basis";#N/A,#N/A,TRUE,"Inclusions";#N/A,#N/A,TRUE,"Exclusions";#N/A,#N/A,TRUE,"Areas";#N/A,#N/A,TRUE,"Summary";#N/A,#N/A,TRUE,"Detail"}</definedName>
    <definedName name="anuj12_1_2" hidden="1">{#N/A,#N/A,TRUE,"Front";#N/A,#N/A,TRUE,"Simple Letter";#N/A,#N/A,TRUE,"Inside";#N/A,#N/A,TRUE,"Contents";#N/A,#N/A,TRUE,"Basis";#N/A,#N/A,TRUE,"Inclusions";#N/A,#N/A,TRUE,"Exclusions";#N/A,#N/A,TRUE,"Areas";#N/A,#N/A,TRUE,"Summary";#N/A,#N/A,TRUE,"Detail"}</definedName>
    <definedName name="anuj12_2" localSheetId="0" hidden="1">{#N/A,#N/A,TRUE,"Front";#N/A,#N/A,TRUE,"Simple Letter";#N/A,#N/A,TRUE,"Inside";#N/A,#N/A,TRUE,"Contents";#N/A,#N/A,TRUE,"Basis";#N/A,#N/A,TRUE,"Inclusions";#N/A,#N/A,TRUE,"Exclusions";#N/A,#N/A,TRUE,"Areas";#N/A,#N/A,TRUE,"Summary";#N/A,#N/A,TRUE,"Detail"}</definedName>
    <definedName name="anuj12_2" hidden="1">{#N/A,#N/A,TRUE,"Front";#N/A,#N/A,TRUE,"Simple Letter";#N/A,#N/A,TRUE,"Inside";#N/A,#N/A,TRUE,"Contents";#N/A,#N/A,TRUE,"Basis";#N/A,#N/A,TRUE,"Inclusions";#N/A,#N/A,TRUE,"Exclusions";#N/A,#N/A,TRUE,"Areas";#N/A,#N/A,TRUE,"Summary";#N/A,#N/A,TRUE,"Detail"}</definedName>
    <definedName name="anuj12_2_1" localSheetId="0" hidden="1">{#N/A,#N/A,TRUE,"Front";#N/A,#N/A,TRUE,"Simple Letter";#N/A,#N/A,TRUE,"Inside";#N/A,#N/A,TRUE,"Contents";#N/A,#N/A,TRUE,"Basis";#N/A,#N/A,TRUE,"Inclusions";#N/A,#N/A,TRUE,"Exclusions";#N/A,#N/A,TRUE,"Areas";#N/A,#N/A,TRUE,"Summary";#N/A,#N/A,TRUE,"Detail"}</definedName>
    <definedName name="anuj12_2_1" hidden="1">{#N/A,#N/A,TRUE,"Front";#N/A,#N/A,TRUE,"Simple Letter";#N/A,#N/A,TRUE,"Inside";#N/A,#N/A,TRUE,"Contents";#N/A,#N/A,TRUE,"Basis";#N/A,#N/A,TRUE,"Inclusions";#N/A,#N/A,TRUE,"Exclusions";#N/A,#N/A,TRUE,"Areas";#N/A,#N/A,TRUE,"Summary";#N/A,#N/A,TRUE,"Detail"}</definedName>
    <definedName name="anuj12_3" localSheetId="0" hidden="1">{#N/A,#N/A,TRUE,"Front";#N/A,#N/A,TRUE,"Simple Letter";#N/A,#N/A,TRUE,"Inside";#N/A,#N/A,TRUE,"Contents";#N/A,#N/A,TRUE,"Basis";#N/A,#N/A,TRUE,"Inclusions";#N/A,#N/A,TRUE,"Exclusions";#N/A,#N/A,TRUE,"Areas";#N/A,#N/A,TRUE,"Summary";#N/A,#N/A,TRUE,"Detail"}</definedName>
    <definedName name="anuj12_3" hidden="1">{#N/A,#N/A,TRUE,"Front";#N/A,#N/A,TRUE,"Simple Letter";#N/A,#N/A,TRUE,"Inside";#N/A,#N/A,TRUE,"Contents";#N/A,#N/A,TRUE,"Basis";#N/A,#N/A,TRUE,"Inclusions";#N/A,#N/A,TRUE,"Exclusions";#N/A,#N/A,TRUE,"Areas";#N/A,#N/A,TRUE,"Summary";#N/A,#N/A,TRUE,"Detail"}</definedName>
    <definedName name="anuj12_4" localSheetId="0" hidden="1">{#N/A,#N/A,TRUE,"Front";#N/A,#N/A,TRUE,"Simple Letter";#N/A,#N/A,TRUE,"Inside";#N/A,#N/A,TRUE,"Contents";#N/A,#N/A,TRUE,"Basis";#N/A,#N/A,TRUE,"Inclusions";#N/A,#N/A,TRUE,"Exclusions";#N/A,#N/A,TRUE,"Areas";#N/A,#N/A,TRUE,"Summary";#N/A,#N/A,TRUE,"Detail"}</definedName>
    <definedName name="anuj12_4" hidden="1">{#N/A,#N/A,TRUE,"Front";#N/A,#N/A,TRUE,"Simple Letter";#N/A,#N/A,TRUE,"Inside";#N/A,#N/A,TRUE,"Contents";#N/A,#N/A,TRUE,"Basis";#N/A,#N/A,TRUE,"Inclusions";#N/A,#N/A,TRUE,"Exclusions";#N/A,#N/A,TRUE,"Areas";#N/A,#N/A,TRUE,"Summary";#N/A,#N/A,TRUE,"Detail"}</definedName>
    <definedName name="anuj13" localSheetId="0">#REF!</definedName>
    <definedName name="anuj13">#REF!</definedName>
    <definedName name="anuj14" localSheetId="0"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14_1" localSheetId="0" hidden="1">{#N/A,#N/A,TRUE,"Front";#N/A,#N/A,TRUE,"Simple Letter";#N/A,#N/A,TRUE,"Inside";#N/A,#N/A,TRUE,"Contents";#N/A,#N/A,TRUE,"Basis";#N/A,#N/A,TRUE,"Inclusions";#N/A,#N/A,TRUE,"Exclusions";#N/A,#N/A,TRUE,"Areas";#N/A,#N/A,TRUE,"Summary";#N/A,#N/A,TRUE,"Detail"}</definedName>
    <definedName name="anuj14_1" hidden="1">{#N/A,#N/A,TRUE,"Front";#N/A,#N/A,TRUE,"Simple Letter";#N/A,#N/A,TRUE,"Inside";#N/A,#N/A,TRUE,"Contents";#N/A,#N/A,TRUE,"Basis";#N/A,#N/A,TRUE,"Inclusions";#N/A,#N/A,TRUE,"Exclusions";#N/A,#N/A,TRUE,"Areas";#N/A,#N/A,TRUE,"Summary";#N/A,#N/A,TRUE,"Detail"}</definedName>
    <definedName name="anuj14_1_1" localSheetId="0" hidden="1">{#N/A,#N/A,TRUE,"Front";#N/A,#N/A,TRUE,"Simple Letter";#N/A,#N/A,TRUE,"Inside";#N/A,#N/A,TRUE,"Contents";#N/A,#N/A,TRUE,"Basis";#N/A,#N/A,TRUE,"Inclusions";#N/A,#N/A,TRUE,"Exclusions";#N/A,#N/A,TRUE,"Areas";#N/A,#N/A,TRUE,"Summary";#N/A,#N/A,TRUE,"Detail"}</definedName>
    <definedName name="anuj14_1_1" hidden="1">{#N/A,#N/A,TRUE,"Front";#N/A,#N/A,TRUE,"Simple Letter";#N/A,#N/A,TRUE,"Inside";#N/A,#N/A,TRUE,"Contents";#N/A,#N/A,TRUE,"Basis";#N/A,#N/A,TRUE,"Inclusions";#N/A,#N/A,TRUE,"Exclusions";#N/A,#N/A,TRUE,"Areas";#N/A,#N/A,TRUE,"Summary";#N/A,#N/A,TRUE,"Detail"}</definedName>
    <definedName name="anuj14_1_2" localSheetId="0" hidden="1">{#N/A,#N/A,TRUE,"Front";#N/A,#N/A,TRUE,"Simple Letter";#N/A,#N/A,TRUE,"Inside";#N/A,#N/A,TRUE,"Contents";#N/A,#N/A,TRUE,"Basis";#N/A,#N/A,TRUE,"Inclusions";#N/A,#N/A,TRUE,"Exclusions";#N/A,#N/A,TRUE,"Areas";#N/A,#N/A,TRUE,"Summary";#N/A,#N/A,TRUE,"Detail"}</definedName>
    <definedName name="anuj14_1_2" hidden="1">{#N/A,#N/A,TRUE,"Front";#N/A,#N/A,TRUE,"Simple Letter";#N/A,#N/A,TRUE,"Inside";#N/A,#N/A,TRUE,"Contents";#N/A,#N/A,TRUE,"Basis";#N/A,#N/A,TRUE,"Inclusions";#N/A,#N/A,TRUE,"Exclusions";#N/A,#N/A,TRUE,"Areas";#N/A,#N/A,TRUE,"Summary";#N/A,#N/A,TRUE,"Detail"}</definedName>
    <definedName name="anuj14_2" localSheetId="0" hidden="1">{#N/A,#N/A,TRUE,"Front";#N/A,#N/A,TRUE,"Simple Letter";#N/A,#N/A,TRUE,"Inside";#N/A,#N/A,TRUE,"Contents";#N/A,#N/A,TRUE,"Basis";#N/A,#N/A,TRUE,"Inclusions";#N/A,#N/A,TRUE,"Exclusions";#N/A,#N/A,TRUE,"Areas";#N/A,#N/A,TRUE,"Summary";#N/A,#N/A,TRUE,"Detail"}</definedName>
    <definedName name="anuj14_2" hidden="1">{#N/A,#N/A,TRUE,"Front";#N/A,#N/A,TRUE,"Simple Letter";#N/A,#N/A,TRUE,"Inside";#N/A,#N/A,TRUE,"Contents";#N/A,#N/A,TRUE,"Basis";#N/A,#N/A,TRUE,"Inclusions";#N/A,#N/A,TRUE,"Exclusions";#N/A,#N/A,TRUE,"Areas";#N/A,#N/A,TRUE,"Summary";#N/A,#N/A,TRUE,"Detail"}</definedName>
    <definedName name="anuj14_2_1" localSheetId="0" hidden="1">{#N/A,#N/A,TRUE,"Front";#N/A,#N/A,TRUE,"Simple Letter";#N/A,#N/A,TRUE,"Inside";#N/A,#N/A,TRUE,"Contents";#N/A,#N/A,TRUE,"Basis";#N/A,#N/A,TRUE,"Inclusions";#N/A,#N/A,TRUE,"Exclusions";#N/A,#N/A,TRUE,"Areas";#N/A,#N/A,TRUE,"Summary";#N/A,#N/A,TRUE,"Detail"}</definedName>
    <definedName name="anuj14_2_1" hidden="1">{#N/A,#N/A,TRUE,"Front";#N/A,#N/A,TRUE,"Simple Letter";#N/A,#N/A,TRUE,"Inside";#N/A,#N/A,TRUE,"Contents";#N/A,#N/A,TRUE,"Basis";#N/A,#N/A,TRUE,"Inclusions";#N/A,#N/A,TRUE,"Exclusions";#N/A,#N/A,TRUE,"Areas";#N/A,#N/A,TRUE,"Summary";#N/A,#N/A,TRUE,"Detail"}</definedName>
    <definedName name="anuj14_3" localSheetId="0" hidden="1">{#N/A,#N/A,TRUE,"Front";#N/A,#N/A,TRUE,"Simple Letter";#N/A,#N/A,TRUE,"Inside";#N/A,#N/A,TRUE,"Contents";#N/A,#N/A,TRUE,"Basis";#N/A,#N/A,TRUE,"Inclusions";#N/A,#N/A,TRUE,"Exclusions";#N/A,#N/A,TRUE,"Areas";#N/A,#N/A,TRUE,"Summary";#N/A,#N/A,TRUE,"Detail"}</definedName>
    <definedName name="anuj14_3" hidden="1">{#N/A,#N/A,TRUE,"Front";#N/A,#N/A,TRUE,"Simple Letter";#N/A,#N/A,TRUE,"Inside";#N/A,#N/A,TRUE,"Contents";#N/A,#N/A,TRUE,"Basis";#N/A,#N/A,TRUE,"Inclusions";#N/A,#N/A,TRUE,"Exclusions";#N/A,#N/A,TRUE,"Areas";#N/A,#N/A,TRUE,"Summary";#N/A,#N/A,TRUE,"Detail"}</definedName>
    <definedName name="anuj14_4" localSheetId="0" hidden="1">{#N/A,#N/A,TRUE,"Front";#N/A,#N/A,TRUE,"Simple Letter";#N/A,#N/A,TRUE,"Inside";#N/A,#N/A,TRUE,"Contents";#N/A,#N/A,TRUE,"Basis";#N/A,#N/A,TRUE,"Inclusions";#N/A,#N/A,TRUE,"Exclusions";#N/A,#N/A,TRUE,"Areas";#N/A,#N/A,TRUE,"Summary";#N/A,#N/A,TRUE,"Detail"}</definedName>
    <definedName name="anuj14_4" hidden="1">{#N/A,#N/A,TRUE,"Front";#N/A,#N/A,TRUE,"Simple Letter";#N/A,#N/A,TRUE,"Inside";#N/A,#N/A,TRUE,"Contents";#N/A,#N/A,TRUE,"Basis";#N/A,#N/A,TRUE,"Inclusions";#N/A,#N/A,TRUE,"Exclusions";#N/A,#N/A,TRUE,"Areas";#N/A,#N/A,TRUE,"Summary";#N/A,#N/A,TRUE,"Detail"}</definedName>
    <definedName name="anuj15" localSheetId="0">#REF!</definedName>
    <definedName name="anuj15">#REF!</definedName>
    <definedName name="anuj17" localSheetId="0">#REF!</definedName>
    <definedName name="anuj17">#REF!</definedName>
    <definedName name="anuj18" localSheetId="0">#REF!</definedName>
    <definedName name="anuj18">#REF!</definedName>
    <definedName name="anuj19" localSheetId="0">#REF!</definedName>
    <definedName name="anuj19">#REF!</definedName>
    <definedName name="anuj2" localSheetId="0">#REF!</definedName>
    <definedName name="anuj2">#REF!</definedName>
    <definedName name="anuj20" localSheetId="0"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0_1" localSheetId="0" hidden="1">{#N/A,#N/A,TRUE,"Front";#N/A,#N/A,TRUE,"Simple Letter";#N/A,#N/A,TRUE,"Inside";#N/A,#N/A,TRUE,"Contents";#N/A,#N/A,TRUE,"Basis";#N/A,#N/A,TRUE,"Inclusions";#N/A,#N/A,TRUE,"Exclusions";#N/A,#N/A,TRUE,"Areas";#N/A,#N/A,TRUE,"Summary";#N/A,#N/A,TRUE,"Detail"}</definedName>
    <definedName name="anuj20_1" hidden="1">{#N/A,#N/A,TRUE,"Front";#N/A,#N/A,TRUE,"Simple Letter";#N/A,#N/A,TRUE,"Inside";#N/A,#N/A,TRUE,"Contents";#N/A,#N/A,TRUE,"Basis";#N/A,#N/A,TRUE,"Inclusions";#N/A,#N/A,TRUE,"Exclusions";#N/A,#N/A,TRUE,"Areas";#N/A,#N/A,TRUE,"Summary";#N/A,#N/A,TRUE,"Detail"}</definedName>
    <definedName name="anuj20_1_1" localSheetId="0" hidden="1">{#N/A,#N/A,TRUE,"Front";#N/A,#N/A,TRUE,"Simple Letter";#N/A,#N/A,TRUE,"Inside";#N/A,#N/A,TRUE,"Contents";#N/A,#N/A,TRUE,"Basis";#N/A,#N/A,TRUE,"Inclusions";#N/A,#N/A,TRUE,"Exclusions";#N/A,#N/A,TRUE,"Areas";#N/A,#N/A,TRUE,"Summary";#N/A,#N/A,TRUE,"Detail"}</definedName>
    <definedName name="anuj20_1_1" hidden="1">{#N/A,#N/A,TRUE,"Front";#N/A,#N/A,TRUE,"Simple Letter";#N/A,#N/A,TRUE,"Inside";#N/A,#N/A,TRUE,"Contents";#N/A,#N/A,TRUE,"Basis";#N/A,#N/A,TRUE,"Inclusions";#N/A,#N/A,TRUE,"Exclusions";#N/A,#N/A,TRUE,"Areas";#N/A,#N/A,TRUE,"Summary";#N/A,#N/A,TRUE,"Detail"}</definedName>
    <definedName name="anuj20_1_2" localSheetId="0" hidden="1">{#N/A,#N/A,TRUE,"Front";#N/A,#N/A,TRUE,"Simple Letter";#N/A,#N/A,TRUE,"Inside";#N/A,#N/A,TRUE,"Contents";#N/A,#N/A,TRUE,"Basis";#N/A,#N/A,TRUE,"Inclusions";#N/A,#N/A,TRUE,"Exclusions";#N/A,#N/A,TRUE,"Areas";#N/A,#N/A,TRUE,"Summary";#N/A,#N/A,TRUE,"Detail"}</definedName>
    <definedName name="anuj20_1_2" hidden="1">{#N/A,#N/A,TRUE,"Front";#N/A,#N/A,TRUE,"Simple Letter";#N/A,#N/A,TRUE,"Inside";#N/A,#N/A,TRUE,"Contents";#N/A,#N/A,TRUE,"Basis";#N/A,#N/A,TRUE,"Inclusions";#N/A,#N/A,TRUE,"Exclusions";#N/A,#N/A,TRUE,"Areas";#N/A,#N/A,TRUE,"Summary";#N/A,#N/A,TRUE,"Detail"}</definedName>
    <definedName name="anuj20_2" localSheetId="0" hidden="1">{#N/A,#N/A,TRUE,"Front";#N/A,#N/A,TRUE,"Simple Letter";#N/A,#N/A,TRUE,"Inside";#N/A,#N/A,TRUE,"Contents";#N/A,#N/A,TRUE,"Basis";#N/A,#N/A,TRUE,"Inclusions";#N/A,#N/A,TRUE,"Exclusions";#N/A,#N/A,TRUE,"Areas";#N/A,#N/A,TRUE,"Summary";#N/A,#N/A,TRUE,"Detail"}</definedName>
    <definedName name="anuj20_2" hidden="1">{#N/A,#N/A,TRUE,"Front";#N/A,#N/A,TRUE,"Simple Letter";#N/A,#N/A,TRUE,"Inside";#N/A,#N/A,TRUE,"Contents";#N/A,#N/A,TRUE,"Basis";#N/A,#N/A,TRUE,"Inclusions";#N/A,#N/A,TRUE,"Exclusions";#N/A,#N/A,TRUE,"Areas";#N/A,#N/A,TRUE,"Summary";#N/A,#N/A,TRUE,"Detail"}</definedName>
    <definedName name="anuj20_2_1" localSheetId="0" hidden="1">{#N/A,#N/A,TRUE,"Front";#N/A,#N/A,TRUE,"Simple Letter";#N/A,#N/A,TRUE,"Inside";#N/A,#N/A,TRUE,"Contents";#N/A,#N/A,TRUE,"Basis";#N/A,#N/A,TRUE,"Inclusions";#N/A,#N/A,TRUE,"Exclusions";#N/A,#N/A,TRUE,"Areas";#N/A,#N/A,TRUE,"Summary";#N/A,#N/A,TRUE,"Detail"}</definedName>
    <definedName name="anuj20_2_1" hidden="1">{#N/A,#N/A,TRUE,"Front";#N/A,#N/A,TRUE,"Simple Letter";#N/A,#N/A,TRUE,"Inside";#N/A,#N/A,TRUE,"Contents";#N/A,#N/A,TRUE,"Basis";#N/A,#N/A,TRUE,"Inclusions";#N/A,#N/A,TRUE,"Exclusions";#N/A,#N/A,TRUE,"Areas";#N/A,#N/A,TRUE,"Summary";#N/A,#N/A,TRUE,"Detail"}</definedName>
    <definedName name="anuj20_3" localSheetId="0" hidden="1">{#N/A,#N/A,TRUE,"Front";#N/A,#N/A,TRUE,"Simple Letter";#N/A,#N/A,TRUE,"Inside";#N/A,#N/A,TRUE,"Contents";#N/A,#N/A,TRUE,"Basis";#N/A,#N/A,TRUE,"Inclusions";#N/A,#N/A,TRUE,"Exclusions";#N/A,#N/A,TRUE,"Areas";#N/A,#N/A,TRUE,"Summary";#N/A,#N/A,TRUE,"Detail"}</definedName>
    <definedName name="anuj20_3" hidden="1">{#N/A,#N/A,TRUE,"Front";#N/A,#N/A,TRUE,"Simple Letter";#N/A,#N/A,TRUE,"Inside";#N/A,#N/A,TRUE,"Contents";#N/A,#N/A,TRUE,"Basis";#N/A,#N/A,TRUE,"Inclusions";#N/A,#N/A,TRUE,"Exclusions";#N/A,#N/A,TRUE,"Areas";#N/A,#N/A,TRUE,"Summary";#N/A,#N/A,TRUE,"Detail"}</definedName>
    <definedName name="anuj20_4" localSheetId="0" hidden="1">{#N/A,#N/A,TRUE,"Front";#N/A,#N/A,TRUE,"Simple Letter";#N/A,#N/A,TRUE,"Inside";#N/A,#N/A,TRUE,"Contents";#N/A,#N/A,TRUE,"Basis";#N/A,#N/A,TRUE,"Inclusions";#N/A,#N/A,TRUE,"Exclusions";#N/A,#N/A,TRUE,"Areas";#N/A,#N/A,TRUE,"Summary";#N/A,#N/A,TRUE,"Detail"}</definedName>
    <definedName name="anuj20_4" hidden="1">{#N/A,#N/A,TRUE,"Front";#N/A,#N/A,TRUE,"Simple Letter";#N/A,#N/A,TRUE,"Inside";#N/A,#N/A,TRUE,"Contents";#N/A,#N/A,TRUE,"Basis";#N/A,#N/A,TRUE,"Inclusions";#N/A,#N/A,TRUE,"Exclusions";#N/A,#N/A,TRUE,"Areas";#N/A,#N/A,TRUE,"Summary";#N/A,#N/A,TRUE,"Detail"}</definedName>
    <definedName name="anuj21" localSheetId="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1_1" localSheetId="0" hidden="1">{#N/A,#N/A,TRUE,"Front";#N/A,#N/A,TRUE,"Simple Letter";#N/A,#N/A,TRUE,"Inside";#N/A,#N/A,TRUE,"Contents";#N/A,#N/A,TRUE,"Basis";#N/A,#N/A,TRUE,"Inclusions";#N/A,#N/A,TRUE,"Exclusions";#N/A,#N/A,TRUE,"Areas";#N/A,#N/A,TRUE,"Summary";#N/A,#N/A,TRUE,"Detail"}</definedName>
    <definedName name="anuj21_1" hidden="1">{#N/A,#N/A,TRUE,"Front";#N/A,#N/A,TRUE,"Simple Letter";#N/A,#N/A,TRUE,"Inside";#N/A,#N/A,TRUE,"Contents";#N/A,#N/A,TRUE,"Basis";#N/A,#N/A,TRUE,"Inclusions";#N/A,#N/A,TRUE,"Exclusions";#N/A,#N/A,TRUE,"Areas";#N/A,#N/A,TRUE,"Summary";#N/A,#N/A,TRUE,"Detail"}</definedName>
    <definedName name="anuj21_1_1" localSheetId="0" hidden="1">{#N/A,#N/A,TRUE,"Front";#N/A,#N/A,TRUE,"Simple Letter";#N/A,#N/A,TRUE,"Inside";#N/A,#N/A,TRUE,"Contents";#N/A,#N/A,TRUE,"Basis";#N/A,#N/A,TRUE,"Inclusions";#N/A,#N/A,TRUE,"Exclusions";#N/A,#N/A,TRUE,"Areas";#N/A,#N/A,TRUE,"Summary";#N/A,#N/A,TRUE,"Detail"}</definedName>
    <definedName name="anuj21_1_1" hidden="1">{#N/A,#N/A,TRUE,"Front";#N/A,#N/A,TRUE,"Simple Letter";#N/A,#N/A,TRUE,"Inside";#N/A,#N/A,TRUE,"Contents";#N/A,#N/A,TRUE,"Basis";#N/A,#N/A,TRUE,"Inclusions";#N/A,#N/A,TRUE,"Exclusions";#N/A,#N/A,TRUE,"Areas";#N/A,#N/A,TRUE,"Summary";#N/A,#N/A,TRUE,"Detail"}</definedName>
    <definedName name="anuj21_1_2" localSheetId="0" hidden="1">{#N/A,#N/A,TRUE,"Front";#N/A,#N/A,TRUE,"Simple Letter";#N/A,#N/A,TRUE,"Inside";#N/A,#N/A,TRUE,"Contents";#N/A,#N/A,TRUE,"Basis";#N/A,#N/A,TRUE,"Inclusions";#N/A,#N/A,TRUE,"Exclusions";#N/A,#N/A,TRUE,"Areas";#N/A,#N/A,TRUE,"Summary";#N/A,#N/A,TRUE,"Detail"}</definedName>
    <definedName name="anuj21_1_2" hidden="1">{#N/A,#N/A,TRUE,"Front";#N/A,#N/A,TRUE,"Simple Letter";#N/A,#N/A,TRUE,"Inside";#N/A,#N/A,TRUE,"Contents";#N/A,#N/A,TRUE,"Basis";#N/A,#N/A,TRUE,"Inclusions";#N/A,#N/A,TRUE,"Exclusions";#N/A,#N/A,TRUE,"Areas";#N/A,#N/A,TRUE,"Summary";#N/A,#N/A,TRUE,"Detail"}</definedName>
    <definedName name="anuj21_2" localSheetId="0" hidden="1">{#N/A,#N/A,TRUE,"Front";#N/A,#N/A,TRUE,"Simple Letter";#N/A,#N/A,TRUE,"Inside";#N/A,#N/A,TRUE,"Contents";#N/A,#N/A,TRUE,"Basis";#N/A,#N/A,TRUE,"Inclusions";#N/A,#N/A,TRUE,"Exclusions";#N/A,#N/A,TRUE,"Areas";#N/A,#N/A,TRUE,"Summary";#N/A,#N/A,TRUE,"Detail"}</definedName>
    <definedName name="anuj21_2" hidden="1">{#N/A,#N/A,TRUE,"Front";#N/A,#N/A,TRUE,"Simple Letter";#N/A,#N/A,TRUE,"Inside";#N/A,#N/A,TRUE,"Contents";#N/A,#N/A,TRUE,"Basis";#N/A,#N/A,TRUE,"Inclusions";#N/A,#N/A,TRUE,"Exclusions";#N/A,#N/A,TRUE,"Areas";#N/A,#N/A,TRUE,"Summary";#N/A,#N/A,TRUE,"Detail"}</definedName>
    <definedName name="anuj21_2_1" localSheetId="0" hidden="1">{#N/A,#N/A,TRUE,"Front";#N/A,#N/A,TRUE,"Simple Letter";#N/A,#N/A,TRUE,"Inside";#N/A,#N/A,TRUE,"Contents";#N/A,#N/A,TRUE,"Basis";#N/A,#N/A,TRUE,"Inclusions";#N/A,#N/A,TRUE,"Exclusions";#N/A,#N/A,TRUE,"Areas";#N/A,#N/A,TRUE,"Summary";#N/A,#N/A,TRUE,"Detail"}</definedName>
    <definedName name="anuj21_2_1" hidden="1">{#N/A,#N/A,TRUE,"Front";#N/A,#N/A,TRUE,"Simple Letter";#N/A,#N/A,TRUE,"Inside";#N/A,#N/A,TRUE,"Contents";#N/A,#N/A,TRUE,"Basis";#N/A,#N/A,TRUE,"Inclusions";#N/A,#N/A,TRUE,"Exclusions";#N/A,#N/A,TRUE,"Areas";#N/A,#N/A,TRUE,"Summary";#N/A,#N/A,TRUE,"Detail"}</definedName>
    <definedName name="anuj21_3" localSheetId="0" hidden="1">{#N/A,#N/A,TRUE,"Front";#N/A,#N/A,TRUE,"Simple Letter";#N/A,#N/A,TRUE,"Inside";#N/A,#N/A,TRUE,"Contents";#N/A,#N/A,TRUE,"Basis";#N/A,#N/A,TRUE,"Inclusions";#N/A,#N/A,TRUE,"Exclusions";#N/A,#N/A,TRUE,"Areas";#N/A,#N/A,TRUE,"Summary";#N/A,#N/A,TRUE,"Detail"}</definedName>
    <definedName name="anuj21_3" hidden="1">{#N/A,#N/A,TRUE,"Front";#N/A,#N/A,TRUE,"Simple Letter";#N/A,#N/A,TRUE,"Inside";#N/A,#N/A,TRUE,"Contents";#N/A,#N/A,TRUE,"Basis";#N/A,#N/A,TRUE,"Inclusions";#N/A,#N/A,TRUE,"Exclusions";#N/A,#N/A,TRUE,"Areas";#N/A,#N/A,TRUE,"Summary";#N/A,#N/A,TRUE,"Detail"}</definedName>
    <definedName name="anuj21_4" localSheetId="0" hidden="1">{#N/A,#N/A,TRUE,"Front";#N/A,#N/A,TRUE,"Simple Letter";#N/A,#N/A,TRUE,"Inside";#N/A,#N/A,TRUE,"Contents";#N/A,#N/A,TRUE,"Basis";#N/A,#N/A,TRUE,"Inclusions";#N/A,#N/A,TRUE,"Exclusions";#N/A,#N/A,TRUE,"Areas";#N/A,#N/A,TRUE,"Summary";#N/A,#N/A,TRUE,"Detail"}</definedName>
    <definedName name="anuj21_4" hidden="1">{#N/A,#N/A,TRUE,"Front";#N/A,#N/A,TRUE,"Simple Letter";#N/A,#N/A,TRUE,"Inside";#N/A,#N/A,TRUE,"Contents";#N/A,#N/A,TRUE,"Basis";#N/A,#N/A,TRUE,"Inclusions";#N/A,#N/A,TRUE,"Exclusions";#N/A,#N/A,TRUE,"Areas";#N/A,#N/A,TRUE,"Summary";#N/A,#N/A,TRUE,"Detail"}</definedName>
    <definedName name="anuj23" localSheetId="0"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3_1" localSheetId="0" hidden="1">{#N/A,#N/A,TRUE,"Front";#N/A,#N/A,TRUE,"Simple Letter";#N/A,#N/A,TRUE,"Inside";#N/A,#N/A,TRUE,"Contents";#N/A,#N/A,TRUE,"Basis";#N/A,#N/A,TRUE,"Inclusions";#N/A,#N/A,TRUE,"Exclusions";#N/A,#N/A,TRUE,"Areas";#N/A,#N/A,TRUE,"Summary";#N/A,#N/A,TRUE,"Detail"}</definedName>
    <definedName name="anuj23_1" hidden="1">{#N/A,#N/A,TRUE,"Front";#N/A,#N/A,TRUE,"Simple Letter";#N/A,#N/A,TRUE,"Inside";#N/A,#N/A,TRUE,"Contents";#N/A,#N/A,TRUE,"Basis";#N/A,#N/A,TRUE,"Inclusions";#N/A,#N/A,TRUE,"Exclusions";#N/A,#N/A,TRUE,"Areas";#N/A,#N/A,TRUE,"Summary";#N/A,#N/A,TRUE,"Detail"}</definedName>
    <definedName name="anuj23_1_1" localSheetId="0" hidden="1">{#N/A,#N/A,TRUE,"Front";#N/A,#N/A,TRUE,"Simple Letter";#N/A,#N/A,TRUE,"Inside";#N/A,#N/A,TRUE,"Contents";#N/A,#N/A,TRUE,"Basis";#N/A,#N/A,TRUE,"Inclusions";#N/A,#N/A,TRUE,"Exclusions";#N/A,#N/A,TRUE,"Areas";#N/A,#N/A,TRUE,"Summary";#N/A,#N/A,TRUE,"Detail"}</definedName>
    <definedName name="anuj23_1_1" hidden="1">{#N/A,#N/A,TRUE,"Front";#N/A,#N/A,TRUE,"Simple Letter";#N/A,#N/A,TRUE,"Inside";#N/A,#N/A,TRUE,"Contents";#N/A,#N/A,TRUE,"Basis";#N/A,#N/A,TRUE,"Inclusions";#N/A,#N/A,TRUE,"Exclusions";#N/A,#N/A,TRUE,"Areas";#N/A,#N/A,TRUE,"Summary";#N/A,#N/A,TRUE,"Detail"}</definedName>
    <definedName name="anuj23_1_2" localSheetId="0" hidden="1">{#N/A,#N/A,TRUE,"Front";#N/A,#N/A,TRUE,"Simple Letter";#N/A,#N/A,TRUE,"Inside";#N/A,#N/A,TRUE,"Contents";#N/A,#N/A,TRUE,"Basis";#N/A,#N/A,TRUE,"Inclusions";#N/A,#N/A,TRUE,"Exclusions";#N/A,#N/A,TRUE,"Areas";#N/A,#N/A,TRUE,"Summary";#N/A,#N/A,TRUE,"Detail"}</definedName>
    <definedName name="anuj23_1_2" hidden="1">{#N/A,#N/A,TRUE,"Front";#N/A,#N/A,TRUE,"Simple Letter";#N/A,#N/A,TRUE,"Inside";#N/A,#N/A,TRUE,"Contents";#N/A,#N/A,TRUE,"Basis";#N/A,#N/A,TRUE,"Inclusions";#N/A,#N/A,TRUE,"Exclusions";#N/A,#N/A,TRUE,"Areas";#N/A,#N/A,TRUE,"Summary";#N/A,#N/A,TRUE,"Detail"}</definedName>
    <definedName name="anuj23_2" localSheetId="0" hidden="1">{#N/A,#N/A,TRUE,"Front";#N/A,#N/A,TRUE,"Simple Letter";#N/A,#N/A,TRUE,"Inside";#N/A,#N/A,TRUE,"Contents";#N/A,#N/A,TRUE,"Basis";#N/A,#N/A,TRUE,"Inclusions";#N/A,#N/A,TRUE,"Exclusions";#N/A,#N/A,TRUE,"Areas";#N/A,#N/A,TRUE,"Summary";#N/A,#N/A,TRUE,"Detail"}</definedName>
    <definedName name="anuj23_2" hidden="1">{#N/A,#N/A,TRUE,"Front";#N/A,#N/A,TRUE,"Simple Letter";#N/A,#N/A,TRUE,"Inside";#N/A,#N/A,TRUE,"Contents";#N/A,#N/A,TRUE,"Basis";#N/A,#N/A,TRUE,"Inclusions";#N/A,#N/A,TRUE,"Exclusions";#N/A,#N/A,TRUE,"Areas";#N/A,#N/A,TRUE,"Summary";#N/A,#N/A,TRUE,"Detail"}</definedName>
    <definedName name="anuj23_2_1" localSheetId="0" hidden="1">{#N/A,#N/A,TRUE,"Front";#N/A,#N/A,TRUE,"Simple Letter";#N/A,#N/A,TRUE,"Inside";#N/A,#N/A,TRUE,"Contents";#N/A,#N/A,TRUE,"Basis";#N/A,#N/A,TRUE,"Inclusions";#N/A,#N/A,TRUE,"Exclusions";#N/A,#N/A,TRUE,"Areas";#N/A,#N/A,TRUE,"Summary";#N/A,#N/A,TRUE,"Detail"}</definedName>
    <definedName name="anuj23_2_1" hidden="1">{#N/A,#N/A,TRUE,"Front";#N/A,#N/A,TRUE,"Simple Letter";#N/A,#N/A,TRUE,"Inside";#N/A,#N/A,TRUE,"Contents";#N/A,#N/A,TRUE,"Basis";#N/A,#N/A,TRUE,"Inclusions";#N/A,#N/A,TRUE,"Exclusions";#N/A,#N/A,TRUE,"Areas";#N/A,#N/A,TRUE,"Summary";#N/A,#N/A,TRUE,"Detail"}</definedName>
    <definedName name="anuj23_3" localSheetId="0" hidden="1">{#N/A,#N/A,TRUE,"Front";#N/A,#N/A,TRUE,"Simple Letter";#N/A,#N/A,TRUE,"Inside";#N/A,#N/A,TRUE,"Contents";#N/A,#N/A,TRUE,"Basis";#N/A,#N/A,TRUE,"Inclusions";#N/A,#N/A,TRUE,"Exclusions";#N/A,#N/A,TRUE,"Areas";#N/A,#N/A,TRUE,"Summary";#N/A,#N/A,TRUE,"Detail"}</definedName>
    <definedName name="anuj23_3" hidden="1">{#N/A,#N/A,TRUE,"Front";#N/A,#N/A,TRUE,"Simple Letter";#N/A,#N/A,TRUE,"Inside";#N/A,#N/A,TRUE,"Contents";#N/A,#N/A,TRUE,"Basis";#N/A,#N/A,TRUE,"Inclusions";#N/A,#N/A,TRUE,"Exclusions";#N/A,#N/A,TRUE,"Areas";#N/A,#N/A,TRUE,"Summary";#N/A,#N/A,TRUE,"Detail"}</definedName>
    <definedName name="anuj23_4" localSheetId="0" hidden="1">{#N/A,#N/A,TRUE,"Front";#N/A,#N/A,TRUE,"Simple Letter";#N/A,#N/A,TRUE,"Inside";#N/A,#N/A,TRUE,"Contents";#N/A,#N/A,TRUE,"Basis";#N/A,#N/A,TRUE,"Inclusions";#N/A,#N/A,TRUE,"Exclusions";#N/A,#N/A,TRUE,"Areas";#N/A,#N/A,TRUE,"Summary";#N/A,#N/A,TRUE,"Detail"}</definedName>
    <definedName name="anuj23_4" hidden="1">{#N/A,#N/A,TRUE,"Front";#N/A,#N/A,TRUE,"Simple Letter";#N/A,#N/A,TRUE,"Inside";#N/A,#N/A,TRUE,"Contents";#N/A,#N/A,TRUE,"Basis";#N/A,#N/A,TRUE,"Inclusions";#N/A,#N/A,TRUE,"Exclusions";#N/A,#N/A,TRUE,"Areas";#N/A,#N/A,TRUE,"Summary";#N/A,#N/A,TRUE,"Detail"}</definedName>
    <definedName name="anuj24" localSheetId="0"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4_1" localSheetId="0" hidden="1">{#N/A,#N/A,TRUE,"Front";#N/A,#N/A,TRUE,"Simple Letter";#N/A,#N/A,TRUE,"Inside";#N/A,#N/A,TRUE,"Contents";#N/A,#N/A,TRUE,"Basis";#N/A,#N/A,TRUE,"Inclusions";#N/A,#N/A,TRUE,"Exclusions";#N/A,#N/A,TRUE,"Areas";#N/A,#N/A,TRUE,"Summary";#N/A,#N/A,TRUE,"Detail"}</definedName>
    <definedName name="anuj24_1" hidden="1">{#N/A,#N/A,TRUE,"Front";#N/A,#N/A,TRUE,"Simple Letter";#N/A,#N/A,TRUE,"Inside";#N/A,#N/A,TRUE,"Contents";#N/A,#N/A,TRUE,"Basis";#N/A,#N/A,TRUE,"Inclusions";#N/A,#N/A,TRUE,"Exclusions";#N/A,#N/A,TRUE,"Areas";#N/A,#N/A,TRUE,"Summary";#N/A,#N/A,TRUE,"Detail"}</definedName>
    <definedName name="anuj24_1_1" localSheetId="0" hidden="1">{#N/A,#N/A,TRUE,"Front";#N/A,#N/A,TRUE,"Simple Letter";#N/A,#N/A,TRUE,"Inside";#N/A,#N/A,TRUE,"Contents";#N/A,#N/A,TRUE,"Basis";#N/A,#N/A,TRUE,"Inclusions";#N/A,#N/A,TRUE,"Exclusions";#N/A,#N/A,TRUE,"Areas";#N/A,#N/A,TRUE,"Summary";#N/A,#N/A,TRUE,"Detail"}</definedName>
    <definedName name="anuj24_1_1" hidden="1">{#N/A,#N/A,TRUE,"Front";#N/A,#N/A,TRUE,"Simple Letter";#N/A,#N/A,TRUE,"Inside";#N/A,#N/A,TRUE,"Contents";#N/A,#N/A,TRUE,"Basis";#N/A,#N/A,TRUE,"Inclusions";#N/A,#N/A,TRUE,"Exclusions";#N/A,#N/A,TRUE,"Areas";#N/A,#N/A,TRUE,"Summary";#N/A,#N/A,TRUE,"Detail"}</definedName>
    <definedName name="anuj24_1_2" localSheetId="0" hidden="1">{#N/A,#N/A,TRUE,"Front";#N/A,#N/A,TRUE,"Simple Letter";#N/A,#N/A,TRUE,"Inside";#N/A,#N/A,TRUE,"Contents";#N/A,#N/A,TRUE,"Basis";#N/A,#N/A,TRUE,"Inclusions";#N/A,#N/A,TRUE,"Exclusions";#N/A,#N/A,TRUE,"Areas";#N/A,#N/A,TRUE,"Summary";#N/A,#N/A,TRUE,"Detail"}</definedName>
    <definedName name="anuj24_1_2" hidden="1">{#N/A,#N/A,TRUE,"Front";#N/A,#N/A,TRUE,"Simple Letter";#N/A,#N/A,TRUE,"Inside";#N/A,#N/A,TRUE,"Contents";#N/A,#N/A,TRUE,"Basis";#N/A,#N/A,TRUE,"Inclusions";#N/A,#N/A,TRUE,"Exclusions";#N/A,#N/A,TRUE,"Areas";#N/A,#N/A,TRUE,"Summary";#N/A,#N/A,TRUE,"Detail"}</definedName>
    <definedName name="anuj24_2" localSheetId="0" hidden="1">{#N/A,#N/A,TRUE,"Front";#N/A,#N/A,TRUE,"Simple Letter";#N/A,#N/A,TRUE,"Inside";#N/A,#N/A,TRUE,"Contents";#N/A,#N/A,TRUE,"Basis";#N/A,#N/A,TRUE,"Inclusions";#N/A,#N/A,TRUE,"Exclusions";#N/A,#N/A,TRUE,"Areas";#N/A,#N/A,TRUE,"Summary";#N/A,#N/A,TRUE,"Detail"}</definedName>
    <definedName name="anuj24_2" hidden="1">{#N/A,#N/A,TRUE,"Front";#N/A,#N/A,TRUE,"Simple Letter";#N/A,#N/A,TRUE,"Inside";#N/A,#N/A,TRUE,"Contents";#N/A,#N/A,TRUE,"Basis";#N/A,#N/A,TRUE,"Inclusions";#N/A,#N/A,TRUE,"Exclusions";#N/A,#N/A,TRUE,"Areas";#N/A,#N/A,TRUE,"Summary";#N/A,#N/A,TRUE,"Detail"}</definedName>
    <definedName name="anuj24_2_1" localSheetId="0" hidden="1">{#N/A,#N/A,TRUE,"Front";#N/A,#N/A,TRUE,"Simple Letter";#N/A,#N/A,TRUE,"Inside";#N/A,#N/A,TRUE,"Contents";#N/A,#N/A,TRUE,"Basis";#N/A,#N/A,TRUE,"Inclusions";#N/A,#N/A,TRUE,"Exclusions";#N/A,#N/A,TRUE,"Areas";#N/A,#N/A,TRUE,"Summary";#N/A,#N/A,TRUE,"Detail"}</definedName>
    <definedName name="anuj24_2_1" hidden="1">{#N/A,#N/A,TRUE,"Front";#N/A,#N/A,TRUE,"Simple Letter";#N/A,#N/A,TRUE,"Inside";#N/A,#N/A,TRUE,"Contents";#N/A,#N/A,TRUE,"Basis";#N/A,#N/A,TRUE,"Inclusions";#N/A,#N/A,TRUE,"Exclusions";#N/A,#N/A,TRUE,"Areas";#N/A,#N/A,TRUE,"Summary";#N/A,#N/A,TRUE,"Detail"}</definedName>
    <definedName name="anuj24_3" localSheetId="0" hidden="1">{#N/A,#N/A,TRUE,"Front";#N/A,#N/A,TRUE,"Simple Letter";#N/A,#N/A,TRUE,"Inside";#N/A,#N/A,TRUE,"Contents";#N/A,#N/A,TRUE,"Basis";#N/A,#N/A,TRUE,"Inclusions";#N/A,#N/A,TRUE,"Exclusions";#N/A,#N/A,TRUE,"Areas";#N/A,#N/A,TRUE,"Summary";#N/A,#N/A,TRUE,"Detail"}</definedName>
    <definedName name="anuj24_3" hidden="1">{#N/A,#N/A,TRUE,"Front";#N/A,#N/A,TRUE,"Simple Letter";#N/A,#N/A,TRUE,"Inside";#N/A,#N/A,TRUE,"Contents";#N/A,#N/A,TRUE,"Basis";#N/A,#N/A,TRUE,"Inclusions";#N/A,#N/A,TRUE,"Exclusions";#N/A,#N/A,TRUE,"Areas";#N/A,#N/A,TRUE,"Summary";#N/A,#N/A,TRUE,"Detail"}</definedName>
    <definedName name="anuj24_4" localSheetId="0" hidden="1">{#N/A,#N/A,TRUE,"Front";#N/A,#N/A,TRUE,"Simple Letter";#N/A,#N/A,TRUE,"Inside";#N/A,#N/A,TRUE,"Contents";#N/A,#N/A,TRUE,"Basis";#N/A,#N/A,TRUE,"Inclusions";#N/A,#N/A,TRUE,"Exclusions";#N/A,#N/A,TRUE,"Areas";#N/A,#N/A,TRUE,"Summary";#N/A,#N/A,TRUE,"Detail"}</definedName>
    <definedName name="anuj24_4" hidden="1">{#N/A,#N/A,TRUE,"Front";#N/A,#N/A,TRUE,"Simple Letter";#N/A,#N/A,TRUE,"Inside";#N/A,#N/A,TRUE,"Contents";#N/A,#N/A,TRUE,"Basis";#N/A,#N/A,TRUE,"Inclusions";#N/A,#N/A,TRUE,"Exclusions";#N/A,#N/A,TRUE,"Areas";#N/A,#N/A,TRUE,"Summary";#N/A,#N/A,TRUE,"Detail"}</definedName>
    <definedName name="anuj26" localSheetId="0"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26_1" localSheetId="0" hidden="1">{#N/A,#N/A,TRUE,"Front";#N/A,#N/A,TRUE,"Simple Letter";#N/A,#N/A,TRUE,"Inside";#N/A,#N/A,TRUE,"Contents";#N/A,#N/A,TRUE,"Basis";#N/A,#N/A,TRUE,"Inclusions";#N/A,#N/A,TRUE,"Exclusions";#N/A,#N/A,TRUE,"Areas";#N/A,#N/A,TRUE,"Summary";#N/A,#N/A,TRUE,"Detail"}</definedName>
    <definedName name="anuj26_1" hidden="1">{#N/A,#N/A,TRUE,"Front";#N/A,#N/A,TRUE,"Simple Letter";#N/A,#N/A,TRUE,"Inside";#N/A,#N/A,TRUE,"Contents";#N/A,#N/A,TRUE,"Basis";#N/A,#N/A,TRUE,"Inclusions";#N/A,#N/A,TRUE,"Exclusions";#N/A,#N/A,TRUE,"Areas";#N/A,#N/A,TRUE,"Summary";#N/A,#N/A,TRUE,"Detail"}</definedName>
    <definedName name="anuj26_1_1" localSheetId="0" hidden="1">{#N/A,#N/A,TRUE,"Front";#N/A,#N/A,TRUE,"Simple Letter";#N/A,#N/A,TRUE,"Inside";#N/A,#N/A,TRUE,"Contents";#N/A,#N/A,TRUE,"Basis";#N/A,#N/A,TRUE,"Inclusions";#N/A,#N/A,TRUE,"Exclusions";#N/A,#N/A,TRUE,"Areas";#N/A,#N/A,TRUE,"Summary";#N/A,#N/A,TRUE,"Detail"}</definedName>
    <definedName name="anuj26_1_1" hidden="1">{#N/A,#N/A,TRUE,"Front";#N/A,#N/A,TRUE,"Simple Letter";#N/A,#N/A,TRUE,"Inside";#N/A,#N/A,TRUE,"Contents";#N/A,#N/A,TRUE,"Basis";#N/A,#N/A,TRUE,"Inclusions";#N/A,#N/A,TRUE,"Exclusions";#N/A,#N/A,TRUE,"Areas";#N/A,#N/A,TRUE,"Summary";#N/A,#N/A,TRUE,"Detail"}</definedName>
    <definedName name="anuj26_1_2" localSheetId="0" hidden="1">{#N/A,#N/A,TRUE,"Front";#N/A,#N/A,TRUE,"Simple Letter";#N/A,#N/A,TRUE,"Inside";#N/A,#N/A,TRUE,"Contents";#N/A,#N/A,TRUE,"Basis";#N/A,#N/A,TRUE,"Inclusions";#N/A,#N/A,TRUE,"Exclusions";#N/A,#N/A,TRUE,"Areas";#N/A,#N/A,TRUE,"Summary";#N/A,#N/A,TRUE,"Detail"}</definedName>
    <definedName name="anuj26_1_2" hidden="1">{#N/A,#N/A,TRUE,"Front";#N/A,#N/A,TRUE,"Simple Letter";#N/A,#N/A,TRUE,"Inside";#N/A,#N/A,TRUE,"Contents";#N/A,#N/A,TRUE,"Basis";#N/A,#N/A,TRUE,"Inclusions";#N/A,#N/A,TRUE,"Exclusions";#N/A,#N/A,TRUE,"Areas";#N/A,#N/A,TRUE,"Summary";#N/A,#N/A,TRUE,"Detail"}</definedName>
    <definedName name="anuj26_2" localSheetId="0" hidden="1">{#N/A,#N/A,TRUE,"Front";#N/A,#N/A,TRUE,"Simple Letter";#N/A,#N/A,TRUE,"Inside";#N/A,#N/A,TRUE,"Contents";#N/A,#N/A,TRUE,"Basis";#N/A,#N/A,TRUE,"Inclusions";#N/A,#N/A,TRUE,"Exclusions";#N/A,#N/A,TRUE,"Areas";#N/A,#N/A,TRUE,"Summary";#N/A,#N/A,TRUE,"Detail"}</definedName>
    <definedName name="anuj26_2" hidden="1">{#N/A,#N/A,TRUE,"Front";#N/A,#N/A,TRUE,"Simple Letter";#N/A,#N/A,TRUE,"Inside";#N/A,#N/A,TRUE,"Contents";#N/A,#N/A,TRUE,"Basis";#N/A,#N/A,TRUE,"Inclusions";#N/A,#N/A,TRUE,"Exclusions";#N/A,#N/A,TRUE,"Areas";#N/A,#N/A,TRUE,"Summary";#N/A,#N/A,TRUE,"Detail"}</definedName>
    <definedName name="anuj26_2_1" localSheetId="0" hidden="1">{#N/A,#N/A,TRUE,"Front";#N/A,#N/A,TRUE,"Simple Letter";#N/A,#N/A,TRUE,"Inside";#N/A,#N/A,TRUE,"Contents";#N/A,#N/A,TRUE,"Basis";#N/A,#N/A,TRUE,"Inclusions";#N/A,#N/A,TRUE,"Exclusions";#N/A,#N/A,TRUE,"Areas";#N/A,#N/A,TRUE,"Summary";#N/A,#N/A,TRUE,"Detail"}</definedName>
    <definedName name="anuj26_2_1" hidden="1">{#N/A,#N/A,TRUE,"Front";#N/A,#N/A,TRUE,"Simple Letter";#N/A,#N/A,TRUE,"Inside";#N/A,#N/A,TRUE,"Contents";#N/A,#N/A,TRUE,"Basis";#N/A,#N/A,TRUE,"Inclusions";#N/A,#N/A,TRUE,"Exclusions";#N/A,#N/A,TRUE,"Areas";#N/A,#N/A,TRUE,"Summary";#N/A,#N/A,TRUE,"Detail"}</definedName>
    <definedName name="anuj26_3" localSheetId="0" hidden="1">{#N/A,#N/A,TRUE,"Front";#N/A,#N/A,TRUE,"Simple Letter";#N/A,#N/A,TRUE,"Inside";#N/A,#N/A,TRUE,"Contents";#N/A,#N/A,TRUE,"Basis";#N/A,#N/A,TRUE,"Inclusions";#N/A,#N/A,TRUE,"Exclusions";#N/A,#N/A,TRUE,"Areas";#N/A,#N/A,TRUE,"Summary";#N/A,#N/A,TRUE,"Detail"}</definedName>
    <definedName name="anuj26_3" hidden="1">{#N/A,#N/A,TRUE,"Front";#N/A,#N/A,TRUE,"Simple Letter";#N/A,#N/A,TRUE,"Inside";#N/A,#N/A,TRUE,"Contents";#N/A,#N/A,TRUE,"Basis";#N/A,#N/A,TRUE,"Inclusions";#N/A,#N/A,TRUE,"Exclusions";#N/A,#N/A,TRUE,"Areas";#N/A,#N/A,TRUE,"Summary";#N/A,#N/A,TRUE,"Detail"}</definedName>
    <definedName name="anuj26_4" localSheetId="0" hidden="1">{#N/A,#N/A,TRUE,"Front";#N/A,#N/A,TRUE,"Simple Letter";#N/A,#N/A,TRUE,"Inside";#N/A,#N/A,TRUE,"Contents";#N/A,#N/A,TRUE,"Basis";#N/A,#N/A,TRUE,"Inclusions";#N/A,#N/A,TRUE,"Exclusions";#N/A,#N/A,TRUE,"Areas";#N/A,#N/A,TRUE,"Summary";#N/A,#N/A,TRUE,"Detail"}</definedName>
    <definedName name="anuj26_4" hidden="1">{#N/A,#N/A,TRUE,"Front";#N/A,#N/A,TRUE,"Simple Letter";#N/A,#N/A,TRUE,"Inside";#N/A,#N/A,TRUE,"Contents";#N/A,#N/A,TRUE,"Basis";#N/A,#N/A,TRUE,"Inclusions";#N/A,#N/A,TRUE,"Exclusions";#N/A,#N/A,TRUE,"Areas";#N/A,#N/A,TRUE,"Summary";#N/A,#N/A,TRUE,"Detail"}</definedName>
    <definedName name="anuj3" localSheetId="0">#REF!</definedName>
    <definedName name="anuj3">#REF!</definedName>
    <definedName name="anuj30" localSheetId="0">#REF!</definedName>
    <definedName name="anuj30">#REF!</definedName>
    <definedName name="anuj4" localSheetId="0">#REF!</definedName>
    <definedName name="anuj4">#REF!</definedName>
    <definedName name="anuj40" localSheetId="0">#REF!</definedName>
    <definedName name="anuj40">#REF!</definedName>
    <definedName name="anuj5" localSheetId="0">#REF!</definedName>
    <definedName name="anuj5">#REF!</definedName>
    <definedName name="anuj50" localSheetId="0">#REF!</definedName>
    <definedName name="anuj50">#REF!</definedName>
    <definedName name="anuj51" localSheetId="0">#REF!</definedName>
    <definedName name="anuj51">#REF!</definedName>
    <definedName name="anuj52" localSheetId="0">#REF!</definedName>
    <definedName name="anuj52">#REF!</definedName>
    <definedName name="anuj53" localSheetId="0">#REF!</definedName>
    <definedName name="anuj53">#REF!</definedName>
    <definedName name="anuj54" localSheetId="0">#REF!</definedName>
    <definedName name="anuj54">#REF!</definedName>
    <definedName name="anuj55" localSheetId="0">#REF!</definedName>
    <definedName name="anuj55">#REF!</definedName>
    <definedName name="anuj57" localSheetId="0">#REF!</definedName>
    <definedName name="anuj57">#REF!</definedName>
    <definedName name="anuj58" localSheetId="0">#REF!</definedName>
    <definedName name="anuj58">#REF!</definedName>
    <definedName name="anuj59" localSheetId="0">#REF!</definedName>
    <definedName name="anuj59">#REF!</definedName>
    <definedName name="anuj6" localSheetId="0">#REF!</definedName>
    <definedName name="anuj6">#REF!</definedName>
    <definedName name="anuj62" localSheetId="0">#REF!</definedName>
    <definedName name="anuj62">#REF!</definedName>
    <definedName name="anuj63" localSheetId="0">#REF!</definedName>
    <definedName name="anuj63">#REF!</definedName>
    <definedName name="anuj64" localSheetId="0">#REF!</definedName>
    <definedName name="anuj64">#REF!</definedName>
    <definedName name="anuj7" localSheetId="0">#REF!</definedName>
    <definedName name="anuj7">#REF!</definedName>
    <definedName name="anuj70" localSheetId="0">#REF!</definedName>
    <definedName name="anuj70">#REF!</definedName>
    <definedName name="anuj71" localSheetId="0">#REF!</definedName>
    <definedName name="anuj71">#REF!</definedName>
    <definedName name="anuj72" localSheetId="0">#REF!</definedName>
    <definedName name="anuj72">#REF!</definedName>
    <definedName name="anuj73" localSheetId="0">#REF!</definedName>
    <definedName name="anuj73">#REF!</definedName>
    <definedName name="anuj74" localSheetId="0">#REF!</definedName>
    <definedName name="anuj74">#REF!</definedName>
    <definedName name="anuj75" localSheetId="0">#REF!</definedName>
    <definedName name="anuj75">#REF!</definedName>
    <definedName name="anuj76" localSheetId="0">#REF!</definedName>
    <definedName name="anuj76">#REF!</definedName>
    <definedName name="anuj77" localSheetId="0">#REF!</definedName>
    <definedName name="anuj77">#REF!</definedName>
    <definedName name="anuj78" localSheetId="0">#REF!</definedName>
    <definedName name="anuj78">#REF!</definedName>
    <definedName name="anuj79" localSheetId="0">#REF!</definedName>
    <definedName name="anuj79">#REF!</definedName>
    <definedName name="anuj80" localSheetId="0">#REF!</definedName>
    <definedName name="anuj80">#REF!</definedName>
    <definedName name="anuj81" localSheetId="0">#REF!</definedName>
    <definedName name="anuj81">#REF!</definedName>
    <definedName name="anuj82" localSheetId="0">#REF!</definedName>
    <definedName name="anuj82">#REF!</definedName>
    <definedName name="anuj83" localSheetId="0">#REF!</definedName>
    <definedName name="anuj83">#REF!</definedName>
    <definedName name="anuj84" localSheetId="0">#REF!</definedName>
    <definedName name="anuj84">#REF!</definedName>
    <definedName name="anuj85" localSheetId="0">#REF!</definedName>
    <definedName name="anuj85">#REF!</definedName>
    <definedName name="anuj86" localSheetId="0">#REF!</definedName>
    <definedName name="anuj86">#REF!</definedName>
    <definedName name="anuj87" localSheetId="0">#REF!</definedName>
    <definedName name="anuj87">#REF!</definedName>
    <definedName name="anuj88" localSheetId="0">#REF!</definedName>
    <definedName name="anuj88">#REF!</definedName>
    <definedName name="anuj89" localSheetId="0">#REF!</definedName>
    <definedName name="anuj89">#REF!</definedName>
    <definedName name="anuj9" localSheetId="0">#REF!</definedName>
    <definedName name="anuj9">#REF!</definedName>
    <definedName name="anuj90" localSheetId="0">#REF!</definedName>
    <definedName name="anuj90">#REF!</definedName>
    <definedName name="anuj91" localSheetId="0">#REF!</definedName>
    <definedName name="anuj91">#REF!</definedName>
    <definedName name="anuj92">#N/A</definedName>
    <definedName name="anuj93" localSheetId="0">#REF!</definedName>
    <definedName name="anuj93">#REF!</definedName>
    <definedName name="anuj94" localSheetId="0"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4_1" localSheetId="0" hidden="1">{#N/A,#N/A,TRUE,"Front";#N/A,#N/A,TRUE,"Simple Letter";#N/A,#N/A,TRUE,"Inside";#N/A,#N/A,TRUE,"Contents";#N/A,#N/A,TRUE,"Basis";#N/A,#N/A,TRUE,"Inclusions";#N/A,#N/A,TRUE,"Exclusions";#N/A,#N/A,TRUE,"Areas";#N/A,#N/A,TRUE,"Summary";#N/A,#N/A,TRUE,"Detail"}</definedName>
    <definedName name="anuj94_1" hidden="1">{#N/A,#N/A,TRUE,"Front";#N/A,#N/A,TRUE,"Simple Letter";#N/A,#N/A,TRUE,"Inside";#N/A,#N/A,TRUE,"Contents";#N/A,#N/A,TRUE,"Basis";#N/A,#N/A,TRUE,"Inclusions";#N/A,#N/A,TRUE,"Exclusions";#N/A,#N/A,TRUE,"Areas";#N/A,#N/A,TRUE,"Summary";#N/A,#N/A,TRUE,"Detail"}</definedName>
    <definedName name="anuj94_1_1" localSheetId="0" hidden="1">{#N/A,#N/A,TRUE,"Front";#N/A,#N/A,TRUE,"Simple Letter";#N/A,#N/A,TRUE,"Inside";#N/A,#N/A,TRUE,"Contents";#N/A,#N/A,TRUE,"Basis";#N/A,#N/A,TRUE,"Inclusions";#N/A,#N/A,TRUE,"Exclusions";#N/A,#N/A,TRUE,"Areas";#N/A,#N/A,TRUE,"Summary";#N/A,#N/A,TRUE,"Detail"}</definedName>
    <definedName name="anuj94_1_1" hidden="1">{#N/A,#N/A,TRUE,"Front";#N/A,#N/A,TRUE,"Simple Letter";#N/A,#N/A,TRUE,"Inside";#N/A,#N/A,TRUE,"Contents";#N/A,#N/A,TRUE,"Basis";#N/A,#N/A,TRUE,"Inclusions";#N/A,#N/A,TRUE,"Exclusions";#N/A,#N/A,TRUE,"Areas";#N/A,#N/A,TRUE,"Summary";#N/A,#N/A,TRUE,"Detail"}</definedName>
    <definedName name="anuj94_1_2" localSheetId="0" hidden="1">{#N/A,#N/A,TRUE,"Front";#N/A,#N/A,TRUE,"Simple Letter";#N/A,#N/A,TRUE,"Inside";#N/A,#N/A,TRUE,"Contents";#N/A,#N/A,TRUE,"Basis";#N/A,#N/A,TRUE,"Inclusions";#N/A,#N/A,TRUE,"Exclusions";#N/A,#N/A,TRUE,"Areas";#N/A,#N/A,TRUE,"Summary";#N/A,#N/A,TRUE,"Detail"}</definedName>
    <definedName name="anuj94_1_2" hidden="1">{#N/A,#N/A,TRUE,"Front";#N/A,#N/A,TRUE,"Simple Letter";#N/A,#N/A,TRUE,"Inside";#N/A,#N/A,TRUE,"Contents";#N/A,#N/A,TRUE,"Basis";#N/A,#N/A,TRUE,"Inclusions";#N/A,#N/A,TRUE,"Exclusions";#N/A,#N/A,TRUE,"Areas";#N/A,#N/A,TRUE,"Summary";#N/A,#N/A,TRUE,"Detail"}</definedName>
    <definedName name="anuj94_2" localSheetId="0" hidden="1">{#N/A,#N/A,TRUE,"Front";#N/A,#N/A,TRUE,"Simple Letter";#N/A,#N/A,TRUE,"Inside";#N/A,#N/A,TRUE,"Contents";#N/A,#N/A,TRUE,"Basis";#N/A,#N/A,TRUE,"Inclusions";#N/A,#N/A,TRUE,"Exclusions";#N/A,#N/A,TRUE,"Areas";#N/A,#N/A,TRUE,"Summary";#N/A,#N/A,TRUE,"Detail"}</definedName>
    <definedName name="anuj94_2" hidden="1">{#N/A,#N/A,TRUE,"Front";#N/A,#N/A,TRUE,"Simple Letter";#N/A,#N/A,TRUE,"Inside";#N/A,#N/A,TRUE,"Contents";#N/A,#N/A,TRUE,"Basis";#N/A,#N/A,TRUE,"Inclusions";#N/A,#N/A,TRUE,"Exclusions";#N/A,#N/A,TRUE,"Areas";#N/A,#N/A,TRUE,"Summary";#N/A,#N/A,TRUE,"Detail"}</definedName>
    <definedName name="anuj94_2_1" localSheetId="0" hidden="1">{#N/A,#N/A,TRUE,"Front";#N/A,#N/A,TRUE,"Simple Letter";#N/A,#N/A,TRUE,"Inside";#N/A,#N/A,TRUE,"Contents";#N/A,#N/A,TRUE,"Basis";#N/A,#N/A,TRUE,"Inclusions";#N/A,#N/A,TRUE,"Exclusions";#N/A,#N/A,TRUE,"Areas";#N/A,#N/A,TRUE,"Summary";#N/A,#N/A,TRUE,"Detail"}</definedName>
    <definedName name="anuj94_2_1" hidden="1">{#N/A,#N/A,TRUE,"Front";#N/A,#N/A,TRUE,"Simple Letter";#N/A,#N/A,TRUE,"Inside";#N/A,#N/A,TRUE,"Contents";#N/A,#N/A,TRUE,"Basis";#N/A,#N/A,TRUE,"Inclusions";#N/A,#N/A,TRUE,"Exclusions";#N/A,#N/A,TRUE,"Areas";#N/A,#N/A,TRUE,"Summary";#N/A,#N/A,TRUE,"Detail"}</definedName>
    <definedName name="anuj94_3" localSheetId="0" hidden="1">{#N/A,#N/A,TRUE,"Front";#N/A,#N/A,TRUE,"Simple Letter";#N/A,#N/A,TRUE,"Inside";#N/A,#N/A,TRUE,"Contents";#N/A,#N/A,TRUE,"Basis";#N/A,#N/A,TRUE,"Inclusions";#N/A,#N/A,TRUE,"Exclusions";#N/A,#N/A,TRUE,"Areas";#N/A,#N/A,TRUE,"Summary";#N/A,#N/A,TRUE,"Detail"}</definedName>
    <definedName name="anuj94_3" hidden="1">{#N/A,#N/A,TRUE,"Front";#N/A,#N/A,TRUE,"Simple Letter";#N/A,#N/A,TRUE,"Inside";#N/A,#N/A,TRUE,"Contents";#N/A,#N/A,TRUE,"Basis";#N/A,#N/A,TRUE,"Inclusions";#N/A,#N/A,TRUE,"Exclusions";#N/A,#N/A,TRUE,"Areas";#N/A,#N/A,TRUE,"Summary";#N/A,#N/A,TRUE,"Detail"}</definedName>
    <definedName name="anuj94_4" localSheetId="0" hidden="1">{#N/A,#N/A,TRUE,"Front";#N/A,#N/A,TRUE,"Simple Letter";#N/A,#N/A,TRUE,"Inside";#N/A,#N/A,TRUE,"Contents";#N/A,#N/A,TRUE,"Basis";#N/A,#N/A,TRUE,"Inclusions";#N/A,#N/A,TRUE,"Exclusions";#N/A,#N/A,TRUE,"Areas";#N/A,#N/A,TRUE,"Summary";#N/A,#N/A,TRUE,"Detail"}</definedName>
    <definedName name="anuj94_4" hidden="1">{#N/A,#N/A,TRUE,"Front";#N/A,#N/A,TRUE,"Simple Letter";#N/A,#N/A,TRUE,"Inside";#N/A,#N/A,TRUE,"Contents";#N/A,#N/A,TRUE,"Basis";#N/A,#N/A,TRUE,"Inclusions";#N/A,#N/A,TRUE,"Exclusions";#N/A,#N/A,TRUE,"Areas";#N/A,#N/A,TRUE,"Summary";#N/A,#N/A,TRUE,"Detail"}</definedName>
    <definedName name="anuj95" localSheetId="0">#REF!</definedName>
    <definedName name="anuj95">#REF!</definedName>
    <definedName name="anuj96" localSheetId="0"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nuj96_1" localSheetId="0" hidden="1">{#N/A,#N/A,TRUE,"Front";#N/A,#N/A,TRUE,"Simple Letter";#N/A,#N/A,TRUE,"Inside";#N/A,#N/A,TRUE,"Contents";#N/A,#N/A,TRUE,"Basis";#N/A,#N/A,TRUE,"Inclusions";#N/A,#N/A,TRUE,"Exclusions";#N/A,#N/A,TRUE,"Areas";#N/A,#N/A,TRUE,"Summary";#N/A,#N/A,TRUE,"Detail"}</definedName>
    <definedName name="anuj96_1" hidden="1">{#N/A,#N/A,TRUE,"Front";#N/A,#N/A,TRUE,"Simple Letter";#N/A,#N/A,TRUE,"Inside";#N/A,#N/A,TRUE,"Contents";#N/A,#N/A,TRUE,"Basis";#N/A,#N/A,TRUE,"Inclusions";#N/A,#N/A,TRUE,"Exclusions";#N/A,#N/A,TRUE,"Areas";#N/A,#N/A,TRUE,"Summary";#N/A,#N/A,TRUE,"Detail"}</definedName>
    <definedName name="anuj96_1_1" localSheetId="0" hidden="1">{#N/A,#N/A,TRUE,"Front";#N/A,#N/A,TRUE,"Simple Letter";#N/A,#N/A,TRUE,"Inside";#N/A,#N/A,TRUE,"Contents";#N/A,#N/A,TRUE,"Basis";#N/A,#N/A,TRUE,"Inclusions";#N/A,#N/A,TRUE,"Exclusions";#N/A,#N/A,TRUE,"Areas";#N/A,#N/A,TRUE,"Summary";#N/A,#N/A,TRUE,"Detail"}</definedName>
    <definedName name="anuj96_1_1" hidden="1">{#N/A,#N/A,TRUE,"Front";#N/A,#N/A,TRUE,"Simple Letter";#N/A,#N/A,TRUE,"Inside";#N/A,#N/A,TRUE,"Contents";#N/A,#N/A,TRUE,"Basis";#N/A,#N/A,TRUE,"Inclusions";#N/A,#N/A,TRUE,"Exclusions";#N/A,#N/A,TRUE,"Areas";#N/A,#N/A,TRUE,"Summary";#N/A,#N/A,TRUE,"Detail"}</definedName>
    <definedName name="anuj96_1_2" localSheetId="0" hidden="1">{#N/A,#N/A,TRUE,"Front";#N/A,#N/A,TRUE,"Simple Letter";#N/A,#N/A,TRUE,"Inside";#N/A,#N/A,TRUE,"Contents";#N/A,#N/A,TRUE,"Basis";#N/A,#N/A,TRUE,"Inclusions";#N/A,#N/A,TRUE,"Exclusions";#N/A,#N/A,TRUE,"Areas";#N/A,#N/A,TRUE,"Summary";#N/A,#N/A,TRUE,"Detail"}</definedName>
    <definedName name="anuj96_1_2" hidden="1">{#N/A,#N/A,TRUE,"Front";#N/A,#N/A,TRUE,"Simple Letter";#N/A,#N/A,TRUE,"Inside";#N/A,#N/A,TRUE,"Contents";#N/A,#N/A,TRUE,"Basis";#N/A,#N/A,TRUE,"Inclusions";#N/A,#N/A,TRUE,"Exclusions";#N/A,#N/A,TRUE,"Areas";#N/A,#N/A,TRUE,"Summary";#N/A,#N/A,TRUE,"Detail"}</definedName>
    <definedName name="anuj96_2" localSheetId="0" hidden="1">{#N/A,#N/A,TRUE,"Front";#N/A,#N/A,TRUE,"Simple Letter";#N/A,#N/A,TRUE,"Inside";#N/A,#N/A,TRUE,"Contents";#N/A,#N/A,TRUE,"Basis";#N/A,#N/A,TRUE,"Inclusions";#N/A,#N/A,TRUE,"Exclusions";#N/A,#N/A,TRUE,"Areas";#N/A,#N/A,TRUE,"Summary";#N/A,#N/A,TRUE,"Detail"}</definedName>
    <definedName name="anuj96_2" hidden="1">{#N/A,#N/A,TRUE,"Front";#N/A,#N/A,TRUE,"Simple Letter";#N/A,#N/A,TRUE,"Inside";#N/A,#N/A,TRUE,"Contents";#N/A,#N/A,TRUE,"Basis";#N/A,#N/A,TRUE,"Inclusions";#N/A,#N/A,TRUE,"Exclusions";#N/A,#N/A,TRUE,"Areas";#N/A,#N/A,TRUE,"Summary";#N/A,#N/A,TRUE,"Detail"}</definedName>
    <definedName name="anuj96_2_1" localSheetId="0" hidden="1">{#N/A,#N/A,TRUE,"Front";#N/A,#N/A,TRUE,"Simple Letter";#N/A,#N/A,TRUE,"Inside";#N/A,#N/A,TRUE,"Contents";#N/A,#N/A,TRUE,"Basis";#N/A,#N/A,TRUE,"Inclusions";#N/A,#N/A,TRUE,"Exclusions";#N/A,#N/A,TRUE,"Areas";#N/A,#N/A,TRUE,"Summary";#N/A,#N/A,TRUE,"Detail"}</definedName>
    <definedName name="anuj96_2_1" hidden="1">{#N/A,#N/A,TRUE,"Front";#N/A,#N/A,TRUE,"Simple Letter";#N/A,#N/A,TRUE,"Inside";#N/A,#N/A,TRUE,"Contents";#N/A,#N/A,TRUE,"Basis";#N/A,#N/A,TRUE,"Inclusions";#N/A,#N/A,TRUE,"Exclusions";#N/A,#N/A,TRUE,"Areas";#N/A,#N/A,TRUE,"Summary";#N/A,#N/A,TRUE,"Detail"}</definedName>
    <definedName name="anuj96_3" localSheetId="0" hidden="1">{#N/A,#N/A,TRUE,"Front";#N/A,#N/A,TRUE,"Simple Letter";#N/A,#N/A,TRUE,"Inside";#N/A,#N/A,TRUE,"Contents";#N/A,#N/A,TRUE,"Basis";#N/A,#N/A,TRUE,"Inclusions";#N/A,#N/A,TRUE,"Exclusions";#N/A,#N/A,TRUE,"Areas";#N/A,#N/A,TRUE,"Summary";#N/A,#N/A,TRUE,"Detail"}</definedName>
    <definedName name="anuj96_3" hidden="1">{#N/A,#N/A,TRUE,"Front";#N/A,#N/A,TRUE,"Simple Letter";#N/A,#N/A,TRUE,"Inside";#N/A,#N/A,TRUE,"Contents";#N/A,#N/A,TRUE,"Basis";#N/A,#N/A,TRUE,"Inclusions";#N/A,#N/A,TRUE,"Exclusions";#N/A,#N/A,TRUE,"Areas";#N/A,#N/A,TRUE,"Summary";#N/A,#N/A,TRUE,"Detail"}</definedName>
    <definedName name="anuj96_4" localSheetId="0" hidden="1">{#N/A,#N/A,TRUE,"Front";#N/A,#N/A,TRUE,"Simple Letter";#N/A,#N/A,TRUE,"Inside";#N/A,#N/A,TRUE,"Contents";#N/A,#N/A,TRUE,"Basis";#N/A,#N/A,TRUE,"Inclusions";#N/A,#N/A,TRUE,"Exclusions";#N/A,#N/A,TRUE,"Areas";#N/A,#N/A,TRUE,"Summary";#N/A,#N/A,TRUE,"Detail"}</definedName>
    <definedName name="anuj96_4" hidden="1">{#N/A,#N/A,TRUE,"Front";#N/A,#N/A,TRUE,"Simple Letter";#N/A,#N/A,TRUE,"Inside";#N/A,#N/A,TRUE,"Contents";#N/A,#N/A,TRUE,"Basis";#N/A,#N/A,TRUE,"Inclusions";#N/A,#N/A,TRUE,"Exclusions";#N/A,#N/A,TRUE,"Areas";#N/A,#N/A,TRUE,"Summary";#N/A,#N/A,TRUE,"Detail"}</definedName>
    <definedName name="anuj97" localSheetId="0">#REF!</definedName>
    <definedName name="anuj97">#REF!</definedName>
    <definedName name="anuj98" localSheetId="0">#REF!</definedName>
    <definedName name="anuj98">#REF!</definedName>
    <definedName name="anuj99" localSheetId="0">#REF!</definedName>
    <definedName name="anuj99">#REF!</definedName>
    <definedName name="ANUP" localSheetId="0">#REF!</definedName>
    <definedName name="ANUP">#REF!</definedName>
    <definedName name="Aone" localSheetId="0">#REF!</definedName>
    <definedName name="Aone">#REF!</definedName>
    <definedName name="apDays" localSheetId="0">#REF!</definedName>
    <definedName name="apDays">#REF!</definedName>
    <definedName name="apet" localSheetId="0">#REF!</definedName>
    <definedName name="apet">#REF!</definedName>
    <definedName name="apm" localSheetId="0">#REF!</definedName>
    <definedName name="apm">#REF!</definedName>
    <definedName name="apm_bax.contract" localSheetId="0">#REF!</definedName>
    <definedName name="apm_bax.contract">#REF!</definedName>
    <definedName name="apm_bax.now" localSheetId="0">#REF!</definedName>
    <definedName name="apm_bax.now">#REF!</definedName>
    <definedName name="apm_bax.old" localSheetId="0">#REF!</definedName>
    <definedName name="apm_bax.old">#REF!</definedName>
    <definedName name="apm_bax.old.now" localSheetId="0">#REF!</definedName>
    <definedName name="apm_bax.old.now">#REF!</definedName>
    <definedName name="apm_bax.old.payment" localSheetId="0">#REF!</definedName>
    <definedName name="apm_bax.old.payment">#REF!</definedName>
    <definedName name="apm_bax.old.vo.app" localSheetId="0">#REF!</definedName>
    <definedName name="apm_bax.old.vo.app">#REF!</definedName>
    <definedName name="apm_bax.payment" localSheetId="0">#REF!</definedName>
    <definedName name="apm_bax.payment">#REF!</definedName>
    <definedName name="apm_bax.rev" localSheetId="0">#REF!</definedName>
    <definedName name="apm_bax.rev">#REF!</definedName>
    <definedName name="apm_bax.tot.contract" localSheetId="0">#REF!</definedName>
    <definedName name="apm_bax.tot.contract">#REF!</definedName>
    <definedName name="apm_bax.tot.now" localSheetId="0">#REF!</definedName>
    <definedName name="apm_bax.tot.now">#REF!</definedName>
    <definedName name="apm_bax.tot.payment" localSheetId="0">#REF!</definedName>
    <definedName name="apm_bax.tot.payment">#REF!</definedName>
    <definedName name="apm_bax.tot.vo.app" localSheetId="0">#REF!</definedName>
    <definedName name="apm_bax.tot.vo.app">#REF!</definedName>
    <definedName name="apm_bax.vo.app" localSheetId="0">#REF!</definedName>
    <definedName name="apm_bax.vo.app">#REF!</definedName>
    <definedName name="apm_ccu.bs" localSheetId="0">#REF!</definedName>
    <definedName name="apm_ccu.bs">#REF!</definedName>
    <definedName name="apm_ccu.bs.now" localSheetId="0">#REF!</definedName>
    <definedName name="apm_ccu.bs.now">#REF!</definedName>
    <definedName name="apm_ccu.bs.payment" localSheetId="0">#REF!</definedName>
    <definedName name="apm_ccu.bs.payment">#REF!</definedName>
    <definedName name="apm_ccu.bs.vo.app" localSheetId="0">#REF!</definedName>
    <definedName name="apm_ccu.bs.vo.app">#REF!</definedName>
    <definedName name="apm_ccu.cert" localSheetId="0">#REF!</definedName>
    <definedName name="apm_ccu.cert">#REF!</definedName>
    <definedName name="apm_ccu.contract" localSheetId="0">#REF!</definedName>
    <definedName name="apm_ccu.contract">#REF!</definedName>
    <definedName name="apm_ccu.contract.now" localSheetId="0">#REF!</definedName>
    <definedName name="apm_ccu.contract.now">#REF!</definedName>
    <definedName name="apm_ccu.fire" localSheetId="0">#REF!</definedName>
    <definedName name="apm_ccu.fire">#REF!</definedName>
    <definedName name="apm_ccu.fire.now" localSheetId="0">#REF!</definedName>
    <definedName name="apm_ccu.fire.now">#REF!</definedName>
    <definedName name="apm_ccu.fire.payment" localSheetId="0">#REF!</definedName>
    <definedName name="apm_ccu.fire.payment">#REF!</definedName>
    <definedName name="apm_ccu.fire.vo.app" localSheetId="0">#REF!</definedName>
    <definedName name="apm_ccu.fire.vo.app">#REF!</definedName>
    <definedName name="apm_ccu.furn" localSheetId="0">#REF!</definedName>
    <definedName name="apm_ccu.furn">#REF!</definedName>
    <definedName name="apm_ccu.furn.vo.app" localSheetId="0">#REF!</definedName>
    <definedName name="apm_ccu.furn.vo.app">#REF!</definedName>
    <definedName name="apm_ccu.mon" localSheetId="0">#REF!</definedName>
    <definedName name="apm_ccu.mon">#REF!</definedName>
    <definedName name="apm_ccu.mon.vo.app" localSheetId="0">#REF!</definedName>
    <definedName name="apm_ccu.mon.vo.app">#REF!</definedName>
    <definedName name="apm_ccu.payment" localSheetId="0">#REF!</definedName>
    <definedName name="apm_ccu.payment">#REF!</definedName>
    <definedName name="apm_ccu.rev" localSheetId="0">#REF!</definedName>
    <definedName name="apm_ccu.rev">#REF!</definedName>
    <definedName name="apm_ccu.tot.contract" localSheetId="0">#REF!</definedName>
    <definedName name="apm_ccu.tot.contract">#REF!</definedName>
    <definedName name="apm_ccu.tot.now" localSheetId="0">#REF!</definedName>
    <definedName name="apm_ccu.tot.now">#REF!</definedName>
    <definedName name="apm_ccu.tot.payment" localSheetId="0">#REF!</definedName>
    <definedName name="apm_ccu.tot.payment">#REF!</definedName>
    <definedName name="apm_ccu.tot.vo.app" localSheetId="0">#REF!</definedName>
    <definedName name="apm_ccu.tot.vo.app">#REF!</definedName>
    <definedName name="apm_ccu.vo.app" localSheetId="0">#REF!</definedName>
    <definedName name="apm_ccu.vo.app">#REF!</definedName>
    <definedName name="apm_dax.app.vo" localSheetId="0">#REF!</definedName>
    <definedName name="apm_dax.app.vo">#REF!</definedName>
    <definedName name="apm_dax.bs.fee" localSheetId="0">#REF!</definedName>
    <definedName name="apm_dax.bs.fee">#REF!</definedName>
    <definedName name="apm_dax.bs.now" localSheetId="0">#REF!</definedName>
    <definedName name="apm_dax.bs.now">#REF!</definedName>
    <definedName name="apm_dax.bs.payment" localSheetId="0">#REF!</definedName>
    <definedName name="apm_dax.bs.payment">#REF!</definedName>
    <definedName name="apm_dax.bs.vo.app" localSheetId="0">#REF!</definedName>
    <definedName name="apm_dax.bs.vo.app">#REF!</definedName>
    <definedName name="apm_dax.cert" localSheetId="0">#REF!</definedName>
    <definedName name="apm_dax.cert">#REF!</definedName>
    <definedName name="apm_dax.com.now" localSheetId="0">#REF!</definedName>
    <definedName name="apm_dax.com.now">#REF!</definedName>
    <definedName name="apm_dax.com.payment" localSheetId="0">#REF!</definedName>
    <definedName name="apm_dax.com.payment">#REF!</definedName>
    <definedName name="apm_dax.com.vo.app" localSheetId="0">#REF!</definedName>
    <definedName name="apm_dax.com.vo.app">#REF!</definedName>
    <definedName name="apm_dax.consult.fee" localSheetId="0">#REF!</definedName>
    <definedName name="apm_dax.consult.fee">#REF!</definedName>
    <definedName name="apm_dax.consult.now" localSheetId="0">#REF!</definedName>
    <definedName name="apm_dax.consult.now">#REF!</definedName>
    <definedName name="apm_dax.consult.payment" localSheetId="0">#REF!</definedName>
    <definedName name="apm_dax.consult.payment">#REF!</definedName>
    <definedName name="apm_dax.consult.vo.app" localSheetId="0">#REF!</definedName>
    <definedName name="apm_dax.consult.vo.app">#REF!</definedName>
    <definedName name="apm_dax.contract.now" localSheetId="0">#REF!</definedName>
    <definedName name="apm_dax.contract.now">#REF!</definedName>
    <definedName name="apm_dax.contractor" localSheetId="0">#REF!</definedName>
    <definedName name="apm_dax.contractor">#REF!</definedName>
    <definedName name="apm_dax.ffe" localSheetId="0">#REF!</definedName>
    <definedName name="apm_dax.ffe">#REF!</definedName>
    <definedName name="apm_dax.ffe.now" localSheetId="0">#REF!</definedName>
    <definedName name="apm_dax.ffe.now">#REF!</definedName>
    <definedName name="apm_dax.ffe.payment" localSheetId="0">#REF!</definedName>
    <definedName name="apm_dax.ffe.payment">#REF!</definedName>
    <definedName name="apm_dax.ffe.vo.app" localSheetId="0">#REF!</definedName>
    <definedName name="apm_dax.ffe.vo.app">#REF!</definedName>
    <definedName name="apm_dax.hosp" localSheetId="0">#REF!</definedName>
    <definedName name="apm_dax.hosp">#REF!</definedName>
    <definedName name="apm_dax.hosp.com" localSheetId="0">#REF!</definedName>
    <definedName name="apm_dax.hosp.com">#REF!</definedName>
    <definedName name="apm_dax.hosp.comm" localSheetId="0">#REF!</definedName>
    <definedName name="apm_dax.hosp.comm">#REF!</definedName>
    <definedName name="apm_dax.hosp.now" localSheetId="0">#REF!</definedName>
    <definedName name="apm_dax.hosp.now">#REF!</definedName>
    <definedName name="apm_dax.hosp.payment" localSheetId="0">#REF!</definedName>
    <definedName name="apm_dax.hosp.payment">#REF!</definedName>
    <definedName name="apm_dax.hosp.vo.app" localSheetId="0">#REF!</definedName>
    <definedName name="apm_dax.hosp.vo.app">#REF!</definedName>
    <definedName name="apm_dax.pabx" localSheetId="0">#REF!</definedName>
    <definedName name="apm_dax.pabx">#REF!</definedName>
    <definedName name="apm_dax.pabx.now" localSheetId="0">#REF!</definedName>
    <definedName name="apm_dax.pabx.now">#REF!</definedName>
    <definedName name="apm_dax.pabx.payment" localSheetId="0">#REF!</definedName>
    <definedName name="apm_dax.pabx.payment">#REF!</definedName>
    <definedName name="apm_dax.pabx.vo.app" localSheetId="0">#REF!</definedName>
    <definedName name="apm_dax.pabx.vo.app">#REF!</definedName>
    <definedName name="apm_dax.payment" localSheetId="0">#REF!</definedName>
    <definedName name="apm_dax.payment">#REF!</definedName>
    <definedName name="apm_dax.pm.fee" localSheetId="0">#REF!</definedName>
    <definedName name="apm_dax.pm.fee">#REF!</definedName>
    <definedName name="apm_dax.pm.now" localSheetId="0">#REF!</definedName>
    <definedName name="apm_dax.pm.now">#REF!</definedName>
    <definedName name="apm_dax.pm.payment" localSheetId="0">#REF!</definedName>
    <definedName name="apm_dax.pm.payment">#REF!</definedName>
    <definedName name="apm_dax.pm.vo.app" localSheetId="0">#REF!</definedName>
    <definedName name="apm_dax.pm.vo.app">#REF!</definedName>
    <definedName name="apm_dax.ps" localSheetId="0">#REF!</definedName>
    <definedName name="apm_dax.ps">#REF!</definedName>
    <definedName name="apm_dax.qs.fee" localSheetId="0">#REF!</definedName>
    <definedName name="apm_dax.qs.fee">#REF!</definedName>
    <definedName name="apm_dax.qs.now" localSheetId="0">#REF!</definedName>
    <definedName name="apm_dax.qs.now">#REF!</definedName>
    <definedName name="apm_dax.qs.payment" localSheetId="0">#REF!</definedName>
    <definedName name="apm_dax.qs.payment">#REF!</definedName>
    <definedName name="apm_dax.qs.vo.app" localSheetId="0">#REF!</definedName>
    <definedName name="apm_dax.qs.vo.app">#REF!</definedName>
    <definedName name="apm_dax.special.now" localSheetId="0">#REF!</definedName>
    <definedName name="apm_dax.special.now">#REF!</definedName>
    <definedName name="apm_dax.specialist.fee" localSheetId="0">#REF!</definedName>
    <definedName name="apm_dax.specialist.fee">#REF!</definedName>
    <definedName name="apm_dax.specialist.payment" localSheetId="0">#REF!</definedName>
    <definedName name="apm_dax.specialist.payment">#REF!</definedName>
    <definedName name="apm_dax.specialist.vo.app" localSheetId="0">#REF!</definedName>
    <definedName name="apm_dax.specialist.vo.app">#REF!</definedName>
    <definedName name="apm_dem.consult" localSheetId="0">#REF!</definedName>
    <definedName name="apm_dem.consult">#REF!</definedName>
    <definedName name="apm_dem.consult.now" localSheetId="0">#REF!</definedName>
    <definedName name="apm_dem.consult.now">#REF!</definedName>
    <definedName name="apm_dem.consult.payment" localSheetId="0">#REF!</definedName>
    <definedName name="apm_dem.consult.payment">#REF!</definedName>
    <definedName name="apm_dem.consult.vo.app" localSheetId="0">#REF!</definedName>
    <definedName name="apm_dem.consult.vo.app">#REF!</definedName>
    <definedName name="apm_dem.contract" localSheetId="0">#REF!</definedName>
    <definedName name="apm_dem.contract">#REF!</definedName>
    <definedName name="apm_dem.contract.now" localSheetId="0">#REF!</definedName>
    <definedName name="apm_dem.contract.now">#REF!</definedName>
    <definedName name="apm_dem.contract.payment" localSheetId="0">#REF!</definedName>
    <definedName name="apm_dem.contract.payment">#REF!</definedName>
    <definedName name="apm_dem.contract.vo.app" localSheetId="0">#REF!</definedName>
    <definedName name="apm_dem.contract.vo.app">#REF!</definedName>
    <definedName name="apm_dem.furn" localSheetId="0">#REF!</definedName>
    <definedName name="apm_dem.furn">#REF!</definedName>
    <definedName name="apm_dem.furn.now" localSheetId="0">#REF!</definedName>
    <definedName name="apm_dem.furn.now">#REF!</definedName>
    <definedName name="apm_dem.furn.payment" localSheetId="0">#REF!</definedName>
    <definedName name="apm_dem.furn.payment">#REF!</definedName>
    <definedName name="apm_dem.furn.vo.app" localSheetId="0">#REF!</definedName>
    <definedName name="apm_dem.furn.vo.app">#REF!</definedName>
    <definedName name="apm_dem.hosp" localSheetId="0">#REF!</definedName>
    <definedName name="apm_dem.hosp">#REF!</definedName>
    <definedName name="apm_dem.hosp.now" localSheetId="0">#REF!</definedName>
    <definedName name="apm_dem.hosp.now">#REF!</definedName>
    <definedName name="apm_dem.hosp.payment" localSheetId="0">#REF!</definedName>
    <definedName name="apm_dem.hosp.payment">#REF!</definedName>
    <definedName name="apm_dem.hosp.vo.app" localSheetId="0">#REF!</definedName>
    <definedName name="apm_dem.hosp.vo.app">#REF!</definedName>
    <definedName name="apm_dem.mon" localSheetId="0">#REF!</definedName>
    <definedName name="apm_dem.mon">#REF!</definedName>
    <definedName name="apm_dem.mon.now" localSheetId="0">#REF!</definedName>
    <definedName name="apm_dem.mon.now">#REF!</definedName>
    <definedName name="apm_dem.mon.payment" localSheetId="0">#REF!</definedName>
    <definedName name="apm_dem.mon.payment">#REF!</definedName>
    <definedName name="apm_dem.mon.vo.app" localSheetId="0">#REF!</definedName>
    <definedName name="apm_dem.mon.vo.app">#REF!</definedName>
    <definedName name="apm_dem.rev" localSheetId="0">#REF!</definedName>
    <definedName name="apm_dem.rev">#REF!</definedName>
    <definedName name="apm_dem.tot.contract" localSheetId="0">#REF!</definedName>
    <definedName name="apm_dem.tot.contract">#REF!</definedName>
    <definedName name="apm_dem.tot.now" localSheetId="0">#REF!</definedName>
    <definedName name="apm_dem.tot.now">#REF!</definedName>
    <definedName name="apm_dem.tot.payment" localSheetId="0">#REF!</definedName>
    <definedName name="apm_dem.tot.payment">#REF!</definedName>
    <definedName name="apm_dem.tot.vo.app" localSheetId="0">#REF!</definedName>
    <definedName name="apm_dem.tot.vo.app">#REF!</definedName>
    <definedName name="apm_icu.bs" localSheetId="0">#REF!</definedName>
    <definedName name="apm_icu.bs">#REF!</definedName>
    <definedName name="apm_icu.bs.now" localSheetId="0">#REF!</definedName>
    <definedName name="apm_icu.bs.now">#REF!</definedName>
    <definedName name="apm_icu.bs.payment" localSheetId="0">#REF!</definedName>
    <definedName name="apm_icu.bs.payment">#REF!</definedName>
    <definedName name="apm_icu.bs.vo.app" localSheetId="0">#REF!</definedName>
    <definedName name="apm_icu.bs.vo.app">#REF!</definedName>
    <definedName name="apm_icu.cert" localSheetId="0">#REF!</definedName>
    <definedName name="apm_icu.cert">#REF!</definedName>
    <definedName name="apm_icu.contract" localSheetId="0">#REF!</definedName>
    <definedName name="apm_icu.contract">#REF!</definedName>
    <definedName name="apm_icu.contract.now" localSheetId="0">#REF!</definedName>
    <definedName name="apm_icu.contract.now">#REF!</definedName>
    <definedName name="apm_icu.furn" localSheetId="0">#REF!</definedName>
    <definedName name="apm_icu.furn">#REF!</definedName>
    <definedName name="apm_icu.furn.vo.app" localSheetId="0">#REF!</definedName>
    <definedName name="apm_icu.furn.vo.app">#REF!</definedName>
    <definedName name="apm_icu.mon" localSheetId="0">#REF!</definedName>
    <definedName name="apm_icu.mon">#REF!</definedName>
    <definedName name="apm_icu.mon.vo.app" localSheetId="0">#REF!</definedName>
    <definedName name="apm_icu.mon.vo.app">#REF!</definedName>
    <definedName name="apm_icu.payment" localSheetId="0">#REF!</definedName>
    <definedName name="apm_icu.payment">#REF!</definedName>
    <definedName name="apm_icu.rev" localSheetId="0">#REF!</definedName>
    <definedName name="apm_icu.rev">#REF!</definedName>
    <definedName name="apm_icu.tot.contract" localSheetId="0">#REF!</definedName>
    <definedName name="apm_icu.tot.contract">#REF!</definedName>
    <definedName name="apm_icu.tot.now" localSheetId="0">#REF!</definedName>
    <definedName name="apm_icu.tot.now">#REF!</definedName>
    <definedName name="apm_icu.tot.payment" localSheetId="0">#REF!</definedName>
    <definedName name="apm_icu.tot.payment">#REF!</definedName>
    <definedName name="apm_icu.tot.vo.app" localSheetId="0">#REF!</definedName>
    <definedName name="apm_icu.tot.vo.app">#REF!</definedName>
    <definedName name="apm_icu.vo.app" localSheetId="0">#REF!</definedName>
    <definedName name="apm_icu.vo.app">#REF!</definedName>
    <definedName name="apm_temp.cert" localSheetId="0">#REF!</definedName>
    <definedName name="apm_temp.cert">#REF!</definedName>
    <definedName name="APRIL" localSheetId="0">#REF!</definedName>
    <definedName name="APRIL">#REF!</definedName>
    <definedName name="april_qty" localSheetId="0">#REF!</definedName>
    <definedName name="april_qty">#REF!</definedName>
    <definedName name="aPrimeRate" localSheetId="0">#REF!</definedName>
    <definedName name="aPrimeRate">#REF!</definedName>
    <definedName name="AQ" localSheetId="0">#REF!</definedName>
    <definedName name="AQ">#REF!</definedName>
    <definedName name="AQWE" localSheetId="0" hidden="1">{#N/A,#N/A,FALSE,"mpph1";#N/A,#N/A,FALSE,"mpmseb";#N/A,#N/A,FALSE,"mpph2"}</definedName>
    <definedName name="AQWE" hidden="1">{#N/A,#N/A,FALSE,"mpph1";#N/A,#N/A,FALSE,"mpmseb";#N/A,#N/A,FALSE,"mpph2"}</definedName>
    <definedName name="AR" localSheetId="0">#REF!</definedName>
    <definedName name="AR">#REF!</definedName>
    <definedName name="arctanz" localSheetId="0">#REF!</definedName>
    <definedName name="arctanz">#REF!</definedName>
    <definedName name="arDays" localSheetId="0">#REF!</definedName>
    <definedName name="arDays">#REF!</definedName>
    <definedName name="area" localSheetId="0">#REF!</definedName>
    <definedName name="area">#REF!</definedName>
    <definedName name="Area_stampa_MI" localSheetId="0">#REF!</definedName>
    <definedName name="Area_stampa_MI">#REF!</definedName>
    <definedName name="AREAS_CA_CANOPY__WAREHOUSE" localSheetId="0">#REF!</definedName>
    <definedName name="AREAS_CA_CANOPY__WAREHOUSE">#REF!</definedName>
    <definedName name="AREAS_CB_Canteen_Building" localSheetId="0">#REF!</definedName>
    <definedName name="AREAS_CB_Canteen_Building">#REF!</definedName>
    <definedName name="AREAS_CIPT_Tanker_CIP_Shed" localSheetId="0">#REF!</definedName>
    <definedName name="AREAS_CIPT_Tanker_CIP_Shed">#REF!</definedName>
    <definedName name="AREAS_CLRR_Contract_Labour_Rest_Room" localSheetId="0">#REF!</definedName>
    <definedName name="AREAS_CLRR_Contract_Labour_Rest_Room">#REF!</definedName>
    <definedName name="AREAS_CS_Chemical_Store" localSheetId="0">#REF!</definedName>
    <definedName name="AREAS_CS_Chemical_Store">#REF!</definedName>
    <definedName name="AREAS_ETPC_ETP_Civil_Works" localSheetId="0">#REF!</definedName>
    <definedName name="AREAS_ETPC_ETP_Civil_Works">#REF!</definedName>
    <definedName name="AREAS_EX_EXTERNAL_WORKS" localSheetId="0">#REF!</definedName>
    <definedName name="AREAS_EX_EXTERNAL_WORKS">#REF!</definedName>
    <definedName name="AREAS_FC_Farmer_s_Conference" localSheetId="0">#REF!</definedName>
    <definedName name="AREAS_FC_Farmer_s_Conference">#REF!</definedName>
    <definedName name="AREAS_FU_Fumigation" localSheetId="0">#REF!</definedName>
    <definedName name="AREAS_FU_Fumigation">#REF!</definedName>
    <definedName name="AREAS_GA_General_Area___Overall" localSheetId="0">#REF!</definedName>
    <definedName name="AREAS_GA_General_Area___Overall">#REF!</definedName>
    <definedName name="AREAS_GP_Guard_Posts" localSheetId="0">#REF!</definedName>
    <definedName name="AREAS_GP_Guard_Posts">#REF!</definedName>
    <definedName name="AREAS_LS_LubeOil_Stores" localSheetId="0">#REF!</definedName>
    <definedName name="AREAS_LS_LubeOil_Stores">#REF!</definedName>
    <definedName name="AREAS_MR_TB_Milk_Reception_Tanker_s_Bay" localSheetId="0">#REF!</definedName>
    <definedName name="AREAS_MR_TB_Milk_Reception_Tanker_s_Bay">#REF!</definedName>
    <definedName name="AREAS_MTF_Milk_Tank_Foundations" localSheetId="0">#REF!</definedName>
    <definedName name="AREAS_MTF_Milk_Tank_Foundations">#REF!</definedName>
    <definedName name="AREAS_PB_PROCESS_BUILDING" localSheetId="0">#REF!</definedName>
    <definedName name="AREAS_PB_PROCESS_BUILDING">#REF!</definedName>
    <definedName name="AREAS_PR_Pipe_Racks" localSheetId="0">#REF!</definedName>
    <definedName name="AREAS_PR_Pipe_Racks">#REF!</definedName>
    <definedName name="AREAS_SR_2_Security_Room___2" localSheetId="0">#REF!</definedName>
    <definedName name="AREAS_SR_2_Security_Room___2">#REF!</definedName>
    <definedName name="AREAS_SR_3_Store_Room" localSheetId="0">#REF!</definedName>
    <definedName name="AREAS_SR_3_Store_Room">#REF!</definedName>
    <definedName name="AREAS_ST_Stacks_near_Utility_Buildings" localSheetId="0">#REF!</definedName>
    <definedName name="AREAS_ST_Stacks_near_Utility_Buildings">#REF!</definedName>
    <definedName name="AREAS_SY_Scrap_Yard" localSheetId="0">#REF!</definedName>
    <definedName name="AREAS_SY_Scrap_Yard">#REF!</definedName>
    <definedName name="AREAS_TWW_Truck_Wheel_Wash" localSheetId="0">#REF!</definedName>
    <definedName name="AREAS_TWW_Truck_Wheel_Wash">#REF!</definedName>
    <definedName name="AREAS_TY_Transformer_Yard" localSheetId="0">#REF!</definedName>
    <definedName name="AREAS_TY_Transformer_Yard">#REF!</definedName>
    <definedName name="AREAS_UB_UTILITY_BLOCK" localSheetId="0">#REF!</definedName>
    <definedName name="AREAS_UB_UTILITY_BLOCK">#REF!</definedName>
    <definedName name="AREAS_WH_Ware_House_Area" localSheetId="0">#REF!</definedName>
    <definedName name="AREAS_WH_Ware_House_Area">#REF!</definedName>
    <definedName name="aRevolverSpread" localSheetId="0">#REF!</definedName>
    <definedName name="aRevolverSpread">#REF!</definedName>
    <definedName name="arif" localSheetId="0">#REF!</definedName>
    <definedName name="arif">#REF!</definedName>
    <definedName name="arrow.down">"â"</definedName>
    <definedName name="arrow.left">"ß"</definedName>
    <definedName name="arrow.right">"à"</definedName>
    <definedName name="arrow.up">"á"</definedName>
    <definedName name="ARUN" localSheetId="0" hidden="1">#REF!</definedName>
    <definedName name="ARUN" hidden="1">#REF!</definedName>
    <definedName name="as" localSheetId="0">#REF!</definedName>
    <definedName name="as">#REF!</definedName>
    <definedName name="AS_PER_TALLY_31_09_04_ONYX_List1" localSheetId="0">#REF!</definedName>
    <definedName name="AS_PER_TALLY_31_09_04_ONYX_List1">#REF!</definedName>
    <definedName name="AS2DocOpenMode" hidden="1">"AS2DocumentEdit"</definedName>
    <definedName name="asa" localSheetId="0" hidden="1">{#N/A,#N/A,FALSE,"COVER1.XLS ";#N/A,#N/A,FALSE,"RACT1.XLS";#N/A,#N/A,FALSE,"RACT2.XLS";#N/A,#N/A,FALSE,"ECCMP";#N/A,#N/A,FALSE,"WELDER.XLS"}</definedName>
    <definedName name="asa" hidden="1">{#N/A,#N/A,FALSE,"COVER1.XLS ";#N/A,#N/A,FALSE,"RACT1.XLS";#N/A,#N/A,FALSE,"RACT2.XLS";#N/A,#N/A,FALSE,"ECCMP";#N/A,#N/A,FALSE,"WELDER.XLS"}</definedName>
    <definedName name="asad" localSheetId="0"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as" localSheetId="0">#REF!</definedName>
    <definedName name="asas">#REF!</definedName>
    <definedName name="asc" localSheetId="0">#REF!</definedName>
    <definedName name="asc">#REF!</definedName>
    <definedName name="asdads" localSheetId="0">#REF!</definedName>
    <definedName name="asdads">#REF!</definedName>
    <definedName name="asdas" localSheetId="0">#REF!</definedName>
    <definedName name="asdas">#REF!</definedName>
    <definedName name="asdasd" localSheetId="0">#REF!</definedName>
    <definedName name="asdasd">#REF!</definedName>
    <definedName name="ASDASDASD" localSheetId="0">#REF!</definedName>
    <definedName name="ASDASDASD">#REF!</definedName>
    <definedName name="asdd" localSheetId="0">#REF!</definedName>
    <definedName name="asdd">#REF!</definedName>
    <definedName name="ASDDDDDDDDDDDD" localSheetId="0">#REF!</definedName>
    <definedName name="ASDDDDDDDDDDDD">#REF!</definedName>
    <definedName name="asdf" localSheetId="0">#REF!</definedName>
    <definedName name="asdf">#REF!</definedName>
    <definedName name="asdfs" localSheetId="0">#REF!</definedName>
    <definedName name="asdfs">#REF!</definedName>
    <definedName name="asdfsa" localSheetId="0" hidden="1">#REF!</definedName>
    <definedName name="asdfsa" hidden="1">#REF!</definedName>
    <definedName name="asdsdfsda" localSheetId="0">#REF!</definedName>
    <definedName name="asdsdfsda">#REF!</definedName>
    <definedName name="asf" localSheetId="0">#REF!</definedName>
    <definedName name="asf">#REF!</definedName>
    <definedName name="ASFFFF" localSheetId="0">#REF!</definedName>
    <definedName name="ASFFFF">#REF!</definedName>
    <definedName name="asg" localSheetId="0">#REF!</definedName>
    <definedName name="asg">#REF!</definedName>
    <definedName name="ASHOKA" localSheetId="0">#REF!</definedName>
    <definedName name="ASHOKA">#REF!</definedName>
    <definedName name="asi" localSheetId="0">#REF!</definedName>
    <definedName name="asi">#REF!</definedName>
    <definedName name="ASJGQUISG" localSheetId="0">#REF!</definedName>
    <definedName name="ASJGQUISG">#REF!</definedName>
    <definedName name="asjk" localSheetId="0" hidden="1">{"form-D1",#N/A,FALSE,"FORM-D1";"form-D1_amt",#N/A,FALSE,"FORM-D1"}</definedName>
    <definedName name="asjk" hidden="1">{"form-D1",#N/A,FALSE,"FORM-D1";"form-D1_amt",#N/A,FALSE,"FORM-D1"}</definedName>
    <definedName name="asjk_1" localSheetId="0" hidden="1">{"form-D1",#N/A,FALSE,"FORM-D1";"form-D1_amt",#N/A,FALSE,"FORM-D1"}</definedName>
    <definedName name="asjk_1" hidden="1">{"form-D1",#N/A,FALSE,"FORM-D1";"form-D1_amt",#N/A,FALSE,"FORM-D1"}</definedName>
    <definedName name="asjk_1_1" localSheetId="0" hidden="1">{"form-D1",#N/A,FALSE,"FORM-D1";"form-D1_amt",#N/A,FALSE,"FORM-D1"}</definedName>
    <definedName name="asjk_1_1" hidden="1">{"form-D1",#N/A,FALSE,"FORM-D1";"form-D1_amt",#N/A,FALSE,"FORM-D1"}</definedName>
    <definedName name="asjk_1_2" localSheetId="0" hidden="1">{"form-D1",#N/A,FALSE,"FORM-D1";"form-D1_amt",#N/A,FALSE,"FORM-D1"}</definedName>
    <definedName name="asjk_1_2" hidden="1">{"form-D1",#N/A,FALSE,"FORM-D1";"form-D1_amt",#N/A,FALSE,"FORM-D1"}</definedName>
    <definedName name="asjk_2" localSheetId="0" hidden="1">{"form-D1",#N/A,FALSE,"FORM-D1";"form-D1_amt",#N/A,FALSE,"FORM-D1"}</definedName>
    <definedName name="asjk_2" hidden="1">{"form-D1",#N/A,FALSE,"FORM-D1";"form-D1_amt",#N/A,FALSE,"FORM-D1"}</definedName>
    <definedName name="asjk_2_1" localSheetId="0" hidden="1">{"form-D1",#N/A,FALSE,"FORM-D1";"form-D1_amt",#N/A,FALSE,"FORM-D1"}</definedName>
    <definedName name="asjk_2_1" hidden="1">{"form-D1",#N/A,FALSE,"FORM-D1";"form-D1_amt",#N/A,FALSE,"FORM-D1"}</definedName>
    <definedName name="asjk_3" localSheetId="0" hidden="1">{"form-D1",#N/A,FALSE,"FORM-D1";"form-D1_amt",#N/A,FALSE,"FORM-D1"}</definedName>
    <definedName name="asjk_3" hidden="1">{"form-D1",#N/A,FALSE,"FORM-D1";"form-D1_amt",#N/A,FALSE,"FORM-D1"}</definedName>
    <definedName name="asjk_3_1" localSheetId="0" hidden="1">{"form-D1",#N/A,FALSE,"FORM-D1";"form-D1_amt",#N/A,FALSE,"FORM-D1"}</definedName>
    <definedName name="asjk_3_1" hidden="1">{"form-D1",#N/A,FALSE,"FORM-D1";"form-D1_amt",#N/A,FALSE,"FORM-D1"}</definedName>
    <definedName name="asjk_4" localSheetId="0" hidden="1">{"form-D1",#N/A,FALSE,"FORM-D1";"form-D1_amt",#N/A,FALSE,"FORM-D1"}</definedName>
    <definedName name="asjk_4" hidden="1">{"form-D1",#N/A,FALSE,"FORM-D1";"form-D1_amt",#N/A,FALSE,"FORM-D1"}</definedName>
    <definedName name="asjk_4_1" localSheetId="0" hidden="1">{"form-D1",#N/A,FALSE,"FORM-D1";"form-D1_amt",#N/A,FALSE,"FORM-D1"}</definedName>
    <definedName name="asjk_4_1" hidden="1">{"form-D1",#N/A,FALSE,"FORM-D1";"form-D1_amt",#N/A,FALSE,"FORM-D1"}</definedName>
    <definedName name="asjk_5" localSheetId="0" hidden="1">{"form-D1",#N/A,FALSE,"FORM-D1";"form-D1_amt",#N/A,FALSE,"FORM-D1"}</definedName>
    <definedName name="asjk_5" hidden="1">{"form-D1",#N/A,FALSE,"FORM-D1";"form-D1_amt",#N/A,FALSE,"FORM-D1"}</definedName>
    <definedName name="asjk_5_1" localSheetId="0" hidden="1">{"form-D1",#N/A,FALSE,"FORM-D1";"form-D1_amt",#N/A,FALSE,"FORM-D1"}</definedName>
    <definedName name="asjk_5_1" hidden="1">{"form-D1",#N/A,FALSE,"FORM-D1";"form-D1_amt",#N/A,FALSE,"FORM-D1"}</definedName>
    <definedName name="asLibor" localSheetId="0">#REF!</definedName>
    <definedName name="asLibor">#REF!</definedName>
    <definedName name="asocia" localSheetId="0">#REF!</definedName>
    <definedName name="asocia">#REF!</definedName>
    <definedName name="ass" localSheetId="0">#REF!</definedName>
    <definedName name="ass">#REF!</definedName>
    <definedName name="assa"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dg" localSheetId="0" hidden="1">#REF!</definedName>
    <definedName name="assadg" hidden="1">#REF!</definedName>
    <definedName name="assal"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SSSSSSSSSSSSSSSSSSSSSS" localSheetId="0">#REF!</definedName>
    <definedName name="ASSSSSSSSSSSSSSSSSSSSSSSS">#REF!</definedName>
    <definedName name="ast" localSheetId="0">#REF!</definedName>
    <definedName name="ast">#REF!</definedName>
    <definedName name="astb" localSheetId="0">#REF!</definedName>
    <definedName name="astb">#REF!</definedName>
    <definedName name="astt" localSheetId="0">#REF!</definedName>
    <definedName name="astt">#REF!</definedName>
    <definedName name="aSurTax" localSheetId="0">#REF!</definedName>
    <definedName name="aSurTax">#REF!</definedName>
    <definedName name="At" localSheetId="0">#REF!</definedName>
    <definedName name="At">#REF!</definedName>
    <definedName name="Athree" localSheetId="0">#REF!</definedName>
    <definedName name="Athree">#REF!</definedName>
    <definedName name="Atwo" localSheetId="0">#REF!</definedName>
    <definedName name="Atwo">#REF!</definedName>
    <definedName name="AuxConsmp" localSheetId="0">#REF!</definedName>
    <definedName name="AuxConsmp">#REF!</definedName>
    <definedName name="AuxConsmp_I" localSheetId="0">#REF!</definedName>
    <definedName name="AuxConsmp_I">#REF!</definedName>
    <definedName name="AuxRelay" localSheetId="0">#REF!</definedName>
    <definedName name="AuxRelay">#REF!</definedName>
    <definedName name="avi" localSheetId="0">#REF!</definedName>
    <definedName name="avi">#REF!</definedName>
    <definedName name="AWAWWWWAA" localSheetId="0">#REF!</definedName>
    <definedName name="AWAWWWWAA">#REF!</definedName>
    <definedName name="az" localSheetId="0">#REF!</definedName>
    <definedName name="az">[6]Data!#REF!</definedName>
    <definedName name="B" localSheetId="0">#REF!</definedName>
    <definedName name="B">#REF!</definedName>
    <definedName name="B.C1.3.6_40mm" localSheetId="0">#REF!</definedName>
    <definedName name="B.C1.3.6_40mm">#REF!</definedName>
    <definedName name="B.C1.3.6_50mm">#REF!</definedName>
    <definedName name="b.jangaiah" localSheetId="0">#REF!</definedName>
    <definedName name="b.jangaiah">#REF!</definedName>
    <definedName name="b.nos" localSheetId="0">#REF!</definedName>
    <definedName name="b.nos">#REF!</definedName>
    <definedName name="B.W.1.3_2.0">#REF!</definedName>
    <definedName name="B.W.1.3_2.25">#REF!</definedName>
    <definedName name="B.W.1.3_2.5">#REF!</definedName>
    <definedName name="B.W.1.3_2.75">#REF!</definedName>
    <definedName name="B.W.1.3_3">#REF!</definedName>
    <definedName name="B.W.1.3_3.0">#REF!</definedName>
    <definedName name="B.W.1.5_2.0">#REF!</definedName>
    <definedName name="B.W.1.5_2.25">#REF!</definedName>
    <definedName name="B.W.1.5_2.5">#REF!</definedName>
    <definedName name="B.W.1.5_2.6" localSheetId="0">#REF!</definedName>
    <definedName name="B.W.1.5_2.6">#REF!</definedName>
    <definedName name="B.W.1.5_2.75">#REF!</definedName>
    <definedName name="B.W.1.5_3">#REF!</definedName>
    <definedName name="B.W.1.6_2.0">#REF!</definedName>
    <definedName name="B.W.1.6_2.25">#REF!</definedName>
    <definedName name="B.W.1.6_2.5">#REF!</definedName>
    <definedName name="B.W.1.6_2.75">#REF!</definedName>
    <definedName name="B.W.1.6_3">#REF!</definedName>
    <definedName name="B.W.1.6_3.0">#REF!</definedName>
    <definedName name="B.W.3">#REF!</definedName>
    <definedName name="B.W.One_five" localSheetId="0">#REF!</definedName>
    <definedName name="B.W.One_five">#REF!</definedName>
    <definedName name="B.W.One_six" localSheetId="0">#REF!</definedName>
    <definedName name="B.W.One_six">#REF!</definedName>
    <definedName name="B.W.One_three" localSheetId="0">#REF!</definedName>
    <definedName name="B.W.One_three">#REF!</definedName>
    <definedName name="B___0" localSheetId="0">#REF!</definedName>
    <definedName name="B___0">#REF!</definedName>
    <definedName name="B___13" localSheetId="0">#REF!</definedName>
    <definedName name="B___13">#REF!</definedName>
    <definedName name="B1501." localSheetId="0">#REF!</definedName>
    <definedName name="B1501.">#REF!</definedName>
    <definedName name="B1Length" localSheetId="0">#REF!</definedName>
    <definedName name="B1Length">#REF!</definedName>
    <definedName name="B234a1" localSheetId="0">#REF!</definedName>
    <definedName name="B234a1">#REF!</definedName>
    <definedName name="B2Length" localSheetId="0">#REF!</definedName>
    <definedName name="B2Length">#REF!</definedName>
    <definedName name="B3Length" localSheetId="0">#REF!</definedName>
    <definedName name="B3Length">#REF!</definedName>
    <definedName name="B4a" localSheetId="0">#REF!</definedName>
    <definedName name="B4a">#REF!</definedName>
    <definedName name="b5a" localSheetId="0">#REF!</definedName>
    <definedName name="b5a">#REF!</definedName>
    <definedName name="B5Length" localSheetId="0">#REF!</definedName>
    <definedName name="B5Length">#REF!</definedName>
    <definedName name="B8Length" localSheetId="0">#REF!</definedName>
    <definedName name="B8Length">#REF!</definedName>
    <definedName name="BADWE" localSheetId="0" hidden="1">{#N/A,#N/A,FALSE,"mpph1";#N/A,#N/A,FALSE,"mpmseb";#N/A,#N/A,FALSE,"mpph2"}</definedName>
    <definedName name="BADWE" hidden="1">{#N/A,#N/A,FALSE,"mpph1";#N/A,#N/A,FALSE,"mpmseb";#N/A,#N/A,FALSE,"mpph2"}</definedName>
    <definedName name="balakrishna" localSheetId="0">#REF!</definedName>
    <definedName name="balakrishna">#REF!</definedName>
    <definedName name="Band" localSheetId="0">#REF!</definedName>
    <definedName name="Band">#REF!</definedName>
    <definedName name="Banquet" localSheetId="0">#REF!</definedName>
    <definedName name="Banquet">#REF!</definedName>
    <definedName name="BASD" localSheetId="0">#REF!</definedName>
    <definedName name="BASD">#REF!</definedName>
    <definedName name="Basementfill">#REF!</definedName>
    <definedName name="baseYear" localSheetId="0">#REF!</definedName>
    <definedName name="baseYear">#REF!</definedName>
    <definedName name="bat" localSheetId="0">#REF!</definedName>
    <definedName name="bat">#REF!</definedName>
    <definedName name="BB">#REF!</definedName>
    <definedName name="bbb" localSheetId="0">#REF!</definedName>
    <definedName name="bbb">#REF!</definedName>
    <definedName name="bbbbbbbbb" localSheetId="0">#REF!</definedName>
    <definedName name="bbbbbbbbb">#REF!</definedName>
    <definedName name="bbbbbbbbbb" localSheetId="0" hidden="1">#REF!</definedName>
    <definedName name="bbbbbbbbbb" hidden="1">#REF!</definedName>
    <definedName name="bboiler" localSheetId="0">#REF!</definedName>
    <definedName name="bboiler">#REF!</definedName>
    <definedName name="bc" localSheetId="0" hidden="1">{#N/A,#N/A,FALSE,"One Pager";#N/A,#N/A,FALSE,"Technical"}</definedName>
    <definedName name="bc" hidden="1">{#N/A,#N/A,FALSE,"One Pager";#N/A,#N/A,FALSE,"Technical"}</definedName>
    <definedName name="bcs" localSheetId="0">#REF!</definedName>
    <definedName name="bcs">#REF!</definedName>
    <definedName name="bct" localSheetId="0">#REF!</definedName>
    <definedName name="bct">#REF!</definedName>
    <definedName name="bcvv" localSheetId="0">#REF!</definedName>
    <definedName name="bcvv">#REF!</definedName>
    <definedName name="be" localSheetId="0">#REF!</definedName>
    <definedName name="be">[6]Data!#REF!</definedName>
    <definedName name="beam" localSheetId="0">#REF!</definedName>
    <definedName name="beam">#REF!</definedName>
    <definedName name="beam1" localSheetId="0">#REF!</definedName>
    <definedName name="beam1">#REF!</definedName>
    <definedName name="beam11" localSheetId="0">#REF!</definedName>
    <definedName name="beam11">#REF!</definedName>
    <definedName name="beam2" localSheetId="0">#REF!</definedName>
    <definedName name="beam2">#REF!</definedName>
    <definedName name="BEAM3" localSheetId="0">#REF!</definedName>
    <definedName name="BEAM3">#REF!</definedName>
    <definedName name="BEAM5" localSheetId="0">#REF!</definedName>
    <definedName name="BEAM5">#REF!</definedName>
    <definedName name="BeamLength" localSheetId="0">#REF!</definedName>
    <definedName name="BeamLength">#REF!</definedName>
    <definedName name="BEAMS" localSheetId="0">#REF!</definedName>
    <definedName name="BEAMS">#REF!</definedName>
    <definedName name="Beg_Bal" localSheetId="0">#REF!</definedName>
    <definedName name="Beg_Bal">#REF!</definedName>
    <definedName name="bel" localSheetId="0">#REF!</definedName>
    <definedName name="bel">#REF!</definedName>
    <definedName name="BEND" localSheetId="0">#REF!</definedName>
    <definedName name="BEND">#REF!</definedName>
    <definedName name="bends" localSheetId="0">#REF!</definedName>
    <definedName name="bends">#REF!</definedName>
    <definedName name="beta" localSheetId="0">#REF!</definedName>
    <definedName name="beta">#REF!</definedName>
    <definedName name="BGrP" localSheetId="0">#REF!</definedName>
    <definedName name="BGrP">#REF!</definedName>
    <definedName name="bhagwan" localSheetId="0">#REF!</definedName>
    <definedName name="bhagwan">#REF!</definedName>
    <definedName name="bhg" localSheetId="0">#REF!</definedName>
    <definedName name="bhg">#REF!</definedName>
    <definedName name="bhjbh" localSheetId="0">#REF!</definedName>
    <definedName name="bhjbh">#REF!</definedName>
    <definedName name="bijalpur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ll" localSheetId="0">#REF!</definedName>
    <definedName name="Bill">#REF!</definedName>
    <definedName name="Bindingwire" localSheetId="0">#REF!</definedName>
    <definedName name="Bindingwire">#REF!</definedName>
    <definedName name="Bits65" localSheetId="0">#REF!</definedName>
    <definedName name="Bits65">#REF!</definedName>
    <definedName name="bjlc" localSheetId="0">#REF!</definedName>
    <definedName name="bjlc">#REF!</definedName>
    <definedName name="bl" localSheetId="0">#REF!</definedName>
    <definedName name="bl">#REF!</definedName>
    <definedName name="block" localSheetId="0">#REF!</definedName>
    <definedName name="block">#REF!</definedName>
    <definedName name="Block02" localSheetId="0">#REF!</definedName>
    <definedName name="Block02">#REF!</definedName>
    <definedName name="Block03" localSheetId="0">#REF!</definedName>
    <definedName name="Block03">#REF!</definedName>
    <definedName name="Block04" localSheetId="0">#REF!</definedName>
    <definedName name="Block04">#REF!</definedName>
    <definedName name="Block05" localSheetId="0">#REF!</definedName>
    <definedName name="Block05">#REF!</definedName>
    <definedName name="Block06" localSheetId="0">#REF!</definedName>
    <definedName name="Block06">#REF!</definedName>
    <definedName name="Block07" localSheetId="0">#REF!</definedName>
    <definedName name="Block07">#REF!</definedName>
    <definedName name="block1" localSheetId="0">#REF!</definedName>
    <definedName name="block1">#REF!</definedName>
    <definedName name="block100" localSheetId="0">#REF!</definedName>
    <definedName name="block100">#REF!</definedName>
    <definedName name="BLOCK2" localSheetId="0">#REF!</definedName>
    <definedName name="BLOCK2">#REF!</definedName>
    <definedName name="BLOCK3" localSheetId="0">#REF!</definedName>
    <definedName name="BLOCK3">#REF!</definedName>
    <definedName name="BLOCK4" localSheetId="0">#REF!</definedName>
    <definedName name="BLOCK4">#REF!</definedName>
    <definedName name="blv_100" localSheetId="0">#REF!</definedName>
    <definedName name="blv_100">#REF!</definedName>
    <definedName name="blv_150" localSheetId="0">#REF!</definedName>
    <definedName name="blv_150">#REF!</definedName>
    <definedName name="blv_200" localSheetId="0">#REF!</definedName>
    <definedName name="blv_200">#REF!</definedName>
    <definedName name="blv_25" localSheetId="0">#REF!</definedName>
    <definedName name="blv_25">#REF!</definedName>
    <definedName name="blv_250" localSheetId="0">#REF!</definedName>
    <definedName name="blv_250">#REF!</definedName>
    <definedName name="blv_300" localSheetId="0">#REF!</definedName>
    <definedName name="blv_300">#REF!</definedName>
    <definedName name="blv_32" localSheetId="0">#REF!</definedName>
    <definedName name="blv_32">#REF!</definedName>
    <definedName name="blv_40" localSheetId="0">#REF!</definedName>
    <definedName name="blv_40">#REF!</definedName>
    <definedName name="blv_400" localSheetId="0">#REF!</definedName>
    <definedName name="blv_400">#REF!</definedName>
    <definedName name="blv_50" localSheetId="0">#REF!</definedName>
    <definedName name="blv_50">#REF!</definedName>
    <definedName name="blv_500" localSheetId="0">#REF!</definedName>
    <definedName name="blv_500">#REF!</definedName>
    <definedName name="blv_65" localSheetId="0">#REF!</definedName>
    <definedName name="blv_65">#REF!</definedName>
    <definedName name="blv_80" localSheetId="0">#REF!</definedName>
    <definedName name="blv_80">#REF!</definedName>
    <definedName name="BM" localSheetId="0">#REF!</definedName>
    <definedName name="BM">#REF!</definedName>
    <definedName name="bn" localSheetId="0">#REF!</definedName>
    <definedName name="bn">#REF!</definedName>
    <definedName name="Bock1" localSheetId="0">#REF!</definedName>
    <definedName name="Bock1">#REF!</definedName>
    <definedName name="BoilEfficy" localSheetId="0">#REF!</definedName>
    <definedName name="BoilEfficy">#REF!</definedName>
    <definedName name="BoilEfficy_I" localSheetId="0">#REF!</definedName>
    <definedName name="BoilEfficy_I">#REF!</definedName>
    <definedName name="BOISAR_BAYWISE" localSheetId="0">#REF!</definedName>
    <definedName name="BOISAR_BAYWISE">#REF!</definedName>
    <definedName name="bol" localSheetId="0">#REF!</definedName>
    <definedName name="bol">#REF!</definedName>
    <definedName name="boml" localSheetId="0">#REF!</definedName>
    <definedName name="boml">#REF!</definedName>
    <definedName name="boml1" localSheetId="0">#REF!</definedName>
    <definedName name="boml1">#REF!</definedName>
    <definedName name="BOQ" localSheetId="0">#REF!</definedName>
    <definedName name="BOQ">#REF!</definedName>
    <definedName name="BOTA" localSheetId="0">#REF!</definedName>
    <definedName name="BOTA">#REF!</definedName>
    <definedName name="botl" localSheetId="0">#REF!</definedName>
    <definedName name="botl">#REF!</definedName>
    <definedName name="botl1" localSheetId="0">#REF!</definedName>
    <definedName name="botl1">#REF!</definedName>
    <definedName name="botn" localSheetId="0">#REF!</definedName>
    <definedName name="botn">#REF!</definedName>
    <definedName name="bp" localSheetId="0">#REF!</definedName>
    <definedName name="bp">#REF!</definedName>
    <definedName name="br" localSheetId="0">#REF!</definedName>
    <definedName name="br">[6]Data!#REF!</definedName>
    <definedName name="Br.Par_2.0" localSheetId="0">#REF!</definedName>
    <definedName name="Br.Par_2.0">#REF!</definedName>
    <definedName name="Br.Par_2.25">#REF!</definedName>
    <definedName name="Br.Par_2.50">#REF!</definedName>
    <definedName name="Br.Par_2.75">#REF!</definedName>
    <definedName name="Br.Par_3.0">#REF!</definedName>
    <definedName name="breadth" localSheetId="0">#REF!</definedName>
    <definedName name="breadth">#REF!</definedName>
    <definedName name="Breaks" localSheetId="0">#REF!</definedName>
    <definedName name="Breaks">#REF!</definedName>
    <definedName name="BRICK_PARTITION" localSheetId="0">#REF!</definedName>
    <definedName name="BRICK_PARTITION">#REF!</definedName>
    <definedName name="BRICK2F" localSheetId="0">#REF!</definedName>
    <definedName name="BRICK2F">#REF!</definedName>
    <definedName name="BRICK3F" localSheetId="0">#REF!</definedName>
    <definedName name="BRICK3F">#REF!</definedName>
    <definedName name="BRICK4F" localSheetId="0">#REF!</definedName>
    <definedName name="BRICK4F">#REF!</definedName>
    <definedName name="BRICKFF" localSheetId="0">#REF!</definedName>
    <definedName name="BRICKFF">#REF!</definedName>
    <definedName name="BRICKGF" localSheetId="0">#REF!</definedName>
    <definedName name="BRICKGF">#REF!</definedName>
    <definedName name="bs" localSheetId="0">#REF!</definedName>
    <definedName name="bs">#REF!</definedName>
    <definedName name="bsec1" localSheetId="0">#REF!</definedName>
    <definedName name="bsec1">#REF!</definedName>
    <definedName name="BSEC11" localSheetId="0">#REF!</definedName>
    <definedName name="BSEC11">#REF!</definedName>
    <definedName name="BSEC12" localSheetId="0">#REF!</definedName>
    <definedName name="BSEC12">#REF!</definedName>
    <definedName name="bsec2" localSheetId="0">#REF!</definedName>
    <definedName name="bsec2">#REF!</definedName>
    <definedName name="bsec22" localSheetId="0">#REF!</definedName>
    <definedName name="bsec22">#REF!</definedName>
    <definedName name="bsec3" localSheetId="0">#REF!</definedName>
    <definedName name="bsec3">#REF!</definedName>
    <definedName name="BSEC31" localSheetId="0">#REF!</definedName>
    <definedName name="BSEC31">#REF!</definedName>
    <definedName name="bsec33" localSheetId="0">#REF!</definedName>
    <definedName name="bsec33">#REF!</definedName>
    <definedName name="bsec35" localSheetId="0">#REF!</definedName>
    <definedName name="bsec35">#REF!</definedName>
    <definedName name="bsec4" localSheetId="0">#REF!</definedName>
    <definedName name="bsec4">#REF!</definedName>
    <definedName name="bsec44" localSheetId="0">#REF!</definedName>
    <definedName name="bsec44">#REF!</definedName>
    <definedName name="bsec45" localSheetId="0">#REF!</definedName>
    <definedName name="bsec45">#REF!</definedName>
    <definedName name="bsec5" localSheetId="0">#REF!</definedName>
    <definedName name="bsec5">#REF!</definedName>
    <definedName name="BSEC56" localSheetId="0">#REF!</definedName>
    <definedName name="BSEC56">#REF!</definedName>
    <definedName name="bsec6" localSheetId="0">#REF!</definedName>
    <definedName name="bsec6">#REF!</definedName>
    <definedName name="bsec66" localSheetId="0">#REF!</definedName>
    <definedName name="bsec66">#REF!</definedName>
    <definedName name="BSEC67" localSheetId="0">#REF!</definedName>
    <definedName name="BSEC67">#REF!</definedName>
    <definedName name="BSEC7" localSheetId="0">#REF!</definedName>
    <definedName name="BSEC7">#REF!</definedName>
    <definedName name="bsr" localSheetId="0">#REF!</definedName>
    <definedName name="bsr">#REF!</definedName>
    <definedName name="bua" localSheetId="0">#REF!</definedName>
    <definedName name="bua">#REF!</definedName>
    <definedName name="bud_autho.org" localSheetId="0">#REF!</definedName>
    <definedName name="bud_autho.org">#REF!</definedName>
    <definedName name="bud_autho.trf" localSheetId="0">#REF!</definedName>
    <definedName name="bud_autho.trf">#REF!</definedName>
    <definedName name="bud_ccu.org" localSheetId="0">#REF!</definedName>
    <definedName name="bud_ccu.org">#REF!</definedName>
    <definedName name="bud_ccu.trf" localSheetId="0">#REF!</definedName>
    <definedName name="bud_ccu.trf">#REF!</definedName>
    <definedName name="bud_com.org" localSheetId="0">#REF!</definedName>
    <definedName name="bud_com.org">#REF!</definedName>
    <definedName name="bud_com.trf" localSheetId="0">#REF!</definedName>
    <definedName name="bud_com.trf">#REF!</definedName>
    <definedName name="bud_dax.con" localSheetId="0">#REF!</definedName>
    <definedName name="bud_dax.con">#REF!</definedName>
    <definedName name="bud_dax.con.org" localSheetId="0">#REF!</definedName>
    <definedName name="bud_dax.con.org">#REF!</definedName>
    <definedName name="bud_dax.con.trf" localSheetId="0">#REF!</definedName>
    <definedName name="bud_dax.con.trf">#REF!</definedName>
    <definedName name="bud_dax.org" localSheetId="0">#REF!</definedName>
    <definedName name="bud_dax.org">#REF!</definedName>
    <definedName name="bud_dax.rev" localSheetId="0">#REF!</definedName>
    <definedName name="bud_dax.rev">#REF!</definedName>
    <definedName name="bud_dax.trf" localSheetId="0">#REF!</definedName>
    <definedName name="bud_dax.trf">#REF!</definedName>
    <definedName name="bud_dem.org" localSheetId="0">#REF!</definedName>
    <definedName name="bud_dem.org">#REF!</definedName>
    <definedName name="bud_dem.trf" localSheetId="0">#REF!</definedName>
    <definedName name="bud_dem.trf">#REF!</definedName>
    <definedName name="bud_fee.org" localSheetId="0">#REF!</definedName>
    <definedName name="bud_fee.org">#REF!</definedName>
    <definedName name="bud_fee.trf" localSheetId="0">#REF!</definedName>
    <definedName name="bud_fee.trf">#REF!</definedName>
    <definedName name="bud_furn.org" localSheetId="0">#REF!</definedName>
    <definedName name="bud_furn.org">#REF!</definedName>
    <definedName name="bud_furn.trf" localSheetId="0">#REF!</definedName>
    <definedName name="bud_furn.trf">#REF!</definedName>
    <definedName name="bud_icu.org" localSheetId="0">#REF!</definedName>
    <definedName name="bud_icu.org">#REF!</definedName>
    <definedName name="bud_icu.trf" localSheetId="0">#REF!</definedName>
    <definedName name="bud_icu.trf">#REF!</definedName>
    <definedName name="bud_pcon.org" localSheetId="0">#REF!</definedName>
    <definedName name="bud_pcon.org">#REF!</definedName>
    <definedName name="bud_pcon.trf" localSheetId="0">#REF!</definedName>
    <definedName name="bud_pcon.trf">#REF!</definedName>
    <definedName name="bud_sun.org" localSheetId="0">#REF!</definedName>
    <definedName name="bud_sun.org">#REF!</definedName>
    <definedName name="bud_sun.trf" localSheetId="0">#REF!</definedName>
    <definedName name="bud_sun.trf">#REF!</definedName>
    <definedName name="BUDDHA" localSheetId="0">#REF!</definedName>
    <definedName name="BUDDHA">#REF!</definedName>
    <definedName name="budget" localSheetId="0">#REF!</definedName>
    <definedName name="budget">#REF!</definedName>
    <definedName name="building" localSheetId="0">#REF!</definedName>
    <definedName name="building">#REF!</definedName>
    <definedName name="building___0" localSheetId="0">#REF!</definedName>
    <definedName name="building___0">#REF!</definedName>
    <definedName name="building___11" localSheetId="0">#REF!</definedName>
    <definedName name="building___11">#REF!</definedName>
    <definedName name="building___12" localSheetId="0">#REF!</definedName>
    <definedName name="building___12">#REF!</definedName>
    <definedName name="BuiltIn_Print_Area" localSheetId="0">#REF!</definedName>
    <definedName name="BuiltIn_Print_Area">#REF!</definedName>
    <definedName name="BuiltIn_Print_Area___0" localSheetId="0">#REF!</definedName>
    <definedName name="BuiltIn_Print_Area___0">#REF!</definedName>
    <definedName name="BuiltIn_Print_Area___0___0" localSheetId="0">#REF!</definedName>
    <definedName name="BuiltIn_Print_Area___0___0">#REF!</definedName>
    <definedName name="BuiltIn_Print_Area___0___0___0" localSheetId="0">#REF!</definedName>
    <definedName name="BuiltIn_Print_Area___0___0___0">#REF!</definedName>
    <definedName name="BuiltIn_Print_Area___0___0___0___0" localSheetId="0">#REF!</definedName>
    <definedName name="BuiltIn_Print_Area___0___0___0___0">#REF!</definedName>
    <definedName name="BuiltIn_Print_Area___0___0___0___0___0" localSheetId="0">#REF!</definedName>
    <definedName name="BuiltIn_Print_Area___0___0___0___0___0">#REF!</definedName>
    <definedName name="BuiltIn_Print_Area___0___0___0___0___0___0" localSheetId="0">#REF!</definedName>
    <definedName name="BuiltIn_Print_Area___0___0___0___0___0___0">#REF!</definedName>
    <definedName name="BuiltIn_Print_Area___0___0___0___0___0___0___0" localSheetId="0">#REF!</definedName>
    <definedName name="BuiltIn_Print_Area___0___0___0___0___0___0___0">#REF!</definedName>
    <definedName name="BuiltIn_Print_Area___0___0___0___0___0___0___0___0" localSheetId="0">#REF!</definedName>
    <definedName name="BuiltIn_Print_Area___0___0___0___0___0___0___0___0">#REF!</definedName>
    <definedName name="BuiltIn_Print_Area___0___0___0___0___0___0___0___0___0" localSheetId="0">#REF!</definedName>
    <definedName name="BuiltIn_Print_Area___0___0___0___0___0___0___0___0___0">#REF!</definedName>
    <definedName name="BuiltIn_Print_Area___0___0___0___0___0___0___0___0___0___0" localSheetId="0">#REF!</definedName>
    <definedName name="BuiltIn_Print_Area___0___0___0___0___0___0___0___0___0___0">#REF!</definedName>
    <definedName name="BuiltIn_Print_Area___0___0___0___0___0___0___0___0___0___0___0" localSheetId="0">#REF!</definedName>
    <definedName name="BuiltIn_Print_Area___0___0___0___0___0___0___0___0___0___0___0">#REF!</definedName>
    <definedName name="BuiltIn_Print_Area___0___0___0___0___0___0___0___0___0___0___0___0" localSheetId="0">#REF!</definedName>
    <definedName name="BuiltIn_Print_Area___0___0___0___0___0___0___0___0___0___0___0___0">#REF!</definedName>
    <definedName name="BuiltIn_Print_Area___0___0___0___0___0___0___0___0___0___0___0___0___0" localSheetId="0">#REF!</definedName>
    <definedName name="BuiltIn_Print_Area___0___0___0___0___0___0___0___0___0___0___0___0___0">#REF!</definedName>
    <definedName name="BuiltIn_Print_Area___0___0___0___0___0___0___0___0___0___0___0___0___0___0" localSheetId="0">#REF!</definedName>
    <definedName name="BuiltIn_Print_Area___0___0___0___0___0___0___0___0___0___0___0___0___0___0">#REF!</definedName>
    <definedName name="BuiltIn_Print_Titles" localSheetId="0">#REF!</definedName>
    <definedName name="BuiltIn_Print_Titles">#REF!</definedName>
    <definedName name="BuiltIn_Print_Titles___0">#N/A</definedName>
    <definedName name="BuiltIn_Print_Titles___0___0" localSheetId="0">#REF!</definedName>
    <definedName name="BuiltIn_Print_Titles___0___0">#REF!</definedName>
    <definedName name="BuiltIn_Print_Titles___0___0___0" localSheetId="0">#REF!</definedName>
    <definedName name="BuiltIn_Print_Titles___0___0___0">#REF!</definedName>
    <definedName name="BuiltIn_Print_Titles___0___0___0___0" localSheetId="0">#REF!</definedName>
    <definedName name="BuiltIn_Print_Titles___0___0___0___0">#REF!</definedName>
    <definedName name="BuiltIn_Print_Titles___0___0___0___0___0" localSheetId="0">#REF!</definedName>
    <definedName name="BuiltIn_Print_Titles___0___0___0___0___0">#REF!</definedName>
    <definedName name="BuiltIn_Print_Titles___0___0___0___0___0___0" localSheetId="0">#REF!</definedName>
    <definedName name="BuiltIn_Print_Titles___0___0___0___0___0___0">#REF!</definedName>
    <definedName name="BuiltIn_Print_Titles___0___0___0___0___0___0___0" localSheetId="0">#REF!</definedName>
    <definedName name="BuiltIn_Print_Titles___0___0___0___0___0___0___0">#REF!</definedName>
    <definedName name="BuiltIn_Print_Titles___0___0___0___0___0___0___0___0" localSheetId="0">#REF!</definedName>
    <definedName name="BuiltIn_Print_Titles___0___0___0___0___0___0___0___0">#REF!</definedName>
    <definedName name="BuiltIn_Print_Titles___0___0___0___0___0___0___0___0___0" localSheetId="0">#REF!</definedName>
    <definedName name="BuiltIn_Print_Titles___0___0___0___0___0___0___0___0___0">#REF!</definedName>
    <definedName name="BuiltIn_Print_Titles___0___0___0___0___0___0___0___0___0___0" localSheetId="0">#REF!</definedName>
    <definedName name="BuiltIn_Print_Titles___0___0___0___0___0___0___0___0___0___0">#REF!</definedName>
    <definedName name="BuiltIn_Print_Titles___0___0___0___0___0___0___0___0___0___0___0" localSheetId="0">#REF!</definedName>
    <definedName name="BuiltIn_Print_Titles___0___0___0___0___0___0___0___0___0___0___0">#REF!</definedName>
    <definedName name="BuiltIn_Print_Titles___0___0___0___0___0___0___0___0___0___0___0___0" localSheetId="0">#REF!</definedName>
    <definedName name="BuiltIn_Print_Titles___0___0___0___0___0___0___0___0___0___0___0___0">#REF!</definedName>
    <definedName name="BuiltIn_Print_Titles___0___0___0___0___0___0___0___0___0___0___0___0___0" localSheetId="0">#REF!</definedName>
    <definedName name="BuiltIn_Print_Titles___0___0___0___0___0___0___0___0___0___0___0___0___0">#REF!</definedName>
    <definedName name="BuiltIn_Print_Titles___0___0___0___0___0___0___0___0___0___0___0___0___0___0" localSheetId="0">#REF!</definedName>
    <definedName name="BuiltIn_Print_Titles___0___0___0___0___0___0___0___0___0___0___0___0___0___0">#REF!</definedName>
    <definedName name="BUS" localSheetId="0">#REF!</definedName>
    <definedName name="BUS">#REF!</definedName>
    <definedName name="Button_5">"AS_PER_TALLY_31_09_04_ONYX_List"</definedName>
    <definedName name="Button_7">"AS_PER_TALLY_31_09_04_ONYX_List1"</definedName>
    <definedName name="Button_8">"AS_PER_TALLY_31_09_04_ONYX_List1"</definedName>
    <definedName name="bvcvhcv" localSheetId="0">#REF!</definedName>
    <definedName name="bvcvhcv">#REF!</definedName>
    <definedName name="BW" localSheetId="0">#REF!</definedName>
    <definedName name="bw">#REF!</definedName>
    <definedName name="Bwire" localSheetId="0">#REF!</definedName>
    <definedName name="Bwire">#REF!</definedName>
    <definedName name="Bx" localSheetId="0">#REF!</definedName>
    <definedName name="Bx">#REF!</definedName>
    <definedName name="Bx___0" localSheetId="0">#REF!</definedName>
    <definedName name="Bx___0">#REF!</definedName>
    <definedName name="Bx___13" localSheetId="0">#REF!</definedName>
    <definedName name="Bx___13">#REF!</definedName>
    <definedName name="C.C.1.2.4" localSheetId="0">#REF!</definedName>
    <definedName name="C.C.1.2.4">#REF!</definedName>
    <definedName name="C.C.One_and_half" localSheetId="0">#REF!</definedName>
    <definedName name="C.C.One_and_half">#REF!</definedName>
    <definedName name="C.L.WALL" localSheetId="0">#REF!</definedName>
    <definedName name="C.L.WALL">#REF!</definedName>
    <definedName name="C.L.WALL1" localSheetId="0">#REF!</definedName>
    <definedName name="C.L.WALL1">#REF!</definedName>
    <definedName name="C.M.1.1" localSheetId="0">#REF!</definedName>
    <definedName name="C.M.1.1">#REF!</definedName>
    <definedName name="C.M.1.1.5" localSheetId="0">#REF!</definedName>
    <definedName name="C.M.1.1.5">#REF!</definedName>
    <definedName name="c.nos" localSheetId="0">#REF!</definedName>
    <definedName name="c.nos">#REF!</definedName>
    <definedName name="C.S.WALL" localSheetId="0">#REF!</definedName>
    <definedName name="C.S.WALL">#REF!</definedName>
    <definedName name="c_" localSheetId="0">#REF!</definedName>
    <definedName name="c_">#REF!</definedName>
    <definedName name="c110." localSheetId="0">#REF!</definedName>
    <definedName name="c110.">#REF!</definedName>
    <definedName name="ca">188*1.5</definedName>
    <definedName name="ca1boq" localSheetId="0">#REF!</definedName>
    <definedName name="ca1boq">#REF!</definedName>
    <definedName name="cabinet" localSheetId="0">#REF!</definedName>
    <definedName name="cabinet">#REF!</definedName>
    <definedName name="CABLE" localSheetId="0">#REF!</definedName>
    <definedName name="CABLE">#REF!</definedName>
    <definedName name="CalFicVal" localSheetId="0">#REF!</definedName>
    <definedName name="CalFicVal">#REF!</definedName>
    <definedName name="CalFicVal_I" localSheetId="0">#REF!</definedName>
    <definedName name="CalFicVal_I">#REF!</definedName>
    <definedName name="Calorfic_Value" localSheetId="0">#REF!</definedName>
    <definedName name="Calorfic_Value">#REF!</definedName>
    <definedName name="calpersteel" localSheetId="0">#REF!</definedName>
    <definedName name="calpersteel">#REF!</definedName>
    <definedName name="CAPAPR" localSheetId="0">#REF!</definedName>
    <definedName name="CAPAPR">#REF!</definedName>
    <definedName name="CAPAUG" localSheetId="0">#REF!</definedName>
    <definedName name="CAPAUG">#REF!</definedName>
    <definedName name="CAPDEC" localSheetId="0">#REF!</definedName>
    <definedName name="CAPDEC">#REF!</definedName>
    <definedName name="CAPFEB" localSheetId="0">#REF!</definedName>
    <definedName name="CAPFEB">#REF!</definedName>
    <definedName name="capital" localSheetId="0">#REF!</definedName>
    <definedName name="capital">#REF!</definedName>
    <definedName name="CAPJAN" localSheetId="0">#REF!</definedName>
    <definedName name="CAPJAN">#REF!</definedName>
    <definedName name="CAPJUL" localSheetId="0">#REF!</definedName>
    <definedName name="CAPJUL">#REF!</definedName>
    <definedName name="CAPJUN" localSheetId="0">#REF!</definedName>
    <definedName name="CAPJUN">#REF!</definedName>
    <definedName name="CAPMAR" localSheetId="0">#REF!</definedName>
    <definedName name="CAPMAR">#REF!</definedName>
    <definedName name="CAPMAY" localSheetId="0">#REF!</definedName>
    <definedName name="CAPMAY">#REF!</definedName>
    <definedName name="CAPNOV" localSheetId="0">#REF!</definedName>
    <definedName name="CAPNOV">#REF!</definedName>
    <definedName name="CAPOCT" localSheetId="0">#REF!</definedName>
    <definedName name="CAPOCT">#REF!</definedName>
    <definedName name="CAPSEP" localSheetId="0">#REF!</definedName>
    <definedName name="CAPSEP">#REF!</definedName>
    <definedName name="CapUtil1" localSheetId="0">#REF!</definedName>
    <definedName name="CapUtil1">#REF!</definedName>
    <definedName name="CapUtil1_I" localSheetId="0">#REF!</definedName>
    <definedName name="CapUtil1_I">#REF!</definedName>
    <definedName name="CapUtil2" localSheetId="0">#REF!</definedName>
    <definedName name="CapUtil2">#REF!</definedName>
    <definedName name="CapUtil2_I" localSheetId="0">#REF!</definedName>
    <definedName name="CapUtil2_I">#REF!</definedName>
    <definedName name="CapUtil3" localSheetId="0">#REF!</definedName>
    <definedName name="CapUtil3">#REF!</definedName>
    <definedName name="CapUtil3_I" localSheetId="0">#REF!</definedName>
    <definedName name="CapUtil3_I">#REF!</definedName>
    <definedName name="carpet" localSheetId="0">#REF!</definedName>
    <definedName name="carpet">#REF!</definedName>
    <definedName name="carpet___0" localSheetId="0">#REF!</definedName>
    <definedName name="carpet___0">#REF!</definedName>
    <definedName name="carpet___11" localSheetId="0">#REF!</definedName>
    <definedName name="carpet___11">#REF!</definedName>
    <definedName name="carpet___12" localSheetId="0">#REF!</definedName>
    <definedName name="carpet___12">#REF!</definedName>
    <definedName name="CARPET1" localSheetId="0">#REF!</definedName>
    <definedName name="CARPET1">#REF!</definedName>
    <definedName name="cash_bank" localSheetId="0">#REF!</definedName>
    <definedName name="cash_bank">#REF!</definedName>
    <definedName name="CASH_OUT" localSheetId="0">#REF!</definedName>
    <definedName name="CASH_OUT">#REF!</definedName>
    <definedName name="cashflow_3" localSheetId="0">#REF!</definedName>
    <definedName name="cashflow_3">#REF!</definedName>
    <definedName name="cashflow1" localSheetId="0">#REF!</definedName>
    <definedName name="cashflow1">#REF!</definedName>
    <definedName name="category" localSheetId="0">#REF!</definedName>
    <definedName name="category">#REF!</definedName>
    <definedName name="Category_All" localSheetId="0">#REF!</definedName>
    <definedName name="Category_All">#REF!</definedName>
    <definedName name="CATIN">#N/A</definedName>
    <definedName name="CATJYOU">#N/A</definedName>
    <definedName name="CATREC">#N/A</definedName>
    <definedName name="CATSYU">#N/A</definedName>
    <definedName name="CB" localSheetId="0">#REF!</definedName>
    <definedName name="CB">#REF!</definedName>
    <definedName name="CBBC6460">"SOUTHCITY SHOPPING MALL"</definedName>
    <definedName name="CBBK6526">"GODREJ WATERSIDE"</definedName>
    <definedName name="CBBX6465">"MEDICAL COLLEGE AT AGARTALA"</definedName>
    <definedName name="cbgl1" localSheetId="0">#REF!</definedName>
    <definedName name="cbgl1">#REF!</definedName>
    <definedName name="cbgl2" localSheetId="0">#REF!</definedName>
    <definedName name="cbgl2">#REF!</definedName>
    <definedName name="cbgl3" localSheetId="0">#REF!</definedName>
    <definedName name="cbgl3">#REF!</definedName>
    <definedName name="cbgl4" localSheetId="0">#REF!</definedName>
    <definedName name="cbgl4">#REF!</definedName>
    <definedName name="CBHG6464">"GAMES VILLAGE AT GUWAHATI"</definedName>
    <definedName name="cc" localSheetId="0">#REF!</definedName>
    <definedName name="cc">#REF!</definedName>
    <definedName name="CC_1.5.10_foundation" localSheetId="0">#REF!</definedName>
    <definedName name="CC_1.5.10_foundation">#REF!</definedName>
    <definedName name="CC5a" localSheetId="0">#REF!</definedName>
    <definedName name="CC5a">#REF!</definedName>
    <definedName name="CC5a1" localSheetId="0">#REF!</definedName>
    <definedName name="CC5a1">#REF!</definedName>
    <definedName name="cca" localSheetId="0">#REF!</definedName>
    <definedName name="cca">#REF!</definedName>
    <definedName name="CCB" localSheetId="0">#REF!</definedName>
    <definedName name="CCB">#REF!</definedName>
    <definedName name="CCBG4934">"SOMANI HOUSING"</definedName>
    <definedName name="CCBO4733">"DAV SCHOOL"</definedName>
    <definedName name="CCBX4600">"HOSPITAL COMPLEX-NEIGRIHMS"</definedName>
    <definedName name="ccc" localSheetId="0">#REF!</definedName>
    <definedName name="ccc">#REF!</definedName>
    <definedName name="cccc" localSheetId="0">#REF!</definedName>
    <definedName name="cccc">#REF!</definedName>
    <definedName name="ccccc" localSheetId="0" hidden="1">{#N/A,#N/A,FALSE,"mpph1";#N/A,#N/A,FALSE,"mpmseb";#N/A,#N/A,FALSE,"mpph2"}</definedName>
    <definedName name="ccccc" hidden="1">{#N/A,#N/A,FALSE,"mpph1";#N/A,#N/A,FALSE,"mpmseb";#N/A,#N/A,FALSE,"mpph2"}</definedName>
    <definedName name="cccccccc" localSheetId="0">#REF!</definedName>
    <definedName name="cccccccc">#REF!</definedName>
    <definedName name="ccolagl" localSheetId="0">#REF!</definedName>
    <definedName name="ccolagl">#REF!</definedName>
    <definedName name="cdu" localSheetId="0" hidden="1">{#N/A,#N/A,FALSE,"COVER.XLS";#N/A,#N/A,FALSE,"RACT1.XLS";#N/A,#N/A,FALSE,"RACT2.XLS";#N/A,#N/A,FALSE,"ECCMP";#N/A,#N/A,FALSE,"WELDER.XLS"}</definedName>
    <definedName name="cdu" hidden="1">{#N/A,#N/A,FALSE,"COVER.XLS";#N/A,#N/A,FALSE,"RACT1.XLS";#N/A,#N/A,FALSE,"RACT2.XLS";#N/A,#N/A,FALSE,"ECCMP";#N/A,#N/A,FALSE,"WELDER.XLS"}</definedName>
    <definedName name="ce" localSheetId="0">#REF!</definedName>
    <definedName name="ce">#REF!</definedName>
    <definedName name="Ceiling_Fin" localSheetId="0">#REF!</definedName>
    <definedName name="Ceiling_Fin">#REF!</definedName>
    <definedName name="Ceiling_Finishes" localSheetId="0">#REF!</definedName>
    <definedName name="Ceiling_Finishes">#REF!</definedName>
    <definedName name="Ceilingplast">#REF!</definedName>
    <definedName name="Cement">"$#REF!.$B$5"</definedName>
    <definedName name="Cement_124" localSheetId="0">#REF!</definedName>
    <definedName name="Cement_124">#REF!</definedName>
    <definedName name="Cement_Paint">#REF!</definedName>
    <definedName name="CENTER" localSheetId="0" hidden="1">#REF!</definedName>
    <definedName name="CENTER" hidden="1">#REF!</definedName>
    <definedName name="CENTERING">#REF!</definedName>
    <definedName name="Central_Services" localSheetId="0">#REF!</definedName>
    <definedName name="Central_Services">#REF!</definedName>
    <definedName name="ceramic">#REF!</definedName>
    <definedName name="Ceramic_tiles" localSheetId="0">#REF!</definedName>
    <definedName name="Ceramic_tiles">#REF!</definedName>
    <definedName name="cf" localSheetId="0">#REF!</definedName>
    <definedName name="cf">[6]Data!#REF!</definedName>
    <definedName name="cfa" localSheetId="0">#REF!</definedName>
    <definedName name="cfa">#REF!</definedName>
    <definedName name="cfb" localSheetId="0">#REF!</definedName>
    <definedName name="cfb">#REF!</definedName>
    <definedName name="cfbeams" localSheetId="0">#REF!</definedName>
    <definedName name="cfbeams">#REF!</definedName>
    <definedName name="cfsalb" localSheetId="0">#REF!</definedName>
    <definedName name="cfsalb">#REF!</definedName>
    <definedName name="cfslab" localSheetId="0">#REF!</definedName>
    <definedName name="cfslab">#REF!</definedName>
    <definedName name="cgb" localSheetId="0">#REF!</definedName>
    <definedName name="cgb">#REF!</definedName>
    <definedName name="cgh">#REF!</definedName>
    <definedName name="ch" localSheetId="0">#REF!</definedName>
    <definedName name="ch">#REF!</definedName>
    <definedName name="Cha" localSheetId="0" hidden="1">{#N/A,#N/A,FALSE,"gc (2)"}</definedName>
    <definedName name="Cha" hidden="1">{#N/A,#N/A,FALSE,"gc (2)"}</definedName>
    <definedName name="champer" localSheetId="0">#REF!</definedName>
    <definedName name="champer">#REF!</definedName>
    <definedName name="ChartData_Monthly" localSheetId="0">#REF!</definedName>
    <definedName name="ChartData_Monthly">#REF!</definedName>
    <definedName name="ChartData_Weekly" localSheetId="0">#REF!</definedName>
    <definedName name="ChartData_Weekly">#REF!</definedName>
    <definedName name="check" localSheetId="0">#REF!</definedName>
    <definedName name="check">#REF!</definedName>
    <definedName name="CHECK12" localSheetId="0">#REF!</definedName>
    <definedName name="CHECK12">#REF!</definedName>
    <definedName name="checked" localSheetId="0">#REF!</definedName>
    <definedName name="checked">#REF!</definedName>
    <definedName name="City" localSheetId="0">#REF!</definedName>
    <definedName name="City">#REF!</definedName>
    <definedName name="CKECK112" localSheetId="0">#REF!</definedName>
    <definedName name="CKECK112">#REF!</definedName>
    <definedName name="CL" localSheetId="0">#REF!</definedName>
    <definedName name="CL">#REF!</definedName>
    <definedName name="clbs" localSheetId="0">#REF!</definedName>
    <definedName name="clbs">#REF!</definedName>
    <definedName name="cld" localSheetId="0">#REF!</definedName>
    <definedName name="cld">#REF!</definedName>
    <definedName name="Cleaning" localSheetId="0">#REF!</definedName>
    <definedName name="Cleaning">#REF!</definedName>
    <definedName name="ClientAddress1" localSheetId="0">#REF!</definedName>
    <definedName name="ClientAddress1">#REF!</definedName>
    <definedName name="ClientAddress2" localSheetId="0">#REF!</definedName>
    <definedName name="ClientAddress2">#REF!</definedName>
    <definedName name="ClientCity" localSheetId="0">#REF!</definedName>
    <definedName name="ClientCity">#REF!</definedName>
    <definedName name="ClientCountry" localSheetId="0">#REF!</definedName>
    <definedName name="ClientCountry">#REF!</definedName>
    <definedName name="ClientEmail" localSheetId="0">#REF!</definedName>
    <definedName name="ClientEmail">#REF!</definedName>
    <definedName name="ClientFax" localSheetId="0">#REF!</definedName>
    <definedName name="ClientFax">#REF!</definedName>
    <definedName name="ClientPhone" localSheetId="0">#REF!</definedName>
    <definedName name="ClientPhone">#REF!</definedName>
    <definedName name="ClientState" localSheetId="0">#REF!</definedName>
    <definedName name="ClientState">#REF!</definedName>
    <definedName name="ClientZip" localSheetId="0">#REF!</definedName>
    <definedName name="ClientZip">#REF!</definedName>
    <definedName name="clintels" localSheetId="0">#REF!</definedName>
    <definedName name="clintels">#REF!</definedName>
    <definedName name="cll" localSheetId="0">#REF!</definedName>
    <definedName name="cll">#REF!</definedName>
    <definedName name="clobs" localSheetId="0">#REF!</definedName>
    <definedName name="clobs">#REF!</definedName>
    <definedName name="clod" localSheetId="0">#REF!</definedName>
    <definedName name="clod">#REF!</definedName>
    <definedName name="clol" localSheetId="0">#REF!</definedName>
    <definedName name="clol">#REF!</definedName>
    <definedName name="clot" localSheetId="0">#REF!</definedName>
    <definedName name="clot">#REF!</definedName>
    <definedName name="clt" localSheetId="0">#REF!</definedName>
    <definedName name="clt">#REF!</definedName>
    <definedName name="CM_14" localSheetId="0">#REF!</definedName>
    <definedName name="CM_14">#REF!</definedName>
    <definedName name="co" localSheetId="0">#REF!</definedName>
    <definedName name="co">'[7]ST-O'!$AE$3</definedName>
    <definedName name="CoalCost" localSheetId="0">#REF!</definedName>
    <definedName name="CoalCost">#REF!</definedName>
    <definedName name="CoalCost_I" localSheetId="0">#REF!</definedName>
    <definedName name="CoalCost_I">#REF!</definedName>
    <definedName name="CoalWasChrgs" localSheetId="0">#REF!</definedName>
    <definedName name="CoalWasChrgs">#REF!</definedName>
    <definedName name="CoalWasChrgs_I" localSheetId="0">#REF!</definedName>
    <definedName name="CoalWasChrgs_I">#REF!</definedName>
    <definedName name="Coarsesand" localSheetId="0">#REF!</definedName>
    <definedName name="Coarsesand">#REF!</definedName>
    <definedName name="Code" localSheetId="0" hidden="1">#REF!</definedName>
    <definedName name="Code" hidden="1">#REF!</definedName>
    <definedName name="CODE0002" localSheetId="0">#REF!</definedName>
    <definedName name="CODE0002">#REF!</definedName>
    <definedName name="CODE0012" localSheetId="0">#REF!</definedName>
    <definedName name="CODE0012">#REF!</definedName>
    <definedName name="code0101" localSheetId="0">#REF!</definedName>
    <definedName name="code0101">#REF!</definedName>
    <definedName name="code0102" localSheetId="0">#REF!</definedName>
    <definedName name="code0102">#REF!</definedName>
    <definedName name="code0114" localSheetId="0">#REF!</definedName>
    <definedName name="code0114">#REF!</definedName>
    <definedName name="code0115" localSheetId="0">#REF!</definedName>
    <definedName name="code0115">#REF!</definedName>
    <definedName name="code0123" localSheetId="0">#REF!</definedName>
    <definedName name="code0123">#REF!</definedName>
    <definedName name="code0124" localSheetId="0">#REF!</definedName>
    <definedName name="code0124">#REF!</definedName>
    <definedName name="CODE0155" localSheetId="0">#REF!</definedName>
    <definedName name="CODE0155">#REF!</definedName>
    <definedName name="CODE0293" localSheetId="0">#REF!</definedName>
    <definedName name="CODE0293">#REF!</definedName>
    <definedName name="CODE0295" localSheetId="0">#REF!</definedName>
    <definedName name="CODE0295">#REF!</definedName>
    <definedName name="CODE0297" localSheetId="0">#REF!</definedName>
    <definedName name="CODE0297">#REF!</definedName>
    <definedName name="CODE0367" localSheetId="0">#REF!</definedName>
    <definedName name="CODE0367">#REF!</definedName>
    <definedName name="CODE0982" localSheetId="0">#REF!</definedName>
    <definedName name="CODE0982">#REF!</definedName>
    <definedName name="code0983" localSheetId="0">#REF!</definedName>
    <definedName name="code0983">#REF!</definedName>
    <definedName name="code1005" localSheetId="0">#REF!</definedName>
    <definedName name="code1005">#REF!</definedName>
    <definedName name="code2107" localSheetId="0">#REF!</definedName>
    <definedName name="code2107">#REF!</definedName>
    <definedName name="CODE2108" localSheetId="0">#REF!</definedName>
    <definedName name="CODE2108">#REF!</definedName>
    <definedName name="code2110" localSheetId="0">#REF!</definedName>
    <definedName name="code2110">#REF!</definedName>
    <definedName name="code2113" localSheetId="0">#REF!</definedName>
    <definedName name="code2113">#REF!</definedName>
    <definedName name="code2115" localSheetId="0">#REF!</definedName>
    <definedName name="code2115">#REF!</definedName>
    <definedName name="code2201" localSheetId="0">#REF!</definedName>
    <definedName name="code2201">#REF!</definedName>
    <definedName name="code2202" localSheetId="0">#REF!</definedName>
    <definedName name="code2202">#REF!</definedName>
    <definedName name="code2203" localSheetId="0">#REF!</definedName>
    <definedName name="code2203">#REF!</definedName>
    <definedName name="code2205" localSheetId="0">#REF!</definedName>
    <definedName name="code2205">#REF!</definedName>
    <definedName name="code2206" localSheetId="0">#REF!</definedName>
    <definedName name="code2206">#REF!</definedName>
    <definedName name="code2209" localSheetId="0">#REF!</definedName>
    <definedName name="code2209">#REF!</definedName>
    <definedName name="code2261" localSheetId="0">#REF!</definedName>
    <definedName name="code2261">#REF!</definedName>
    <definedName name="code2602" localSheetId="0">#REF!</definedName>
    <definedName name="code2602">#REF!</definedName>
    <definedName name="code7335" localSheetId="0">#REF!</definedName>
    <definedName name="code7335">#REF!</definedName>
    <definedName name="code9999" localSheetId="0">#REF!</definedName>
    <definedName name="code9999">#REF!</definedName>
    <definedName name="coimbatore" localSheetId="0">#REF!</definedName>
    <definedName name="coimbatore">#REF!</definedName>
    <definedName name="col" localSheetId="0">#REF!</definedName>
    <definedName name="col">#REF!</definedName>
    <definedName name="col___0" localSheetId="0">#REF!</definedName>
    <definedName name="col___0">#REF!</definedName>
    <definedName name="col___11" localSheetId="0">#REF!</definedName>
    <definedName name="col___11">#REF!</definedName>
    <definedName name="col___12" localSheetId="0">#REF!</definedName>
    <definedName name="col___12">#REF!</definedName>
    <definedName name="Colbgl" localSheetId="0">#REF!</definedName>
    <definedName name="Colbgl">#REF!</definedName>
    <definedName name="colbgl2" localSheetId="0">#REF!</definedName>
    <definedName name="colbgl2">#REF!</definedName>
    <definedName name="COLOUR_WASHING" localSheetId="0">#REF!</definedName>
    <definedName name="COLOUR_WASHING">[8]data!#REF!</definedName>
    <definedName name="COLSK10" localSheetId="0">#REF!</definedName>
    <definedName name="COLSK10">#REF!</definedName>
    <definedName name="COLSK11" localSheetId="0">#REF!</definedName>
    <definedName name="COLSK11">#REF!</definedName>
    <definedName name="COLSK16" localSheetId="0">#REF!</definedName>
    <definedName name="COLSK16">#REF!</definedName>
    <definedName name="columnLength" localSheetId="0">#REF!</definedName>
    <definedName name="columnLength">#REF!</definedName>
    <definedName name="ColumnReft" localSheetId="0">#REF!</definedName>
    <definedName name="ColumnReft">#REF!</definedName>
    <definedName name="Columns" localSheetId="0">#REF!</definedName>
    <definedName name="Columns">#REF!</definedName>
    <definedName name="com" localSheetId="0" hidden="1">{#N/A,#N/A,FALSE,"mpph1";#N/A,#N/A,FALSE,"mpmseb";#N/A,#N/A,FALSE,"mpph2"}</definedName>
    <definedName name="com" hidden="1">{#N/A,#N/A,FALSE,"mpph1";#N/A,#N/A,FALSE,"mpmseb";#N/A,#N/A,FALSE,"mpph2"}</definedName>
    <definedName name="Comments" localSheetId="0">#REF!</definedName>
    <definedName name="Comments">#REF!</definedName>
    <definedName name="commMaxDiv" localSheetId="0">#REF!</definedName>
    <definedName name="commMaxDiv">#REF!</definedName>
    <definedName name="Communications" localSheetId="0">#REF!</definedName>
    <definedName name="Communications">#REF!</definedName>
    <definedName name="COMP250" localSheetId="0">#REF!</definedName>
    <definedName name="COMP250">#REF!</definedName>
    <definedName name="Company" localSheetId="0">#REF!</definedName>
    <definedName name="Company">#REF!</definedName>
    <definedName name="CompanyInfo1">"JCI"</definedName>
    <definedName name="CompanyInfo2">"JCI"</definedName>
    <definedName name="COMPARISON" localSheetId="0" hidden="1">{#N/A,#N/A,FALSE,"mpph1";#N/A,#N/A,FALSE,"mpmseb";#N/A,#N/A,FALSE,"mpph2"}</definedName>
    <definedName name="COMPARISON" hidden="1">{#N/A,#N/A,FALSE,"mpph1";#N/A,#N/A,FALSE,"mpmseb";#N/A,#N/A,FALSE,"mpph2"}</definedName>
    <definedName name="conc13" localSheetId="0">#REF!</definedName>
    <definedName name="conc13">#REF!</definedName>
    <definedName name="Conc14" localSheetId="0">#REF!</definedName>
    <definedName name="Conc14">#REF!</definedName>
    <definedName name="cond1" localSheetId="0">#REF!</definedName>
    <definedName name="cond1">#REF!</definedName>
    <definedName name="cond2" localSheetId="0">#REF!</definedName>
    <definedName name="cond2">#REF!</definedName>
    <definedName name="confli" localSheetId="0">#REF!</definedName>
    <definedName name="confli">#REF!</definedName>
    <definedName name="conm10" localSheetId="0">#REF!</definedName>
    <definedName name="conm10">#REF!</definedName>
    <definedName name="conm15" localSheetId="0">#REF!</definedName>
    <definedName name="conm15">#REF!</definedName>
    <definedName name="conm20" localSheetId="0">#REF!</definedName>
    <definedName name="conm20">#REF!</definedName>
    <definedName name="CONS" localSheetId="0">#REF!</definedName>
    <definedName name="CONS">#REF!</definedName>
    <definedName name="_xlnm.Consolidate_Area">#N/A</definedName>
    <definedName name="constrn" localSheetId="0">#REF!</definedName>
    <definedName name="constrn">#REF!</definedName>
    <definedName name="Construction_Period" localSheetId="0">#REF!</definedName>
    <definedName name="Construction_Period">#REF!</definedName>
    <definedName name="cont" localSheetId="0">#REF!</definedName>
    <definedName name="cont">#REF!</definedName>
    <definedName name="Contact" localSheetId="0">#REF!</definedName>
    <definedName name="Contact">#REF!</definedName>
    <definedName name="ConTariff" localSheetId="0">#REF!</definedName>
    <definedName name="ConTariff">#REF!</definedName>
    <definedName name="ConTariff_I" localSheetId="0">#REF!</definedName>
    <definedName name="ConTariff_I">#REF!</definedName>
    <definedName name="content" localSheetId="0">#REF!</definedName>
    <definedName name="content">#REF!</definedName>
    <definedName name="Contingencies" localSheetId="0">#REF!</definedName>
    <definedName name="Contingencies">#REF!</definedName>
    <definedName name="Contngencies">#REF!</definedName>
    <definedName name="ContractName">"Contract"</definedName>
    <definedName name="ContractNumber">"88888888"</definedName>
    <definedName name="convey" localSheetId="0">#REF!</definedName>
    <definedName name="convey">#REF!</definedName>
    <definedName name="cord" localSheetId="0">#REF!</definedName>
    <definedName name="cord">#REF!</definedName>
    <definedName name="Core" localSheetId="0">#REF!</definedName>
    <definedName name="Core">#REF!</definedName>
    <definedName name="CorridorArea" localSheetId="0">#REF!</definedName>
    <definedName name="CorridorArea">#REF!</definedName>
    <definedName name="CorridorPerimeter" localSheetId="0">#REF!</definedName>
    <definedName name="CorridorPerimeter">#REF!</definedName>
    <definedName name="cosq" localSheetId="0">#REF!</definedName>
    <definedName name="cosq">#REF!</definedName>
    <definedName name="cost" localSheetId="0">#REF!</definedName>
    <definedName name="cost">#REF!</definedName>
    <definedName name="Cost_code" localSheetId="0">#REF!</definedName>
    <definedName name="Cost_code">#REF!</definedName>
    <definedName name="Cost_Per_Manday" localSheetId="0">#REF!</definedName>
    <definedName name="Cost_Per_Manday">#REF!</definedName>
    <definedName name="cost_sum" localSheetId="0">#REF!</definedName>
    <definedName name="cost_sum">#REF!</definedName>
    <definedName name="Cost10" localSheetId="0">#REF!</definedName>
    <definedName name="Cost10">#REF!</definedName>
    <definedName name="CostCoal" localSheetId="0">#REF!</definedName>
    <definedName name="CostCoal">#REF!</definedName>
    <definedName name="CostCoal_I" localSheetId="0">#REF!</definedName>
    <definedName name="CostCoal_I">#REF!</definedName>
    <definedName name="costcod" localSheetId="0">#REF!</definedName>
    <definedName name="costcod">#REF!</definedName>
    <definedName name="costcode" localSheetId="0">#REF!</definedName>
    <definedName name="costcode">#REF!</definedName>
    <definedName name="CostRej" localSheetId="0">#REF!</definedName>
    <definedName name="CostRej">#REF!</definedName>
    <definedName name="CostRej_I" localSheetId="0">#REF!</definedName>
    <definedName name="CostRej_I">#REF!</definedName>
    <definedName name="COU" localSheetId="0">#REF!</definedName>
    <definedName name="COU">#REF!</definedName>
    <definedName name="COU___0" localSheetId="0">#REF!</definedName>
    <definedName name="COU___0">#REF!</definedName>
    <definedName name="COU___13" localSheetId="0">#REF!</definedName>
    <definedName name="COU___13">#REF!</definedName>
    <definedName name="Country" localSheetId="0">#REF!</definedName>
    <definedName name="Country">#REF!</definedName>
    <definedName name="court" localSheetId="0">[9]Steel!$A$2:$B$8</definedName>
    <definedName name="court">[10]Steel!$A$2:$B$8</definedName>
    <definedName name="CP" localSheetId="0">#REF!</definedName>
    <definedName name="CP">#REF!</definedName>
    <definedName name="cr" localSheetId="0">#REF!</definedName>
    <definedName name="cr">[6]Data!#REF!</definedName>
    <definedName name="CRB" localSheetId="0">#REF!</definedName>
    <definedName name="CRB">#REF!</definedName>
    <definedName name="CRBC5556">"MILLENNIUM CENTRE AT AIZAWL"</definedName>
    <definedName name="CRBC6404">"IT PARK FOR HSBC - KOLKATA"</definedName>
    <definedName name="CRBO5640">"WIPRO LTD - SD AND IT CENTRE"</definedName>
    <definedName name="CRBO5977">"VISION COMPTECH"</definedName>
    <definedName name="CRBO5985">"SMIMS- GANGTOK"</definedName>
    <definedName name="CRBS6134">"NGS - GUWAHATI"</definedName>
    <definedName name="CRBS6428">"RAJIV GANDHI INDOOR STADIUM - GMDA, GUWAHATI"</definedName>
    <definedName name="CRBX5955">"PKG-1 FOR NEIGRIHMS, SHILLONG"</definedName>
    <definedName name="Creditors" localSheetId="0">#REF!</definedName>
    <definedName name="Creditors">#REF!</definedName>
    <definedName name="Creditors_I" localSheetId="0">#REF!</definedName>
    <definedName name="Creditors_I">#REF!</definedName>
    <definedName name="CRIT" localSheetId="0"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ICAL" localSheetId="0"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MB55" localSheetId="0">#REF!</definedName>
    <definedName name="CRMB55">#REF!</definedName>
    <definedName name="CRMB60" localSheetId="0">#REF!</definedName>
    <definedName name="CRMB60">#REF!</definedName>
    <definedName name="crore">10000000</definedName>
    <definedName name="cross">"û"</definedName>
    <definedName name="Cs" localSheetId="0">#REF!</definedName>
    <definedName name="Cs">#REF!</definedName>
    <definedName name="Cs___0" localSheetId="0">#REF!</definedName>
    <definedName name="Cs___0">#REF!</definedName>
    <definedName name="Cs___13" localSheetId="0">#REF!</definedName>
    <definedName name="Cs___13">#REF!</definedName>
    <definedName name="csl" localSheetId="0">#REF!</definedName>
    <definedName name="csl">#REF!</definedName>
    <definedName name="csshade" localSheetId="0">#REF!</definedName>
    <definedName name="csshade">#REF!</definedName>
    <definedName name="cst" localSheetId="0">#REF!</definedName>
    <definedName name="cst">#REF!</definedName>
    <definedName name="CT" localSheetId="0">#REF!</definedName>
    <definedName name="CT">#REF!</definedName>
    <definedName name="ctoc" localSheetId="0">'[11]CG -St'!$AE$1</definedName>
    <definedName name="ctoc">'[7]CG -St'!$AE$1</definedName>
    <definedName name="CTR" localSheetId="0">#REF!</definedName>
    <definedName name="CTR">#REF!</definedName>
    <definedName name="Ctype" localSheetId="0">#REF!</definedName>
    <definedName name="Ctype">#REF!</definedName>
    <definedName name="cu" localSheetId="0">#REF!</definedName>
    <definedName name="cu">[6]Data!#REF!</definedName>
    <definedName name="CUDDAPAH_40" localSheetId="0">#REF!</definedName>
    <definedName name="CUDDAPAH_40">#REF!</definedName>
    <definedName name="Cuddapah_bench" localSheetId="0">#REF!</definedName>
    <definedName name="Cuddapah_bench">[6]Data!#REF!</definedName>
    <definedName name="Cuddapah_cupboard" localSheetId="0">#REF!</definedName>
    <definedName name="Cuddapah_cupboard">[6]Data!#REF!</definedName>
    <definedName name="cummeas_June1006" localSheetId="0">#REF!</definedName>
    <definedName name="cummeas_June1006">#REF!</definedName>
    <definedName name="cummeas_may1006" localSheetId="0">#REF!</definedName>
    <definedName name="cummeas_may1006">#REF!</definedName>
    <definedName name="cummeas_up_to_mar" localSheetId="0">#REF!</definedName>
    <definedName name="cummeas_up_to_mar">#REF!</definedName>
    <definedName name="curr" localSheetId="0">#REF!</definedName>
    <definedName name="curr">#REF!</definedName>
    <definedName name="curr_liab_prov" localSheetId="0">#REF!</definedName>
    <definedName name="curr_liab_prov">#REF!</definedName>
    <definedName name="current1" localSheetId="0">#REF!</definedName>
    <definedName name="current1">#REF!</definedName>
    <definedName name="current2" localSheetId="0">#REF!</definedName>
    <definedName name="current2">#REF!</definedName>
    <definedName name="current3" localSheetId="0">#REF!</definedName>
    <definedName name="current3">#REF!</definedName>
    <definedName name="current4" localSheetId="0">#REF!</definedName>
    <definedName name="current4">#REF!</definedName>
    <definedName name="current5" localSheetId="0">#REF!</definedName>
    <definedName name="current5">#REF!</definedName>
    <definedName name="CURVE" localSheetId="0" hidden="1">{#N/A,#N/A,FALSE,"COVER1.XLS ";#N/A,#N/A,FALSE,"RACT1.XLS";#N/A,#N/A,FALSE,"RACT2.XLS";#N/A,#N/A,FALSE,"ECCMP";#N/A,#N/A,FALSE,"WELDER.XLS"}</definedName>
    <definedName name="CURVE" hidden="1">{#N/A,#N/A,FALSE,"COVER1.XLS ";#N/A,#N/A,FALSE,"RACT1.XLS";#N/A,#N/A,FALSE,"RACT2.XLS";#N/A,#N/A,FALSE,"ECCMP";#N/A,#N/A,FALSE,"WELDER.XLS"}</definedName>
    <definedName name="CustomDuty" localSheetId="0">#REF!</definedName>
    <definedName name="CustomDuty">#REF!</definedName>
    <definedName name="Customer">" "</definedName>
    <definedName name="cutoutArea" localSheetId="0">#REF!</definedName>
    <definedName name="cutoutArea">#REF!</definedName>
    <definedName name="cutoutPerimeter" localSheetId="0">#REF!</definedName>
    <definedName name="cutoutPerimeter">#REF!</definedName>
    <definedName name="Cv" localSheetId="0">#REF!</definedName>
    <definedName name="Cv">#REF!</definedName>
    <definedName name="cv_100" localSheetId="0">#REF!</definedName>
    <definedName name="cv_100">#REF!</definedName>
    <definedName name="cv_150" localSheetId="0">#REF!</definedName>
    <definedName name="cv_150">#REF!</definedName>
    <definedName name="cv_200" localSheetId="0">#REF!</definedName>
    <definedName name="cv_200">#REF!</definedName>
    <definedName name="cv_25" localSheetId="0">#REF!</definedName>
    <definedName name="cv_25">#REF!</definedName>
    <definedName name="cv_250" localSheetId="0">#REF!</definedName>
    <definedName name="cv_250">#REF!</definedName>
    <definedName name="cv_300" localSheetId="0">#REF!</definedName>
    <definedName name="cv_300">#REF!</definedName>
    <definedName name="cv_32" localSheetId="0">#REF!</definedName>
    <definedName name="cv_32">#REF!</definedName>
    <definedName name="cv_40" localSheetId="0">#REF!</definedName>
    <definedName name="cv_40">#REF!</definedName>
    <definedName name="cv_400" localSheetId="0">#REF!</definedName>
    <definedName name="cv_400">#REF!</definedName>
    <definedName name="cv_50" localSheetId="0">#REF!</definedName>
    <definedName name="cv_50">#REF!</definedName>
    <definedName name="cv_500" localSheetId="0">#REF!</definedName>
    <definedName name="cv_500">#REF!</definedName>
    <definedName name="cv_65" localSheetId="0">#REF!</definedName>
    <definedName name="cv_65">#REF!</definedName>
    <definedName name="cv_80" localSheetId="0">#REF!</definedName>
    <definedName name="cv_80">#REF!</definedName>
    <definedName name="CVT" localSheetId="0">#REF!</definedName>
    <definedName name="CVT">#REF!</definedName>
    <definedName name="CW" localSheetId="0">#REF!</definedName>
    <definedName name="cw">20</definedName>
    <definedName name="cx" localSheetId="0">#REF!</definedName>
    <definedName name="cx">#REF!</definedName>
    <definedName name="cxfzx" localSheetId="0">#REF!</definedName>
    <definedName name="cxfzx">#REF!</definedName>
    <definedName name="d" localSheetId="0">'[12]RW-ch112-142'!$I$5</definedName>
    <definedName name="D">#REF!</definedName>
    <definedName name="d.nos" localSheetId="0">#REF!</definedName>
    <definedName name="d.nos">#REF!</definedName>
    <definedName name="D_" localSheetId="0">#REF!</definedName>
    <definedName name="D_">#REF!</definedName>
    <definedName name="d___0" localSheetId="0">#REF!</definedName>
    <definedName name="d___0">#REF!</definedName>
    <definedName name="d___13" localSheetId="0">#REF!</definedName>
    <definedName name="d___13">#REF!</definedName>
    <definedName name="D_1" localSheetId="0">#REF!</definedName>
    <definedName name="D_1">#REF!</definedName>
    <definedName name="D_2" localSheetId="0">#REF!</definedName>
    <definedName name="D_2">#REF!</definedName>
    <definedName name="D_3" localSheetId="0">#REF!</definedName>
    <definedName name="D_3">#REF!</definedName>
    <definedName name="da" localSheetId="0">#REF!</definedName>
    <definedName name="da">[6]Data!#REF!</definedName>
    <definedName name="dad" localSheetId="0">#REF!</definedName>
    <definedName name="dad">#REF!</definedName>
    <definedName name="dadadad" localSheetId="0">#REF!</definedName>
    <definedName name="dadadad">#REF!</definedName>
    <definedName name="DADOO_CL.GLZ" localSheetId="0">#REF!</definedName>
    <definedName name="DADOO_CL.GLZ">#REF!</definedName>
    <definedName name="DADOO_MOSIC">#REF!</definedName>
    <definedName name="DADOO_WT.GLZ">#REF!</definedName>
    <definedName name="DADOOING" localSheetId="0">#REF!</definedName>
    <definedName name="DADOOING">#REF!</definedName>
    <definedName name="Daff" localSheetId="0">#REF!</definedName>
    <definedName name="Daff">#REF!</definedName>
    <definedName name="DAGG" localSheetId="0">#REF!</definedName>
    <definedName name="DAGG">#REF!</definedName>
    <definedName name="DAK" localSheetId="0">#REF!</definedName>
    <definedName name="DAK">#REF!</definedName>
    <definedName name="DAKS" localSheetId="0">#REF!</definedName>
    <definedName name="DAKS">#REF!</definedName>
    <definedName name="DAKSH" localSheetId="0">#REF!</definedName>
    <definedName name="DAKSH">#REF!</definedName>
    <definedName name="dam" localSheetId="0">#REF!</definedName>
    <definedName name="dam">#REF!</definedName>
    <definedName name="Damp" localSheetId="0">#REF!</definedName>
    <definedName name="Damp">#REF!</definedName>
    <definedName name="DASDSQ" localSheetId="0">#REF!</definedName>
    <definedName name="DASDSQ">#REF!</definedName>
    <definedName name="Data" localSheetId="0">#REF!</definedName>
    <definedName name="Data">#REF!</definedName>
    <definedName name="DATA_FOR_INTERNAL_SANITARY_ARRANGEMENTS" localSheetId="0">#REF!</definedName>
    <definedName name="DATA_FOR_INTERNAL_SANITARY_ARRANGEMENTS">#REF!</definedName>
    <definedName name="Data_for_internal_water_supply_arrangemets" localSheetId="0">#REF!</definedName>
    <definedName name="Data_for_internal_water_supply_arrangemets">#REF!</definedName>
    <definedName name="data1" localSheetId="0" hidden="1">#REF!</definedName>
    <definedName name="data1" hidden="1">#REF!</definedName>
    <definedName name="DATA134110" localSheetId="0">#REF!</definedName>
    <definedName name="DATA134110">#REF!</definedName>
    <definedName name="DATA134125" localSheetId="0">#REF!</definedName>
    <definedName name="DATA134125">#REF!</definedName>
    <definedName name="DATA134140" localSheetId="0">#REF!</definedName>
    <definedName name="DATA134140">#REF!</definedName>
    <definedName name="DATA134160" localSheetId="0">#REF!</definedName>
    <definedName name="DATA134160">#REF!</definedName>
    <definedName name="DATA134180" localSheetId="0">#REF!</definedName>
    <definedName name="DATA134180">#REF!</definedName>
    <definedName name="DATA134200" localSheetId="0">#REF!</definedName>
    <definedName name="DATA134200">#REF!</definedName>
    <definedName name="DATA134225" localSheetId="0">#REF!</definedName>
    <definedName name="DATA134225">#REF!</definedName>
    <definedName name="DATA134250" localSheetId="0">#REF!</definedName>
    <definedName name="DATA134250">#REF!</definedName>
    <definedName name="DATA134280" localSheetId="0">#REF!</definedName>
    <definedName name="DATA134280">#REF!</definedName>
    <definedName name="DATA134315" localSheetId="0">#REF!</definedName>
    <definedName name="DATA134315">#REF!</definedName>
    <definedName name="DATA134355" localSheetId="0">#REF!</definedName>
    <definedName name="DATA134355">#REF!</definedName>
    <definedName name="DATA134400" localSheetId="0">#REF!</definedName>
    <definedName name="DATA134400">#REF!</definedName>
    <definedName name="DATA13450" localSheetId="0">#REF!</definedName>
    <definedName name="DATA13450">#REF!</definedName>
    <definedName name="DATA13463" localSheetId="0">#REF!</definedName>
    <definedName name="DATA13463">#REF!</definedName>
    <definedName name="DATA13475" localSheetId="0">#REF!</definedName>
    <definedName name="DATA13475">#REF!</definedName>
    <definedName name="DATA13490" localSheetId="0">#REF!</definedName>
    <definedName name="DATA13490">#REF!</definedName>
    <definedName name="DATA135110" localSheetId="0">#REF!</definedName>
    <definedName name="DATA135110">#REF!</definedName>
    <definedName name="DATA135125" localSheetId="0">#REF!</definedName>
    <definedName name="DATA135125">#REF!</definedName>
    <definedName name="DATA135140" localSheetId="0">#REF!</definedName>
    <definedName name="DATA135140">#REF!</definedName>
    <definedName name="DATA135160" localSheetId="0">#REF!</definedName>
    <definedName name="DATA135160">#REF!</definedName>
    <definedName name="DATA135180" localSheetId="0">#REF!</definedName>
    <definedName name="DATA135180">#REF!</definedName>
    <definedName name="DATA135200" localSheetId="0">#REF!</definedName>
    <definedName name="DATA135200">#REF!</definedName>
    <definedName name="DATA135225" localSheetId="0">#REF!</definedName>
    <definedName name="DATA135225">#REF!</definedName>
    <definedName name="DATA135250" localSheetId="0">#REF!</definedName>
    <definedName name="DATA135250">#REF!</definedName>
    <definedName name="DATA135280" localSheetId="0">#REF!</definedName>
    <definedName name="DATA135280">#REF!</definedName>
    <definedName name="DATA135315" localSheetId="0">#REF!</definedName>
    <definedName name="DATA135315">#REF!</definedName>
    <definedName name="DATA135355" localSheetId="0">#REF!</definedName>
    <definedName name="DATA135355">#REF!</definedName>
    <definedName name="DATA135400" localSheetId="0">#REF!</definedName>
    <definedName name="DATA135400">#REF!</definedName>
    <definedName name="DATA13550" localSheetId="0">#REF!</definedName>
    <definedName name="DATA13550">#REF!</definedName>
    <definedName name="DATA13563" localSheetId="0">#REF!</definedName>
    <definedName name="DATA13563">#REF!</definedName>
    <definedName name="DATA13575" localSheetId="0">#REF!</definedName>
    <definedName name="DATA13575">#REF!</definedName>
    <definedName name="DATA13590" localSheetId="0">#REF!</definedName>
    <definedName name="DATA13590">#REF!</definedName>
    <definedName name="DATA136A" localSheetId="0">#REF!</definedName>
    <definedName name="DATA136A">#REF!</definedName>
    <definedName name="DATA136B" localSheetId="0">#REF!</definedName>
    <definedName name="DATA136B">#REF!</definedName>
    <definedName name="DATA136C" localSheetId="0">#REF!</definedName>
    <definedName name="DATA136C">#REF!</definedName>
    <definedName name="DATA136D" localSheetId="0">#REF!</definedName>
    <definedName name="DATA136D">#REF!</definedName>
    <definedName name="DATA136E" localSheetId="0">#REF!</definedName>
    <definedName name="DATA136E">#REF!</definedName>
    <definedName name="DATA136F" localSheetId="0">#REF!</definedName>
    <definedName name="DATA136F">#REF!</definedName>
    <definedName name="DATA136G" localSheetId="0">#REF!</definedName>
    <definedName name="DATA136G">#REF!</definedName>
    <definedName name="DATA136H" localSheetId="0">#REF!</definedName>
    <definedName name="DATA136H">#REF!</definedName>
    <definedName name="DATA136I" localSheetId="0">#REF!</definedName>
    <definedName name="DATA136I">#REF!</definedName>
    <definedName name="DATA136J" localSheetId="0">#REF!</definedName>
    <definedName name="DATA136J">#REF!</definedName>
    <definedName name="DATA136K" localSheetId="0">#REF!</definedName>
    <definedName name="DATA136K">#REF!</definedName>
    <definedName name="DATA136L" localSheetId="0">#REF!</definedName>
    <definedName name="DATA136L">#REF!</definedName>
    <definedName name="DATA136M" localSheetId="0">#REF!</definedName>
    <definedName name="DATA136M">#REF!</definedName>
    <definedName name="DATA136N" localSheetId="0">#REF!</definedName>
    <definedName name="DATA136N">#REF!</definedName>
    <definedName name="DATA136O" localSheetId="0">#REF!</definedName>
    <definedName name="DATA136O">#REF!</definedName>
    <definedName name="DATA136P" localSheetId="0">#REF!</definedName>
    <definedName name="DATA136P">#REF!</definedName>
    <definedName name="DATA137I" localSheetId="0">#REF!</definedName>
    <definedName name="DATA137I">#REF!</definedName>
    <definedName name="DATA137II" localSheetId="0">#REF!</definedName>
    <definedName name="DATA137II">#REF!</definedName>
    <definedName name="DATA137III" localSheetId="0">#REF!</definedName>
    <definedName name="DATA137III">#REF!</definedName>
    <definedName name="DATA137IV" localSheetId="0">#REF!</definedName>
    <definedName name="DATA137IV">#REF!</definedName>
    <definedName name="DATA137V" localSheetId="0">#REF!</definedName>
    <definedName name="DATA137V">#REF!</definedName>
    <definedName name="DATA138I" localSheetId="0">#REF!</definedName>
    <definedName name="DATA138I">#REF!</definedName>
    <definedName name="DATA138II" localSheetId="0">#REF!</definedName>
    <definedName name="DATA138II">#REF!</definedName>
    <definedName name="DATA138III" localSheetId="0">#REF!</definedName>
    <definedName name="DATA138III">#REF!</definedName>
    <definedName name="DATA138IV" localSheetId="0">#REF!</definedName>
    <definedName name="DATA138IV">#REF!</definedName>
    <definedName name="DATA138V" localSheetId="0">#REF!</definedName>
    <definedName name="DATA138V">#REF!</definedName>
    <definedName name="DATA138VI" localSheetId="0">#REF!</definedName>
    <definedName name="DATA138VI">#REF!</definedName>
    <definedName name="DATA139IX" localSheetId="0">#REF!</definedName>
    <definedName name="DATA139IX">#REF!</definedName>
    <definedName name="DATA139V" localSheetId="0">#REF!</definedName>
    <definedName name="DATA139V">#REF!</definedName>
    <definedName name="DATA139VI" localSheetId="0">#REF!</definedName>
    <definedName name="DATA139VI">#REF!</definedName>
    <definedName name="DATA139VII" localSheetId="0">#REF!</definedName>
    <definedName name="DATA139VII">#REF!</definedName>
    <definedName name="DATA139VIII" localSheetId="0">#REF!</definedName>
    <definedName name="DATA139VIII">#REF!</definedName>
    <definedName name="DATA140I" localSheetId="0">#REF!</definedName>
    <definedName name="DATA140I">#REF!</definedName>
    <definedName name="DATA140II" localSheetId="0">#REF!</definedName>
    <definedName name="DATA140II">#REF!</definedName>
    <definedName name="DATA140III" localSheetId="0">#REF!</definedName>
    <definedName name="DATA140III">#REF!</definedName>
    <definedName name="DATA140IV" localSheetId="0">#REF!</definedName>
    <definedName name="DATA140IV">#REF!</definedName>
    <definedName name="DATA140V" localSheetId="0">#REF!</definedName>
    <definedName name="DATA140V">#REF!</definedName>
    <definedName name="DATA141I" localSheetId="0">#REF!</definedName>
    <definedName name="DATA141I">#REF!</definedName>
    <definedName name="DATA141II" localSheetId="0">#REF!</definedName>
    <definedName name="DATA141II">#REF!</definedName>
    <definedName name="DATA141III" localSheetId="0">#REF!</definedName>
    <definedName name="DATA141III">#REF!</definedName>
    <definedName name="DATA141IV" localSheetId="0">#REF!</definedName>
    <definedName name="DATA141IV">#REF!</definedName>
    <definedName name="DATA141V" localSheetId="0">#REF!</definedName>
    <definedName name="DATA141V">#REF!</definedName>
    <definedName name="DATA142I" localSheetId="0">#REF!</definedName>
    <definedName name="DATA142I">#REF!</definedName>
    <definedName name="DATA142II" localSheetId="0">#REF!</definedName>
    <definedName name="DATA142II">#REF!</definedName>
    <definedName name="DATA142III" localSheetId="0">#REF!</definedName>
    <definedName name="DATA142III">#REF!</definedName>
    <definedName name="DATA142IV" localSheetId="0">#REF!</definedName>
    <definedName name="DATA142IV">#REF!</definedName>
    <definedName name="DATA142V" localSheetId="0">#REF!</definedName>
    <definedName name="DATA142V">#REF!</definedName>
    <definedName name="data2" localSheetId="0" hidden="1">#REF!</definedName>
    <definedName name="data2" hidden="1">#REF!</definedName>
    <definedName name="data3" localSheetId="0" hidden="1">#REF!</definedName>
    <definedName name="data3" hidden="1">#REF!</definedName>
    <definedName name="_xlnm.Database" localSheetId="0">#REF!</definedName>
    <definedName name="_xlnm.Database">#REF!</definedName>
    <definedName name="Database.File" localSheetId="0" hidden="1">#REF!</definedName>
    <definedName name="Database.File" hidden="1">#REF!</definedName>
    <definedName name="dax_adj.contract.sum" localSheetId="0">#REF!</definedName>
    <definedName name="dax_adj.contract.sum">#REF!</definedName>
    <definedName name="dax_con.bal" localSheetId="0">#REF!</definedName>
    <definedName name="dax_con.bal">#REF!</definedName>
    <definedName name="dax_cont.r" localSheetId="0">#REF!</definedName>
    <definedName name="dax_cont.r">#REF!</definedName>
    <definedName name="dax_final.sum" localSheetId="0">#REF!</definedName>
    <definedName name="dax_final.sum">#REF!</definedName>
    <definedName name="dax_org.contract" localSheetId="0">#REF!</definedName>
    <definedName name="dax_org.contract">#REF!</definedName>
    <definedName name="dax_rev.sum" localSheetId="0">#REF!</definedName>
    <definedName name="dax_rev.sum">#REF!</definedName>
    <definedName name="dax_uncommit" localSheetId="0">#REF!</definedName>
    <definedName name="dax_uncommit">#REF!</definedName>
    <definedName name="dax_vo.app" localSheetId="0">#REF!</definedName>
    <definedName name="dax_vo.app">#REF!</definedName>
    <definedName name="dax_vo.pend" localSheetId="0">#REF!</definedName>
    <definedName name="dax_vo.pend">#REF!</definedName>
    <definedName name="dax_vo.total" localSheetId="0">#REF!</definedName>
    <definedName name="dax_vo.total">#REF!</definedName>
    <definedName name="dax_work.complete" localSheetId="0">#REF!</definedName>
    <definedName name="dax_work.complete">#REF!</definedName>
    <definedName name="Daywork" localSheetId="0">#REF!</definedName>
    <definedName name="Daywork">#REF!</definedName>
    <definedName name="db" localSheetId="0">#REF!</definedName>
    <definedName name="db">#REF!</definedName>
    <definedName name="db___0" localSheetId="0">#REF!</definedName>
    <definedName name="db___0">#REF!</definedName>
    <definedName name="db___13" localSheetId="0">#REF!</definedName>
    <definedName name="db___13">#REF!</definedName>
    <definedName name="dbratio" localSheetId="0">#REF!</definedName>
    <definedName name="dbratio">#REF!</definedName>
    <definedName name="dbyb" localSheetId="0">#REF!</definedName>
    <definedName name="dbyb">#REF!</definedName>
    <definedName name="dbyd" localSheetId="0">#REF!</definedName>
    <definedName name="dbyd">#REF!</definedName>
    <definedName name="dc" localSheetId="0">#REF!</definedName>
    <definedName name="dc">#REF!</definedName>
    <definedName name="dcbcvbc" localSheetId="0">#REF!</definedName>
    <definedName name="dcbcvbc">#REF!</definedName>
    <definedName name="dd" localSheetId="0">#REF!</definedName>
    <definedName name="dd">#REF!</definedName>
    <definedName name="ddd" localSheetId="0">#REF!</definedName>
    <definedName name="ddd">#REF!</definedName>
    <definedName name="dddd" localSheetId="0">#REF!</definedName>
    <definedName name="dddd">#REF!</definedName>
    <definedName name="dddddddd" localSheetId="0">#REF!</definedName>
    <definedName name="dddddddd">#REF!</definedName>
    <definedName name="ddddddddd" localSheetId="0">#REF!</definedName>
    <definedName name="ddddddddd">#REF!</definedName>
    <definedName name="dddddddddd" localSheetId="0">#REF!</definedName>
    <definedName name="dddddddddd">#REF!</definedName>
    <definedName name="ddddddddddd" localSheetId="0">#REF!</definedName>
    <definedName name="ddddddddddd">#REF!</definedName>
    <definedName name="dddddddddddddddddddd" localSheetId="0">#REF!</definedName>
    <definedName name="dddddddddddddddddddd">#REF!</definedName>
    <definedName name="ddfffdj" localSheetId="0">#REF!</definedName>
    <definedName name="ddfffdj">#REF!</definedName>
    <definedName name="de" localSheetId="0">#REF!</definedName>
    <definedName name="de">#REF!</definedName>
    <definedName name="DEBITED" localSheetId="0" hidden="1">{#N/A,#N/A,TRUE,"Front";#N/A,#N/A,TRUE,"Simple Letter";#N/A,#N/A,TRUE,"Inside";#N/A,#N/A,TRUE,"Contents";#N/A,#N/A,TRUE,"Basis";#N/A,#N/A,TRUE,"Inclusions";#N/A,#N/A,TRUE,"Exclusions";#N/A,#N/A,TRUE,"Areas";#N/A,#N/A,TRUE,"Summary";#N/A,#N/A,TRUE,"Detail"}</definedName>
    <definedName name="DEBITED" hidden="1">{#N/A,#N/A,TRUE,"Front";#N/A,#N/A,TRUE,"Simple Letter";#N/A,#N/A,TRUE,"Inside";#N/A,#N/A,TRUE,"Contents";#N/A,#N/A,TRUE,"Basis";#N/A,#N/A,TRUE,"Inclusions";#N/A,#N/A,TRUE,"Exclusions";#N/A,#N/A,TRUE,"Areas";#N/A,#N/A,TRUE,"Summary";#N/A,#N/A,TRUE,"Detail"}</definedName>
    <definedName name="DEBITED_1" localSheetId="0" hidden="1">{#N/A,#N/A,TRUE,"Front";#N/A,#N/A,TRUE,"Simple Letter";#N/A,#N/A,TRUE,"Inside";#N/A,#N/A,TRUE,"Contents";#N/A,#N/A,TRUE,"Basis";#N/A,#N/A,TRUE,"Inclusions";#N/A,#N/A,TRUE,"Exclusions";#N/A,#N/A,TRUE,"Areas";#N/A,#N/A,TRUE,"Summary";#N/A,#N/A,TRUE,"Detail"}</definedName>
    <definedName name="DEBITED_1" hidden="1">{#N/A,#N/A,TRUE,"Front";#N/A,#N/A,TRUE,"Simple Letter";#N/A,#N/A,TRUE,"Inside";#N/A,#N/A,TRUE,"Contents";#N/A,#N/A,TRUE,"Basis";#N/A,#N/A,TRUE,"Inclusions";#N/A,#N/A,TRUE,"Exclusions";#N/A,#N/A,TRUE,"Areas";#N/A,#N/A,TRUE,"Summary";#N/A,#N/A,TRUE,"Detail"}</definedName>
    <definedName name="DEBITED_1_1" localSheetId="0" hidden="1">{#N/A,#N/A,TRUE,"Front";#N/A,#N/A,TRUE,"Simple Letter";#N/A,#N/A,TRUE,"Inside";#N/A,#N/A,TRUE,"Contents";#N/A,#N/A,TRUE,"Basis";#N/A,#N/A,TRUE,"Inclusions";#N/A,#N/A,TRUE,"Exclusions";#N/A,#N/A,TRUE,"Areas";#N/A,#N/A,TRUE,"Summary";#N/A,#N/A,TRUE,"Detail"}</definedName>
    <definedName name="DEBITED_1_1" hidden="1">{#N/A,#N/A,TRUE,"Front";#N/A,#N/A,TRUE,"Simple Letter";#N/A,#N/A,TRUE,"Inside";#N/A,#N/A,TRUE,"Contents";#N/A,#N/A,TRUE,"Basis";#N/A,#N/A,TRUE,"Inclusions";#N/A,#N/A,TRUE,"Exclusions";#N/A,#N/A,TRUE,"Areas";#N/A,#N/A,TRUE,"Summary";#N/A,#N/A,TRUE,"Detail"}</definedName>
    <definedName name="DEBITED_1_2" localSheetId="0" hidden="1">{#N/A,#N/A,TRUE,"Front";#N/A,#N/A,TRUE,"Simple Letter";#N/A,#N/A,TRUE,"Inside";#N/A,#N/A,TRUE,"Contents";#N/A,#N/A,TRUE,"Basis";#N/A,#N/A,TRUE,"Inclusions";#N/A,#N/A,TRUE,"Exclusions";#N/A,#N/A,TRUE,"Areas";#N/A,#N/A,TRUE,"Summary";#N/A,#N/A,TRUE,"Detail"}</definedName>
    <definedName name="DEBITED_1_2" hidden="1">{#N/A,#N/A,TRUE,"Front";#N/A,#N/A,TRUE,"Simple Letter";#N/A,#N/A,TRUE,"Inside";#N/A,#N/A,TRUE,"Contents";#N/A,#N/A,TRUE,"Basis";#N/A,#N/A,TRUE,"Inclusions";#N/A,#N/A,TRUE,"Exclusions";#N/A,#N/A,TRUE,"Areas";#N/A,#N/A,TRUE,"Summary";#N/A,#N/A,TRUE,"Detail"}</definedName>
    <definedName name="DEBITED_2" localSheetId="0" hidden="1">{#N/A,#N/A,TRUE,"Front";#N/A,#N/A,TRUE,"Simple Letter";#N/A,#N/A,TRUE,"Inside";#N/A,#N/A,TRUE,"Contents";#N/A,#N/A,TRUE,"Basis";#N/A,#N/A,TRUE,"Inclusions";#N/A,#N/A,TRUE,"Exclusions";#N/A,#N/A,TRUE,"Areas";#N/A,#N/A,TRUE,"Summary";#N/A,#N/A,TRUE,"Detail"}</definedName>
    <definedName name="DEBITED_2" hidden="1">{#N/A,#N/A,TRUE,"Front";#N/A,#N/A,TRUE,"Simple Letter";#N/A,#N/A,TRUE,"Inside";#N/A,#N/A,TRUE,"Contents";#N/A,#N/A,TRUE,"Basis";#N/A,#N/A,TRUE,"Inclusions";#N/A,#N/A,TRUE,"Exclusions";#N/A,#N/A,TRUE,"Areas";#N/A,#N/A,TRUE,"Summary";#N/A,#N/A,TRUE,"Detail"}</definedName>
    <definedName name="DEBITED_2_1" localSheetId="0" hidden="1">{#N/A,#N/A,TRUE,"Front";#N/A,#N/A,TRUE,"Simple Letter";#N/A,#N/A,TRUE,"Inside";#N/A,#N/A,TRUE,"Contents";#N/A,#N/A,TRUE,"Basis";#N/A,#N/A,TRUE,"Inclusions";#N/A,#N/A,TRUE,"Exclusions";#N/A,#N/A,TRUE,"Areas";#N/A,#N/A,TRUE,"Summary";#N/A,#N/A,TRUE,"Detail"}</definedName>
    <definedName name="DEBITED_2_1" hidden="1">{#N/A,#N/A,TRUE,"Front";#N/A,#N/A,TRUE,"Simple Letter";#N/A,#N/A,TRUE,"Inside";#N/A,#N/A,TRUE,"Contents";#N/A,#N/A,TRUE,"Basis";#N/A,#N/A,TRUE,"Inclusions";#N/A,#N/A,TRUE,"Exclusions";#N/A,#N/A,TRUE,"Areas";#N/A,#N/A,TRUE,"Summary";#N/A,#N/A,TRUE,"Detail"}</definedName>
    <definedName name="DEBITED_3" localSheetId="0" hidden="1">{#N/A,#N/A,TRUE,"Front";#N/A,#N/A,TRUE,"Simple Letter";#N/A,#N/A,TRUE,"Inside";#N/A,#N/A,TRUE,"Contents";#N/A,#N/A,TRUE,"Basis";#N/A,#N/A,TRUE,"Inclusions";#N/A,#N/A,TRUE,"Exclusions";#N/A,#N/A,TRUE,"Areas";#N/A,#N/A,TRUE,"Summary";#N/A,#N/A,TRUE,"Detail"}</definedName>
    <definedName name="DEBITED_3" hidden="1">{#N/A,#N/A,TRUE,"Front";#N/A,#N/A,TRUE,"Simple Letter";#N/A,#N/A,TRUE,"Inside";#N/A,#N/A,TRUE,"Contents";#N/A,#N/A,TRUE,"Basis";#N/A,#N/A,TRUE,"Inclusions";#N/A,#N/A,TRUE,"Exclusions";#N/A,#N/A,TRUE,"Areas";#N/A,#N/A,TRUE,"Summary";#N/A,#N/A,TRUE,"Detail"}</definedName>
    <definedName name="DEBITED_4" localSheetId="0" hidden="1">{#N/A,#N/A,TRUE,"Front";#N/A,#N/A,TRUE,"Simple Letter";#N/A,#N/A,TRUE,"Inside";#N/A,#N/A,TRUE,"Contents";#N/A,#N/A,TRUE,"Basis";#N/A,#N/A,TRUE,"Inclusions";#N/A,#N/A,TRUE,"Exclusions";#N/A,#N/A,TRUE,"Areas";#N/A,#N/A,TRUE,"Summary";#N/A,#N/A,TRUE,"Detail"}</definedName>
    <definedName name="DEBITED_4" hidden="1">{#N/A,#N/A,TRUE,"Front";#N/A,#N/A,TRUE,"Simple Letter";#N/A,#N/A,TRUE,"Inside";#N/A,#N/A,TRUE,"Contents";#N/A,#N/A,TRUE,"Basis";#N/A,#N/A,TRUE,"Inclusions";#N/A,#N/A,TRUE,"Exclusions";#N/A,#N/A,TRUE,"Areas";#N/A,#N/A,TRUE,"Summary";#N/A,#N/A,TRUE,"Detail"}</definedName>
    <definedName name="debt" localSheetId="0">#REF!</definedName>
    <definedName name="debt">#REF!</definedName>
    <definedName name="Debt_Equity" localSheetId="0">#REF!</definedName>
    <definedName name="Debt_Equity">#REF!</definedName>
    <definedName name="Debt_Int.rate" localSheetId="0">#REF!</definedName>
    <definedName name="Debt_Int.rate">#REF!</definedName>
    <definedName name="deff" localSheetId="0">#REF!</definedName>
    <definedName name="deff">#REF!</definedName>
    <definedName name="DEHRI" localSheetId="0">#REF!</definedName>
    <definedName name="DEHRI">#REF!</definedName>
    <definedName name="delk" localSheetId="0">#REF!</definedName>
    <definedName name="delk">#REF!</definedName>
    <definedName name="delm" localSheetId="0">#REF!</definedName>
    <definedName name="delm">#REF!</definedName>
    <definedName name="delm2" localSheetId="0">#REF!</definedName>
    <definedName name="delm2">#REF!</definedName>
    <definedName name="delta" localSheetId="0">#REF!</definedName>
    <definedName name="delta">#REF!</definedName>
    <definedName name="delta1" localSheetId="0">#REF!</definedName>
    <definedName name="delta1">#REF!</definedName>
    <definedName name="DELTA20" localSheetId="0">#REF!</definedName>
    <definedName name="DELTA20">#REF!</definedName>
    <definedName name="DELTA20___0" localSheetId="0">#REF!</definedName>
    <definedName name="DELTA20___0">#REF!</definedName>
    <definedName name="DELTA20___13" localSheetId="0">#REF!</definedName>
    <definedName name="DELTA20___13">#REF!</definedName>
    <definedName name="DeluxeArea" localSheetId="0">#REF!</definedName>
    <definedName name="DeluxeArea">#REF!</definedName>
    <definedName name="DeluxePerimeter" localSheetId="0">#REF!</definedName>
    <definedName name="DeluxePerimeter">#REF!</definedName>
    <definedName name="DEMOL" localSheetId="0">#REF!</definedName>
    <definedName name="DEMOL">#REF!</definedName>
    <definedName name="Depn" localSheetId="0">#REF!</definedName>
    <definedName name="Depn">#REF!</definedName>
    <definedName name="DEPTH" localSheetId="0">#REF!</definedName>
    <definedName name="DEPTH">#REF!</definedName>
    <definedName name="DER" localSheetId="0">#REF!</definedName>
    <definedName name="DER">#REF!</definedName>
    <definedName name="DES" localSheetId="0">#REF!</definedName>
    <definedName name="DES">#REF!</definedName>
    <definedName name="Description">"B1"</definedName>
    <definedName name="designed" localSheetId="0">#REF!</definedName>
    <definedName name="designed">#REF!</definedName>
    <definedName name="DesignPress" localSheetId="0">#REF!</definedName>
    <definedName name="DesignPress">#REF!</definedName>
    <definedName name="DeSiltation" localSheetId="0">#REF!</definedName>
    <definedName name="DeSiltation">#REF!</definedName>
    <definedName name="devakumar" localSheetId="0">#REF!</definedName>
    <definedName name="devakumar">#REF!</definedName>
    <definedName name="DF" localSheetId="0">#REF!</definedName>
    <definedName name="df">#REF!</definedName>
    <definedName name="df_1" localSheetId="0" hidden="1">{"form-D1",#N/A,FALSE,"FORM-D1";"form-D1_amt",#N/A,FALSE,"FORM-D1"}</definedName>
    <definedName name="df_1" hidden="1">{"form-D1",#N/A,FALSE,"FORM-D1";"form-D1_amt",#N/A,FALSE,"FORM-D1"}</definedName>
    <definedName name="df_1_1" localSheetId="0" hidden="1">{"form-D1",#N/A,FALSE,"FORM-D1";"form-D1_amt",#N/A,FALSE,"FORM-D1"}</definedName>
    <definedName name="df_1_1" hidden="1">{"form-D1",#N/A,FALSE,"FORM-D1";"form-D1_amt",#N/A,FALSE,"FORM-D1"}</definedName>
    <definedName name="df_1_2" localSheetId="0" hidden="1">{"form-D1",#N/A,FALSE,"FORM-D1";"form-D1_amt",#N/A,FALSE,"FORM-D1"}</definedName>
    <definedName name="df_1_2" hidden="1">{"form-D1",#N/A,FALSE,"FORM-D1";"form-D1_amt",#N/A,FALSE,"FORM-D1"}</definedName>
    <definedName name="df_2" localSheetId="0" hidden="1">{"form-D1",#N/A,FALSE,"FORM-D1";"form-D1_amt",#N/A,FALSE,"FORM-D1"}</definedName>
    <definedName name="df_2" hidden="1">{"form-D1",#N/A,FALSE,"FORM-D1";"form-D1_amt",#N/A,FALSE,"FORM-D1"}</definedName>
    <definedName name="df_2_1" localSheetId="0" hidden="1">{"form-D1",#N/A,FALSE,"FORM-D1";"form-D1_amt",#N/A,FALSE,"FORM-D1"}</definedName>
    <definedName name="df_2_1" hidden="1">{"form-D1",#N/A,FALSE,"FORM-D1";"form-D1_amt",#N/A,FALSE,"FORM-D1"}</definedName>
    <definedName name="df_3" localSheetId="0" hidden="1">{"form-D1",#N/A,FALSE,"FORM-D1";"form-D1_amt",#N/A,FALSE,"FORM-D1"}</definedName>
    <definedName name="df_3" hidden="1">{"form-D1",#N/A,FALSE,"FORM-D1";"form-D1_amt",#N/A,FALSE,"FORM-D1"}</definedName>
    <definedName name="df_3_1" localSheetId="0" hidden="1">{"form-D1",#N/A,FALSE,"FORM-D1";"form-D1_amt",#N/A,FALSE,"FORM-D1"}</definedName>
    <definedName name="df_3_1" hidden="1">{"form-D1",#N/A,FALSE,"FORM-D1";"form-D1_amt",#N/A,FALSE,"FORM-D1"}</definedName>
    <definedName name="df_4" localSheetId="0" hidden="1">{"form-D1",#N/A,FALSE,"FORM-D1";"form-D1_amt",#N/A,FALSE,"FORM-D1"}</definedName>
    <definedName name="df_4" hidden="1">{"form-D1",#N/A,FALSE,"FORM-D1";"form-D1_amt",#N/A,FALSE,"FORM-D1"}</definedName>
    <definedName name="dfa" localSheetId="0">#REF!</definedName>
    <definedName name="dfa">#REF!</definedName>
    <definedName name="DFADAD" localSheetId="0">#REF!</definedName>
    <definedName name="DFADAD">#REF!</definedName>
    <definedName name="dfafdasdf" localSheetId="0">#REF!</definedName>
    <definedName name="dfafdasdf">#REF!</definedName>
    <definedName name="dfd" localSheetId="0">#REF!</definedName>
    <definedName name="dfd">#REF!</definedName>
    <definedName name="DFDDA" localSheetId="0">#REF!</definedName>
    <definedName name="DFDDA">#REF!</definedName>
    <definedName name="DFDFG" localSheetId="0">#REF!</definedName>
    <definedName name="DFDFG">#REF!</definedName>
    <definedName name="dfg" localSheetId="0" hidden="1">{#N/A,#N/A,FALSE,"gc (2)"}</definedName>
    <definedName name="dfg" hidden="1">{#N/A,#N/A,FALSE,"gc (2)"}</definedName>
    <definedName name="DFGDF" localSheetId="0">#REF!</definedName>
    <definedName name="DFGDF">#REF!</definedName>
    <definedName name="dfgdfsg" localSheetId="0">#REF!</definedName>
    <definedName name="dfgdfsg">#REF!</definedName>
    <definedName name="dfgdsfg" localSheetId="0">#REF!</definedName>
    <definedName name="dfgdsfg">#REF!</definedName>
    <definedName name="DFGG" localSheetId="0">#REF!</definedName>
    <definedName name="dfgg" hidden="1">{#N/A,#N/A,FALSE,"gc (2)"}</definedName>
    <definedName name="DFSDF" localSheetId="0">#REF!</definedName>
    <definedName name="DFSDF">#REF!</definedName>
    <definedName name="dfthrh" localSheetId="0">#REF!</definedName>
    <definedName name="dfthrh">#REF!</definedName>
    <definedName name="dg" localSheetId="0">#REF!</definedName>
    <definedName name="dg">#REF!</definedName>
    <definedName name="DGDF" localSheetId="0">#REF!</definedName>
    <definedName name="DGDF">#REF!</definedName>
    <definedName name="DGDFG" localSheetId="0">#REF!</definedName>
    <definedName name="DGDFG">#REF!</definedName>
    <definedName name="dgfchhh" localSheetId="0">#REF!</definedName>
    <definedName name="dgfchhh">#REF!</definedName>
    <definedName name="dgfgfd" localSheetId="0" hidden="1">{#N/A,#N/A,FALSE,"COVER.XLS";#N/A,#N/A,FALSE,"RACT1.XLS";#N/A,#N/A,FALSE,"RACT2.XLS";#N/A,#N/A,FALSE,"ECCMP";#N/A,#N/A,FALSE,"WELDER.XLS"}</definedName>
    <definedName name="dgfgfd" hidden="1">{#N/A,#N/A,FALSE,"COVER.XLS";#N/A,#N/A,FALSE,"RACT1.XLS";#N/A,#N/A,FALSE,"RACT2.XLS";#N/A,#N/A,FALSE,"ECCMP";#N/A,#N/A,FALSE,"WELDER.XLS"}</definedName>
    <definedName name="dghdd" localSheetId="0">#REF!</definedName>
    <definedName name="dghdd">#REF!</definedName>
    <definedName name="dghkl" localSheetId="0" hidden="1">{"'Bill No. 7'!$A$1:$G$32"}</definedName>
    <definedName name="dghkl" hidden="1">{"'Bill No. 7'!$A$1:$G$32"}</definedName>
    <definedName name="dgv" localSheetId="0">#REF!</definedName>
    <definedName name="dgv">#REF!</definedName>
    <definedName name="DHTML" localSheetId="0" hidden="1">{"'Sheet1'!$A$4386:$N$4591"}</definedName>
    <definedName name="DHTML" hidden="1">{"'Sheet1'!$A$4386:$N$4591"}</definedName>
    <definedName name="Di" localSheetId="0">#REF!</definedName>
    <definedName name="Di">#REF!</definedName>
    <definedName name="diaties" localSheetId="0">#REF!</definedName>
    <definedName name="diaties">#REF!</definedName>
    <definedName name="Diesel" localSheetId="0">#REF!</definedName>
    <definedName name="Diesel">#REF!</definedName>
    <definedName name="DILIP" localSheetId="0">#REF!</definedName>
    <definedName name="DILIP">#REF!</definedName>
    <definedName name="DIns" localSheetId="0">#REF!</definedName>
    <definedName name="DIns">#REF!</definedName>
    <definedName name="Discount" localSheetId="0" hidden="1">#REF!</definedName>
    <definedName name="Discount" hidden="1">#REF!</definedName>
    <definedName name="discountRate" localSheetId="0">#REF!</definedName>
    <definedName name="discountRate">#REF!</definedName>
    <definedName name="display_area_2" localSheetId="0" hidden="1">#REF!</definedName>
    <definedName name="display_area_2" hidden="1">#REF!</definedName>
    <definedName name="Distance" localSheetId="0">#REF!</definedName>
    <definedName name="Distance">#REF!</definedName>
    <definedName name="Distember">#REF!</definedName>
    <definedName name="Distember_oilbound" localSheetId="0">#REF!</definedName>
    <definedName name="Distember_oilbound">[6]Data!#REF!</definedName>
    <definedName name="div" localSheetId="0">#REF!</definedName>
    <definedName name="div">#REF!</definedName>
    <definedName name="Div_Reserve" localSheetId="0">#REF!</definedName>
    <definedName name="Div_Reserve">#REF!</definedName>
    <definedName name="Div_Tax.Rate" localSheetId="0">#REF!</definedName>
    <definedName name="Div_Tax.Rate">#REF!</definedName>
    <definedName name="dks" localSheetId="0">#REF!</definedName>
    <definedName name="dks">#REF!</definedName>
    <definedName name="dkt" localSheetId="0">#REF!</definedName>
    <definedName name="dkt">#REF!</definedName>
    <definedName name="dl" localSheetId="0">#REF!</definedName>
    <definedName name="dl">#REF!</definedName>
    <definedName name="dl___0" localSheetId="0">#REF!</definedName>
    <definedName name="dl___0">#REF!</definedName>
    <definedName name="dl___13" localSheetId="0">#REF!</definedName>
    <definedName name="dl___13">#REF!</definedName>
    <definedName name="Dm" localSheetId="0">#REF!</definedName>
    <definedName name="Dm">#REF!</definedName>
    <definedName name="DMA" localSheetId="0">#REF!</definedName>
    <definedName name="DMA">#REF!</definedName>
    <definedName name="dms" localSheetId="0">#REF!</definedName>
    <definedName name="dms">#REF!</definedName>
    <definedName name="dmt" localSheetId="0">#REF!</definedName>
    <definedName name="dmt">#REF!</definedName>
    <definedName name="dn" localSheetId="0" hidden="1">{#N/A,#N/A,FALSE,"COVER1.XLS ";#N/A,#N/A,FALSE,"RACT1.XLS";#N/A,#N/A,FALSE,"RACT2.XLS";#N/A,#N/A,FALSE,"ECCMP";#N/A,#N/A,FALSE,"WELDER.XLS"}</definedName>
    <definedName name="dn" hidden="1">{#N/A,#N/A,FALSE,"COVER1.XLS ";#N/A,#N/A,FALSE,"RACT1.XLS";#N/A,#N/A,FALSE,"RACT2.XLS";#N/A,#N/A,FALSE,"ECCMP";#N/A,#N/A,FALSE,"WELDER.XLS"}</definedName>
    <definedName name="Do" localSheetId="0">#REF!</definedName>
    <definedName name="Do">#REF!</definedName>
    <definedName name="docu" localSheetId="0">#REF!</definedName>
    <definedName name="docu">#REF!</definedName>
    <definedName name="DocumentName">""</definedName>
    <definedName name="DocumentNumber">""</definedName>
    <definedName name="Door" localSheetId="0">#REF!</definedName>
    <definedName name="Door">#REF!</definedName>
    <definedName name="DOW_CORNING_789_SILICONE_SEALANT" localSheetId="0">#REF!</definedName>
    <definedName name="DOW_CORNING_789_SILICONE_SEALANT">#REF!</definedName>
    <definedName name="Dozer" localSheetId="0">#REF!</definedName>
    <definedName name="Dozer">#REF!</definedName>
    <definedName name="DP" localSheetId="0">#REF!</definedName>
    <definedName name="DP">#REF!</definedName>
    <definedName name="dq" localSheetId="0">#REF!</definedName>
    <definedName name="dq">#REF!</definedName>
    <definedName name="DR.33" localSheetId="0">#REF!</definedName>
    <definedName name="DR.33">#REF!</definedName>
    <definedName name="DR.46" localSheetId="0">#REF!</definedName>
    <definedName name="DR.46">#REF!</definedName>
    <definedName name="DR.56" localSheetId="0">#REF!</definedName>
    <definedName name="DR.56">#REF!</definedName>
    <definedName name="draseaeAE">#N/A</definedName>
    <definedName name="dratio1" localSheetId="0">#REF!</definedName>
    <definedName name="dratio1">#REF!</definedName>
    <definedName name="Ds" localSheetId="0">#REF!</definedName>
    <definedName name="Ds">#REF!</definedName>
    <definedName name="Ds___0" localSheetId="0">#REF!</definedName>
    <definedName name="Ds___0">#REF!</definedName>
    <definedName name="Ds___13" localSheetId="0">#REF!</definedName>
    <definedName name="Ds___13">#REF!</definedName>
    <definedName name="dsadaD" localSheetId="0" hidden="1">{#N/A,#N/A,FALSE,"COVER1.XLS ";#N/A,#N/A,FALSE,"RACT1.XLS";#N/A,#N/A,FALSE,"RACT2.XLS";#N/A,#N/A,FALSE,"ECCMP";#N/A,#N/A,FALSE,"WELDER.XLS"}</definedName>
    <definedName name="dsadaD" hidden="1">{#N/A,#N/A,FALSE,"COVER1.XLS ";#N/A,#N/A,FALSE,"RACT1.XLS";#N/A,#N/A,FALSE,"RACT2.XLS";#N/A,#N/A,FALSE,"ECCMP";#N/A,#N/A,FALSE,"WELDER.XLS"}</definedName>
    <definedName name="dsat" localSheetId="0">#REF!</definedName>
    <definedName name="dsat">#REF!</definedName>
    <definedName name="DSCR_Avg" localSheetId="0">#REF!</definedName>
    <definedName name="DSCR_Avg">#REF!</definedName>
    <definedName name="DSCR_Min" localSheetId="0">#REF!</definedName>
    <definedName name="DSCR_Min">#REF!</definedName>
    <definedName name="dsds" localSheetId="0">#REF!</definedName>
    <definedName name="dsds">#REF!</definedName>
    <definedName name="dsfgdsfgsgf" localSheetId="0">#REF!</definedName>
    <definedName name="dsfgdsfgsgf">#REF!</definedName>
    <definedName name="dsfgsd" localSheetId="0">#REF!</definedName>
    <definedName name="dsfgsd">#REF!</definedName>
    <definedName name="dsfj" localSheetId="0" hidden="1">#REF!</definedName>
    <definedName name="dsfj" hidden="1">#REF!</definedName>
    <definedName name="du" localSheetId="0">#REF!</definedName>
    <definedName name="du">[6]Data!#REF!</definedName>
    <definedName name="Dummycolumn1.3.6" localSheetId="0">#REF!</definedName>
    <definedName name="Dummycolumn1.3.6">[6]Data!#REF!</definedName>
    <definedName name="dust" localSheetId="0">#REF!</definedName>
    <definedName name="dust">#REF!</definedName>
    <definedName name="Dv" localSheetId="0">#REF!</definedName>
    <definedName name="Dv">#REF!</definedName>
    <definedName name="E" localSheetId="0">#REF!</definedName>
    <definedName name="E">#REF!</definedName>
    <definedName name="e.anand" localSheetId="0">#REF!</definedName>
    <definedName name="e.anand">#REF!</definedName>
    <definedName name="e.nos" localSheetId="0">#REF!</definedName>
    <definedName name="e.nos">#REF!</definedName>
    <definedName name="e€955" localSheetId="0">#REF!</definedName>
    <definedName name="e€955">#REF!</definedName>
    <definedName name="Earth" localSheetId="0">#REF!</definedName>
    <definedName name="Earth">#REF!</definedName>
    <definedName name="EARTH_FILL" localSheetId="0">#REF!</definedName>
    <definedName name="EARTH_FILL">#REF!</definedName>
    <definedName name="Earth_work" localSheetId="0">#REF!</definedName>
    <definedName name="Earth_work">#REF!</definedName>
    <definedName name="ec" localSheetId="0">#REF!</definedName>
    <definedName name="ec">#REF!</definedName>
    <definedName name="ece" localSheetId="0">#REF!</definedName>
    <definedName name="ece">#REF!</definedName>
    <definedName name="ecs" localSheetId="0">#REF!</definedName>
    <definedName name="ecs">#REF!</definedName>
    <definedName name="ED" localSheetId="0">#REF!</definedName>
    <definedName name="ED">#REF!</definedName>
    <definedName name="edp" localSheetId="0">#REF!</definedName>
    <definedName name="edp">#REF!</definedName>
    <definedName name="edu" localSheetId="0">#REF!</definedName>
    <definedName name="edu">#REF!</definedName>
    <definedName name="ee" localSheetId="0">#REF!</definedName>
    <definedName name="ee">#REF!</definedName>
    <definedName name="eee" localSheetId="0">#REF!</definedName>
    <definedName name="eee">#REF!</definedName>
    <definedName name="EEEE" localSheetId="0">#REF!</definedName>
    <definedName name="EEEE">#REF!</definedName>
    <definedName name="eeeeeeeeeee" localSheetId="0">#REF!</definedName>
    <definedName name="eeeeeeeeeee">#REF!</definedName>
    <definedName name="Eela" localSheetId="0">#REF!</definedName>
    <definedName name="Eela">#REF!</definedName>
    <definedName name="efx" localSheetId="0">#REF!</definedName>
    <definedName name="efx">#REF!</definedName>
    <definedName name="efy" localSheetId="0">#REF!</definedName>
    <definedName name="efy">#REF!</definedName>
    <definedName name="ELE_CODE" localSheetId="0">#REF!</definedName>
    <definedName name="ELE_CODE">#REF!</definedName>
    <definedName name="Elect">#REF!</definedName>
    <definedName name="Electric_Light___Power" localSheetId="0">#REF!</definedName>
    <definedName name="Electric_Light___Power">#REF!</definedName>
    <definedName name="ELECTRICAL" localSheetId="0" hidden="1">{#N/A,#N/A,FALSE,"mpph1";#N/A,#N/A,FALSE,"mpmseb";#N/A,#N/A,FALSE,"mpph2"}</definedName>
    <definedName name="ELECTRICAL" hidden="1">{#N/A,#N/A,FALSE,"mpph1";#N/A,#N/A,FALSE,"mpmseb";#N/A,#N/A,FALSE,"mpph2"}</definedName>
    <definedName name="Elesum" localSheetId="0">#REF!</definedName>
    <definedName name="Elesum">#REF!</definedName>
    <definedName name="Em" localSheetId="0">#REF!</definedName>
    <definedName name="Em">#REF!</definedName>
    <definedName name="Em___0" localSheetId="0">#REF!</definedName>
    <definedName name="Em___0">#REF!</definedName>
    <definedName name="Em___13" localSheetId="0">#REF!</definedName>
    <definedName name="Em___13">#REF!</definedName>
    <definedName name="Email" localSheetId="0">#REF!</definedName>
    <definedName name="Email">#REF!</definedName>
    <definedName name="EMOL" localSheetId="0">#REF!</definedName>
    <definedName name="EMOL">#REF!</definedName>
    <definedName name="End_Bal" localSheetId="0">#REF!</definedName>
    <definedName name="End_Bal">#REF!</definedName>
    <definedName name="Epi" localSheetId="0">#REF!</definedName>
    <definedName name="Epi">#REF!</definedName>
    <definedName name="er" localSheetId="0">#REF!</definedName>
    <definedName name="er">#REF!</definedName>
    <definedName name="Erection_Cost" localSheetId="0">#REF!</definedName>
    <definedName name="Erection_Cost">#REF!</definedName>
    <definedName name="Erection_Sales" localSheetId="0">#REF!</definedName>
    <definedName name="Erection_Sales">#REF!</definedName>
    <definedName name="erer" localSheetId="0">#REF!</definedName>
    <definedName name="erer">#REF!</definedName>
    <definedName name="erretr" localSheetId="0">#REF!</definedName>
    <definedName name="erretr">#REF!</definedName>
    <definedName name="Error.message.01">"Item not found in bill"</definedName>
    <definedName name="Error.message.02">"Item not defined"</definedName>
    <definedName name="Es" localSheetId="0">#REF!</definedName>
    <definedName name="Es">#REF!</definedName>
    <definedName name="Es___0" localSheetId="0">#REF!</definedName>
    <definedName name="Es___0">#REF!</definedName>
    <definedName name="Es___13" localSheetId="0">#REF!</definedName>
    <definedName name="Es___13">#REF!</definedName>
    <definedName name="esc_constcost" localSheetId="0">#REF!</definedName>
    <definedName name="esc_constcost">#REF!</definedName>
    <definedName name="esc_constcost_I" localSheetId="0">#REF!</definedName>
    <definedName name="esc_constcost_I">#REF!</definedName>
    <definedName name="esc_om_I" localSheetId="0">#REF!</definedName>
    <definedName name="esc_om_I">#REF!</definedName>
    <definedName name="EscAdminWash" localSheetId="0">#REF!</definedName>
    <definedName name="EscAdminWash">#REF!</definedName>
    <definedName name="EscAdminWash_I" localSheetId="0">#REF!</definedName>
    <definedName name="EscAdminWash_I">#REF!</definedName>
    <definedName name="EscFuel" localSheetId="0">#REF!</definedName>
    <definedName name="EscFuel">#REF!</definedName>
    <definedName name="EscFuel_I" localSheetId="0">#REF!</definedName>
    <definedName name="EscFuel_I">#REF!</definedName>
    <definedName name="EscOthExp" localSheetId="0">#REF!</definedName>
    <definedName name="EscOthExp">#REF!</definedName>
    <definedName name="EscOthExp_I" localSheetId="0">#REF!</definedName>
    <definedName name="EscOthExp_I">#REF!</definedName>
    <definedName name="EscSalWash" localSheetId="0">#REF!</definedName>
    <definedName name="EscSalWash">#REF!</definedName>
    <definedName name="EscSalWash_I" localSheetId="0">#REF!</definedName>
    <definedName name="EscSalWash_I">#REF!</definedName>
    <definedName name="EscStorWash" localSheetId="0">#REF!</definedName>
    <definedName name="EscStorWash">#REF!</definedName>
    <definedName name="EscStorWash_I" localSheetId="0">#REF!</definedName>
    <definedName name="EscStorWash_I">#REF!</definedName>
    <definedName name="EscTariff" localSheetId="0">#REF!</definedName>
    <definedName name="EscTariff">#REF!</definedName>
    <definedName name="EscTariff_I" localSheetId="0">#REF!</definedName>
    <definedName name="EscTariff_I">#REF!</definedName>
    <definedName name="Ess" localSheetId="0">#REF!</definedName>
    <definedName name="Ess">#REF!</definedName>
    <definedName name="essai" localSheetId="0">#REF!</definedName>
    <definedName name="essai">#REF!</definedName>
    <definedName name="ESSR1" localSheetId="0">#REF!</definedName>
    <definedName name="ESSR1">#REF!</definedName>
    <definedName name="ESSR10" localSheetId="0">#REF!</definedName>
    <definedName name="ESSR10">#REF!</definedName>
    <definedName name="ESSR11" localSheetId="0">#REF!</definedName>
    <definedName name="ESSR11">#REF!</definedName>
    <definedName name="ESSR12" localSheetId="0">#REF!</definedName>
    <definedName name="ESSR12">#REF!</definedName>
    <definedName name="ESSR13" localSheetId="0">#REF!</definedName>
    <definedName name="ESSR13">#REF!</definedName>
    <definedName name="ESSR2" localSheetId="0">#REF!</definedName>
    <definedName name="ESSR2">#REF!</definedName>
    <definedName name="ESSR3" localSheetId="0">#REF!</definedName>
    <definedName name="ESSR3">#REF!</definedName>
    <definedName name="ESSR4" localSheetId="0">#REF!</definedName>
    <definedName name="ESSR4">#REF!</definedName>
    <definedName name="ESSR5" localSheetId="0">#REF!</definedName>
    <definedName name="ESSR5">#REF!</definedName>
    <definedName name="ESSR6" localSheetId="0">#REF!</definedName>
    <definedName name="ESSR6">#REF!</definedName>
    <definedName name="ESSR7" localSheetId="0">#REF!</definedName>
    <definedName name="ESSR7">#REF!</definedName>
    <definedName name="ESSR8" localSheetId="0">#REF!</definedName>
    <definedName name="ESSR8">#REF!</definedName>
    <definedName name="ESSR9" localSheetId="0">#REF!</definedName>
    <definedName name="ESSR9">#REF!</definedName>
    <definedName name="Est" localSheetId="0">#REF!</definedName>
    <definedName name="Est">#REF!</definedName>
    <definedName name="estimate" localSheetId="0">#REF!</definedName>
    <definedName name="estimate">#REF!</definedName>
    <definedName name="Estimation" localSheetId="0">#REF!</definedName>
    <definedName name="Estimation">#REF!</definedName>
    <definedName name="Et" localSheetId="0">#REF!</definedName>
    <definedName name="Et">#REF!</definedName>
    <definedName name="Et___0" localSheetId="0">#REF!</definedName>
    <definedName name="Et___0">#REF!</definedName>
    <definedName name="Et___13" localSheetId="0">#REF!</definedName>
    <definedName name="Et___13">#REF!</definedName>
    <definedName name="Eta" localSheetId="0">#REF!</definedName>
    <definedName name="Eta">#REF!</definedName>
    <definedName name="Eth" localSheetId="0">#REF!</definedName>
    <definedName name="Eth">#REF!</definedName>
    <definedName name="eto" localSheetId="0">#REF!</definedName>
    <definedName name="eto">#REF!</definedName>
    <definedName name="eu" localSheetId="0">#REF!</definedName>
    <definedName name="eu">[6]Data!#REF!</definedName>
    <definedName name="EUR" localSheetId="0">#REF!</definedName>
    <definedName name="EUR">#REF!</definedName>
    <definedName name="euronet" localSheetId="0" hidden="1">{#N/A,#N/A,TRUE,"Front";#N/A,#N/A,TRUE,"Simple Letter";#N/A,#N/A,TRUE,"Inside";#N/A,#N/A,TRUE,"Contents";#N/A,#N/A,TRUE,"Basis";#N/A,#N/A,TRUE,"Inclusions";#N/A,#N/A,TRUE,"Exclusions";#N/A,#N/A,TRUE,"Areas";#N/A,#N/A,TRUE,"Summary";#N/A,#N/A,TRUE,"Detail"}</definedName>
    <definedName name="euronet" hidden="1">{#N/A,#N/A,TRUE,"Front";#N/A,#N/A,TRUE,"Simple Letter";#N/A,#N/A,TRUE,"Inside";#N/A,#N/A,TRUE,"Contents";#N/A,#N/A,TRUE,"Basis";#N/A,#N/A,TRUE,"Inclusions";#N/A,#N/A,TRUE,"Exclusions";#N/A,#N/A,TRUE,"Areas";#N/A,#N/A,TRUE,"Summary";#N/A,#N/A,TRUE,"Detail"}</definedName>
    <definedName name="Evaporative_Cooling" localSheetId="0">#REF!</definedName>
    <definedName name="Evaporative_Cooling">#REF!</definedName>
    <definedName name="EW" localSheetId="0">#REF!</definedName>
    <definedName name="EW">#REF!</definedName>
    <definedName name="ex" localSheetId="0">#REF!</definedName>
    <definedName name="ex">#REF!</definedName>
    <definedName name="Excavated_earth" localSheetId="0">#REF!</definedName>
    <definedName name="Excavated_earth">#REF!</definedName>
    <definedName name="Excavation" localSheetId="0">#REF!</definedName>
    <definedName name="Excavation">#REF!</definedName>
    <definedName name="excavcl" localSheetId="0">#REF!</definedName>
    <definedName name="excavcl">#REF!</definedName>
    <definedName name="Excel_BuiltIn__FilterDatabase_1_1" localSheetId="0">#REF!</definedName>
    <definedName name="Excel_BuiltIn__FilterDatabase_1_1">#REF!</definedName>
    <definedName name="Excel_BuiltIn__FilterDatabase_2" localSheetId="0">#REF!</definedName>
    <definedName name="Excel_BuiltIn__FilterDatabase_2">#REF!</definedName>
    <definedName name="Excel_BuiltIn__FilterDatabase_9" localSheetId="0">#REF!</definedName>
    <definedName name="Excel_BuiltIn__FilterDatabase_9">#REF!</definedName>
    <definedName name="Excel_BuiltIn_Criteria_1_1" localSheetId="0">#REF!</definedName>
    <definedName name="Excel_BuiltIn_Criteria_1_1">#REF!</definedName>
    <definedName name="Excel_BuiltIn_Database" localSheetId="0">#REF!</definedName>
    <definedName name="Excel_BuiltIn_Database">#REF!</definedName>
    <definedName name="Excel_BuiltIn_Database_0" localSheetId="0">#REF!</definedName>
    <definedName name="Excel_BuiltIn_Database_0">#REF!</definedName>
    <definedName name="Excel_BuiltIn_Database_18" localSheetId="0">#REF!</definedName>
    <definedName name="Excel_BuiltIn_Database_18">#REF!</definedName>
    <definedName name="Excel_BuiltIn_Print_Area" localSheetId="0">#REF!</definedName>
    <definedName name="Excel_BuiltIn_Print_Area">#REF!</definedName>
    <definedName name="Excel_BuiltIn_Print_Area_1" localSheetId="0">#REF!</definedName>
    <definedName name="Excel_BuiltIn_Print_Area_1">#REF!</definedName>
    <definedName name="Excel_BuiltIn_Print_Area_1_1" localSheetId="0">#REF!</definedName>
    <definedName name="Excel_BuiltIn_Print_Area_1_1">#REF!</definedName>
    <definedName name="Excel_BuiltIn_Print_Area_1_2">"$#REF!.$B$3:$D$60"</definedName>
    <definedName name="Excel_BuiltIn_Print_Area_10" localSheetId="0">#REF!</definedName>
    <definedName name="Excel_BuiltIn_Print_Area_10">#REF!</definedName>
    <definedName name="Excel_BuiltIn_Print_Area_11" localSheetId="0">#REF!</definedName>
    <definedName name="Excel_BuiltIn_Print_Area_11">#REF!</definedName>
    <definedName name="Excel_BuiltIn_Print_Area_12" localSheetId="0">#REF!</definedName>
    <definedName name="Excel_BuiltIn_Print_Area_12">#REF!</definedName>
    <definedName name="Excel_BuiltIn_Print_Area_13" localSheetId="0">#REF!</definedName>
    <definedName name="Excel_BuiltIn_Print_Area_13">#REF!</definedName>
    <definedName name="Excel_BuiltIn_Print_Area_13_1" localSheetId="0">#REF!</definedName>
    <definedName name="Excel_BuiltIn_Print_Area_13_1">#REF!</definedName>
    <definedName name="Excel_BuiltIn_Print_Area_14" localSheetId="0">#REF!</definedName>
    <definedName name="Excel_BuiltIn_Print_Area_14">#REF!</definedName>
    <definedName name="Excel_BuiltIn_Print_Area_15" localSheetId="0">#REF!</definedName>
    <definedName name="Excel_BuiltIn_Print_Area_15">#REF!</definedName>
    <definedName name="Excel_BuiltIn_Print_Area_15_1" localSheetId="0">#REF!</definedName>
    <definedName name="Excel_BuiltIn_Print_Area_15_1">#REF!</definedName>
    <definedName name="Excel_BuiltIn_Print_Area_16" localSheetId="0">#REF!</definedName>
    <definedName name="Excel_BuiltIn_Print_Area_16">#REF!</definedName>
    <definedName name="Excel_BuiltIn_Print_Area_17" localSheetId="0">#REF!</definedName>
    <definedName name="Excel_BuiltIn_Print_Area_17">#REF!</definedName>
    <definedName name="Excel_BuiltIn_Print_Area_17_1" localSheetId="0">#REF!</definedName>
    <definedName name="Excel_BuiltIn_Print_Area_17_1">#REF!</definedName>
    <definedName name="Excel_BuiltIn_Print_Area_17_1_1" localSheetId="0">#REF!</definedName>
    <definedName name="Excel_BuiltIn_Print_Area_17_1_1">#REF!</definedName>
    <definedName name="Excel_BuiltIn_Print_Area_18" localSheetId="0">#REF!</definedName>
    <definedName name="Excel_BuiltIn_Print_Area_18">#REF!</definedName>
    <definedName name="Excel_BuiltIn_Print_Area_19" localSheetId="0">#REF!</definedName>
    <definedName name="Excel_BuiltIn_Print_Area_19">#REF!</definedName>
    <definedName name="Excel_BuiltIn_Print_Area_2" localSheetId="0">#REF!</definedName>
    <definedName name="Excel_BuiltIn_Print_Area_2">#REF!</definedName>
    <definedName name="Excel_BuiltIn_Print_Area_2_1" localSheetId="0">#REF!</definedName>
    <definedName name="Excel_BuiltIn_Print_Area_2_1">#REF!</definedName>
    <definedName name="Excel_BuiltIn_Print_Area_2_1_1_1_1_1_1" localSheetId="0">#REF!</definedName>
    <definedName name="Excel_BuiltIn_Print_Area_2_1_1_1_1_1_1">#REF!</definedName>
    <definedName name="Excel_BuiltIn_Print_Area_2_1_1_1_1_1_1_1" localSheetId="0">#REF!</definedName>
    <definedName name="Excel_BuiltIn_Print_Area_2_1_1_1_1_1_1_1">#REF!</definedName>
    <definedName name="Excel_BuiltIn_Print_Area_2_1_1_1_1_1_1_1_1" localSheetId="0">#REF!</definedName>
    <definedName name="Excel_BuiltIn_Print_Area_2_1_1_1_1_1_1_1_1">#REF!</definedName>
    <definedName name="Excel_BuiltIn_Print_Area_2_1_1_1_1_1_2" localSheetId="0">#REF!</definedName>
    <definedName name="Excel_BuiltIn_Print_Area_2_1_1_1_1_1_2">#REF!</definedName>
    <definedName name="Excel_BuiltIn_Print_Area_2_1_1_1_1_3" localSheetId="0">#REF!</definedName>
    <definedName name="Excel_BuiltIn_Print_Area_2_1_1_1_1_3">#REF!</definedName>
    <definedName name="Excel_BuiltIn_Print_Area_2_1_1_1_3" localSheetId="0">#REF!</definedName>
    <definedName name="Excel_BuiltIn_Print_Area_2_1_1_1_3">#REF!</definedName>
    <definedName name="Excel_BuiltIn_Print_Area_2_1_1_3" localSheetId="0">#REF!</definedName>
    <definedName name="Excel_BuiltIn_Print_Area_2_1_1_3">#REF!</definedName>
    <definedName name="Excel_BuiltIn_Print_Area_2_1_3" localSheetId="0">#REF!</definedName>
    <definedName name="Excel_BuiltIn_Print_Area_2_1_3">#REF!</definedName>
    <definedName name="Excel_BuiltIn_Print_Area_21" localSheetId="0">#REF!</definedName>
    <definedName name="Excel_BuiltIn_Print_Area_21">#REF!</definedName>
    <definedName name="Excel_BuiltIn_Print_Area_22" localSheetId="0">#REF!</definedName>
    <definedName name="Excel_BuiltIn_Print_Area_22">#REF!</definedName>
    <definedName name="Excel_BuiltIn_Print_Area_23" localSheetId="0">#REF!</definedName>
    <definedName name="Excel_BuiltIn_Print_Area_23">#REF!</definedName>
    <definedName name="Excel_BuiltIn_Print_Area_24" localSheetId="0">#REF!</definedName>
    <definedName name="Excel_BuiltIn_Print_Area_24">#REF!</definedName>
    <definedName name="Excel_BuiltIn_Print_Area_25" localSheetId="0">#REF!</definedName>
    <definedName name="Excel_BuiltIn_Print_Area_25">#REF!</definedName>
    <definedName name="Excel_BuiltIn_Print_Area_3" localSheetId="0">#REF!</definedName>
    <definedName name="Excel_BuiltIn_Print_Area_3">#REF!</definedName>
    <definedName name="Excel_BuiltIn_Print_Area_3_1" localSheetId="0">#REF!</definedName>
    <definedName name="Excel_BuiltIn_Print_Area_3_1">#REF!</definedName>
    <definedName name="Excel_BuiltIn_Print_Area_3_1_1" localSheetId="0">#REF!</definedName>
    <definedName name="Excel_BuiltIn_Print_Area_3_1_1">#REF!</definedName>
    <definedName name="Excel_BuiltIn_Print_Area_3_1_1_1" localSheetId="0">#REF!</definedName>
    <definedName name="Excel_BuiltIn_Print_Area_3_1_1_1">#REF!</definedName>
    <definedName name="Excel_BuiltIn_Print_Area_4" localSheetId="0">#REF!</definedName>
    <definedName name="Excel_BuiltIn_Print_Area_4">#REF!</definedName>
    <definedName name="Excel_BuiltIn_Print_Area_4_1" localSheetId="0">#REF!</definedName>
    <definedName name="Excel_BuiltIn_Print_Area_4_1">#REF!</definedName>
    <definedName name="Excel_BuiltIn_Print_Area_5" localSheetId="0">#REF!</definedName>
    <definedName name="Excel_BuiltIn_Print_Area_5">#REF!</definedName>
    <definedName name="Excel_BuiltIn_Print_Area_5_1" localSheetId="0">#REF!</definedName>
    <definedName name="Excel_BuiltIn_Print_Area_5_1">#REF!</definedName>
    <definedName name="Excel_BuiltIn_Print_Area_6" localSheetId="0">#REF!</definedName>
    <definedName name="Excel_BuiltIn_Print_Area_6">#REF!</definedName>
    <definedName name="Excel_BuiltIn_Print_Area_7" localSheetId="0">#REF!</definedName>
    <definedName name="Excel_BuiltIn_Print_Area_7">#REF!</definedName>
    <definedName name="Excel_BuiltIn_Print_Area_7_1" localSheetId="0">#REF!</definedName>
    <definedName name="Excel_BuiltIn_Print_Area_7_1">#REF!</definedName>
    <definedName name="Excel_BuiltIn_Print_Area_8" localSheetId="0">#REF!</definedName>
    <definedName name="Excel_BuiltIn_Print_Area_8">#REF!</definedName>
    <definedName name="Excel_BuiltIn_Print_Area_9" localSheetId="0">#REF!</definedName>
    <definedName name="Excel_BuiltIn_Print_Area_9">#REF!</definedName>
    <definedName name="Excel_BuiltIn_Print_Titles" localSheetId="0">#REF!,#REF!</definedName>
    <definedName name="Excel_BuiltIn_Print_Titles">#REF!,#REF!</definedName>
    <definedName name="Excel_BuiltIn_Print_Titles_1" localSheetId="0">#REF!</definedName>
    <definedName name="Excel_BuiltIn_Print_Titles_1">#REF!</definedName>
    <definedName name="Excel_BuiltIn_Print_Titles_1_1">"$#REF!.$B$#REF!:$ALU$#REF!"</definedName>
    <definedName name="Excel_BuiltIn_Print_Titles_10" localSheetId="0">#REF!</definedName>
    <definedName name="Excel_BuiltIn_Print_Titles_10">#REF!</definedName>
    <definedName name="Excel_BuiltIn_Print_Titles_11" localSheetId="0">#REF!</definedName>
    <definedName name="Excel_BuiltIn_Print_Titles_11">#REF!</definedName>
    <definedName name="Excel_BuiltIn_Print_Titles_12" localSheetId="0">#REF!</definedName>
    <definedName name="Excel_BuiltIn_Print_Titles_12">#REF!</definedName>
    <definedName name="Excel_BuiltIn_Print_Titles_14" localSheetId="0">#REF!</definedName>
    <definedName name="Excel_BuiltIn_Print_Titles_14">#REF!</definedName>
    <definedName name="Excel_BuiltIn_Print_Titles_15" localSheetId="0">#REF!</definedName>
    <definedName name="Excel_BuiltIn_Print_Titles_15">#REF!</definedName>
    <definedName name="Excel_BuiltIn_Print_Titles_15_1" localSheetId="0">#REF!</definedName>
    <definedName name="Excel_BuiltIn_Print_Titles_15_1">#REF!</definedName>
    <definedName name="Excel_BuiltIn_Print_Titles_16" localSheetId="0">#REF!</definedName>
    <definedName name="Excel_BuiltIn_Print_Titles_16">#REF!</definedName>
    <definedName name="Excel_BuiltIn_Print_Titles_17" localSheetId="0">#REF!</definedName>
    <definedName name="Excel_BuiltIn_Print_Titles_17">#REF!</definedName>
    <definedName name="Excel_BuiltIn_Print_Titles_18" localSheetId="0">#REF!</definedName>
    <definedName name="Excel_BuiltIn_Print_Titles_18">#REF!</definedName>
    <definedName name="Excel_BuiltIn_Print_Titles_19_1" localSheetId="0">#REF!</definedName>
    <definedName name="Excel_BuiltIn_Print_Titles_19_1">#REF!</definedName>
    <definedName name="Excel_BuiltIn_Print_Titles_2" localSheetId="0">#REF!</definedName>
    <definedName name="Excel_BuiltIn_Print_Titles_2">#REF!</definedName>
    <definedName name="Excel_BuiltIn_Print_Titles_2_1" localSheetId="0">#REF!</definedName>
    <definedName name="Excel_BuiltIn_Print_Titles_2_1">#REF!</definedName>
    <definedName name="Excel_BuiltIn_Print_Titles_2_1_1" localSheetId="0">#REF!</definedName>
    <definedName name="Excel_BuiltIn_Print_Titles_2_1_1">#REF!</definedName>
    <definedName name="Excel_BuiltIn_Print_Titles_2_1_1_1" localSheetId="0">#REF!</definedName>
    <definedName name="Excel_BuiltIn_Print_Titles_2_1_1_1">#REF!</definedName>
    <definedName name="Excel_BuiltIn_Print_Titles_2_1_1_1_1" localSheetId="0">#REF!</definedName>
    <definedName name="Excel_BuiltIn_Print_Titles_2_1_1_1_1">#REF!</definedName>
    <definedName name="Excel_BuiltIn_Print_Titles_3" localSheetId="0">#REF!</definedName>
    <definedName name="Excel_BuiltIn_Print_Titles_3">#REF!</definedName>
    <definedName name="Excel_BuiltIn_Print_Titles_3_1" localSheetId="0">#REF!</definedName>
    <definedName name="Excel_BuiltIn_Print_Titles_3_1">#REF!</definedName>
    <definedName name="Excel_BuiltIn_Print_Titles_4" localSheetId="0">#REF!</definedName>
    <definedName name="Excel_BuiltIn_Print_Titles_4">#REF!</definedName>
    <definedName name="Excel_BuiltIn_Print_Titles_5" localSheetId="0">#REF!</definedName>
    <definedName name="Excel_BuiltIn_Print_Titles_5">#REF!</definedName>
    <definedName name="Excel_BuiltIn_Print_Titles_5_1" localSheetId="0">#REF!</definedName>
    <definedName name="Excel_BuiltIn_Print_Titles_5_1">#REF!</definedName>
    <definedName name="Excel_BuiltIn_Print_Titles_6" localSheetId="0">#REF!</definedName>
    <definedName name="Excel_BuiltIn_Print_Titles_6">#REF!</definedName>
    <definedName name="Excel_BuiltIn_Print_Titles_7" localSheetId="0">#REF!</definedName>
    <definedName name="Excel_BuiltIn_Print_Titles_7">#REF!</definedName>
    <definedName name="Excel_BuiltIn_Print_Titles_8" localSheetId="0">#REF!</definedName>
    <definedName name="Excel_BuiltIn_Print_Titles_8">#REF!</definedName>
    <definedName name="Excel_BuiltIn_Print_Titles_9" localSheetId="0">#REF!</definedName>
    <definedName name="Excel_BuiltIn_Print_Titles_9">#REF!</definedName>
    <definedName name="Excel_BuiltIn_Print_Titles_9_1" localSheetId="0">#REF!</definedName>
    <definedName name="Excel_BuiltIn_Print_Titles_9_1">#REF!</definedName>
    <definedName name="excf" localSheetId="0">#REF!</definedName>
    <definedName name="excf">#REF!</definedName>
    <definedName name="ExciseDuty" localSheetId="0">#REF!</definedName>
    <definedName name="ExciseDuty">#REF!</definedName>
    <definedName name="EXIT" localSheetId="0">#REF!</definedName>
    <definedName name="EXIT">#REF!</definedName>
    <definedName name="Exp1.4MW" localSheetId="0">#REF!</definedName>
    <definedName name="Exp1.4MW">#REF!</definedName>
    <definedName name="Exp1.4MW_I" localSheetId="0">#REF!</definedName>
    <definedName name="Exp1.4MW_I">#REF!</definedName>
    <definedName name="ext" localSheetId="0">#REF!</definedName>
    <definedName name="ext">#REF!</definedName>
    <definedName name="External" localSheetId="0">#REF!</definedName>
    <definedName name="External">#REF!</definedName>
    <definedName name="External__Water_Supply" localSheetId="0">#REF!</definedName>
    <definedName name="External__Water_Supply">#REF!</definedName>
    <definedName name="External_Alterations___Renovations" localSheetId="0">#REF!</definedName>
    <definedName name="External_Alterations___Renovations">#REF!</definedName>
    <definedName name="External_Communications" localSheetId="0">#REF!</definedName>
    <definedName name="External_Communications">#REF!</definedName>
    <definedName name="External_Doors" localSheetId="0">#REF!</definedName>
    <definedName name="External_Doors">#REF!</definedName>
    <definedName name="External_Electrical" localSheetId="0">#REF!</definedName>
    <definedName name="External_Electrical">#REF!</definedName>
    <definedName name="External_Fire_Protection" localSheetId="0">#REF!</definedName>
    <definedName name="External_Fire_Protection">#REF!</definedName>
    <definedName name="External_Gas" localSheetId="0">#REF!</definedName>
    <definedName name="External_Gas">#REF!</definedName>
    <definedName name="External_Sewer" localSheetId="0">#REF!</definedName>
    <definedName name="External_Sewer">#REF!</definedName>
    <definedName name="External_Special_Services" localSheetId="0">#REF!</definedName>
    <definedName name="External_Special_Services">#REF!</definedName>
    <definedName name="External_Stormwater" localSheetId="0">#REF!</definedName>
    <definedName name="External_Stormwater">#REF!</definedName>
    <definedName name="External_Walls" localSheetId="0">#REF!</definedName>
    <definedName name="External_Walls">#REF!</definedName>
    <definedName name="Extra_Pay" localSheetId="0">#REF!</definedName>
    <definedName name="Extra_Pay">#REF!</definedName>
    <definedName name="ey" localSheetId="0">#REF!</definedName>
    <definedName name="ey">#REF!</definedName>
    <definedName name="f" localSheetId="0">#REF!</definedName>
    <definedName name="f">#REF!</definedName>
    <definedName name="F.E.W_ALL">#REF!</definedName>
    <definedName name="F.E.W_H.S.CLAY">#REF!</definedName>
    <definedName name="F.E.W_H.S.CLAY.">#REF!</definedName>
    <definedName name="F.E.W_S.D.R">#REF!</definedName>
    <definedName name="F.E.W_S.D.R1">#REF!</definedName>
    <definedName name="F.E.W_SAND">#REF!</definedName>
    <definedName name="f.nos" localSheetId="0">#REF!</definedName>
    <definedName name="f.nos">#REF!</definedName>
    <definedName name="f_1" localSheetId="0" hidden="1">{"form-D1",#N/A,FALSE,"FORM-D1";"form-D1_amt",#N/A,FALSE,"FORM-D1"}</definedName>
    <definedName name="f_1" hidden="1">{"form-D1",#N/A,FALSE,"FORM-D1";"form-D1_amt",#N/A,FALSE,"FORM-D1"}</definedName>
    <definedName name="f_1_1" localSheetId="0" hidden="1">{"form-D1",#N/A,FALSE,"FORM-D1";"form-D1_amt",#N/A,FALSE,"FORM-D1"}</definedName>
    <definedName name="f_1_1" hidden="1">{"form-D1",#N/A,FALSE,"FORM-D1";"form-D1_amt",#N/A,FALSE,"FORM-D1"}</definedName>
    <definedName name="f_1_2" localSheetId="0" hidden="1">{"form-D1",#N/A,FALSE,"FORM-D1";"form-D1_amt",#N/A,FALSE,"FORM-D1"}</definedName>
    <definedName name="f_1_2" hidden="1">{"form-D1",#N/A,FALSE,"FORM-D1";"form-D1_amt",#N/A,FALSE,"FORM-D1"}</definedName>
    <definedName name="f_2" localSheetId="0" hidden="1">{"form-D1",#N/A,FALSE,"FORM-D1";"form-D1_amt",#N/A,FALSE,"FORM-D1"}</definedName>
    <definedName name="f_2" hidden="1">{"form-D1",#N/A,FALSE,"FORM-D1";"form-D1_amt",#N/A,FALSE,"FORM-D1"}</definedName>
    <definedName name="f_2_1" localSheetId="0" hidden="1">{"form-D1",#N/A,FALSE,"FORM-D1";"form-D1_amt",#N/A,FALSE,"FORM-D1"}</definedName>
    <definedName name="f_2_1" hidden="1">{"form-D1",#N/A,FALSE,"FORM-D1";"form-D1_amt",#N/A,FALSE,"FORM-D1"}</definedName>
    <definedName name="f_3" localSheetId="0" hidden="1">{"form-D1",#N/A,FALSE,"FORM-D1";"form-D1_amt",#N/A,FALSE,"FORM-D1"}</definedName>
    <definedName name="f_3" hidden="1">{"form-D1",#N/A,FALSE,"FORM-D1";"form-D1_amt",#N/A,FALSE,"FORM-D1"}</definedName>
    <definedName name="f_3_1" localSheetId="0" hidden="1">{"form-D1",#N/A,FALSE,"FORM-D1";"form-D1_amt",#N/A,FALSE,"FORM-D1"}</definedName>
    <definedName name="f_3_1" hidden="1">{"form-D1",#N/A,FALSE,"FORM-D1";"form-D1_amt",#N/A,FALSE,"FORM-D1"}</definedName>
    <definedName name="f_4" localSheetId="0" hidden="1">{"form-D1",#N/A,FALSE,"FORM-D1";"form-D1_amt",#N/A,FALSE,"FORM-D1"}</definedName>
    <definedName name="f_4" hidden="1">{"form-D1",#N/A,FALSE,"FORM-D1";"form-D1_amt",#N/A,FALSE,"FORM-D1"}</definedName>
    <definedName name="F1011f1" localSheetId="0">#REF!</definedName>
    <definedName name="F1011f1">#REF!</definedName>
    <definedName name="f162." localSheetId="0">#REF!</definedName>
    <definedName name="f162.">#REF!</definedName>
    <definedName name="f2_" localSheetId="0">#REF!</definedName>
    <definedName name="f2_">#REF!</definedName>
    <definedName name="f534." localSheetId="0">#REF!</definedName>
    <definedName name="f534.">#REF!</definedName>
    <definedName name="fa" localSheetId="0">#REF!</definedName>
    <definedName name="fa">#REF!</definedName>
    <definedName name="FabricatedTMT" localSheetId="0">#REF!</definedName>
    <definedName name="FabricatedTMT">#REF!</definedName>
    <definedName name="Fabrication" localSheetId="0">#REF!</definedName>
    <definedName name="Fabrication">#REF!</definedName>
    <definedName name="FABRICATION_OF_RODS_1" localSheetId="0">#REF!</definedName>
    <definedName name="FABRICATION_OF_RODS_1">#REF!</definedName>
    <definedName name="FABRICATION_OF_RODS_2" localSheetId="0">#REF!</definedName>
    <definedName name="FABRICATION_OF_RODS_2">#REF!</definedName>
    <definedName name="fac" localSheetId="0">#REF!</definedName>
    <definedName name="fac">#REF!</definedName>
    <definedName name="fact" localSheetId="0">#REF!</definedName>
    <definedName name="fact">#REF!</definedName>
    <definedName name="FAH" localSheetId="0">#REF!</definedName>
    <definedName name="FAH">#REF!</definedName>
    <definedName name="Fax" localSheetId="0">#REF!</definedName>
    <definedName name="Fax">#REF!</definedName>
    <definedName name="Fb" localSheetId="0">#REF!</definedName>
    <definedName name="Fb">#REF!</definedName>
    <definedName name="fbeam" localSheetId="0">#REF!</definedName>
    <definedName name="fbeam">#REF!</definedName>
    <definedName name="FBEAM1" localSheetId="0">#REF!</definedName>
    <definedName name="FBEAM1">#REF!</definedName>
    <definedName name="fbeam10" localSheetId="0">#REF!</definedName>
    <definedName name="fbeam10">#REF!</definedName>
    <definedName name="fbeam101" localSheetId="0">#REF!</definedName>
    <definedName name="fbeam101">#REF!</definedName>
    <definedName name="FBEAM12" localSheetId="0">#REF!</definedName>
    <definedName name="FBEAM12">#REF!</definedName>
    <definedName name="FBEAM13" localSheetId="0">#REF!</definedName>
    <definedName name="FBEAM13">#REF!</definedName>
    <definedName name="fbeam2" localSheetId="0">#REF!</definedName>
    <definedName name="fbeam2">#REF!</definedName>
    <definedName name="FBEAM23" localSheetId="0">#REF!</definedName>
    <definedName name="FBEAM23">#REF!</definedName>
    <definedName name="FC" localSheetId="0" hidden="1">{#N/A,#N/A,FALSE,"gc (2)"}</definedName>
    <definedName name="FC" hidden="1">{#N/A,#N/A,FALSE,"gc (2)"}</definedName>
    <definedName name="fck" localSheetId="0">#REF!</definedName>
    <definedName name="fck">#REF!</definedName>
    <definedName name="FCode" localSheetId="0" hidden="1">#REF!</definedName>
    <definedName name="FCode" hidden="1">#REF!</definedName>
    <definedName name="fcr" localSheetId="0">#REF!</definedName>
    <definedName name="fcr">#REF!</definedName>
    <definedName name="fdf" localSheetId="0">#REF!</definedName>
    <definedName name="fdf">#REF!</definedName>
    <definedName name="fdghdgfh" localSheetId="0">#REF!</definedName>
    <definedName name="fdghdgfh">#REF!</definedName>
    <definedName name="fdhjfju" localSheetId="0">#REF!</definedName>
    <definedName name="fdhjfju">#REF!</definedName>
    <definedName name="fdrop" localSheetId="0">#REF!</definedName>
    <definedName name="fdrop">#REF!</definedName>
    <definedName name="fdrop1" localSheetId="0">#REF!</definedName>
    <definedName name="fdrop1">#REF!</definedName>
    <definedName name="fdrop10" localSheetId="0">#REF!</definedName>
    <definedName name="fdrop10">#REF!</definedName>
    <definedName name="fdrop101" localSheetId="0">#REF!</definedName>
    <definedName name="fdrop101">#REF!</definedName>
    <definedName name="fdrop102" localSheetId="0">#REF!</definedName>
    <definedName name="fdrop102">#REF!</definedName>
    <definedName name="FDROP11" localSheetId="0">#REF!</definedName>
    <definedName name="FDROP11">#REF!</definedName>
    <definedName name="fdrop111" localSheetId="0">#REF!</definedName>
    <definedName name="fdrop111">#REF!</definedName>
    <definedName name="fdrop12" localSheetId="0">#REF!</definedName>
    <definedName name="fdrop12">#REF!</definedName>
    <definedName name="FDROP121" localSheetId="0">#REF!</definedName>
    <definedName name="FDROP121">#REF!</definedName>
    <definedName name="FDROP13" localSheetId="0">#REF!</definedName>
    <definedName name="FDROP13">#REF!</definedName>
    <definedName name="FDROP14" localSheetId="0">#REF!</definedName>
    <definedName name="FDROP14">#REF!</definedName>
    <definedName name="FDROP15" localSheetId="0">#REF!</definedName>
    <definedName name="FDROP15">#REF!</definedName>
    <definedName name="FDROP16" localSheetId="0">#REF!</definedName>
    <definedName name="FDROP16">#REF!</definedName>
    <definedName name="FDROP17" localSheetId="0">#REF!</definedName>
    <definedName name="FDROP17">#REF!</definedName>
    <definedName name="FDROP2" localSheetId="0">#REF!</definedName>
    <definedName name="FDROP2">#REF!</definedName>
    <definedName name="fdrop3" localSheetId="0">#REF!</definedName>
    <definedName name="fdrop3">#REF!</definedName>
    <definedName name="FEB_05" localSheetId="0">#REF!</definedName>
    <definedName name="FEB_05">#REF!</definedName>
    <definedName name="feb_qty_rev_3" localSheetId="0">#REF!</definedName>
    <definedName name="feb_qty_rev_3">#REF!</definedName>
    <definedName name="feb_rev4_qty" localSheetId="0">#REF!</definedName>
    <definedName name="feb_rev4_qty">#REF!</definedName>
    <definedName name="fee_autho.contract" localSheetId="0">#REF!</definedName>
    <definedName name="fee_autho.contract">#REF!</definedName>
    <definedName name="fee_autho.now" localSheetId="0">#REF!</definedName>
    <definedName name="fee_autho.now">#REF!</definedName>
    <definedName name="fee_autho.payment" localSheetId="0">#REF!</definedName>
    <definedName name="fee_autho.payment">#REF!</definedName>
    <definedName name="fee_autho.uncommit" localSheetId="0">#REF!</definedName>
    <definedName name="fee_autho.uncommit">#REF!</definedName>
    <definedName name="fee_autho.vo.app" localSheetId="0">#REF!</definedName>
    <definedName name="fee_autho.vo.app">#REF!</definedName>
    <definedName name="fee_autho.vo.pend" localSheetId="0">#REF!</definedName>
    <definedName name="fee_autho.vo.pend">#REF!</definedName>
    <definedName name="fee_contract" localSheetId="0">#REF!</definedName>
    <definedName name="fee_contract">#REF!</definedName>
    <definedName name="fee_now" localSheetId="0">#REF!</definedName>
    <definedName name="fee_now">#REF!</definedName>
    <definedName name="fee_payment" localSheetId="0">#REF!</definedName>
    <definedName name="fee_payment">#REF!</definedName>
    <definedName name="fee_uncommit" localSheetId="0">#REF!</definedName>
    <definedName name="fee_uncommit">#REF!</definedName>
    <definedName name="fee_vo.app" localSheetId="0">#REF!</definedName>
    <definedName name="fee_vo.app">#REF!</definedName>
    <definedName name="fee_vo.pend" localSheetId="0">#REF!</definedName>
    <definedName name="fee_vo.pend">#REF!</definedName>
    <definedName name="FEF">#N/A</definedName>
    <definedName name="FEG">#N/A</definedName>
    <definedName name="FELOADER" localSheetId="0">#REF!</definedName>
    <definedName name="FELOADER">#REF!</definedName>
    <definedName name="Fences___Gates" localSheetId="0">#REF!</definedName>
    <definedName name="Fences___Gates">#REF!</definedName>
    <definedName name="FF" localSheetId="0">#REF!</definedName>
    <definedName name="FF">#REF!</definedName>
    <definedName name="ff_1" localSheetId="0" hidden="1">{"form-D1",#N/A,FALSE,"FORM-D1";"form-D1_amt",#N/A,FALSE,"FORM-D1"}</definedName>
    <definedName name="ff_1" hidden="1">{"form-D1",#N/A,FALSE,"FORM-D1";"form-D1_amt",#N/A,FALSE,"FORM-D1"}</definedName>
    <definedName name="ff_1_1" localSheetId="0" hidden="1">{"form-D1",#N/A,FALSE,"FORM-D1";"form-D1_amt",#N/A,FALSE,"FORM-D1"}</definedName>
    <definedName name="ff_1_1" hidden="1">{"form-D1",#N/A,FALSE,"FORM-D1";"form-D1_amt",#N/A,FALSE,"FORM-D1"}</definedName>
    <definedName name="ff_1_2" localSheetId="0" hidden="1">{"form-D1",#N/A,FALSE,"FORM-D1";"form-D1_amt",#N/A,FALSE,"FORM-D1"}</definedName>
    <definedName name="ff_1_2" hidden="1">{"form-D1",#N/A,FALSE,"FORM-D1";"form-D1_amt",#N/A,FALSE,"FORM-D1"}</definedName>
    <definedName name="ff_2" localSheetId="0" hidden="1">{"form-D1",#N/A,FALSE,"FORM-D1";"form-D1_amt",#N/A,FALSE,"FORM-D1"}</definedName>
    <definedName name="ff_2" hidden="1">{"form-D1",#N/A,FALSE,"FORM-D1";"form-D1_amt",#N/A,FALSE,"FORM-D1"}</definedName>
    <definedName name="ff_2_1" localSheetId="0" hidden="1">{"form-D1",#N/A,FALSE,"FORM-D1";"form-D1_amt",#N/A,FALSE,"FORM-D1"}</definedName>
    <definedName name="ff_2_1" hidden="1">{"form-D1",#N/A,FALSE,"FORM-D1";"form-D1_amt",#N/A,FALSE,"FORM-D1"}</definedName>
    <definedName name="ff_3" localSheetId="0" hidden="1">{"form-D1",#N/A,FALSE,"FORM-D1";"form-D1_amt",#N/A,FALSE,"FORM-D1"}</definedName>
    <definedName name="ff_3" hidden="1">{"form-D1",#N/A,FALSE,"FORM-D1";"form-D1_amt",#N/A,FALSE,"FORM-D1"}</definedName>
    <definedName name="ff_3_1" localSheetId="0" hidden="1">{"form-D1",#N/A,FALSE,"FORM-D1";"form-D1_amt",#N/A,FALSE,"FORM-D1"}</definedName>
    <definedName name="ff_3_1" hidden="1">{"form-D1",#N/A,FALSE,"FORM-D1";"form-D1_amt",#N/A,FALSE,"FORM-D1"}</definedName>
    <definedName name="ff_4" localSheetId="0" hidden="1">{"form-D1",#N/A,FALSE,"FORM-D1";"form-D1_amt",#N/A,FALSE,"FORM-D1"}</definedName>
    <definedName name="ff_4" hidden="1">{"form-D1",#N/A,FALSE,"FORM-D1";"form-D1_amt",#N/A,FALSE,"FORM-D1"}</definedName>
    <definedName name="ff_4_1" localSheetId="0" hidden="1">{"form-D1",#N/A,FALSE,"FORM-D1";"form-D1_amt",#N/A,FALSE,"FORM-D1"}</definedName>
    <definedName name="ff_4_1" hidden="1">{"form-D1",#N/A,FALSE,"FORM-D1";"form-D1_amt",#N/A,FALSE,"FORM-D1"}</definedName>
    <definedName name="ff_5" localSheetId="0" hidden="1">{"form-D1",#N/A,FALSE,"FORM-D1";"form-D1_amt",#N/A,FALSE,"FORM-D1"}</definedName>
    <definedName name="ff_5" hidden="1">{"form-D1",#N/A,FALSE,"FORM-D1";"form-D1_amt",#N/A,FALSE,"FORM-D1"}</definedName>
    <definedName name="ff_5_1" localSheetId="0" hidden="1">{"form-D1",#N/A,FALSE,"FORM-D1";"form-D1_amt",#N/A,FALSE,"FORM-D1"}</definedName>
    <definedName name="ff_5_1" hidden="1">{"form-D1",#N/A,FALSE,"FORM-D1";"form-D1_amt",#N/A,FALSE,"FORM-D1"}</definedName>
    <definedName name="fff" localSheetId="0">#REF!</definedName>
    <definedName name="fff">#REF!</definedName>
    <definedName name="fffff" localSheetId="0">#REF!</definedName>
    <definedName name="fffff">#REF!</definedName>
    <definedName name="ffffffffffffff" localSheetId="0">#REF!</definedName>
    <definedName name="ffffffffffffff">#REF!</definedName>
    <definedName name="fffffg" localSheetId="0" hidden="1">{"form-D1",#N/A,FALSE,"FORM-D1";"form-D1_amt",#N/A,FALSE,"FORM-D1"}</definedName>
    <definedName name="fffffg" hidden="1">{"form-D1",#N/A,FALSE,"FORM-D1";"form-D1_amt",#N/A,FALSE,"FORM-D1"}</definedName>
    <definedName name="fffffg_1" localSheetId="0" hidden="1">{"form-D1",#N/A,FALSE,"FORM-D1";"form-D1_amt",#N/A,FALSE,"FORM-D1"}</definedName>
    <definedName name="fffffg_1" hidden="1">{"form-D1",#N/A,FALSE,"FORM-D1";"form-D1_amt",#N/A,FALSE,"FORM-D1"}</definedName>
    <definedName name="fffffg_1_1" localSheetId="0" hidden="1">{"form-D1",#N/A,FALSE,"FORM-D1";"form-D1_amt",#N/A,FALSE,"FORM-D1"}</definedName>
    <definedName name="fffffg_1_1" hidden="1">{"form-D1",#N/A,FALSE,"FORM-D1";"form-D1_amt",#N/A,FALSE,"FORM-D1"}</definedName>
    <definedName name="fffffg_1_2" localSheetId="0" hidden="1">{"form-D1",#N/A,FALSE,"FORM-D1";"form-D1_amt",#N/A,FALSE,"FORM-D1"}</definedName>
    <definedName name="fffffg_1_2" hidden="1">{"form-D1",#N/A,FALSE,"FORM-D1";"form-D1_amt",#N/A,FALSE,"FORM-D1"}</definedName>
    <definedName name="fffffg_2" localSheetId="0" hidden="1">{"form-D1",#N/A,FALSE,"FORM-D1";"form-D1_amt",#N/A,FALSE,"FORM-D1"}</definedName>
    <definedName name="fffffg_2" hidden="1">{"form-D1",#N/A,FALSE,"FORM-D1";"form-D1_amt",#N/A,FALSE,"FORM-D1"}</definedName>
    <definedName name="fffffg_2_1" localSheetId="0" hidden="1">{"form-D1",#N/A,FALSE,"FORM-D1";"form-D1_amt",#N/A,FALSE,"FORM-D1"}</definedName>
    <definedName name="fffffg_2_1" hidden="1">{"form-D1",#N/A,FALSE,"FORM-D1";"form-D1_amt",#N/A,FALSE,"FORM-D1"}</definedName>
    <definedName name="fffffg_3" localSheetId="0" hidden="1">{"form-D1",#N/A,FALSE,"FORM-D1";"form-D1_amt",#N/A,FALSE,"FORM-D1"}</definedName>
    <definedName name="fffffg_3" hidden="1">{"form-D1",#N/A,FALSE,"FORM-D1";"form-D1_amt",#N/A,FALSE,"FORM-D1"}</definedName>
    <definedName name="fffffg_3_1" localSheetId="0" hidden="1">{"form-D1",#N/A,FALSE,"FORM-D1";"form-D1_amt",#N/A,FALSE,"FORM-D1"}</definedName>
    <definedName name="fffffg_3_1" hidden="1">{"form-D1",#N/A,FALSE,"FORM-D1";"form-D1_amt",#N/A,FALSE,"FORM-D1"}</definedName>
    <definedName name="fffffg_4" localSheetId="0" hidden="1">{"form-D1",#N/A,FALSE,"FORM-D1";"form-D1_amt",#N/A,FALSE,"FORM-D1"}</definedName>
    <definedName name="fffffg_4" hidden="1">{"form-D1",#N/A,FALSE,"FORM-D1";"form-D1_amt",#N/A,FALSE,"FORM-D1"}</definedName>
    <definedName name="fffffg_4_1" localSheetId="0" hidden="1">{"form-D1",#N/A,FALSE,"FORM-D1";"form-D1_amt",#N/A,FALSE,"FORM-D1"}</definedName>
    <definedName name="fffffg_4_1" hidden="1">{"form-D1",#N/A,FALSE,"FORM-D1";"form-D1_amt",#N/A,FALSE,"FORM-D1"}</definedName>
    <definedName name="fffffg_5" localSheetId="0" hidden="1">{"form-D1",#N/A,FALSE,"FORM-D1";"form-D1_amt",#N/A,FALSE,"FORM-D1"}</definedName>
    <definedName name="fffffg_5" hidden="1">{"form-D1",#N/A,FALSE,"FORM-D1";"form-D1_amt",#N/A,FALSE,"FORM-D1"}</definedName>
    <definedName name="fffffg_5_1" localSheetId="0" hidden="1">{"form-D1",#N/A,FALSE,"FORM-D1";"form-D1_amt",#N/A,FALSE,"FORM-D1"}</definedName>
    <definedName name="fffffg_5_1" hidden="1">{"form-D1",#N/A,FALSE,"FORM-D1";"form-D1_amt",#N/A,FALSE,"FORM-D1"}</definedName>
    <definedName name="FFGB28" localSheetId="0">#REF!</definedName>
    <definedName name="FFGB28">#REF!</definedName>
    <definedName name="FFGB55" localSheetId="0">#REF!</definedName>
    <definedName name="FFGB55">#REF!</definedName>
    <definedName name="FFGB56" localSheetId="0">#REF!</definedName>
    <definedName name="FFGB56">#REF!</definedName>
    <definedName name="FFGB57" localSheetId="0">#REF!</definedName>
    <definedName name="FFGB57">#REF!</definedName>
    <definedName name="FFGB58" localSheetId="0">#REF!</definedName>
    <definedName name="FFGB58">#REF!</definedName>
    <definedName name="ffloor" localSheetId="0">#REF!</definedName>
    <definedName name="ffloor">#REF!</definedName>
    <definedName name="fg" localSheetId="0">#REF!</definedName>
    <definedName name="fg">[6]Data!#REF!</definedName>
    <definedName name="fgf" localSheetId="0">#REF!</definedName>
    <definedName name="fgf">#REF!</definedName>
    <definedName name="fgfdg" localSheetId="0" hidden="1">#REF!</definedName>
    <definedName name="fgfdg" hidden="1">#REF!</definedName>
    <definedName name="fggfg" localSheetId="0">#REF!</definedName>
    <definedName name="fggfg">#REF!</definedName>
    <definedName name="fgh" localSheetId="0" hidden="1">{"office ltcg",#N/A,FALSE,"gain01";"IT LTCG",#N/A,FALSE,"gain01"}</definedName>
    <definedName name="fgh" hidden="1">{"office ltcg",#N/A,FALSE,"gain01";"IT LTCG",#N/A,FALSE,"gain01"}</definedName>
    <definedName name="FGHGFH" localSheetId="0">#REF!</definedName>
    <definedName name="FGHGFH">#REF!</definedName>
    <definedName name="fgsadgsgfd" localSheetId="0">#REF!</definedName>
    <definedName name="fgsadgsgfd">#REF!</definedName>
    <definedName name="fgty" localSheetId="0">#REF!</definedName>
    <definedName name="fgty">#REF!</definedName>
    <definedName name="Fh" localSheetId="0">#REF!</definedName>
    <definedName name="Fh">#REF!</definedName>
    <definedName name="Fha" localSheetId="0">#REF!</definedName>
    <definedName name="Fha">#REF!</definedName>
    <definedName name="fhdsgbh" localSheetId="0">#REF!</definedName>
    <definedName name="fhdsgbh">#REF!</definedName>
    <definedName name="FHFGHFF" localSheetId="0">#REF!</definedName>
    <definedName name="FHFGHFF">#REF!</definedName>
    <definedName name="FHFGHGFH" localSheetId="0">#REF!</definedName>
    <definedName name="FHFGHGFH">#REF!</definedName>
    <definedName name="FHGFHFF" localSheetId="0">#REF!</definedName>
    <definedName name="FHGFHFF">#REF!</definedName>
    <definedName name="fhhhh" localSheetId="0"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JFHGFH" localSheetId="0">#REF!</definedName>
    <definedName name="FHJFHGFH">#REF!</definedName>
    <definedName name="FHNFHFHF" localSheetId="0">#REF!</definedName>
    <definedName name="FHNFHFHF">#REF!</definedName>
    <definedName name="fhryu" localSheetId="0">#REF!</definedName>
    <definedName name="fhryu">#REF!</definedName>
    <definedName name="Fhwa" localSheetId="0">#REF!</definedName>
    <definedName name="Fhwa">#REF!</definedName>
    <definedName name="Fhwl" localSheetId="0">#REF!</definedName>
    <definedName name="Fhwl">#REF!</definedName>
    <definedName name="fil" localSheetId="0" hidden="1">#REF!</definedName>
    <definedName name="fil" hidden="1">#REF!</definedName>
    <definedName name="file" localSheetId="0">#REF!</definedName>
    <definedName name="file">#REF!</definedName>
    <definedName name="File.Type" localSheetId="0" hidden="1">#REF!</definedName>
    <definedName name="File.Type" hidden="1">#REF!</definedName>
    <definedName name="File_Used" localSheetId="0">#REF!</definedName>
    <definedName name="File_Used">#REF!</definedName>
    <definedName name="Fin" localSheetId="0" hidden="1">{#N/A,#N/A,TRUE,"Financials";#N/A,#N/A,TRUE,"Operating Statistics";#N/A,#N/A,TRUE,"Capex &amp; Depreciation";#N/A,#N/A,TRUE,"Debt"}</definedName>
    <definedName name="Fin" hidden="1">{#N/A,#N/A,TRUE,"Financials";#N/A,#N/A,TRUE,"Operating Statistics";#N/A,#N/A,TRUE,"Capex &amp; Depreciation";#N/A,#N/A,TRUE,"Debt"}</definedName>
    <definedName name="FINISHES" localSheetId="0">#REF!</definedName>
    <definedName name="FINISHES">#REF!</definedName>
    <definedName name="finishesArea" localSheetId="0">#REF!</definedName>
    <definedName name="finishesArea">#REF!</definedName>
    <definedName name="finishesPerimeter" localSheetId="0">#REF!</definedName>
    <definedName name="finishesPerimeter">#REF!</definedName>
    <definedName name="finishing" localSheetId="0">#REF!</definedName>
    <definedName name="finishing">#REF!</definedName>
    <definedName name="Fire_Protection" localSheetId="0">#REF!</definedName>
    <definedName name="Fire_Protection">#REF!</definedName>
    <definedName name="first" localSheetId="0">#REF!</definedName>
    <definedName name="first">#REF!</definedName>
    <definedName name="firstValve" localSheetId="0">#REF!</definedName>
    <definedName name="firstValve">#REF!</definedName>
    <definedName name="firstYear" localSheetId="0">#REF!</definedName>
    <definedName name="firstYear">#REF!</definedName>
    <definedName name="FIT" localSheetId="0">#REF!</definedName>
    <definedName name="FIT">#REF!</definedName>
    <definedName name="FIT___0" localSheetId="0">#REF!</definedName>
    <definedName name="FIT___0">#REF!</definedName>
    <definedName name="FIT___13" localSheetId="0">#REF!</definedName>
    <definedName name="FIT___13">#REF!</definedName>
    <definedName name="Fitments" localSheetId="0">#REF!</definedName>
    <definedName name="Fitments">#REF!</definedName>
    <definedName name="fixdoor" localSheetId="0">#REF!</definedName>
    <definedName name="fixdoor">#REF!</definedName>
    <definedName name="fixed" localSheetId="0">#REF!</definedName>
    <definedName name="fixed">#REF!</definedName>
    <definedName name="fixed_asset" localSheetId="0">#REF!</definedName>
    <definedName name="fixed_asset">#REF!</definedName>
    <definedName name="fj_100" localSheetId="0">#REF!</definedName>
    <definedName name="fj_100">#REF!</definedName>
    <definedName name="fj_150" localSheetId="0">#REF!</definedName>
    <definedName name="fj_150">#REF!</definedName>
    <definedName name="fj_200" localSheetId="0">#REF!</definedName>
    <definedName name="fj_200">#REF!</definedName>
    <definedName name="fj_25" localSheetId="0">#REF!</definedName>
    <definedName name="fj_25">#REF!</definedName>
    <definedName name="fj_250" localSheetId="0">#REF!</definedName>
    <definedName name="fj_250">#REF!</definedName>
    <definedName name="fj_300" localSheetId="0">#REF!</definedName>
    <definedName name="fj_300">#REF!</definedName>
    <definedName name="fj_32" localSheetId="0">#REF!</definedName>
    <definedName name="fj_32">#REF!</definedName>
    <definedName name="fj_40" localSheetId="0">#REF!</definedName>
    <definedName name="fj_40">#REF!</definedName>
    <definedName name="fj_400" localSheetId="0">#REF!</definedName>
    <definedName name="fj_400">#REF!</definedName>
    <definedName name="fj_50" localSheetId="0">#REF!</definedName>
    <definedName name="fj_50">#REF!</definedName>
    <definedName name="fj_500" localSheetId="0">#REF!</definedName>
    <definedName name="fj_500">#REF!</definedName>
    <definedName name="fj_65" localSheetId="0">#REF!</definedName>
    <definedName name="fj_65">#REF!</definedName>
    <definedName name="fj_80" localSheetId="0">#REF!</definedName>
    <definedName name="fj_80">#REF!</definedName>
    <definedName name="fl" localSheetId="0">#REF!</definedName>
    <definedName name="fl">[6]Data!#REF!</definedName>
    <definedName name="flag1" localSheetId="0">#REF!</definedName>
    <definedName name="flag1">#REF!</definedName>
    <definedName name="flo" localSheetId="0">#REF!</definedName>
    <definedName name="flo">[6]Data!#REF!</definedName>
    <definedName name="Floor" localSheetId="0">#REF!</definedName>
    <definedName name="Floor">#REF!</definedName>
    <definedName name="Floor_Fin" localSheetId="0">#REF!</definedName>
    <definedName name="Floor_Fin">#REF!</definedName>
    <definedName name="Floor_Finishes" localSheetId="0">#REF!</definedName>
    <definedName name="Floor_Finishes">#REF!</definedName>
    <definedName name="FLOORING" localSheetId="0">#REF!</definedName>
    <definedName name="FLOORING">#REF!</definedName>
    <definedName name="Flooring_1.5.10" localSheetId="0">#REF!</definedName>
    <definedName name="Flooring_1.5.10">#REF!</definedName>
    <definedName name="Flooring_cuddapah" localSheetId="0">#REF!</definedName>
    <definedName name="Flooring_cuddapah">[6]Data!#REF!</definedName>
    <definedName name="fo" localSheetId="0">#REF!</definedName>
    <definedName name="fo">#REF!</definedName>
    <definedName name="foa" localSheetId="0">#REF!</definedName>
    <definedName name="foa">#REF!</definedName>
    <definedName name="Footings" localSheetId="0">#REF!</definedName>
    <definedName name="Footings">#REF!</definedName>
    <definedName name="formu" localSheetId="0">#REF!</definedName>
    <definedName name="formu">#REF!</definedName>
    <definedName name="Foundation" localSheetId="0">#REF!</definedName>
    <definedName name="Foundation">#REF!</definedName>
    <definedName name="foundationtable" localSheetId="0">#REF!</definedName>
    <definedName name="foundationtable">#REF!</definedName>
    <definedName name="Fp" localSheetId="0">#REF!</definedName>
    <definedName name="Fp">#REF!</definedName>
    <definedName name="Fpi" localSheetId="0">#REF!</definedName>
    <definedName name="Fpi">#REF!</definedName>
    <definedName name="FQAQ" localSheetId="0">#REF!</definedName>
    <definedName name="FQAQ">#REF!</definedName>
    <definedName name="FRA" localSheetId="0">#REF!</definedName>
    <definedName name="FRA">#REF!</definedName>
    <definedName name="fRANCIS" localSheetId="0">#REF!</definedName>
    <definedName name="fRANCIS">#REF!</definedName>
    <definedName name="Francis." localSheetId="0">#REF!</definedName>
    <definedName name="Francis.">#REF!</definedName>
    <definedName name="fRANCU" localSheetId="0">#REF!</definedName>
    <definedName name="fRANCU">#REF!</definedName>
    <definedName name="frncis" localSheetId="0">#REF!</definedName>
    <definedName name="frncis">#REF!</definedName>
    <definedName name="frnorms" localSheetId="0">#REF!</definedName>
    <definedName name="frnorms">#REF!</definedName>
    <definedName name="frt" localSheetId="0">#REF!</definedName>
    <definedName name="frt">#REF!</definedName>
    <definedName name="Fs" localSheetId="0">#REF!</definedName>
    <definedName name="Fs">#REF!</definedName>
    <definedName name="fsdfsdf" localSheetId="0">#REF!</definedName>
    <definedName name="fsdfsdf">#REF!</definedName>
    <definedName name="fsds" localSheetId="0">#REF!</definedName>
    <definedName name="fsds">#REF!</definedName>
    <definedName name="fsdsdf" localSheetId="0">#REF!</definedName>
    <definedName name="fsdsdf">#REF!</definedName>
    <definedName name="fsf" localSheetId="0">#REF!</definedName>
    <definedName name="fsf">#REF!</definedName>
    <definedName name="fsg" localSheetId="0">#REF!</definedName>
    <definedName name="fsg">#REF!</definedName>
    <definedName name="fslab" localSheetId="0">#REF!</definedName>
    <definedName name="fslab">#REF!</definedName>
    <definedName name="FSLAB1" localSheetId="0">#REF!</definedName>
    <definedName name="FSLAB1">#REF!</definedName>
    <definedName name="fslab10" localSheetId="0">#REF!</definedName>
    <definedName name="fslab10">#REF!</definedName>
    <definedName name="FSLAB101" localSheetId="0">#REF!</definedName>
    <definedName name="FSLAB101">#REF!</definedName>
    <definedName name="fslab11" localSheetId="0">#REF!</definedName>
    <definedName name="fslab11">#REF!</definedName>
    <definedName name="FSLAB12" localSheetId="0">#REF!</definedName>
    <definedName name="FSLAB12">#REF!</definedName>
    <definedName name="FSLAB13" localSheetId="0">#REF!</definedName>
    <definedName name="FSLAB13">#REF!</definedName>
    <definedName name="fslab2" localSheetId="0">#REF!</definedName>
    <definedName name="fslab2">#REF!</definedName>
    <definedName name="FSLAB23" localSheetId="0">#REF!</definedName>
    <definedName name="FSLAB23">#REF!</definedName>
    <definedName name="FSSDD" localSheetId="0">#REF!</definedName>
    <definedName name="FSSDD">#REF!</definedName>
    <definedName name="Fst" localSheetId="0">#REF!</definedName>
    <definedName name="Fst">#REF!</definedName>
    <definedName name="ft" localSheetId="0">#REF!</definedName>
    <definedName name="Ft">#REF!</definedName>
    <definedName name="FT0" localSheetId="0">#REF!</definedName>
    <definedName name="FT0">#REF!</definedName>
    <definedName name="fto" localSheetId="0">#REF!</definedName>
    <definedName name="fto">#REF!</definedName>
    <definedName name="Full_Print" localSheetId="0">#REF!</definedName>
    <definedName name="Full_Print">#REF!</definedName>
    <definedName name="furn" localSheetId="0">#REF!</definedName>
    <definedName name="furn">#REF!</definedName>
    <definedName name="furniture" localSheetId="0">#REF!</definedName>
    <definedName name="furniture">#REF!</definedName>
    <definedName name="Fv" localSheetId="0">#REF!</definedName>
    <definedName name="Fv">#REF!</definedName>
    <definedName name="FW" localSheetId="0">#REF!</definedName>
    <definedName name="FW">#REF!</definedName>
    <definedName name="fy" localSheetId="0">#REF!</definedName>
    <definedName name="fy">#REF!</definedName>
    <definedName name="g" localSheetId="0">#REF!</definedName>
    <definedName name="g">#REF!</definedName>
    <definedName name="G.I.Above_Ground_Level" localSheetId="0">#REF!</definedName>
    <definedName name="G.I.Above_Ground_Level">[6]Data!#REF!</definedName>
    <definedName name="G.I.Below_Ground_level" localSheetId="0">#REF!</definedName>
    <definedName name="G.I.Below_Ground_level">[6]Data!#REF!</definedName>
    <definedName name="G.I.Purline" localSheetId="0">#REF!</definedName>
    <definedName name="G.I.Purline">[6]Data!#REF!</definedName>
    <definedName name="G.I.Union" localSheetId="0">#REF!</definedName>
    <definedName name="G.I.Union">[6]Data!#REF!</definedName>
    <definedName name="g.ir" localSheetId="0">#REF!</definedName>
    <definedName name="g.ir">[6]Data!#REF!</definedName>
    <definedName name="G.M.Valve" localSheetId="0">#REF!</definedName>
    <definedName name="G.M.Valve">#REF!</definedName>
    <definedName name="g_1" localSheetId="0" hidden="1">{"form-D1",#N/A,FALSE,"FORM-D1";"form-D1_amt",#N/A,FALSE,"FORM-D1"}</definedName>
    <definedName name="g_1" hidden="1">{"form-D1",#N/A,FALSE,"FORM-D1";"form-D1_amt",#N/A,FALSE,"FORM-D1"}</definedName>
    <definedName name="g_1_1" localSheetId="0" hidden="1">{"form-D1",#N/A,FALSE,"FORM-D1";"form-D1_amt",#N/A,FALSE,"FORM-D1"}</definedName>
    <definedName name="g_1_1" hidden="1">{"form-D1",#N/A,FALSE,"FORM-D1";"form-D1_amt",#N/A,FALSE,"FORM-D1"}</definedName>
    <definedName name="g_1_2" localSheetId="0" hidden="1">{"form-D1",#N/A,FALSE,"FORM-D1";"form-D1_amt",#N/A,FALSE,"FORM-D1"}</definedName>
    <definedName name="g_1_2" hidden="1">{"form-D1",#N/A,FALSE,"FORM-D1";"form-D1_amt",#N/A,FALSE,"FORM-D1"}</definedName>
    <definedName name="g_2" localSheetId="0" hidden="1">{"form-D1",#N/A,FALSE,"FORM-D1";"form-D1_amt",#N/A,FALSE,"FORM-D1"}</definedName>
    <definedName name="g_2" hidden="1">{"form-D1",#N/A,FALSE,"FORM-D1";"form-D1_amt",#N/A,FALSE,"FORM-D1"}</definedName>
    <definedName name="g_2_1" localSheetId="0" hidden="1">{"form-D1",#N/A,FALSE,"FORM-D1";"form-D1_amt",#N/A,FALSE,"FORM-D1"}</definedName>
    <definedName name="g_2_1" hidden="1">{"form-D1",#N/A,FALSE,"FORM-D1";"form-D1_amt",#N/A,FALSE,"FORM-D1"}</definedName>
    <definedName name="g_3" localSheetId="0" hidden="1">{"form-D1",#N/A,FALSE,"FORM-D1";"form-D1_amt",#N/A,FALSE,"FORM-D1"}</definedName>
    <definedName name="g_3" hidden="1">{"form-D1",#N/A,FALSE,"FORM-D1";"form-D1_amt",#N/A,FALSE,"FORM-D1"}</definedName>
    <definedName name="g_3_1" localSheetId="0" hidden="1">{"form-D1",#N/A,FALSE,"FORM-D1";"form-D1_amt",#N/A,FALSE,"FORM-D1"}</definedName>
    <definedName name="g_3_1" hidden="1">{"form-D1",#N/A,FALSE,"FORM-D1";"form-D1_amt",#N/A,FALSE,"FORM-D1"}</definedName>
    <definedName name="g_4" localSheetId="0" hidden="1">{"form-D1",#N/A,FALSE,"FORM-D1";"form-D1_amt",#N/A,FALSE,"FORM-D1"}</definedName>
    <definedName name="g_4" hidden="1">{"form-D1",#N/A,FALSE,"FORM-D1";"form-D1_amt",#N/A,FALSE,"FORM-D1"}</definedName>
    <definedName name="G_ÿ_P_" localSheetId="0">#REF!</definedName>
    <definedName name="G_ÿ_P_">#REF!</definedName>
    <definedName name="G989a1" localSheetId="0">#REF!</definedName>
    <definedName name="G989a1">#REF!</definedName>
    <definedName name="gama" localSheetId="0">#REF!</definedName>
    <definedName name="gama">#REF!</definedName>
    <definedName name="gamah" localSheetId="0">#REF!</definedName>
    <definedName name="gamah">#REF!</definedName>
    <definedName name="Gas_Service" localSheetId="0">#REF!</definedName>
    <definedName name="Gas_Service">#REF!</definedName>
    <definedName name="GasCostUnit" localSheetId="0">#REF!</definedName>
    <definedName name="GasCostUnit">#REF!</definedName>
    <definedName name="GasCostUnit_I" localSheetId="0">#REF!</definedName>
    <definedName name="GasCostUnit_I">#REF!</definedName>
    <definedName name="GasReqUnit" localSheetId="0">#REF!</definedName>
    <definedName name="GasReqUnit">#REF!</definedName>
    <definedName name="GasReqUnit_I" localSheetId="0">#REF!</definedName>
    <definedName name="GasReqUnit_I">#REF!</definedName>
    <definedName name="GATE" localSheetId="0">#REF!</definedName>
    <definedName name="GATE">#REF!</definedName>
    <definedName name="GDGSDGG" localSheetId="0">#REF!</definedName>
    <definedName name="GDGSDGG">#REF!</definedName>
    <definedName name="GenAdmin" localSheetId="0">#REF!</definedName>
    <definedName name="GenAdmin">#REF!</definedName>
    <definedName name="GenAdmin_I" localSheetId="0">#REF!</definedName>
    <definedName name="GenAdmin_I">#REF!</definedName>
    <definedName name="general" localSheetId="0">#REF!</definedName>
    <definedName name="general">#REF!</definedName>
    <definedName name="generation" localSheetId="0">#REF!</definedName>
    <definedName name="generation">#REF!</definedName>
    <definedName name="generation_I" localSheetId="0">#REF!</definedName>
    <definedName name="generation_I">#REF!</definedName>
    <definedName name="gf" localSheetId="0">#REF!</definedName>
    <definedName name="gf">#REF!</definedName>
    <definedName name="GFAArea" localSheetId="0">#REF!</definedName>
    <definedName name="GFAArea">#REF!</definedName>
    <definedName name="GFAPerimeter" localSheetId="0">#REF!</definedName>
    <definedName name="GFAPerimeter">#REF!</definedName>
    <definedName name="gfg" localSheetId="0">#REF!</definedName>
    <definedName name="gfg">#REF!</definedName>
    <definedName name="gg" localSheetId="0">#REF!</definedName>
    <definedName name="gg">#REF!</definedName>
    <definedName name="GG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ggggggg" localSheetId="0">#REF!</definedName>
    <definedName name="ggggggggggg">#REF!</definedName>
    <definedName name="gggggggggggggggg" localSheetId="0">#REF!</definedName>
    <definedName name="gggggggggggggggg">#REF!</definedName>
    <definedName name="gh" localSheetId="0">#REF!</definedName>
    <definedName name="gh">#REF!</definedName>
    <definedName name="ghghgh" localSheetId="0">#REF!</definedName>
    <definedName name="ghghgh">#REF!</definedName>
    <definedName name="ghj" localSheetId="0" hidden="1">{#N/A,#N/A,FALSE,"gc (2)"}</definedName>
    <definedName name="ghj" hidden="1">{#N/A,#N/A,FALSE,"gc (2)"}</definedName>
    <definedName name="ghjfhfhl" localSheetId="0">#REF!</definedName>
    <definedName name="ghjfhfhl">#REF!</definedName>
    <definedName name="gi" localSheetId="0">#REF!</definedName>
    <definedName name="gi">[6]Data!#REF!</definedName>
    <definedName name="gi_100" localSheetId="0">#REF!</definedName>
    <definedName name="gi_100">#REF!</definedName>
    <definedName name="gi_150" localSheetId="0">#REF!</definedName>
    <definedName name="gi_150">#REF!</definedName>
    <definedName name="gi_200" localSheetId="0">#REF!</definedName>
    <definedName name="gi_200">#REF!</definedName>
    <definedName name="gi_25" localSheetId="0">#REF!</definedName>
    <definedName name="gi_25">#REF!</definedName>
    <definedName name="gi_250" localSheetId="0">#REF!</definedName>
    <definedName name="gi_250">#REF!</definedName>
    <definedName name="gi_300" localSheetId="0">#REF!</definedName>
    <definedName name="gi_300">#REF!</definedName>
    <definedName name="gi_32" localSheetId="0">#REF!</definedName>
    <definedName name="gi_32">#REF!</definedName>
    <definedName name="gi_40" localSheetId="0">#REF!</definedName>
    <definedName name="gi_40">#REF!</definedName>
    <definedName name="gi_400" localSheetId="0">#REF!</definedName>
    <definedName name="gi_400">#REF!</definedName>
    <definedName name="gi_50" localSheetId="0">#REF!</definedName>
    <definedName name="gi_50">#REF!</definedName>
    <definedName name="gi_500" localSheetId="0">#REF!</definedName>
    <definedName name="gi_500">#REF!</definedName>
    <definedName name="gi_600" localSheetId="0">#REF!</definedName>
    <definedName name="gi_600">#REF!</definedName>
    <definedName name="gi_65" localSheetId="0">#REF!</definedName>
    <definedName name="gi_65">#REF!</definedName>
    <definedName name="gi_80" localSheetId="0">#REF!</definedName>
    <definedName name="gi_80">#REF!</definedName>
    <definedName name="GL" localSheetId="0">#REF!</definedName>
    <definedName name="GL">#REF!</definedName>
    <definedName name="glb_100" localSheetId="0">#REF!</definedName>
    <definedName name="glb_100">#REF!</definedName>
    <definedName name="glb_150" localSheetId="0">#REF!</definedName>
    <definedName name="glb_150">#REF!</definedName>
    <definedName name="glb_200" localSheetId="0">#REF!</definedName>
    <definedName name="glb_200">#REF!</definedName>
    <definedName name="glb_25" localSheetId="0">#REF!</definedName>
    <definedName name="glb_25">#REF!</definedName>
    <definedName name="glb_250" localSheetId="0">#REF!</definedName>
    <definedName name="glb_250">#REF!</definedName>
    <definedName name="glb_300" localSheetId="0">#REF!</definedName>
    <definedName name="glb_300">#REF!</definedName>
    <definedName name="glb_32" localSheetId="0">#REF!</definedName>
    <definedName name="glb_32">#REF!</definedName>
    <definedName name="glb_40" localSheetId="0">#REF!</definedName>
    <definedName name="glb_40">#REF!</definedName>
    <definedName name="glb_50" localSheetId="0">#REF!</definedName>
    <definedName name="glb_50">#REF!</definedName>
    <definedName name="glb_65" localSheetId="0">#REF!</definedName>
    <definedName name="glb_65">#REF!</definedName>
    <definedName name="glb_80" localSheetId="0">#REF!</definedName>
    <definedName name="glb_80">#REF!</definedName>
    <definedName name="GLs" localSheetId="0">#REF!</definedName>
    <definedName name="GLs">#REF!</definedName>
    <definedName name="GMN" localSheetId="0" hidden="1">{"'Sheet1'!$A$4386:$N$4591"}</definedName>
    <definedName name="GMN" hidden="1">{"'Sheet1'!$A$4386:$N$4591"}</definedName>
    <definedName name="gn" localSheetId="0">#REF!</definedName>
    <definedName name="gn">#REF!</definedName>
    <definedName name="gopi" localSheetId="0">#REF!</definedName>
    <definedName name="gopi">#REF!</definedName>
    <definedName name="gr" localSheetId="0">#REF!</definedName>
    <definedName name="gr">[6]Data!#REF!</definedName>
    <definedName name="GRADER" localSheetId="0">#REF!</definedName>
    <definedName name="GRADER">#REF!</definedName>
    <definedName name="GrandSuiteArea" localSheetId="0">#REF!</definedName>
    <definedName name="GrandSuiteArea">#REF!</definedName>
    <definedName name="GrandSuitePerimeter" localSheetId="0">#REF!</definedName>
    <definedName name="GrandSuitePerimeter">#REF!</definedName>
    <definedName name="GRANO" localSheetId="0">#REF!</definedName>
    <definedName name="GRANO">#REF!</definedName>
    <definedName name="Grano_floor" localSheetId="0">#REF!</definedName>
    <definedName name="Grano_floor">[6]Data!#REF!</definedName>
    <definedName name="Gravel" localSheetId="0">#REF!</definedName>
    <definedName name="Gravel">#REF!</definedName>
    <definedName name="Gravel_incl_transport" localSheetId="0">#REF!</definedName>
    <definedName name="Gravel_incl_transport">#REF!</definedName>
    <definedName name="GRLvl" localSheetId="0">#REF!</definedName>
    <definedName name="GRLvl">#REF!</definedName>
    <definedName name="Group1" localSheetId="0">#REF!</definedName>
    <definedName name="Group1">#REF!</definedName>
    <definedName name="Group2" localSheetId="0">#REF!</definedName>
    <definedName name="Group2">#REF!</definedName>
    <definedName name="Group3" localSheetId="0">#REF!</definedName>
    <definedName name="Group3">#REF!</definedName>
    <definedName name="Group4" localSheetId="0">#REF!</definedName>
    <definedName name="Group4">#REF!</definedName>
    <definedName name="gs" localSheetId="0">#REF!</definedName>
    <definedName name="gs">#REF!</definedName>
    <definedName name="GSB" localSheetId="0">#REF!</definedName>
    <definedName name="GSB">#REF!</definedName>
    <definedName name="GSDFGFHGH" localSheetId="0">#REF!</definedName>
    <definedName name="GSDFGFHGH">#REF!</definedName>
    <definedName name="GSDFSDF" localSheetId="0">#REF!</definedName>
    <definedName name="GSDFSDF">#REF!</definedName>
    <definedName name="GSDGG" localSheetId="0">#REF!</definedName>
    <definedName name="GSDGG">#REF!</definedName>
    <definedName name="guna" localSheetId="0">#REF!</definedName>
    <definedName name="guna">#REF!</definedName>
    <definedName name="gupta"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v_100" localSheetId="0">#REF!</definedName>
    <definedName name="gv_100">#REF!</definedName>
    <definedName name="gv_150" localSheetId="0">#REF!</definedName>
    <definedName name="gv_150">#REF!</definedName>
    <definedName name="gv_200" localSheetId="0">#REF!</definedName>
    <definedName name="gv_200">#REF!</definedName>
    <definedName name="gv_25" localSheetId="0">#REF!</definedName>
    <definedName name="gv_25">#REF!</definedName>
    <definedName name="gv_250" localSheetId="0">#REF!</definedName>
    <definedName name="gv_250">#REF!</definedName>
    <definedName name="gv_300" localSheetId="0">#REF!</definedName>
    <definedName name="gv_300">#REF!</definedName>
    <definedName name="gv_32" localSheetId="0">#REF!</definedName>
    <definedName name="gv_32">#REF!</definedName>
    <definedName name="gv_40" localSheetId="0">#REF!</definedName>
    <definedName name="gv_40">#REF!</definedName>
    <definedName name="gv_400" localSheetId="0">#REF!</definedName>
    <definedName name="gv_400">#REF!</definedName>
    <definedName name="gv_50" localSheetId="0">#REF!</definedName>
    <definedName name="gv_50">#REF!</definedName>
    <definedName name="gv_500" localSheetId="0">#REF!</definedName>
    <definedName name="gv_500">#REF!</definedName>
    <definedName name="gv_65" localSheetId="0">#REF!</definedName>
    <definedName name="gv_65">#REF!</definedName>
    <definedName name="gv_80" localSheetId="0">#REF!</definedName>
    <definedName name="gv_80">#REF!</definedName>
    <definedName name="gvgfvgf" localSheetId="0">#REF!</definedName>
    <definedName name="gvgfvgf">#REF!</definedName>
    <definedName name="Gw" localSheetId="0">#REF!</definedName>
    <definedName name="Gw">#REF!</definedName>
    <definedName name="gy" localSheetId="0">#REF!</definedName>
    <definedName name="gy">[6]Data!#REF!</definedName>
    <definedName name="Gyp_board_false_ceiling" localSheetId="0">#REF!</definedName>
    <definedName name="Gyp_board_false_ceiling">[6]Data!#REF!</definedName>
    <definedName name="H" localSheetId="0">#REF!</definedName>
    <definedName name="H">#REF!</definedName>
    <definedName name="H___0" localSheetId="0">#REF!</definedName>
    <definedName name="H___0">#REF!</definedName>
    <definedName name="H___13" localSheetId="0">#REF!</definedName>
    <definedName name="H___13">#REF!</definedName>
    <definedName name="H0" localSheetId="0">#REF!</definedName>
    <definedName name="H0">#REF!</definedName>
    <definedName name="H0___0" localSheetId="0">#REF!</definedName>
    <definedName name="H0___0">#REF!</definedName>
    <definedName name="H0___13" localSheetId="0">#REF!</definedName>
    <definedName name="H0___13">#REF!</definedName>
    <definedName name="HA" localSheetId="0">#REF!</definedName>
    <definedName name="HA">#REF!</definedName>
    <definedName name="Hafeez" localSheetId="0">#REF!</definedName>
    <definedName name="Hafeez">#REF!</definedName>
    <definedName name="haj" localSheetId="0">#REF!</definedName>
    <definedName name="haj">#REF!</definedName>
    <definedName name="hap" localSheetId="0" hidden="1">{#N/A,#N/A,FALSE,"COVER1.XLS ";#N/A,#N/A,FALSE,"RACT1.XLS";#N/A,#N/A,FALSE,"RACT2.XLS";#N/A,#N/A,FALSE,"ECCMP";#N/A,#N/A,FALSE,"WELDER.XLS"}</definedName>
    <definedName name="hap" hidden="1">{#N/A,#N/A,FALSE,"COVER1.XLS ";#N/A,#N/A,FALSE,"RACT1.XLS";#N/A,#N/A,FALSE,"RACT2.XLS";#N/A,#N/A,FALSE,"ECCMP";#N/A,#N/A,FALSE,"WELDER.XLS"}</definedName>
    <definedName name="HARI" localSheetId="0">#REF!</definedName>
    <definedName name="HARI">#REF!</definedName>
    <definedName name="Hcbdw" localSheetId="0">#REF!</definedName>
    <definedName name="Hcbdw">#REF!</definedName>
    <definedName name="Hcw" localSheetId="0">#REF!</definedName>
    <definedName name="Hcw">#REF!</definedName>
    <definedName name="Header_Row" localSheetId="0">ROW(#REF!)</definedName>
    <definedName name="Header_Row">ROW(#REF!)</definedName>
    <definedName name="hello" localSheetId="0">#REF!</definedName>
    <definedName name="hello">#REF!</definedName>
    <definedName name="hf" localSheetId="0">#REF!</definedName>
    <definedName name="hf">#REF!</definedName>
    <definedName name="hfi" localSheetId="0">#REF!</definedName>
    <definedName name="hfi">#REF!</definedName>
    <definedName name="hg" localSheetId="0">#REF!</definedName>
    <definedName name="hg">#REF!</definedName>
    <definedName name="hgr" localSheetId="0">#REF!</definedName>
    <definedName name="hgr">#REF!</definedName>
    <definedName name="hh" localSheetId="0">#REF!</definedName>
    <definedName name="hh">#REF!</definedName>
    <definedName name="hh___0" localSheetId="0">#REF!</definedName>
    <definedName name="hh___0">#REF!</definedName>
    <definedName name="hh___13" localSheetId="0">#REF!</definedName>
    <definedName name="hh___13">#REF!</definedName>
    <definedName name="hhhhhhh" localSheetId="0">#REF!</definedName>
    <definedName name="hhhhhhh">#REF!</definedName>
    <definedName name="hhhhhhhhhhhhhhhhhh" localSheetId="0">#REF!</definedName>
    <definedName name="hhhhhhhhhhhhhhhhhh">#REF!</definedName>
    <definedName name="Hhpc" localSheetId="0">#REF!</definedName>
    <definedName name="Hhpc">#REF!</definedName>
    <definedName name="hhs" localSheetId="0">#REF!</definedName>
    <definedName name="hhs">#REF!</definedName>
    <definedName name="hi" localSheetId="0">#REF!</definedName>
    <definedName name="hi">#REF!</definedName>
    <definedName name="HiddenRows" localSheetId="0" hidden="1">#REF!</definedName>
    <definedName name="HiddenRows" hidden="1">#REF!</definedName>
    <definedName name="HINDHUSTAN" localSheetId="0">#REF!</definedName>
    <definedName name="HINDHUSTAN">#REF!</definedName>
    <definedName name="HIns" localSheetId="0">#REF!</definedName>
    <definedName name="HIns">#REF!</definedName>
    <definedName name="Hipc" localSheetId="0">#REF!</definedName>
    <definedName name="Hipc">#REF!</definedName>
    <definedName name="HJ" localSheetId="0">#REF!</definedName>
    <definedName name="HJ">#REF!</definedName>
    <definedName name="hjjjjjj" localSheetId="0" hidden="1">{"form-D1",#N/A,FALSE,"FORM-D1";"form-D1_amt",#N/A,FALSE,"FORM-D1"}</definedName>
    <definedName name="hjjjjjj" hidden="1">{"form-D1",#N/A,FALSE,"FORM-D1";"form-D1_amt",#N/A,FALSE,"FORM-D1"}</definedName>
    <definedName name="hjjjjjj_1" localSheetId="0" hidden="1">{"form-D1",#N/A,FALSE,"FORM-D1";"form-D1_amt",#N/A,FALSE,"FORM-D1"}</definedName>
    <definedName name="hjjjjjj_1" hidden="1">{"form-D1",#N/A,FALSE,"FORM-D1";"form-D1_amt",#N/A,FALSE,"FORM-D1"}</definedName>
    <definedName name="hjjjjjj_1_1" localSheetId="0" hidden="1">{"form-D1",#N/A,FALSE,"FORM-D1";"form-D1_amt",#N/A,FALSE,"FORM-D1"}</definedName>
    <definedName name="hjjjjjj_1_1" hidden="1">{"form-D1",#N/A,FALSE,"FORM-D1";"form-D1_amt",#N/A,FALSE,"FORM-D1"}</definedName>
    <definedName name="hjjjjjj_1_2" localSheetId="0" hidden="1">{"form-D1",#N/A,FALSE,"FORM-D1";"form-D1_amt",#N/A,FALSE,"FORM-D1"}</definedName>
    <definedName name="hjjjjjj_1_2" hidden="1">{"form-D1",#N/A,FALSE,"FORM-D1";"form-D1_amt",#N/A,FALSE,"FORM-D1"}</definedName>
    <definedName name="hjjjjjj_2" localSheetId="0" hidden="1">{"form-D1",#N/A,FALSE,"FORM-D1";"form-D1_amt",#N/A,FALSE,"FORM-D1"}</definedName>
    <definedName name="hjjjjjj_2" hidden="1">{"form-D1",#N/A,FALSE,"FORM-D1";"form-D1_amt",#N/A,FALSE,"FORM-D1"}</definedName>
    <definedName name="hjjjjjj_2_1" localSheetId="0" hidden="1">{"form-D1",#N/A,FALSE,"FORM-D1";"form-D1_amt",#N/A,FALSE,"FORM-D1"}</definedName>
    <definedName name="hjjjjjj_2_1" hidden="1">{"form-D1",#N/A,FALSE,"FORM-D1";"form-D1_amt",#N/A,FALSE,"FORM-D1"}</definedName>
    <definedName name="hjjjjjj_3" localSheetId="0" hidden="1">{"form-D1",#N/A,FALSE,"FORM-D1";"form-D1_amt",#N/A,FALSE,"FORM-D1"}</definedName>
    <definedName name="hjjjjjj_3" hidden="1">{"form-D1",#N/A,FALSE,"FORM-D1";"form-D1_amt",#N/A,FALSE,"FORM-D1"}</definedName>
    <definedName name="hjjjjjj_3_1" localSheetId="0" hidden="1">{"form-D1",#N/A,FALSE,"FORM-D1";"form-D1_amt",#N/A,FALSE,"FORM-D1"}</definedName>
    <definedName name="hjjjjjj_3_1" hidden="1">{"form-D1",#N/A,FALSE,"FORM-D1";"form-D1_amt",#N/A,FALSE,"FORM-D1"}</definedName>
    <definedName name="hjjjjjj_4" localSheetId="0" hidden="1">{"form-D1",#N/A,FALSE,"FORM-D1";"form-D1_amt",#N/A,FALSE,"FORM-D1"}</definedName>
    <definedName name="hjjjjjj_4" hidden="1">{"form-D1",#N/A,FALSE,"FORM-D1";"form-D1_amt",#N/A,FALSE,"FORM-D1"}</definedName>
    <definedName name="hjjjjjj_4_1" localSheetId="0" hidden="1">{"form-D1",#N/A,FALSE,"FORM-D1";"form-D1_amt",#N/A,FALSE,"FORM-D1"}</definedName>
    <definedName name="hjjjjjj_4_1" hidden="1">{"form-D1",#N/A,FALSE,"FORM-D1";"form-D1_amt",#N/A,FALSE,"FORM-D1"}</definedName>
    <definedName name="hjjjjjj_5" localSheetId="0" hidden="1">{"form-D1",#N/A,FALSE,"FORM-D1";"form-D1_amt",#N/A,FALSE,"FORM-D1"}</definedName>
    <definedName name="hjjjjjj_5" hidden="1">{"form-D1",#N/A,FALSE,"FORM-D1";"form-D1_amt",#N/A,FALSE,"FORM-D1"}</definedName>
    <definedName name="hjjjjjj_5_1" localSheetId="0" hidden="1">{"form-D1",#N/A,FALSE,"FORM-D1";"form-D1_amt",#N/A,FALSE,"FORM-D1"}</definedName>
    <definedName name="hjjjjjj_5_1" hidden="1">{"form-D1",#N/A,FALSE,"FORM-D1";"form-D1_amt",#N/A,FALSE,"FORM-D1"}</definedName>
    <definedName name="hjk" localSheetId="0">#REF!</definedName>
    <definedName name="hjk">#REF!</definedName>
    <definedName name="hjkhjk" localSheetId="0">#REF!</definedName>
    <definedName name="hjkhjk">#REF!</definedName>
    <definedName name="hjsdfasf" localSheetId="0">#REF!</definedName>
    <definedName name="hjsdfasf">#REF!</definedName>
    <definedName name="hklhkl" localSheetId="0">#REF!</definedName>
    <definedName name="hklhkl">#REF!</definedName>
    <definedName name="Hlp" localSheetId="0">#REF!</definedName>
    <definedName name="Hlp">#REF!</definedName>
    <definedName name="HMP" localSheetId="0">#REF!</definedName>
    <definedName name="HMP">#REF!</definedName>
    <definedName name="ho" localSheetId="0">#REF!</definedName>
    <definedName name="ho">#REF!</definedName>
    <definedName name="ho___0" localSheetId="0">#REF!</definedName>
    <definedName name="ho___0">#REF!</definedName>
    <definedName name="ho___13" localSheetId="0">#REF!</definedName>
    <definedName name="ho___13">#REF!</definedName>
    <definedName name="hoi" localSheetId="0">#REF!</definedName>
    <definedName name="hoi">#REF!</definedName>
    <definedName name="HollywoodTwinArea" localSheetId="0">#REF!</definedName>
    <definedName name="HollywoodTwinArea">#REF!</definedName>
    <definedName name="HollywoodTwinPerimeter" localSheetId="0">#REF!</definedName>
    <definedName name="HollywoodTwinPerimeter">#REF!</definedName>
    <definedName name="HomeCell" localSheetId="0">#REF!</definedName>
    <definedName name="HomeCell">#REF!</definedName>
    <definedName name="hone" localSheetId="0">#REF!</definedName>
    <definedName name="hone">#REF!</definedName>
    <definedName name="hosp" localSheetId="0">#REF!</definedName>
    <definedName name="hosp">#REF!</definedName>
    <definedName name="hosp_com" localSheetId="0">#REF!</definedName>
    <definedName name="hosp_com">#REF!</definedName>
    <definedName name="hosp_com.now" localSheetId="0">#REF!</definedName>
    <definedName name="hosp_com.now">#REF!</definedName>
    <definedName name="hosp_com.payment" localSheetId="0">#REF!</definedName>
    <definedName name="hosp_com.payment">#REF!</definedName>
    <definedName name="hosp_com.uncommit" localSheetId="0">#REF!</definedName>
    <definedName name="hosp_com.uncommit">#REF!</definedName>
    <definedName name="hosp_com.vo.app" localSheetId="0">#REF!</definedName>
    <definedName name="hosp_com.vo.app">#REF!</definedName>
    <definedName name="hosp_com.vo.pend" localSheetId="0">#REF!</definedName>
    <definedName name="hosp_com.vo.pend">#REF!</definedName>
    <definedName name="hosp_ffe" localSheetId="0">#REF!</definedName>
    <definedName name="hosp_ffe">#REF!</definedName>
    <definedName name="hosp_ffe.now" localSheetId="0">#REF!</definedName>
    <definedName name="hosp_ffe.now">#REF!</definedName>
    <definedName name="hosp_ffe.payment" localSheetId="0">#REF!</definedName>
    <definedName name="hosp_ffe.payment">#REF!</definedName>
    <definedName name="hosp_ffe.uncommit" localSheetId="0">#REF!</definedName>
    <definedName name="hosp_ffe.uncommit">#REF!</definedName>
    <definedName name="hosp_ffe.vo.app" localSheetId="0">#REF!</definedName>
    <definedName name="hosp_ffe.vo.app">#REF!</definedName>
    <definedName name="hosp_ffe.vo.pend" localSheetId="0">#REF!</definedName>
    <definedName name="hosp_ffe.vo.pend">#REF!</definedName>
    <definedName name="Hotel" localSheetId="0">#REF!</definedName>
    <definedName name="Hotel">#REF!</definedName>
    <definedName name="hotwo" localSheetId="0">#REF!</definedName>
    <definedName name="hotwo">#REF!</definedName>
    <definedName name="HP" localSheetId="0" hidden="1">{"form-D1",#N/A,FALSE,"FORM-D1";"form-D1_amt",#N/A,FALSE,"FORM-D1"}</definedName>
    <definedName name="HP" hidden="1">{"form-D1",#N/A,FALSE,"FORM-D1";"form-D1_amt",#N/A,FALSE,"FORM-D1"}</definedName>
    <definedName name="HP_1" localSheetId="0" hidden="1">{"form-D1",#N/A,FALSE,"FORM-D1";"form-D1_amt",#N/A,FALSE,"FORM-D1"}</definedName>
    <definedName name="HP_1" hidden="1">{"form-D1",#N/A,FALSE,"FORM-D1";"form-D1_amt",#N/A,FALSE,"FORM-D1"}</definedName>
    <definedName name="HP_1_1" localSheetId="0" hidden="1">{"form-D1",#N/A,FALSE,"FORM-D1";"form-D1_amt",#N/A,FALSE,"FORM-D1"}</definedName>
    <definedName name="HP_1_1" hidden="1">{"form-D1",#N/A,FALSE,"FORM-D1";"form-D1_amt",#N/A,FALSE,"FORM-D1"}</definedName>
    <definedName name="HP_1_2" localSheetId="0" hidden="1">{"form-D1",#N/A,FALSE,"FORM-D1";"form-D1_amt",#N/A,FALSE,"FORM-D1"}</definedName>
    <definedName name="HP_1_2" hidden="1">{"form-D1",#N/A,FALSE,"FORM-D1";"form-D1_amt",#N/A,FALSE,"FORM-D1"}</definedName>
    <definedName name="HP_2" localSheetId="0" hidden="1">{"form-D1",#N/A,FALSE,"FORM-D1";"form-D1_amt",#N/A,FALSE,"FORM-D1"}</definedName>
    <definedName name="HP_2" hidden="1">{"form-D1",#N/A,FALSE,"FORM-D1";"form-D1_amt",#N/A,FALSE,"FORM-D1"}</definedName>
    <definedName name="HP_2_1" localSheetId="0" hidden="1">{"form-D1",#N/A,FALSE,"FORM-D1";"form-D1_amt",#N/A,FALSE,"FORM-D1"}</definedName>
    <definedName name="HP_2_1" hidden="1">{"form-D1",#N/A,FALSE,"FORM-D1";"form-D1_amt",#N/A,FALSE,"FORM-D1"}</definedName>
    <definedName name="HP_3" localSheetId="0" hidden="1">{"form-D1",#N/A,FALSE,"FORM-D1";"form-D1_amt",#N/A,FALSE,"FORM-D1"}</definedName>
    <definedName name="HP_3" hidden="1">{"form-D1",#N/A,FALSE,"FORM-D1";"form-D1_amt",#N/A,FALSE,"FORM-D1"}</definedName>
    <definedName name="HP_3_1" localSheetId="0" hidden="1">{"form-D1",#N/A,FALSE,"FORM-D1";"form-D1_amt",#N/A,FALSE,"FORM-D1"}</definedName>
    <definedName name="HP_3_1" hidden="1">{"form-D1",#N/A,FALSE,"FORM-D1";"form-D1_amt",#N/A,FALSE,"FORM-D1"}</definedName>
    <definedName name="HP_4" localSheetId="0" hidden="1">{"form-D1",#N/A,FALSE,"FORM-D1";"form-D1_amt",#N/A,FALSE,"FORM-D1"}</definedName>
    <definedName name="HP_4" hidden="1">{"form-D1",#N/A,FALSE,"FORM-D1";"form-D1_amt",#N/A,FALSE,"FORM-D1"}</definedName>
    <definedName name="HP_4_1" localSheetId="0" hidden="1">{"form-D1",#N/A,FALSE,"FORM-D1";"form-D1_amt",#N/A,FALSE,"FORM-D1"}</definedName>
    <definedName name="HP_4_1" hidden="1">{"form-D1",#N/A,FALSE,"FORM-D1";"form-D1_amt",#N/A,FALSE,"FORM-D1"}</definedName>
    <definedName name="HP_5" localSheetId="0" hidden="1">{"form-D1",#N/A,FALSE,"FORM-D1";"form-D1_amt",#N/A,FALSE,"FORM-D1"}</definedName>
    <definedName name="HP_5" hidden="1">{"form-D1",#N/A,FALSE,"FORM-D1";"form-D1_amt",#N/A,FALSE,"FORM-D1"}</definedName>
    <definedName name="HP_5_1" localSheetId="0" hidden="1">{"form-D1",#N/A,FALSE,"FORM-D1";"form-D1_amt",#N/A,FALSE,"FORM-D1"}</definedName>
    <definedName name="HP_5_1" hidden="1">{"form-D1",#N/A,FALSE,"FORM-D1";"form-D1_amt",#N/A,FALSE,"FORM-D1"}</definedName>
    <definedName name="hrhd" localSheetId="0">#REF!</definedName>
    <definedName name="hrhd">#REF!</definedName>
    <definedName name="hS" localSheetId="0">#REF!</definedName>
    <definedName name="hS">#REF!</definedName>
    <definedName name="hS___0" localSheetId="0">#REF!</definedName>
    <definedName name="hS___0">#REF!</definedName>
    <definedName name="hS___13" localSheetId="0">#REF!</definedName>
    <definedName name="hS___13">#REF!</definedName>
    <definedName name="Hs_atm" localSheetId="0">#REF!</definedName>
    <definedName name="Hs_atm">#REF!</definedName>
    <definedName name="HSS" localSheetId="0">#REF!</definedName>
    <definedName name="HSS">#REF!</definedName>
    <definedName name="hthree" localSheetId="0">#REF!</definedName>
    <definedName name="hthree">#REF!</definedName>
    <definedName name="HTML_CodePage" hidden="1">1252</definedName>
    <definedName name="HTML_Control" localSheetId="0" hidden="1">{"'Proforma'!$A$1:$J$189"}</definedName>
    <definedName name="HTML_Control" hidden="1">{"'Proforma'!$A$1:$J$189"}</definedName>
    <definedName name="HTML_Description" hidden="1">""</definedName>
    <definedName name="HTML_Email" hidden="1">""</definedName>
    <definedName name="HTML_Header" hidden="1">"Proforma"</definedName>
    <definedName name="HTML_LastUpdate" hidden="1">"4/19/99"</definedName>
    <definedName name="HTML_LineAfter" hidden="1">FALSE</definedName>
    <definedName name="HTML_LineBefore" hidden="1">FALSE</definedName>
    <definedName name="HTML_Name" hidden="1">"Frank Vickers"</definedName>
    <definedName name="HTML_OBDlg2" hidden="1">TRUE</definedName>
    <definedName name="HTML_OBDlg4" hidden="1">TRUE</definedName>
    <definedName name="HTML_OS" hidden="1">0</definedName>
    <definedName name="HTML_PathFile" hidden="1">"D:\analysis\MyHTML.htm"</definedName>
    <definedName name="HTML_Title" hidden="1">"proforma3"</definedName>
    <definedName name="Hu" localSheetId="0">#REF!</definedName>
    <definedName name="Hu">#REF!</definedName>
    <definedName name="Hu___0" localSheetId="0">#REF!</definedName>
    <definedName name="Hu___0">#REF!</definedName>
    <definedName name="Hu___13" localSheetId="0">#REF!</definedName>
    <definedName name="Hu___13">#REF!</definedName>
    <definedName name="hvacrates" localSheetId="0">#REF!</definedName>
    <definedName name="hvacrates">#REF!</definedName>
    <definedName name="Hw_atm" localSheetId="0">#REF!</definedName>
    <definedName name="Hw_atm">#REF!</definedName>
    <definedName name="hxa" localSheetId="0">#REF!</definedName>
    <definedName name="hxa">#REF!</definedName>
    <definedName name="hxb" localSheetId="0">#REF!</definedName>
    <definedName name="hxb">#REF!</definedName>
    <definedName name="hxc" localSheetId="0">#REF!</definedName>
    <definedName name="hxc">#REF!</definedName>
    <definedName name="hxe" localSheetId="0">#REF!</definedName>
    <definedName name="hxe">#REF!</definedName>
    <definedName name="hxf" localSheetId="0">#REF!</definedName>
    <definedName name="hxf">#REF!</definedName>
    <definedName name="hxi" localSheetId="0">#REF!</definedName>
    <definedName name="hxi">#REF!</definedName>
    <definedName name="hysd" localSheetId="0">#REF!</definedName>
    <definedName name="hysd">#REF!</definedName>
    <definedName name="HYSDFAB" localSheetId="0">#REF!</definedName>
    <definedName name="HYSDFAB">#REF!</definedName>
    <definedName name="Hz" localSheetId="0">#REF!</definedName>
    <definedName name="Hz">#REF!</definedName>
    <definedName name="I.WALLLength" localSheetId="0">#REF!</definedName>
    <definedName name="I.WALLLength">#REF!</definedName>
    <definedName name="I___0" localSheetId="0">#REF!</definedName>
    <definedName name="I___0">#REF!</definedName>
    <definedName name="I___13" localSheetId="0">#REF!</definedName>
    <definedName name="I___13">#REF!</definedName>
    <definedName name="I1291070" localSheetId="0">#REF!</definedName>
    <definedName name="I1291070">#REF!</definedName>
    <definedName name="IAH" localSheetId="0">#REF!</definedName>
    <definedName name="IAH">#REF!</definedName>
    <definedName name="ic">5%</definedName>
    <definedName name="icfai" localSheetId="0">#REF!</definedName>
    <definedName name="icfai">#REF!</definedName>
    <definedName name="icfs" localSheetId="0">#REF!</definedName>
    <definedName name="icfs">#REF!</definedName>
    <definedName name="icfs1" localSheetId="0">#REF!</definedName>
    <definedName name="icfs1">#REF!</definedName>
    <definedName name="icfs2" localSheetId="0">#REF!</definedName>
    <definedName name="icfs2">#REF!</definedName>
    <definedName name="icrack" localSheetId="0">#REF!</definedName>
    <definedName name="icrack">#REF!</definedName>
    <definedName name="icracks1" localSheetId="0">#REF!</definedName>
    <definedName name="icracks1">#REF!</definedName>
    <definedName name="icracks2" localSheetId="0">#REF!</definedName>
    <definedName name="icracks2">#REF!</definedName>
    <definedName name="idiot" localSheetId="0" hidden="1">{"dep. full detail",#N/A,FALSE,"annex";"3cd annex",#N/A,FALSE,"annex";"co. dep.",#N/A,FALSE,"annex"}</definedName>
    <definedName name="idiot" hidden="1">{"dep. full detail",#N/A,FALSE,"annex";"3cd annex",#N/A,FALSE,"annex";"co. dep.",#N/A,FALSE,"annex"}</definedName>
    <definedName name="IDReference" hidden="1">"A1"</definedName>
    <definedName name="ief" localSheetId="0">#REF!</definedName>
    <definedName name="ief">#REF!</definedName>
    <definedName name="ieff" localSheetId="0">#REF!</definedName>
    <definedName name="ieff">#REF!</definedName>
    <definedName name="ieff1" localSheetId="0">#REF!</definedName>
    <definedName name="ieff1">#REF!</definedName>
    <definedName name="ieff2" localSheetId="0">#REF!</definedName>
    <definedName name="ieff2">#REF!</definedName>
    <definedName name="Iefs" localSheetId="0">#REF!</definedName>
    <definedName name="Iefs">#REF!</definedName>
    <definedName name="Iefs1" localSheetId="0">#REF!</definedName>
    <definedName name="Iefs1">#REF!</definedName>
    <definedName name="Iefs2" localSheetId="0">#REF!</definedName>
    <definedName name="Iefs2">#REF!</definedName>
    <definedName name="If" localSheetId="0">#REF!</definedName>
    <definedName name="If">#REF!</definedName>
    <definedName name="Ig" localSheetId="0">#REF!</definedName>
    <definedName name="Ig">#REF!</definedName>
    <definedName name="Ig___0" localSheetId="0">#REF!</definedName>
    <definedName name="Ig___0">#REF!</definedName>
    <definedName name="Ig___13" localSheetId="0">#REF!</definedName>
    <definedName name="Ig___13">#REF!</definedName>
    <definedName name="igr" localSheetId="0">#REF!</definedName>
    <definedName name="igr">#REF!</definedName>
    <definedName name="IGRS" localSheetId="0">#REF!</definedName>
    <definedName name="IGRS">#REF!</definedName>
    <definedName name="iii" localSheetId="0">#REF!</definedName>
    <definedName name="iii">#REF!</definedName>
    <definedName name="iiiiiiiiiii" localSheetId="0">#REF!</definedName>
    <definedName name="iiiiiiiiiii">#REF!</definedName>
    <definedName name="iiiiiiiiiiiiii" localSheetId="0">#REF!</definedName>
    <definedName name="iiiiiiiiiiiiii">#REF!</definedName>
    <definedName name="iio" localSheetId="0">#REF!</definedName>
    <definedName name="iio">#REF!</definedName>
    <definedName name="Ik" localSheetId="0">#REF!</definedName>
    <definedName name="Ik">#REF!</definedName>
    <definedName name="Im" localSheetId="0">#REF!</definedName>
    <definedName name="Im">#REF!</definedName>
    <definedName name="in" localSheetId="0">#REF!</definedName>
    <definedName name="in">#REF!</definedName>
    <definedName name="in_100" localSheetId="0">#REF!</definedName>
    <definedName name="in_100">#REF!</definedName>
    <definedName name="in_150" localSheetId="0">#REF!</definedName>
    <definedName name="in_150">#REF!</definedName>
    <definedName name="in_200" localSheetId="0">#REF!</definedName>
    <definedName name="in_200">#REF!</definedName>
    <definedName name="in_25" localSheetId="0">#REF!</definedName>
    <definedName name="in_25">#REF!</definedName>
    <definedName name="in_250" localSheetId="0">#REF!</definedName>
    <definedName name="in_250">#REF!</definedName>
    <definedName name="in_300" localSheetId="0">#REF!</definedName>
    <definedName name="in_300">#REF!</definedName>
    <definedName name="in_32" localSheetId="0">#REF!</definedName>
    <definedName name="in_32">#REF!</definedName>
    <definedName name="in_40" localSheetId="0">#REF!</definedName>
    <definedName name="in_40">#REF!</definedName>
    <definedName name="in_400" localSheetId="0">#REF!</definedName>
    <definedName name="in_400">#REF!</definedName>
    <definedName name="in_50" localSheetId="0">#REF!</definedName>
    <definedName name="in_50">#REF!</definedName>
    <definedName name="in_500" localSheetId="0">#REF!</definedName>
    <definedName name="in_500">#REF!</definedName>
    <definedName name="in_600" localSheetId="0">#REF!</definedName>
    <definedName name="in_600">#REF!</definedName>
    <definedName name="in_65" localSheetId="0">#REF!</definedName>
    <definedName name="in_65">#REF!</definedName>
    <definedName name="in_80" localSheetId="0">#REF!</definedName>
    <definedName name="in_80">#REF!</definedName>
    <definedName name="inc_Cwip_move" localSheetId="0">#REF!</definedName>
    <definedName name="inc_Cwip_move">#REF!</definedName>
    <definedName name="Income" localSheetId="0">#REF!</definedName>
    <definedName name="Income">#REF!</definedName>
    <definedName name="Incurr" localSheetId="0" hidden="1">{#N/A,#N/A,FALSE,"gc (2)"}</definedName>
    <definedName name="Incurr" hidden="1">{#N/A,#N/A,FALSE,"gc (2)"}</definedName>
    <definedName name="ind" localSheetId="0">#REF!</definedName>
    <definedName name="ind">#REF!</definedName>
    <definedName name="IndexColumn" localSheetId="0">#REF!</definedName>
    <definedName name="IndexColumn">#REF!</definedName>
    <definedName name="Indirect" localSheetId="0" hidden="1">{"Total Indirect Manpower",#N/A,FALSE,"J";"Total Direct Manpower",#N/A,FALSE,"J";"Direct Structural Manpower",#N/A,FALSE,"J";"Direct Mechanical Manpower",#N/A,FALSE,"J";"Direct Piping Manpower",#N/A,FALSE,"J";"Direct Tanks Manpower",#N/A,FALSE,"J";"Direct ElecInstrSS Manpower",#N/A,FALSE,"J"}</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lation_I" localSheetId="0">#REF!</definedName>
    <definedName name="inflation_I">#REF!</definedName>
    <definedName name="inflationDollar" localSheetId="0">#REF!</definedName>
    <definedName name="inflationDollar">#REF!</definedName>
    <definedName name="INFRASTRUCTURE_ENTRY" localSheetId="0">#REF!</definedName>
    <definedName name="INFRASTRUCTURE_ENTRY">#REF!</definedName>
    <definedName name="InitialUse">0</definedName>
    <definedName name="InsChrg" localSheetId="0">#REF!</definedName>
    <definedName name="InsChrg">#REF!</definedName>
    <definedName name="InsChrg_I" localSheetId="0">#REF!</definedName>
    <definedName name="InsChrg_I">#REF!</definedName>
    <definedName name="insertplate_and_exp_joint" localSheetId="0">#REF!</definedName>
    <definedName name="insertplate_and_exp_joint">#REF!</definedName>
    <definedName name="inspol" localSheetId="0">#REF!</definedName>
    <definedName name="inspol">#REF!</definedName>
    <definedName name="insulation" localSheetId="0">#REF!</definedName>
    <definedName name="insulation">#REF!</definedName>
    <definedName name="inter" localSheetId="0">#REF!</definedName>
    <definedName name="inter">#REF!</definedName>
    <definedName name="interb" localSheetId="0">#REF!</definedName>
    <definedName name="interb">#REF!</definedName>
    <definedName name="Interest_Rate" localSheetId="0">#REF!</definedName>
    <definedName name="Interest_Rate">#REF!</definedName>
    <definedName name="Interior" localSheetId="0">#REF!</definedName>
    <definedName name="Interior">#REF!</definedName>
    <definedName name="Internal_Doors" localSheetId="0">#REF!</definedName>
    <definedName name="Internal_Doors">#REF!</definedName>
    <definedName name="Internal_Screens" localSheetId="0">#REF!</definedName>
    <definedName name="Internal_Screens">#REF!</definedName>
    <definedName name="Internal_Walls" localSheetId="0">#REF!</definedName>
    <definedName name="Internal_Walls">#REF!</definedName>
    <definedName name="intert" localSheetId="0">#REF!</definedName>
    <definedName name="intert">#REF!</definedName>
    <definedName name="INV_SCH" localSheetId="0">#REF!</definedName>
    <definedName name="INV_SCH">#REF!</definedName>
    <definedName name="invDays" localSheetId="0">#REF!</definedName>
    <definedName name="invDays">#REF!</definedName>
    <definedName name="Inventories" localSheetId="0">#REF!</definedName>
    <definedName name="Inventories">#REF!</definedName>
    <definedName name="Inventories_I" localSheetId="0">#REF!</definedName>
    <definedName name="Inventories_I">#REF!</definedName>
    <definedName name="investment" localSheetId="0">#REF!</definedName>
    <definedName name="investment">#REF!</definedName>
    <definedName name="Invvalue" localSheetId="0">#REF!</definedName>
    <definedName name="Invvalue">#REF!</definedName>
    <definedName name="ioio" localSheetId="0">#REF!</definedName>
    <definedName name="ioio">#REF!</definedName>
    <definedName name="ioioioo" localSheetId="0">#REF!</definedName>
    <definedName name="ioioioo">#REF!</definedName>
    <definedName name="iop" localSheetId="0">#REF!</definedName>
    <definedName name="iop">#REF!</definedName>
    <definedName name="ip" localSheetId="0">#REF!</definedName>
    <definedName name="ip">#REF!</definedName>
    <definedName name="ipu" localSheetId="0">#REF!</definedName>
    <definedName name="ipu">#REF!</definedName>
    <definedName name="ipu___0" localSheetId="0">#REF!</definedName>
    <definedName name="ipu___0">#REF!</definedName>
    <definedName name="ipu___13" localSheetId="0">#REF!</definedName>
    <definedName name="ipu___13">#REF!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39245.8345138889</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 localSheetId="0">#REF!</definedName>
    <definedName name="ir">#REF!</definedName>
    <definedName name="iri" localSheetId="0">#REF!</definedName>
    <definedName name="iri">#REF!</definedName>
    <definedName name="Iron_Paint" localSheetId="0">#REF!</definedName>
    <definedName name="Iron_Paint">#REF!</definedName>
    <definedName name="IRS" localSheetId="0">#REF!</definedName>
    <definedName name="IRS">#REF!</definedName>
    <definedName name="Is" localSheetId="0">#REF!</definedName>
    <definedName name="Is">#REF!</definedName>
    <definedName name="isec12" localSheetId="0">#REF!</definedName>
    <definedName name="isec12">#REF!</definedName>
    <definedName name="ISEC22" localSheetId="0">#REF!</definedName>
    <definedName name="ISEC22">#REF!</definedName>
    <definedName name="ISEC7" localSheetId="0">#REF!</definedName>
    <definedName name="ISEC7">#REF!</definedName>
    <definedName name="isec71" localSheetId="0">#REF!</definedName>
    <definedName name="isec71">#REF!</definedName>
    <definedName name="ISEC72" localSheetId="0">#REF!</definedName>
    <definedName name="ISEC72">#REF!</definedName>
    <definedName name="ISEC77" localSheetId="0">#REF!</definedName>
    <definedName name="ISEC77">#REF!</definedName>
    <definedName name="ISEC78" localSheetId="0">#REF!</definedName>
    <definedName name="ISEC78">#REF!</definedName>
    <definedName name="isec8" localSheetId="0">#REF!</definedName>
    <definedName name="isec8">#REF!</definedName>
    <definedName name="ISO" localSheetId="0">#REF!</definedName>
    <definedName name="ISO">#REF!</definedName>
    <definedName name="IT" localSheetId="0">#REF!</definedName>
    <definedName name="IT">#REF!</definedName>
    <definedName name="Item_Mast" localSheetId="0">#REF!</definedName>
    <definedName name="Item_Mast">#REF!</definedName>
    <definedName name="ItemNum" localSheetId="0">#REF!</definedName>
    <definedName name="ItemNum">#REF!</definedName>
    <definedName name="J" localSheetId="0">#REF!</definedName>
    <definedName name="J">#REF!</definedName>
    <definedName name="J550K" localSheetId="0">'[13]Agreed rates'!$A$2:$D$862</definedName>
    <definedName name="J550K">'[14]Agreed rates'!$A$2:$D$862</definedName>
    <definedName name="ja" localSheetId="0">#REF!</definedName>
    <definedName name="ja">[6]Data!#REF!</definedName>
    <definedName name="Jally" localSheetId="0">#REF!</definedName>
    <definedName name="Jally">[6]Data!#REF!</definedName>
    <definedName name="jas" localSheetId="0">#REF!</definedName>
    <definedName name="jas">#REF!</definedName>
    <definedName name="jaspre" localSheetId="0">#REF!</definedName>
    <definedName name="jaspre">#REF!</definedName>
    <definedName name="Jay" localSheetId="0" hidden="1">{#N/A,#N/A,FALSE,"gc (2)"}</definedName>
    <definedName name="Jay" hidden="1">{#N/A,#N/A,FALSE,"gc (2)"}</definedName>
    <definedName name="jbhjb" localSheetId="0">#REF!</definedName>
    <definedName name="jbhjb">#REF!</definedName>
    <definedName name="jbvhbvh" localSheetId="0">#REF!</definedName>
    <definedName name="jbvhbvh">#REF!</definedName>
    <definedName name="JCB" localSheetId="0">#REF!</definedName>
    <definedName name="JCB">#REF!</definedName>
    <definedName name="JCR" localSheetId="0">#REF!</definedName>
    <definedName name="JCR">#REF!</definedName>
    <definedName name="JEJS" localSheetId="0">#REF!</definedName>
    <definedName name="JEJS">#REF!</definedName>
    <definedName name="JEJS___0" localSheetId="0">#REF!</definedName>
    <definedName name="JEJS___0">#REF!</definedName>
    <definedName name="JEJS___11" localSheetId="0">#REF!</definedName>
    <definedName name="JEJS___11">#REF!</definedName>
    <definedName name="JEJS___12" localSheetId="0">#REF!</definedName>
    <definedName name="JEJS___12">#REF!</definedName>
    <definedName name="JEJS___13" localSheetId="0">#REF!</definedName>
    <definedName name="JEJS___13">#REF!</definedName>
    <definedName name="JEJS___4" localSheetId="0">#REF!</definedName>
    <definedName name="JEJS___4">#REF!</definedName>
    <definedName name="jeri" localSheetId="0">#REF!</definedName>
    <definedName name="jeri">#REF!</definedName>
    <definedName name="jgfff" localSheetId="0">#REF!</definedName>
    <definedName name="jgfff">#REF!</definedName>
    <definedName name="jgjk" localSheetId="0">#REF!</definedName>
    <definedName name="jgjk">#REF!</definedName>
    <definedName name="JJJ" localSheetId="0">#REF!</definedName>
    <definedName name="JJJ">#REF!</definedName>
    <definedName name="jjj_1" localSheetId="0" hidden="1">{"form-D1",#N/A,FALSE,"FORM-D1";"form-D1_amt",#N/A,FALSE,"FORM-D1"}</definedName>
    <definedName name="jjj_1" hidden="1">{"form-D1",#N/A,FALSE,"FORM-D1";"form-D1_amt",#N/A,FALSE,"FORM-D1"}</definedName>
    <definedName name="jjj_1_1" localSheetId="0" hidden="1">{"form-D1",#N/A,FALSE,"FORM-D1";"form-D1_amt",#N/A,FALSE,"FORM-D1"}</definedName>
    <definedName name="jjj_1_1" hidden="1">{"form-D1",#N/A,FALSE,"FORM-D1";"form-D1_amt",#N/A,FALSE,"FORM-D1"}</definedName>
    <definedName name="jjj_1_2" localSheetId="0" hidden="1">{"form-D1",#N/A,FALSE,"FORM-D1";"form-D1_amt",#N/A,FALSE,"FORM-D1"}</definedName>
    <definedName name="jjj_1_2" hidden="1">{"form-D1",#N/A,FALSE,"FORM-D1";"form-D1_amt",#N/A,FALSE,"FORM-D1"}</definedName>
    <definedName name="jjj_2" localSheetId="0" hidden="1">{"form-D1",#N/A,FALSE,"FORM-D1";"form-D1_amt",#N/A,FALSE,"FORM-D1"}</definedName>
    <definedName name="jjj_2" hidden="1">{"form-D1",#N/A,FALSE,"FORM-D1";"form-D1_amt",#N/A,FALSE,"FORM-D1"}</definedName>
    <definedName name="jjj_2_1" localSheetId="0" hidden="1">{"form-D1",#N/A,FALSE,"FORM-D1";"form-D1_amt",#N/A,FALSE,"FORM-D1"}</definedName>
    <definedName name="jjj_2_1" hidden="1">{"form-D1",#N/A,FALSE,"FORM-D1";"form-D1_amt",#N/A,FALSE,"FORM-D1"}</definedName>
    <definedName name="jjj_3" localSheetId="0" hidden="1">{"form-D1",#N/A,FALSE,"FORM-D1";"form-D1_amt",#N/A,FALSE,"FORM-D1"}</definedName>
    <definedName name="jjj_3" hidden="1">{"form-D1",#N/A,FALSE,"FORM-D1";"form-D1_amt",#N/A,FALSE,"FORM-D1"}</definedName>
    <definedName name="jjj_3_1" localSheetId="0" hidden="1">{"form-D1",#N/A,FALSE,"FORM-D1";"form-D1_amt",#N/A,FALSE,"FORM-D1"}</definedName>
    <definedName name="jjj_3_1" hidden="1">{"form-D1",#N/A,FALSE,"FORM-D1";"form-D1_amt",#N/A,FALSE,"FORM-D1"}</definedName>
    <definedName name="jjj_4" localSheetId="0" hidden="1">{"form-D1",#N/A,FALSE,"FORM-D1";"form-D1_amt",#N/A,FALSE,"FORM-D1"}</definedName>
    <definedName name="jjj_4" hidden="1">{"form-D1",#N/A,FALSE,"FORM-D1";"form-D1_amt",#N/A,FALSE,"FORM-D1"}</definedName>
    <definedName name="jjj_4_1" localSheetId="0" hidden="1">{"form-D1",#N/A,FALSE,"FORM-D1";"form-D1_amt",#N/A,FALSE,"FORM-D1"}</definedName>
    <definedName name="jjj_4_1" hidden="1">{"form-D1",#N/A,FALSE,"FORM-D1";"form-D1_amt",#N/A,FALSE,"FORM-D1"}</definedName>
    <definedName name="jjj_5" localSheetId="0" hidden="1">{"form-D1",#N/A,FALSE,"FORM-D1";"form-D1_amt",#N/A,FALSE,"FORM-D1"}</definedName>
    <definedName name="jjj_5" hidden="1">{"form-D1",#N/A,FALSE,"FORM-D1";"form-D1_amt",#N/A,FALSE,"FORM-D1"}</definedName>
    <definedName name="jjj_5_1" localSheetId="0" hidden="1">{"form-D1",#N/A,FALSE,"FORM-D1";"form-D1_amt",#N/A,FALSE,"FORM-D1"}</definedName>
    <definedName name="jjj_5_1" hidden="1">{"form-D1",#N/A,FALSE,"FORM-D1";"form-D1_amt",#N/A,FALSE,"FORM-D1"}</definedName>
    <definedName name="jjjjjj" localSheetId="0" hidden="1">{"form-D1",#N/A,FALSE,"FORM-D1";"form-D1_amt",#N/A,FALSE,"FORM-D1"}</definedName>
    <definedName name="jjjjjj" hidden="1">{"form-D1",#N/A,FALSE,"FORM-D1";"form-D1_amt",#N/A,FALSE,"FORM-D1"}</definedName>
    <definedName name="jjjjjj_1" localSheetId="0" hidden="1">{"form-D1",#N/A,FALSE,"FORM-D1";"form-D1_amt",#N/A,FALSE,"FORM-D1"}</definedName>
    <definedName name="jjjjjj_1" hidden="1">{"form-D1",#N/A,FALSE,"FORM-D1";"form-D1_amt",#N/A,FALSE,"FORM-D1"}</definedName>
    <definedName name="jjjjjj_1_1" localSheetId="0" hidden="1">{"form-D1",#N/A,FALSE,"FORM-D1";"form-D1_amt",#N/A,FALSE,"FORM-D1"}</definedName>
    <definedName name="jjjjjj_1_1" hidden="1">{"form-D1",#N/A,FALSE,"FORM-D1";"form-D1_amt",#N/A,FALSE,"FORM-D1"}</definedName>
    <definedName name="jjjjjj_1_2" localSheetId="0" hidden="1">{"form-D1",#N/A,FALSE,"FORM-D1";"form-D1_amt",#N/A,FALSE,"FORM-D1"}</definedName>
    <definedName name="jjjjjj_1_2" hidden="1">{"form-D1",#N/A,FALSE,"FORM-D1";"form-D1_amt",#N/A,FALSE,"FORM-D1"}</definedName>
    <definedName name="jjjjjj_2" localSheetId="0" hidden="1">{"form-D1",#N/A,FALSE,"FORM-D1";"form-D1_amt",#N/A,FALSE,"FORM-D1"}</definedName>
    <definedName name="jjjjjj_2" hidden="1">{"form-D1",#N/A,FALSE,"FORM-D1";"form-D1_amt",#N/A,FALSE,"FORM-D1"}</definedName>
    <definedName name="jjjjjj_2_1" localSheetId="0" hidden="1">{"form-D1",#N/A,FALSE,"FORM-D1";"form-D1_amt",#N/A,FALSE,"FORM-D1"}</definedName>
    <definedName name="jjjjjj_2_1" hidden="1">{"form-D1",#N/A,FALSE,"FORM-D1";"form-D1_amt",#N/A,FALSE,"FORM-D1"}</definedName>
    <definedName name="jjjjjj_3" localSheetId="0" hidden="1">{"form-D1",#N/A,FALSE,"FORM-D1";"form-D1_amt",#N/A,FALSE,"FORM-D1"}</definedName>
    <definedName name="jjjjjj_3" hidden="1">{"form-D1",#N/A,FALSE,"FORM-D1";"form-D1_amt",#N/A,FALSE,"FORM-D1"}</definedName>
    <definedName name="jjjjjj_3_1" localSheetId="0" hidden="1">{"form-D1",#N/A,FALSE,"FORM-D1";"form-D1_amt",#N/A,FALSE,"FORM-D1"}</definedName>
    <definedName name="jjjjjj_3_1" hidden="1">{"form-D1",#N/A,FALSE,"FORM-D1";"form-D1_amt",#N/A,FALSE,"FORM-D1"}</definedName>
    <definedName name="jjjjjj_4" localSheetId="0" hidden="1">{"form-D1",#N/A,FALSE,"FORM-D1";"form-D1_amt",#N/A,FALSE,"FORM-D1"}</definedName>
    <definedName name="jjjjjj_4" hidden="1">{"form-D1",#N/A,FALSE,"FORM-D1";"form-D1_amt",#N/A,FALSE,"FORM-D1"}</definedName>
    <definedName name="jjjjjj_4_1" localSheetId="0" hidden="1">{"form-D1",#N/A,FALSE,"FORM-D1";"form-D1_amt",#N/A,FALSE,"FORM-D1"}</definedName>
    <definedName name="jjjjjj_4_1" hidden="1">{"form-D1",#N/A,FALSE,"FORM-D1";"form-D1_amt",#N/A,FALSE,"FORM-D1"}</definedName>
    <definedName name="jjjjjj_5" localSheetId="0" hidden="1">{"form-D1",#N/A,FALSE,"FORM-D1";"form-D1_amt",#N/A,FALSE,"FORM-D1"}</definedName>
    <definedName name="jjjjjj_5" hidden="1">{"form-D1",#N/A,FALSE,"FORM-D1";"form-D1_amt",#N/A,FALSE,"FORM-D1"}</definedName>
    <definedName name="jjjjjj_5_1" localSheetId="0" hidden="1">{"form-D1",#N/A,FALSE,"FORM-D1";"form-D1_amt",#N/A,FALSE,"FORM-D1"}</definedName>
    <definedName name="jjjjjj_5_1" hidden="1">{"form-D1",#N/A,FALSE,"FORM-D1";"form-D1_amt",#N/A,FALSE,"FORM-D1"}</definedName>
    <definedName name="jjjjjjjjj" localSheetId="0" hidden="1">{"form-D1",#N/A,FALSE,"FORM-D1";"form-D1_amt",#N/A,FALSE,"FORM-D1"}</definedName>
    <definedName name="jjjjjjjjj" hidden="1">{"form-D1",#N/A,FALSE,"FORM-D1";"form-D1_amt",#N/A,FALSE,"FORM-D1"}</definedName>
    <definedName name="jjjjjjjjj_1" localSheetId="0" hidden="1">{"form-D1",#N/A,FALSE,"FORM-D1";"form-D1_amt",#N/A,FALSE,"FORM-D1"}</definedName>
    <definedName name="jjjjjjjjj_1" hidden="1">{"form-D1",#N/A,FALSE,"FORM-D1";"form-D1_amt",#N/A,FALSE,"FORM-D1"}</definedName>
    <definedName name="jjjjjjjjj_1_1" localSheetId="0" hidden="1">{"form-D1",#N/A,FALSE,"FORM-D1";"form-D1_amt",#N/A,FALSE,"FORM-D1"}</definedName>
    <definedName name="jjjjjjjjj_1_1" hidden="1">{"form-D1",#N/A,FALSE,"FORM-D1";"form-D1_amt",#N/A,FALSE,"FORM-D1"}</definedName>
    <definedName name="jjjjjjjjj_1_2" localSheetId="0" hidden="1">{"form-D1",#N/A,FALSE,"FORM-D1";"form-D1_amt",#N/A,FALSE,"FORM-D1"}</definedName>
    <definedName name="jjjjjjjjj_1_2" hidden="1">{"form-D1",#N/A,FALSE,"FORM-D1";"form-D1_amt",#N/A,FALSE,"FORM-D1"}</definedName>
    <definedName name="jjjjjjjjj_2" localSheetId="0" hidden="1">{"form-D1",#N/A,FALSE,"FORM-D1";"form-D1_amt",#N/A,FALSE,"FORM-D1"}</definedName>
    <definedName name="jjjjjjjjj_2" hidden="1">{"form-D1",#N/A,FALSE,"FORM-D1";"form-D1_amt",#N/A,FALSE,"FORM-D1"}</definedName>
    <definedName name="jjjjjjjjj_2_1" localSheetId="0" hidden="1">{"form-D1",#N/A,FALSE,"FORM-D1";"form-D1_amt",#N/A,FALSE,"FORM-D1"}</definedName>
    <definedName name="jjjjjjjjj_2_1" hidden="1">{"form-D1",#N/A,FALSE,"FORM-D1";"form-D1_amt",#N/A,FALSE,"FORM-D1"}</definedName>
    <definedName name="jjjjjjjjj_3" localSheetId="0" hidden="1">{"form-D1",#N/A,FALSE,"FORM-D1";"form-D1_amt",#N/A,FALSE,"FORM-D1"}</definedName>
    <definedName name="jjjjjjjjj_3" hidden="1">{"form-D1",#N/A,FALSE,"FORM-D1";"form-D1_amt",#N/A,FALSE,"FORM-D1"}</definedName>
    <definedName name="jjjjjjjjj_3_1" localSheetId="0" hidden="1">{"form-D1",#N/A,FALSE,"FORM-D1";"form-D1_amt",#N/A,FALSE,"FORM-D1"}</definedName>
    <definedName name="jjjjjjjjj_3_1" hidden="1">{"form-D1",#N/A,FALSE,"FORM-D1";"form-D1_amt",#N/A,FALSE,"FORM-D1"}</definedName>
    <definedName name="jjjjjjjjj_4" localSheetId="0" hidden="1">{"form-D1",#N/A,FALSE,"FORM-D1";"form-D1_amt",#N/A,FALSE,"FORM-D1"}</definedName>
    <definedName name="jjjjjjjjj_4" hidden="1">{"form-D1",#N/A,FALSE,"FORM-D1";"form-D1_amt",#N/A,FALSE,"FORM-D1"}</definedName>
    <definedName name="jjjjjjjjj_4_1" localSheetId="0" hidden="1">{"form-D1",#N/A,FALSE,"FORM-D1";"form-D1_amt",#N/A,FALSE,"FORM-D1"}</definedName>
    <definedName name="jjjjjjjjj_4_1" hidden="1">{"form-D1",#N/A,FALSE,"FORM-D1";"form-D1_amt",#N/A,FALSE,"FORM-D1"}</definedName>
    <definedName name="jjjjjjjjj_5" localSheetId="0" hidden="1">{"form-D1",#N/A,FALSE,"FORM-D1";"form-D1_amt",#N/A,FALSE,"FORM-D1"}</definedName>
    <definedName name="jjjjjjjjj_5" hidden="1">{"form-D1",#N/A,FALSE,"FORM-D1";"form-D1_amt",#N/A,FALSE,"FORM-D1"}</definedName>
    <definedName name="jjjjjjjjj_5_1" localSheetId="0" hidden="1">{"form-D1",#N/A,FALSE,"FORM-D1";"form-D1_amt",#N/A,FALSE,"FORM-D1"}</definedName>
    <definedName name="jjjjjjjjj_5_1" hidden="1">{"form-D1",#N/A,FALSE,"FORM-D1";"form-D1_amt",#N/A,FALSE,"FORM-D1"}</definedName>
    <definedName name="jjjjjjjjjj" localSheetId="0">#REF!</definedName>
    <definedName name="jjjjjjjjjj">#REF!</definedName>
    <definedName name="jjjjjjjjjjjj" localSheetId="0" hidden="1">{"form-D1",#N/A,FALSE,"FORM-D1";"form-D1_amt",#N/A,FALSE,"FORM-D1"}</definedName>
    <definedName name="jjjjjjjjjjjj" hidden="1">{"form-D1",#N/A,FALSE,"FORM-D1";"form-D1_amt",#N/A,FALSE,"FORM-D1"}</definedName>
    <definedName name="jjjjjjjjjjjj_1" localSheetId="0" hidden="1">{"form-D1",#N/A,FALSE,"FORM-D1";"form-D1_amt",#N/A,FALSE,"FORM-D1"}</definedName>
    <definedName name="jjjjjjjjjjjj_1" hidden="1">{"form-D1",#N/A,FALSE,"FORM-D1";"form-D1_amt",#N/A,FALSE,"FORM-D1"}</definedName>
    <definedName name="jjjjjjjjjjjj_1_1" localSheetId="0" hidden="1">{"form-D1",#N/A,FALSE,"FORM-D1";"form-D1_amt",#N/A,FALSE,"FORM-D1"}</definedName>
    <definedName name="jjjjjjjjjjjj_1_1" hidden="1">{"form-D1",#N/A,FALSE,"FORM-D1";"form-D1_amt",#N/A,FALSE,"FORM-D1"}</definedName>
    <definedName name="jjjjjjjjjjjj_1_2" localSheetId="0" hidden="1">{"form-D1",#N/A,FALSE,"FORM-D1";"form-D1_amt",#N/A,FALSE,"FORM-D1"}</definedName>
    <definedName name="jjjjjjjjjjjj_1_2" hidden="1">{"form-D1",#N/A,FALSE,"FORM-D1";"form-D1_amt",#N/A,FALSE,"FORM-D1"}</definedName>
    <definedName name="jjjjjjjjjjjj_2" localSheetId="0" hidden="1">{"form-D1",#N/A,FALSE,"FORM-D1";"form-D1_amt",#N/A,FALSE,"FORM-D1"}</definedName>
    <definedName name="jjjjjjjjjjjj_2" hidden="1">{"form-D1",#N/A,FALSE,"FORM-D1";"form-D1_amt",#N/A,FALSE,"FORM-D1"}</definedName>
    <definedName name="jjjjjjjjjjjj_2_1" localSheetId="0" hidden="1">{"form-D1",#N/A,FALSE,"FORM-D1";"form-D1_amt",#N/A,FALSE,"FORM-D1"}</definedName>
    <definedName name="jjjjjjjjjjjj_2_1" hidden="1">{"form-D1",#N/A,FALSE,"FORM-D1";"form-D1_amt",#N/A,FALSE,"FORM-D1"}</definedName>
    <definedName name="jjjjjjjjjjjj_3" localSheetId="0" hidden="1">{"form-D1",#N/A,FALSE,"FORM-D1";"form-D1_amt",#N/A,FALSE,"FORM-D1"}</definedName>
    <definedName name="jjjjjjjjjjjj_3" hidden="1">{"form-D1",#N/A,FALSE,"FORM-D1";"form-D1_amt",#N/A,FALSE,"FORM-D1"}</definedName>
    <definedName name="jjjjjjjjjjjj_3_1" localSheetId="0" hidden="1">{"form-D1",#N/A,FALSE,"FORM-D1";"form-D1_amt",#N/A,FALSE,"FORM-D1"}</definedName>
    <definedName name="jjjjjjjjjjjj_3_1" hidden="1">{"form-D1",#N/A,FALSE,"FORM-D1";"form-D1_amt",#N/A,FALSE,"FORM-D1"}</definedName>
    <definedName name="jjjjjjjjjjjj_4" localSheetId="0" hidden="1">{"form-D1",#N/A,FALSE,"FORM-D1";"form-D1_amt",#N/A,FALSE,"FORM-D1"}</definedName>
    <definedName name="jjjjjjjjjjjj_4" hidden="1">{"form-D1",#N/A,FALSE,"FORM-D1";"form-D1_amt",#N/A,FALSE,"FORM-D1"}</definedName>
    <definedName name="jjjjjjjjjjjj_4_1" localSheetId="0" hidden="1">{"form-D1",#N/A,FALSE,"FORM-D1";"form-D1_amt",#N/A,FALSE,"FORM-D1"}</definedName>
    <definedName name="jjjjjjjjjjjj_4_1" hidden="1">{"form-D1",#N/A,FALSE,"FORM-D1";"form-D1_amt",#N/A,FALSE,"FORM-D1"}</definedName>
    <definedName name="jjjjjjjjjjjj_5" localSheetId="0" hidden="1">{"form-D1",#N/A,FALSE,"FORM-D1";"form-D1_amt",#N/A,FALSE,"FORM-D1"}</definedName>
    <definedName name="jjjjjjjjjjjj_5" hidden="1">{"form-D1",#N/A,FALSE,"FORM-D1";"form-D1_amt",#N/A,FALSE,"FORM-D1"}</definedName>
    <definedName name="jjjjjjjjjjjj_5_1" localSheetId="0" hidden="1">{"form-D1",#N/A,FALSE,"FORM-D1";"form-D1_amt",#N/A,FALSE,"FORM-D1"}</definedName>
    <definedName name="jjjjjjjjjjjj_5_1" hidden="1">{"form-D1",#N/A,FALSE,"FORM-D1";"form-D1_amt",#N/A,FALSE,"FORM-D1"}</definedName>
    <definedName name="jjjjjjjjjjjjjjj" localSheetId="0">#REF!</definedName>
    <definedName name="jjjjjjjjjjjjjjj">#REF!</definedName>
    <definedName name="jk" localSheetId="0">#REF!</definedName>
    <definedName name="jk">#REF!</definedName>
    <definedName name="JKK" localSheetId="0">#REF!</definedName>
    <definedName name="JKK">#REF!</definedName>
    <definedName name="JMR" localSheetId="0">#REF!</definedName>
    <definedName name="JMR">#REF!</definedName>
    <definedName name="jo" localSheetId="0">#REF!</definedName>
    <definedName name="jo">#REF!</definedName>
    <definedName name="job" localSheetId="0">#REF!</definedName>
    <definedName name="job">#REF!</definedName>
    <definedName name="job___0" localSheetId="0">#REF!</definedName>
    <definedName name="job___0">#REF!</definedName>
    <definedName name="job___11" localSheetId="0">#REF!</definedName>
    <definedName name="job___11">#REF!</definedName>
    <definedName name="job___12" localSheetId="0">#REF!</definedName>
    <definedName name="job___12">#REF!</definedName>
    <definedName name="JobID" localSheetId="0">#REF!</definedName>
    <definedName name="JobID">#REF!</definedName>
    <definedName name="june" localSheetId="0">#REF!</definedName>
    <definedName name="june">#REF!</definedName>
    <definedName name="june_5" localSheetId="0">#REF!</definedName>
    <definedName name="june_5">#REF!</definedName>
    <definedName name="june_7" localSheetId="0">#REF!</definedName>
    <definedName name="june_7">#REF!</definedName>
    <definedName name="K" localSheetId="0">#REF!</definedName>
    <definedName name="K">#REF!</definedName>
    <definedName name="K___0" localSheetId="0">#REF!</definedName>
    <definedName name="K___0">#REF!</definedName>
    <definedName name="K___13" localSheetId="0">#REF!</definedName>
    <definedName name="K___13">#REF!</definedName>
    <definedName name="k_1" localSheetId="0" hidden="1">{"form-D1",#N/A,FALSE,"FORM-D1";"form-D1_amt",#N/A,FALSE,"FORM-D1"}</definedName>
    <definedName name="k_1" hidden="1">{"form-D1",#N/A,FALSE,"FORM-D1";"form-D1_amt",#N/A,FALSE,"FORM-D1"}</definedName>
    <definedName name="k_1_1" localSheetId="0" hidden="1">{"form-D1",#N/A,FALSE,"FORM-D1";"form-D1_amt",#N/A,FALSE,"FORM-D1"}</definedName>
    <definedName name="k_1_1" hidden="1">{"form-D1",#N/A,FALSE,"FORM-D1";"form-D1_amt",#N/A,FALSE,"FORM-D1"}</definedName>
    <definedName name="k_1_2" localSheetId="0" hidden="1">{"form-D1",#N/A,FALSE,"FORM-D1";"form-D1_amt",#N/A,FALSE,"FORM-D1"}</definedName>
    <definedName name="k_1_2" hidden="1">{"form-D1",#N/A,FALSE,"FORM-D1";"form-D1_amt",#N/A,FALSE,"FORM-D1"}</definedName>
    <definedName name="k_2" localSheetId="0" hidden="1">{"form-D1",#N/A,FALSE,"FORM-D1";"form-D1_amt",#N/A,FALSE,"FORM-D1"}</definedName>
    <definedName name="k_2" hidden="1">{"form-D1",#N/A,FALSE,"FORM-D1";"form-D1_amt",#N/A,FALSE,"FORM-D1"}</definedName>
    <definedName name="k_2_1" localSheetId="0" hidden="1">{"form-D1",#N/A,FALSE,"FORM-D1";"form-D1_amt",#N/A,FALSE,"FORM-D1"}</definedName>
    <definedName name="k_2_1" hidden="1">{"form-D1",#N/A,FALSE,"FORM-D1";"form-D1_amt",#N/A,FALSE,"FORM-D1"}</definedName>
    <definedName name="k_3" localSheetId="0" hidden="1">{"form-D1",#N/A,FALSE,"FORM-D1";"form-D1_amt",#N/A,FALSE,"FORM-D1"}</definedName>
    <definedName name="k_3" hidden="1">{"form-D1",#N/A,FALSE,"FORM-D1";"form-D1_amt",#N/A,FALSE,"FORM-D1"}</definedName>
    <definedName name="k_3_1" localSheetId="0" hidden="1">{"form-D1",#N/A,FALSE,"FORM-D1";"form-D1_amt",#N/A,FALSE,"FORM-D1"}</definedName>
    <definedName name="k_3_1" hidden="1">{"form-D1",#N/A,FALSE,"FORM-D1";"form-D1_amt",#N/A,FALSE,"FORM-D1"}</definedName>
    <definedName name="k_4" localSheetId="0" hidden="1">{"form-D1",#N/A,FALSE,"FORM-D1";"form-D1_amt",#N/A,FALSE,"FORM-D1"}</definedName>
    <definedName name="k_4" hidden="1">{"form-D1",#N/A,FALSE,"FORM-D1";"form-D1_amt",#N/A,FALSE,"FORM-D1"}</definedName>
    <definedName name="k_4_1" localSheetId="0" hidden="1">{"form-D1",#N/A,FALSE,"FORM-D1";"form-D1_amt",#N/A,FALSE,"FORM-D1"}</definedName>
    <definedName name="k_4_1" hidden="1">{"form-D1",#N/A,FALSE,"FORM-D1";"form-D1_amt",#N/A,FALSE,"FORM-D1"}</definedName>
    <definedName name="k_5" localSheetId="0" hidden="1">{"form-D1",#N/A,FALSE,"FORM-D1";"form-D1_amt",#N/A,FALSE,"FORM-D1"}</definedName>
    <definedName name="k_5" hidden="1">{"form-D1",#N/A,FALSE,"FORM-D1";"form-D1_amt",#N/A,FALSE,"FORM-D1"}</definedName>
    <definedName name="k_5_1" localSheetId="0" hidden="1">{"form-D1",#N/A,FALSE,"FORM-D1";"form-D1_amt",#N/A,FALSE,"FORM-D1"}</definedName>
    <definedName name="k_5_1" hidden="1">{"form-D1",#N/A,FALSE,"FORM-D1";"form-D1_amt",#N/A,FALSE,"FORM-D1"}</definedName>
    <definedName name="k0" localSheetId="0">#REF!</definedName>
    <definedName name="k0">#REF!</definedName>
    <definedName name="k1_table" localSheetId="0">#REF!</definedName>
    <definedName name="k1_table">#REF!</definedName>
    <definedName name="k1l" localSheetId="0">#REF!</definedName>
    <definedName name="k1l">#REF!</definedName>
    <definedName name="k1s" localSheetId="0">#REF!</definedName>
    <definedName name="k1s">#REF!</definedName>
    <definedName name="k2s" localSheetId="0">#REF!</definedName>
    <definedName name="k2s">#REF!</definedName>
    <definedName name="ka" localSheetId="0">#REF!</definedName>
    <definedName name="ka">#REF!</definedName>
    <definedName name="KAMAL" localSheetId="0" hidden="1">{"form-D1",#N/A,FALSE,"FORM-D1";"form-D1_amt",#N/A,FALSE,"FORM-D1"}</definedName>
    <definedName name="KAMAL" hidden="1">{"form-D1",#N/A,FALSE,"FORM-D1";"form-D1_amt",#N/A,FALSE,"FORM-D1"}</definedName>
    <definedName name="KAMAL_1" localSheetId="0" hidden="1">{"form-D1",#N/A,FALSE,"FORM-D1";"form-D1_amt",#N/A,FALSE,"FORM-D1"}</definedName>
    <definedName name="KAMAL_1" hidden="1">{"form-D1",#N/A,FALSE,"FORM-D1";"form-D1_amt",#N/A,FALSE,"FORM-D1"}</definedName>
    <definedName name="KAMAL_1_1" localSheetId="0" hidden="1">{"form-D1",#N/A,FALSE,"FORM-D1";"form-D1_amt",#N/A,FALSE,"FORM-D1"}</definedName>
    <definedName name="KAMAL_1_1" hidden="1">{"form-D1",#N/A,FALSE,"FORM-D1";"form-D1_amt",#N/A,FALSE,"FORM-D1"}</definedName>
    <definedName name="KAMAL_1_2" localSheetId="0" hidden="1">{"form-D1",#N/A,FALSE,"FORM-D1";"form-D1_amt",#N/A,FALSE,"FORM-D1"}</definedName>
    <definedName name="KAMAL_1_2" hidden="1">{"form-D1",#N/A,FALSE,"FORM-D1";"form-D1_amt",#N/A,FALSE,"FORM-D1"}</definedName>
    <definedName name="KAMAL_2" localSheetId="0" hidden="1">{"form-D1",#N/A,FALSE,"FORM-D1";"form-D1_amt",#N/A,FALSE,"FORM-D1"}</definedName>
    <definedName name="KAMAL_2" hidden="1">{"form-D1",#N/A,FALSE,"FORM-D1";"form-D1_amt",#N/A,FALSE,"FORM-D1"}</definedName>
    <definedName name="KAMAL_2_1" localSheetId="0" hidden="1">{"form-D1",#N/A,FALSE,"FORM-D1";"form-D1_amt",#N/A,FALSE,"FORM-D1"}</definedName>
    <definedName name="KAMAL_2_1" hidden="1">{"form-D1",#N/A,FALSE,"FORM-D1";"form-D1_amt",#N/A,FALSE,"FORM-D1"}</definedName>
    <definedName name="KAMAL_3" localSheetId="0" hidden="1">{"form-D1",#N/A,FALSE,"FORM-D1";"form-D1_amt",#N/A,FALSE,"FORM-D1"}</definedName>
    <definedName name="KAMAL_3" hidden="1">{"form-D1",#N/A,FALSE,"FORM-D1";"form-D1_amt",#N/A,FALSE,"FORM-D1"}</definedName>
    <definedName name="KAMAL_3_1" localSheetId="0" hidden="1">{"form-D1",#N/A,FALSE,"FORM-D1";"form-D1_amt",#N/A,FALSE,"FORM-D1"}</definedName>
    <definedName name="KAMAL_3_1" hidden="1">{"form-D1",#N/A,FALSE,"FORM-D1";"form-D1_amt",#N/A,FALSE,"FORM-D1"}</definedName>
    <definedName name="KAMAL_4" localSheetId="0" hidden="1">{"form-D1",#N/A,FALSE,"FORM-D1";"form-D1_amt",#N/A,FALSE,"FORM-D1"}</definedName>
    <definedName name="KAMAL_4" hidden="1">{"form-D1",#N/A,FALSE,"FORM-D1";"form-D1_amt",#N/A,FALSE,"FORM-D1"}</definedName>
    <definedName name="KAMAL_4_1" localSheetId="0" hidden="1">{"form-D1",#N/A,FALSE,"FORM-D1";"form-D1_amt",#N/A,FALSE,"FORM-D1"}</definedName>
    <definedName name="KAMAL_4_1" hidden="1">{"form-D1",#N/A,FALSE,"FORM-D1";"form-D1_amt",#N/A,FALSE,"FORM-D1"}</definedName>
    <definedName name="KAMAL_5" localSheetId="0" hidden="1">{"form-D1",#N/A,FALSE,"FORM-D1";"form-D1_amt",#N/A,FALSE,"FORM-D1"}</definedName>
    <definedName name="KAMAL_5" hidden="1">{"form-D1",#N/A,FALSE,"FORM-D1";"form-D1_amt",#N/A,FALSE,"FORM-D1"}</definedName>
    <definedName name="KAMAL_5_1" localSheetId="0" hidden="1">{"form-D1",#N/A,FALSE,"FORM-D1";"form-D1_amt",#N/A,FALSE,"FORM-D1"}</definedName>
    <definedName name="KAMAL_5_1" hidden="1">{"form-D1",#N/A,FALSE,"FORM-D1";"form-D1_amt",#N/A,FALSE,"FORM-D1"}</definedName>
    <definedName name="kaml" localSheetId="0" hidden="1">{"form-D1",#N/A,FALSE,"FORM-D1";"form-D1_amt",#N/A,FALSE,"FORM-D1"}</definedName>
    <definedName name="kaml" hidden="1">{"form-D1",#N/A,FALSE,"FORM-D1";"form-D1_amt",#N/A,FALSE,"FORM-D1"}</definedName>
    <definedName name="kaml_1" localSheetId="0" hidden="1">{"form-D1",#N/A,FALSE,"FORM-D1";"form-D1_amt",#N/A,FALSE,"FORM-D1"}</definedName>
    <definedName name="kaml_1" hidden="1">{"form-D1",#N/A,FALSE,"FORM-D1";"form-D1_amt",#N/A,FALSE,"FORM-D1"}</definedName>
    <definedName name="kaml_1_1" localSheetId="0" hidden="1">{"form-D1",#N/A,FALSE,"FORM-D1";"form-D1_amt",#N/A,FALSE,"FORM-D1"}</definedName>
    <definedName name="kaml_1_1" hidden="1">{"form-D1",#N/A,FALSE,"FORM-D1";"form-D1_amt",#N/A,FALSE,"FORM-D1"}</definedName>
    <definedName name="kaml_1_2" localSheetId="0" hidden="1">{"form-D1",#N/A,FALSE,"FORM-D1";"form-D1_amt",#N/A,FALSE,"FORM-D1"}</definedName>
    <definedName name="kaml_1_2" hidden="1">{"form-D1",#N/A,FALSE,"FORM-D1";"form-D1_amt",#N/A,FALSE,"FORM-D1"}</definedName>
    <definedName name="kaml_2" localSheetId="0" hidden="1">{"form-D1",#N/A,FALSE,"FORM-D1";"form-D1_amt",#N/A,FALSE,"FORM-D1"}</definedName>
    <definedName name="kaml_2" hidden="1">{"form-D1",#N/A,FALSE,"FORM-D1";"form-D1_amt",#N/A,FALSE,"FORM-D1"}</definedName>
    <definedName name="kaml_2_1" localSheetId="0" hidden="1">{"form-D1",#N/A,FALSE,"FORM-D1";"form-D1_amt",#N/A,FALSE,"FORM-D1"}</definedName>
    <definedName name="kaml_2_1" hidden="1">{"form-D1",#N/A,FALSE,"FORM-D1";"form-D1_amt",#N/A,FALSE,"FORM-D1"}</definedName>
    <definedName name="kaml_3" localSheetId="0" hidden="1">{"form-D1",#N/A,FALSE,"FORM-D1";"form-D1_amt",#N/A,FALSE,"FORM-D1"}</definedName>
    <definedName name="kaml_3" hidden="1">{"form-D1",#N/A,FALSE,"FORM-D1";"form-D1_amt",#N/A,FALSE,"FORM-D1"}</definedName>
    <definedName name="kaml_3_1" localSheetId="0" hidden="1">{"form-D1",#N/A,FALSE,"FORM-D1";"form-D1_amt",#N/A,FALSE,"FORM-D1"}</definedName>
    <definedName name="kaml_3_1" hidden="1">{"form-D1",#N/A,FALSE,"FORM-D1";"form-D1_amt",#N/A,FALSE,"FORM-D1"}</definedName>
    <definedName name="kaml_4" localSheetId="0" hidden="1">{"form-D1",#N/A,FALSE,"FORM-D1";"form-D1_amt",#N/A,FALSE,"FORM-D1"}</definedName>
    <definedName name="kaml_4" hidden="1">{"form-D1",#N/A,FALSE,"FORM-D1";"form-D1_amt",#N/A,FALSE,"FORM-D1"}</definedName>
    <definedName name="kaml_4_1" localSheetId="0" hidden="1">{"form-D1",#N/A,FALSE,"FORM-D1";"form-D1_amt",#N/A,FALSE,"FORM-D1"}</definedName>
    <definedName name="kaml_4_1" hidden="1">{"form-D1",#N/A,FALSE,"FORM-D1";"form-D1_amt",#N/A,FALSE,"FORM-D1"}</definedName>
    <definedName name="kaml_5" localSheetId="0" hidden="1">{"form-D1",#N/A,FALSE,"FORM-D1";"form-D1_amt",#N/A,FALSE,"FORM-D1"}</definedName>
    <definedName name="kaml_5" hidden="1">{"form-D1",#N/A,FALSE,"FORM-D1";"form-D1_amt",#N/A,FALSE,"FORM-D1"}</definedName>
    <definedName name="kaml_5_1" localSheetId="0" hidden="1">{"form-D1",#N/A,FALSE,"FORM-D1";"form-D1_amt",#N/A,FALSE,"FORM-D1"}</definedName>
    <definedName name="kaml_5_1" hidden="1">{"form-D1",#N/A,FALSE,"FORM-D1";"form-D1_amt",#N/A,FALSE,"FORM-D1"}</definedName>
    <definedName name="kan" localSheetId="0">#REF!</definedName>
    <definedName name="kan">#REF!</definedName>
    <definedName name="KARNA" localSheetId="0">#REF!</definedName>
    <definedName name="KARNA">#REF!</definedName>
    <definedName name="kb" localSheetId="0">#REF!</definedName>
    <definedName name="kb">#REF!</definedName>
    <definedName name="kc" localSheetId="0">#REF!</definedName>
    <definedName name="kc">#REF!</definedName>
    <definedName name="KERBMACHINE" localSheetId="0">#REF!</definedName>
    <definedName name="KERBMACHINE">#REF!</definedName>
    <definedName name="kfac11" localSheetId="0">#REF!</definedName>
    <definedName name="kfac11">#REF!</definedName>
    <definedName name="kfac22" localSheetId="0">#REF!</definedName>
    <definedName name="kfac22">#REF!</definedName>
    <definedName name="Kh" localSheetId="0">#REF!</definedName>
    <definedName name="Kh">#REF!</definedName>
    <definedName name="Kh___0" localSheetId="0">#REF!</definedName>
    <definedName name="Kh___0">#REF!</definedName>
    <definedName name="Kh___13" localSheetId="0">#REF!</definedName>
    <definedName name="Kh___13">#REF!</definedName>
    <definedName name="Ki" localSheetId="0">#REF!</definedName>
    <definedName name="Ki">#REF!</definedName>
    <definedName name="Ki___0" localSheetId="0">#REF!</definedName>
    <definedName name="Ki___0">#REF!</definedName>
    <definedName name="Ki___13" localSheetId="0">#REF!</definedName>
    <definedName name="Ki___13">#REF!</definedName>
    <definedName name="Ki1___0" localSheetId="0">#REF!</definedName>
    <definedName name="Ki1___0">#REF!</definedName>
    <definedName name="Ki1___13" localSheetId="0">#REF!</definedName>
    <definedName name="Ki1___13">#REF!</definedName>
    <definedName name="Ki2___0" localSheetId="0">#REF!</definedName>
    <definedName name="Ki2___0">#REF!</definedName>
    <definedName name="Ki2___13" localSheetId="0">#REF!</definedName>
    <definedName name="Ki2___13">#REF!</definedName>
    <definedName name="Kii" localSheetId="0">#REF!</definedName>
    <definedName name="Kii">#REF!</definedName>
    <definedName name="Kii___0" localSheetId="0">#REF!</definedName>
    <definedName name="Kii___0">#REF!</definedName>
    <definedName name="Kii___13" localSheetId="0">#REF!</definedName>
    <definedName name="Kii___13">#REF!</definedName>
    <definedName name="Kitchen" localSheetId="0">[15]Spec!$B$20</definedName>
    <definedName name="Kitchen">[15]Spec!$B$20</definedName>
    <definedName name="kk" localSheetId="0">#REF!</definedName>
    <definedName name="kk">#REF!</definedName>
    <definedName name="kkk" localSheetId="0" hidden="1">{#N/A,#N/A,FALSE,"COVER1.XLS ";#N/A,#N/A,FALSE,"RACT1.XLS";#N/A,#N/A,FALSE,"RACT2.XLS";#N/A,#N/A,FALSE,"ECCMP";#N/A,#N/A,FALSE,"WELDER.XLS"}</definedName>
    <definedName name="kkk" hidden="1">{#N/A,#N/A,FALSE,"COVER1.XLS ";#N/A,#N/A,FALSE,"RACT1.XLS";#N/A,#N/A,FALSE,"RACT2.XLS";#N/A,#N/A,FALSE,"ECCMP";#N/A,#N/A,FALSE,"WELDER.XLS"}</definedName>
    <definedName name="kkkkkkkkkkkk" localSheetId="0">#REF!</definedName>
    <definedName name="kkkkkkkkkkkk">#REF!</definedName>
    <definedName name="kkkkkkkkkkkkkk" localSheetId="0">#REF!</definedName>
    <definedName name="kkkkkkkkkkkkkk">#REF!</definedName>
    <definedName name="kkp" localSheetId="0">#REF!</definedName>
    <definedName name="kkp">#REF!</definedName>
    <definedName name="Km" localSheetId="0">#REF!</definedName>
    <definedName name="Km">#REF!</definedName>
    <definedName name="Km___0" localSheetId="0">#REF!</definedName>
    <definedName name="Km___0">#REF!</definedName>
    <definedName name="Km___13" localSheetId="0">#REF!</definedName>
    <definedName name="Km___13">#REF!</definedName>
    <definedName name="knm" localSheetId="0">#REF!</definedName>
    <definedName name="knm">#REF!</definedName>
    <definedName name="ko" localSheetId="0">#REF!</definedName>
    <definedName name="ko">#REF!</definedName>
    <definedName name="KOTA_STONE">#REF!</definedName>
    <definedName name="kris" localSheetId="0">#REF!</definedName>
    <definedName name="kris">#REF!</definedName>
    <definedName name="Ks" localSheetId="0">#REF!</definedName>
    <definedName name="Ks">#REF!</definedName>
    <definedName name="Ks___0" localSheetId="0">#REF!</definedName>
    <definedName name="Ks___0">#REF!</definedName>
    <definedName name="Ks___13" localSheetId="0">#REF!</definedName>
    <definedName name="Ks___13">#REF!</definedName>
    <definedName name="kskk" localSheetId="0" hidden="1">{#N/A,#N/A,FALSE,"COVER.XLS";#N/A,#N/A,FALSE,"RACT1.XLS";#N/A,#N/A,FALSE,"RACT2.XLS";#N/A,#N/A,FALSE,"ECCMP";#N/A,#N/A,FALSE,"WELDER.XLS"}</definedName>
    <definedName name="kskk" hidden="1">{#N/A,#N/A,FALSE,"COVER.XLS";#N/A,#N/A,FALSE,"RACT1.XLS";#N/A,#N/A,FALSE,"RACT2.XLS";#N/A,#N/A,FALSE,"ECCMP";#N/A,#N/A,FALSE,"WELDER.XLS"}</definedName>
    <definedName name="kvs" localSheetId="0" hidden="1">{#N/A,#N/A,FALSE,"COVER1.XLS ";#N/A,#N/A,FALSE,"RACT1.XLS";#N/A,#N/A,FALSE,"RACT2.XLS";#N/A,#N/A,FALSE,"ECCMP";#N/A,#N/A,FALSE,"WELDER.XLS"}</definedName>
    <definedName name="kvs" hidden="1">{#N/A,#N/A,FALSE,"COVER1.XLS ";#N/A,#N/A,FALSE,"RACT1.XLS";#N/A,#N/A,FALSE,"RACT2.XLS";#N/A,#N/A,FALSE,"ECCMP";#N/A,#N/A,FALSE,"WELDER.XLS"}</definedName>
    <definedName name="kx" localSheetId="0">#REF!</definedName>
    <definedName name="kx">#REF!</definedName>
    <definedName name="kxb" localSheetId="0">#REF!</definedName>
    <definedName name="kxb">#REF!</definedName>
    <definedName name="kxt" localSheetId="0">#REF!</definedName>
    <definedName name="kxt">#REF!</definedName>
    <definedName name="ky" localSheetId="0">#REF!</definedName>
    <definedName name="ky">#REF!</definedName>
    <definedName name="kyb" localSheetId="0">#REF!</definedName>
    <definedName name="kyb">#REF!</definedName>
    <definedName name="kyt" localSheetId="0">#REF!</definedName>
    <definedName name="kyt">#REF!</definedName>
    <definedName name="L" localSheetId="0">#REF!</definedName>
    <definedName name="L">#REF!</definedName>
    <definedName name="L.WALL" localSheetId="0">#REF!</definedName>
    <definedName name="L.WALL">#REF!</definedName>
    <definedName name="L___0" localSheetId="0">#REF!</definedName>
    <definedName name="L___0">#REF!</definedName>
    <definedName name="L___13" localSheetId="0">#REF!</definedName>
    <definedName name="L___13">#REF!</definedName>
    <definedName name="l_1" localSheetId="0" hidden="1">{"form-D1",#N/A,FALSE,"FORM-D1";"form-D1_amt",#N/A,FALSE,"FORM-D1"}</definedName>
    <definedName name="l_1" hidden="1">{"form-D1",#N/A,FALSE,"FORM-D1";"form-D1_amt",#N/A,FALSE,"FORM-D1"}</definedName>
    <definedName name="l_1_1" localSheetId="0" hidden="1">{"form-D1",#N/A,FALSE,"FORM-D1";"form-D1_amt",#N/A,FALSE,"FORM-D1"}</definedName>
    <definedName name="l_1_1" hidden="1">{"form-D1",#N/A,FALSE,"FORM-D1";"form-D1_amt",#N/A,FALSE,"FORM-D1"}</definedName>
    <definedName name="l_1_2" localSheetId="0" hidden="1">{"form-D1",#N/A,FALSE,"FORM-D1";"form-D1_amt",#N/A,FALSE,"FORM-D1"}</definedName>
    <definedName name="l_1_2" hidden="1">{"form-D1",#N/A,FALSE,"FORM-D1";"form-D1_amt",#N/A,FALSE,"FORM-D1"}</definedName>
    <definedName name="l_2" localSheetId="0" hidden="1">{"form-D1",#N/A,FALSE,"FORM-D1";"form-D1_amt",#N/A,FALSE,"FORM-D1"}</definedName>
    <definedName name="l_2" hidden="1">{"form-D1",#N/A,FALSE,"FORM-D1";"form-D1_amt",#N/A,FALSE,"FORM-D1"}</definedName>
    <definedName name="l_2_1" localSheetId="0" hidden="1">{"form-D1",#N/A,FALSE,"FORM-D1";"form-D1_amt",#N/A,FALSE,"FORM-D1"}</definedName>
    <definedName name="l_2_1" hidden="1">{"form-D1",#N/A,FALSE,"FORM-D1";"form-D1_amt",#N/A,FALSE,"FORM-D1"}</definedName>
    <definedName name="l_3" localSheetId="0" hidden="1">{"form-D1",#N/A,FALSE,"FORM-D1";"form-D1_amt",#N/A,FALSE,"FORM-D1"}</definedName>
    <definedName name="l_3" hidden="1">{"form-D1",#N/A,FALSE,"FORM-D1";"form-D1_amt",#N/A,FALSE,"FORM-D1"}</definedName>
    <definedName name="l_3_1" localSheetId="0" hidden="1">{"form-D1",#N/A,FALSE,"FORM-D1";"form-D1_amt",#N/A,FALSE,"FORM-D1"}</definedName>
    <definedName name="l_3_1" hidden="1">{"form-D1",#N/A,FALSE,"FORM-D1";"form-D1_amt",#N/A,FALSE,"FORM-D1"}</definedName>
    <definedName name="l_4" localSheetId="0" hidden="1">{"form-D1",#N/A,FALSE,"FORM-D1";"form-D1_amt",#N/A,FALSE,"FORM-D1"}</definedName>
    <definedName name="l_4" hidden="1">{"form-D1",#N/A,FALSE,"FORM-D1";"form-D1_amt",#N/A,FALSE,"FORM-D1"}</definedName>
    <definedName name="l_4_1" localSheetId="0" hidden="1">{"form-D1",#N/A,FALSE,"FORM-D1";"form-D1_amt",#N/A,FALSE,"FORM-D1"}</definedName>
    <definedName name="l_4_1" hidden="1">{"form-D1",#N/A,FALSE,"FORM-D1";"form-D1_amt",#N/A,FALSE,"FORM-D1"}</definedName>
    <definedName name="l_5" localSheetId="0" hidden="1">{"form-D1",#N/A,FALSE,"FORM-D1";"form-D1_amt",#N/A,FALSE,"FORM-D1"}</definedName>
    <definedName name="l_5" hidden="1">{"form-D1",#N/A,FALSE,"FORM-D1";"form-D1_amt",#N/A,FALSE,"FORM-D1"}</definedName>
    <definedName name="l_5_1" localSheetId="0" hidden="1">{"form-D1",#N/A,FALSE,"FORM-D1";"form-D1_amt",#N/A,FALSE,"FORM-D1"}</definedName>
    <definedName name="l_5_1" hidden="1">{"form-D1",#N/A,FALSE,"FORM-D1";"form-D1_amt",#N/A,FALSE,"FORM-D1"}</definedName>
    <definedName name="LA" localSheetId="0">#REF!</definedName>
    <definedName name="LA">#REF!</definedName>
    <definedName name="labor" localSheetId="0">#REF!</definedName>
    <definedName name="labor">#REF!</definedName>
    <definedName name="LABPOL" localSheetId="0">#REF!</definedName>
    <definedName name="LABPOL">#REF!</definedName>
    <definedName name="Lac_Polish">#REF!</definedName>
    <definedName name="lakh_1">100000</definedName>
    <definedName name="lamda" localSheetId="0">#REF!</definedName>
    <definedName name="lamda">#REF!</definedName>
    <definedName name="LAMP" localSheetId="0">#REF!</definedName>
    <definedName name="LAMP">#REF!</definedName>
    <definedName name="LAMP___0" localSheetId="0">#REF!</definedName>
    <definedName name="LAMP___0">#REF!</definedName>
    <definedName name="LAMP___13" localSheetId="0">#REF!</definedName>
    <definedName name="LAMP___13">#REF!</definedName>
    <definedName name="Land_adv" localSheetId="0">#REF!</definedName>
    <definedName name="Land_adv">#REF!</definedName>
    <definedName name="Land_details" localSheetId="0">#REF!</definedName>
    <definedName name="Land_details">#REF!</definedName>
    <definedName name="landscape" localSheetId="0">#REF!</definedName>
    <definedName name="landscape">#REF!</definedName>
    <definedName name="Landscaping" localSheetId="0">#REF!</definedName>
    <definedName name="Landscaping">#REF!</definedName>
    <definedName name="landscpe" localSheetId="0">#REF!</definedName>
    <definedName name="landscpe">#REF!</definedName>
    <definedName name="Larsen___Toubro_Limited___ECC_Construction_Division" localSheetId="0">#REF!</definedName>
    <definedName name="Larsen___Toubro_Limited___ECC_Construction_Division">#REF!</definedName>
    <definedName name="last" localSheetId="0">#REF!</definedName>
    <definedName name="last">#REF!</definedName>
    <definedName name="Last_Row">#N/A</definedName>
    <definedName name="Lbt" localSheetId="0">#REF!</definedName>
    <definedName name="Lbt">#REF!</definedName>
    <definedName name="Lc" localSheetId="0">#REF!</definedName>
    <definedName name="Lc">#REF!</definedName>
    <definedName name="Lc___0" localSheetId="0">#REF!</definedName>
    <definedName name="Lc___0">#REF!</definedName>
    <definedName name="Lc___13" localSheetId="0">#REF!</definedName>
    <definedName name="Lc___13">#REF!</definedName>
    <definedName name="Lconc" localSheetId="0">#REF!</definedName>
    <definedName name="Lconc">#REF!</definedName>
    <definedName name="lcs" localSheetId="0">#REF!</definedName>
    <definedName name="lcs">#REF!</definedName>
    <definedName name="Lead" localSheetId="0">#REF!</definedName>
    <definedName name="Lead">#REF!</definedName>
    <definedName name="Learth" localSheetId="0">#REF!</definedName>
    <definedName name="Learth">#REF!</definedName>
    <definedName name="Lease" localSheetId="0">#REF!</definedName>
    <definedName name="Lease">#REF!</definedName>
    <definedName name="least" localSheetId="0">#REF!</definedName>
    <definedName name="least">#REF!</definedName>
    <definedName name="ledg" localSheetId="0">#REF!</definedName>
    <definedName name="ledg">#REF!</definedName>
    <definedName name="leela" localSheetId="0">#REF!</definedName>
    <definedName name="leela">#REF!</definedName>
    <definedName name="lef" localSheetId="0">#REF!</definedName>
    <definedName name="lef">#REF!</definedName>
    <definedName name="leff" localSheetId="0">#REF!</definedName>
    <definedName name="leff">#REF!</definedName>
    <definedName name="lel" localSheetId="0">#REF!</definedName>
    <definedName name="lel">#REF!</definedName>
    <definedName name="len" localSheetId="0">#REF!</definedName>
    <definedName name="len">#REF!</definedName>
    <definedName name="lep" localSheetId="0">#REF!</definedName>
    <definedName name="lep">[6]Data!#REF!</definedName>
    <definedName name="lex" localSheetId="0">#REF!</definedName>
    <definedName name="lex">#REF!</definedName>
    <definedName name="ley" localSheetId="0">#REF!</definedName>
    <definedName name="ley">#REF!</definedName>
    <definedName name="LF" localSheetId="0">#REF!</definedName>
    <definedName name="LF">#REF!</definedName>
    <definedName name="LG" localSheetId="0">#REF!</definedName>
    <definedName name="LG">#REF!</definedName>
    <definedName name="Lgsb" localSheetId="0">#REF!</definedName>
    <definedName name="Lgsb">#REF!</definedName>
    <definedName name="li" localSheetId="0">#REF!</definedName>
    <definedName name="li">#REF!</definedName>
    <definedName name="LIB" localSheetId="0">#REF!</definedName>
    <definedName name="LIB">#REF!</definedName>
    <definedName name="library" localSheetId="0">#REF!</definedName>
    <definedName name="library">#REF!</definedName>
    <definedName name="lifeGoodwill" localSheetId="0">#REF!</definedName>
    <definedName name="lifeGoodwill">#REF!</definedName>
    <definedName name="light" localSheetId="0">#REF!</definedName>
    <definedName name="light">#REF!</definedName>
    <definedName name="limcount" hidden="1">1</definedName>
    <definedName name="list" localSheetId="0">[16]rate!$A$2:$D$349</definedName>
    <definedName name="LIST">#REF!</definedName>
    <definedName name="lk" localSheetId="0">#REF!</definedName>
    <definedName name="lk">#REF!</definedName>
    <definedName name="lkjdhflksf" localSheetId="0">#REF!</definedName>
    <definedName name="lkjdhflksf">#REF!</definedName>
    <definedName name="LLCR" localSheetId="0">#REF!</definedName>
    <definedName name="LLCR">#REF!</definedName>
    <definedName name="lll"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lllllllllll" localSheetId="0">#REF!</definedName>
    <definedName name="llllllllllllll">#REF!</definedName>
    <definedName name="lm" localSheetId="0">#REF!</definedName>
    <definedName name="lm">#REF!</definedName>
    <definedName name="LnsAdvncs" localSheetId="0">#REF!</definedName>
    <definedName name="LnsAdvncs">#REF!</definedName>
    <definedName name="LnsAdvncs_I" localSheetId="0">#REF!</definedName>
    <definedName name="LnsAdvncs_I">#REF!</definedName>
    <definedName name="Loan_Amount" localSheetId="0">#REF!</definedName>
    <definedName name="Loan_Amount">#REF!</definedName>
    <definedName name="Loan_Start" localSheetId="0">#REF!</definedName>
    <definedName name="Loan_Start">#REF!</definedName>
    <definedName name="Loan_Years" localSheetId="0">#REF!</definedName>
    <definedName name="Loan_Years">#REF!</definedName>
    <definedName name="loans_adv" localSheetId="0">#REF!</definedName>
    <definedName name="loans_adv">#REF!</definedName>
    <definedName name="Lobby" localSheetId="0">#REF!</definedName>
    <definedName name="Lobby">#REF!</definedName>
    <definedName name="LOCAL_STAFF" localSheetId="0">#REF!</definedName>
    <definedName name="LOCAL_STAFF">#REF!</definedName>
    <definedName name="LOCAL_STAFF_ENTRY" localSheetId="0">#REF!</definedName>
    <definedName name="LOCAL_STAFF_ENTRY">#REF!</definedName>
    <definedName name="Location">#N/A</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k" localSheetId="0">#REF!</definedName>
    <definedName name="Lock">#REF!</definedName>
    <definedName name="logo1">"Picture 7"</definedName>
    <definedName name="longdia" localSheetId="0">#REF!</definedName>
    <definedName name="longdia">#REF!</definedName>
    <definedName name="look" localSheetId="0">#REF!</definedName>
    <definedName name="look">#REF!</definedName>
    <definedName name="LOP" localSheetId="0" hidden="1">{#N/A,#N/A,TRUE,"Front";#N/A,#N/A,TRUE,"Simple Letter";#N/A,#N/A,TRUE,"Inside";#N/A,#N/A,TRUE,"Contents";#N/A,#N/A,TRUE,"Basis";#N/A,#N/A,TRUE,"Inclusions";#N/A,#N/A,TRUE,"Exclusions";#N/A,#N/A,TRUE,"Areas";#N/A,#N/A,TRUE,"Summary";#N/A,#N/A,TRUE,"Detail"}</definedName>
    <definedName name="LOP" hidden="1">{#N/A,#N/A,TRUE,"Front";#N/A,#N/A,TRUE,"Simple Letter";#N/A,#N/A,TRUE,"Inside";#N/A,#N/A,TRUE,"Contents";#N/A,#N/A,TRUE,"Basis";#N/A,#N/A,TRUE,"Inclusions";#N/A,#N/A,TRUE,"Exclusions";#N/A,#N/A,TRUE,"Areas";#N/A,#N/A,TRUE,"Summary";#N/A,#N/A,TRUE,"Detail"}</definedName>
    <definedName name="LOP_1" localSheetId="0" hidden="1">{#N/A,#N/A,TRUE,"Front";#N/A,#N/A,TRUE,"Simple Letter";#N/A,#N/A,TRUE,"Inside";#N/A,#N/A,TRUE,"Contents";#N/A,#N/A,TRUE,"Basis";#N/A,#N/A,TRUE,"Inclusions";#N/A,#N/A,TRUE,"Exclusions";#N/A,#N/A,TRUE,"Areas";#N/A,#N/A,TRUE,"Summary";#N/A,#N/A,TRUE,"Detail"}</definedName>
    <definedName name="LOP_1" hidden="1">{#N/A,#N/A,TRUE,"Front";#N/A,#N/A,TRUE,"Simple Letter";#N/A,#N/A,TRUE,"Inside";#N/A,#N/A,TRUE,"Contents";#N/A,#N/A,TRUE,"Basis";#N/A,#N/A,TRUE,"Inclusions";#N/A,#N/A,TRUE,"Exclusions";#N/A,#N/A,TRUE,"Areas";#N/A,#N/A,TRUE,"Summary";#N/A,#N/A,TRUE,"Detail"}</definedName>
    <definedName name="LOP_1_1" localSheetId="0" hidden="1">{#N/A,#N/A,TRUE,"Front";#N/A,#N/A,TRUE,"Simple Letter";#N/A,#N/A,TRUE,"Inside";#N/A,#N/A,TRUE,"Contents";#N/A,#N/A,TRUE,"Basis";#N/A,#N/A,TRUE,"Inclusions";#N/A,#N/A,TRUE,"Exclusions";#N/A,#N/A,TRUE,"Areas";#N/A,#N/A,TRUE,"Summary";#N/A,#N/A,TRUE,"Detail"}</definedName>
    <definedName name="LOP_1_1" hidden="1">{#N/A,#N/A,TRUE,"Front";#N/A,#N/A,TRUE,"Simple Letter";#N/A,#N/A,TRUE,"Inside";#N/A,#N/A,TRUE,"Contents";#N/A,#N/A,TRUE,"Basis";#N/A,#N/A,TRUE,"Inclusions";#N/A,#N/A,TRUE,"Exclusions";#N/A,#N/A,TRUE,"Areas";#N/A,#N/A,TRUE,"Summary";#N/A,#N/A,TRUE,"Detail"}</definedName>
    <definedName name="LOP_1_2" localSheetId="0" hidden="1">{#N/A,#N/A,TRUE,"Front";#N/A,#N/A,TRUE,"Simple Letter";#N/A,#N/A,TRUE,"Inside";#N/A,#N/A,TRUE,"Contents";#N/A,#N/A,TRUE,"Basis";#N/A,#N/A,TRUE,"Inclusions";#N/A,#N/A,TRUE,"Exclusions";#N/A,#N/A,TRUE,"Areas";#N/A,#N/A,TRUE,"Summary";#N/A,#N/A,TRUE,"Detail"}</definedName>
    <definedName name="LOP_1_2" hidden="1">{#N/A,#N/A,TRUE,"Front";#N/A,#N/A,TRUE,"Simple Letter";#N/A,#N/A,TRUE,"Inside";#N/A,#N/A,TRUE,"Contents";#N/A,#N/A,TRUE,"Basis";#N/A,#N/A,TRUE,"Inclusions";#N/A,#N/A,TRUE,"Exclusions";#N/A,#N/A,TRUE,"Areas";#N/A,#N/A,TRUE,"Summary";#N/A,#N/A,TRUE,"Detail"}</definedName>
    <definedName name="LOP_2" localSheetId="0" hidden="1">{#N/A,#N/A,TRUE,"Front";#N/A,#N/A,TRUE,"Simple Letter";#N/A,#N/A,TRUE,"Inside";#N/A,#N/A,TRUE,"Contents";#N/A,#N/A,TRUE,"Basis";#N/A,#N/A,TRUE,"Inclusions";#N/A,#N/A,TRUE,"Exclusions";#N/A,#N/A,TRUE,"Areas";#N/A,#N/A,TRUE,"Summary";#N/A,#N/A,TRUE,"Detail"}</definedName>
    <definedName name="LOP_2" hidden="1">{#N/A,#N/A,TRUE,"Front";#N/A,#N/A,TRUE,"Simple Letter";#N/A,#N/A,TRUE,"Inside";#N/A,#N/A,TRUE,"Contents";#N/A,#N/A,TRUE,"Basis";#N/A,#N/A,TRUE,"Inclusions";#N/A,#N/A,TRUE,"Exclusions";#N/A,#N/A,TRUE,"Areas";#N/A,#N/A,TRUE,"Summary";#N/A,#N/A,TRUE,"Detail"}</definedName>
    <definedName name="LOP_2_1" localSheetId="0" hidden="1">{#N/A,#N/A,TRUE,"Front";#N/A,#N/A,TRUE,"Simple Letter";#N/A,#N/A,TRUE,"Inside";#N/A,#N/A,TRUE,"Contents";#N/A,#N/A,TRUE,"Basis";#N/A,#N/A,TRUE,"Inclusions";#N/A,#N/A,TRUE,"Exclusions";#N/A,#N/A,TRUE,"Areas";#N/A,#N/A,TRUE,"Summary";#N/A,#N/A,TRUE,"Detail"}</definedName>
    <definedName name="LOP_2_1" hidden="1">{#N/A,#N/A,TRUE,"Front";#N/A,#N/A,TRUE,"Simple Letter";#N/A,#N/A,TRUE,"Inside";#N/A,#N/A,TRUE,"Contents";#N/A,#N/A,TRUE,"Basis";#N/A,#N/A,TRUE,"Inclusions";#N/A,#N/A,TRUE,"Exclusions";#N/A,#N/A,TRUE,"Areas";#N/A,#N/A,TRUE,"Summary";#N/A,#N/A,TRUE,"Detail"}</definedName>
    <definedName name="LOP_3" localSheetId="0" hidden="1">{#N/A,#N/A,TRUE,"Front";#N/A,#N/A,TRUE,"Simple Letter";#N/A,#N/A,TRUE,"Inside";#N/A,#N/A,TRUE,"Contents";#N/A,#N/A,TRUE,"Basis";#N/A,#N/A,TRUE,"Inclusions";#N/A,#N/A,TRUE,"Exclusions";#N/A,#N/A,TRUE,"Areas";#N/A,#N/A,TRUE,"Summary";#N/A,#N/A,TRUE,"Detail"}</definedName>
    <definedName name="LOP_3" hidden="1">{#N/A,#N/A,TRUE,"Front";#N/A,#N/A,TRUE,"Simple Letter";#N/A,#N/A,TRUE,"Inside";#N/A,#N/A,TRUE,"Contents";#N/A,#N/A,TRUE,"Basis";#N/A,#N/A,TRUE,"Inclusions";#N/A,#N/A,TRUE,"Exclusions";#N/A,#N/A,TRUE,"Areas";#N/A,#N/A,TRUE,"Summary";#N/A,#N/A,TRUE,"Detail"}</definedName>
    <definedName name="LOP_4" localSheetId="0" hidden="1">{#N/A,#N/A,TRUE,"Front";#N/A,#N/A,TRUE,"Simple Letter";#N/A,#N/A,TRUE,"Inside";#N/A,#N/A,TRUE,"Contents";#N/A,#N/A,TRUE,"Basis";#N/A,#N/A,TRUE,"Inclusions";#N/A,#N/A,TRUE,"Exclusions";#N/A,#N/A,TRUE,"Areas";#N/A,#N/A,TRUE,"Summary";#N/A,#N/A,TRUE,"Detail"}</definedName>
    <definedName name="LOP_4" hidden="1">{#N/A,#N/A,TRUE,"Front";#N/A,#N/A,TRUE,"Simple Letter";#N/A,#N/A,TRUE,"Inside";#N/A,#N/A,TRUE,"Contents";#N/A,#N/A,TRUE,"Basis";#N/A,#N/A,TRUE,"Inclusions";#N/A,#N/A,TRUE,"Exclusions";#N/A,#N/A,TRUE,"Areas";#N/A,#N/A,TRUE,"Summary";#N/A,#N/A,TRUE,"Detail"}</definedName>
    <definedName name="Lp" localSheetId="0">#REF!</definedName>
    <definedName name="Lp">#REF!</definedName>
    <definedName name="Lr" localSheetId="0">#REF!</definedName>
    <definedName name="Lr">#REF!</definedName>
    <definedName name="Lr___0" localSheetId="0">#REF!</definedName>
    <definedName name="Lr___0">#REF!</definedName>
    <definedName name="Lr___13" localSheetId="0">#REF!</definedName>
    <definedName name="Lr___13">#REF!</definedName>
    <definedName name="Lroad" localSheetId="0">#REF!</definedName>
    <definedName name="Lroad">#REF!</definedName>
    <definedName name="ls" localSheetId="0">#REF!</definedName>
    <definedName name="ls">#REF!</definedName>
    <definedName name="Lsand" localSheetId="0">#REF!</definedName>
    <definedName name="Lsand">#REF!</definedName>
    <definedName name="lsec" localSheetId="0">#REF!</definedName>
    <definedName name="lsec">#REF!</definedName>
    <definedName name="Lsec1" localSheetId="0">#REF!</definedName>
    <definedName name="Lsec1">#REF!</definedName>
    <definedName name="lsec12" localSheetId="0">#REF!</definedName>
    <definedName name="lsec12">#REF!</definedName>
    <definedName name="LSEC13" localSheetId="0">#REF!</definedName>
    <definedName name="LSEC13">#REF!</definedName>
    <definedName name="Lsec2" localSheetId="0">#REF!</definedName>
    <definedName name="Lsec2">#REF!</definedName>
    <definedName name="lsec22" localSheetId="0">#REF!</definedName>
    <definedName name="lsec22">#REF!</definedName>
    <definedName name="LSEC23" localSheetId="0">#REF!</definedName>
    <definedName name="LSEC23">#REF!</definedName>
    <definedName name="Lsec3" localSheetId="0">#REF!</definedName>
    <definedName name="Lsec3">#REF!</definedName>
    <definedName name="LSEC31" localSheetId="0">#REF!</definedName>
    <definedName name="LSEC31">#REF!</definedName>
    <definedName name="lsec33" localSheetId="0">#REF!</definedName>
    <definedName name="lsec33">#REF!</definedName>
    <definedName name="Lsec4" localSheetId="0">#REF!</definedName>
    <definedName name="Lsec4">#REF!</definedName>
    <definedName name="LSEC45" localSheetId="0">#REF!</definedName>
    <definedName name="LSEC45">#REF!</definedName>
    <definedName name="Lsec5" localSheetId="0">#REF!</definedName>
    <definedName name="Lsec5">#REF!</definedName>
    <definedName name="LSEC54" localSheetId="0">#REF!</definedName>
    <definedName name="LSEC54">#REF!</definedName>
    <definedName name="lsec55" localSheetId="0">#REF!</definedName>
    <definedName name="lsec55">#REF!</definedName>
    <definedName name="Lsec6" localSheetId="0">#REF!</definedName>
    <definedName name="Lsec6">#REF!</definedName>
    <definedName name="lsec66" localSheetId="0">#REF!</definedName>
    <definedName name="lsec66">#REF!</definedName>
    <definedName name="LSEC67" localSheetId="0">#REF!</definedName>
    <definedName name="LSEC67">#REF!</definedName>
    <definedName name="lsec7" localSheetId="0">#REF!</definedName>
    <definedName name="lsec7">#REF!</definedName>
    <definedName name="lsec77" localSheetId="0">#REF!</definedName>
    <definedName name="lsec77">#REF!</definedName>
    <definedName name="lso" localSheetId="0">#REF!</definedName>
    <definedName name="lso">#REF!</definedName>
    <definedName name="LUMEN" localSheetId="0">#REF!</definedName>
    <definedName name="LUMEN">#REF!</definedName>
    <definedName name="LUMEN___0" localSheetId="0">#REF!</definedName>
    <definedName name="LUMEN___0">#REF!</definedName>
    <definedName name="LUMEN___13" localSheetId="0">#REF!</definedName>
    <definedName name="LUMEN___13">#REF!</definedName>
    <definedName name="LUX" localSheetId="0">#REF!</definedName>
    <definedName name="LUX">#REF!</definedName>
    <definedName name="LUX___0" localSheetId="0">#REF!</definedName>
    <definedName name="LUX___0">#REF!</definedName>
    <definedName name="LUX___13" localSheetId="0">#REF!</definedName>
    <definedName name="LUX___13">#REF!</definedName>
    <definedName name="Lwmm" localSheetId="0">#REF!</definedName>
    <definedName name="Lwmm">#REF!</definedName>
    <definedName name="Lx" localSheetId="0">#REF!</definedName>
    <definedName name="Lx">#REF!</definedName>
    <definedName name="Lx___0" localSheetId="0">#REF!</definedName>
    <definedName name="Lx___0">#REF!</definedName>
    <definedName name="Lx___13" localSheetId="0">#REF!</definedName>
    <definedName name="Lx___13">#REF!</definedName>
    <definedName name="M" localSheetId="0">#REF!</definedName>
    <definedName name="m">#REF!</definedName>
    <definedName name="M.S.Grill">#REF!</definedName>
    <definedName name="m___0" localSheetId="0">#REF!</definedName>
    <definedName name="m___0">#REF!</definedName>
    <definedName name="m___13" localSheetId="0">#REF!</definedName>
    <definedName name="m___13">#REF!</definedName>
    <definedName name="M_01" localSheetId="0">#REF!</definedName>
    <definedName name="M_01">#REF!</definedName>
    <definedName name="M10cement" localSheetId="0">#REF!</definedName>
    <definedName name="M10cement">#REF!</definedName>
    <definedName name="M15_Cement" localSheetId="0">#REF!</definedName>
    <definedName name="M15_Cement">#REF!</definedName>
    <definedName name="M15_Metal20mm" localSheetId="0">#REF!</definedName>
    <definedName name="M15_Metal20mm">#REF!</definedName>
    <definedName name="M15_Sand" localSheetId="0">#REF!</definedName>
    <definedName name="M15_Sand">#REF!</definedName>
    <definedName name="M15cement" localSheetId="0">#REF!</definedName>
    <definedName name="M15cement">#REF!</definedName>
    <definedName name="M20_cement" localSheetId="0">#REF!</definedName>
    <definedName name="M20_cement">#REF!</definedName>
    <definedName name="M20_Metal20mm" localSheetId="0">#REF!</definedName>
    <definedName name="M20_Metal20mm">#REF!</definedName>
    <definedName name="M20_sand" localSheetId="0">#REF!</definedName>
    <definedName name="M20_sand">#REF!</definedName>
    <definedName name="M20PCCcement" localSheetId="0">#REF!</definedName>
    <definedName name="M20PCCcement">#REF!</definedName>
    <definedName name="M20RCCcement" localSheetId="0">#REF!</definedName>
    <definedName name="M20RCCcement">#REF!</definedName>
    <definedName name="M25_cement" localSheetId="0">#REF!</definedName>
    <definedName name="M25_cement">#REF!</definedName>
    <definedName name="M25_Metal20mm" localSheetId="0">#REF!</definedName>
    <definedName name="M25_Metal20mm">#REF!</definedName>
    <definedName name="M25_sand" localSheetId="0">#REF!</definedName>
    <definedName name="M25_sand">#REF!</definedName>
    <definedName name="M25PCCcement" localSheetId="0">#REF!</definedName>
    <definedName name="M25PCCcement">#REF!</definedName>
    <definedName name="M25RCCcement" localSheetId="0">#REF!</definedName>
    <definedName name="M25RCCcement">#REF!</definedName>
    <definedName name="M30cement" localSheetId="0">#REF!</definedName>
    <definedName name="M30cement">#REF!</definedName>
    <definedName name="M35cement" localSheetId="0">#REF!</definedName>
    <definedName name="M35cement">#REF!</definedName>
    <definedName name="M40cement" localSheetId="0">#REF!</definedName>
    <definedName name="M40cement">#REF!</definedName>
    <definedName name="M50cement" localSheetId="0">#REF!</definedName>
    <definedName name="M50cement">#REF!</definedName>
    <definedName name="Ma" localSheetId="0">#REF!</definedName>
    <definedName name="Ma">#REF!</definedName>
    <definedName name="Ma_v" localSheetId="0">#REF!</definedName>
    <definedName name="Ma_v">#REF!</definedName>
    <definedName name="mac">75</definedName>
    <definedName name="Machinary"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E_EQUIPMENT" localSheetId="0">#REF!</definedName>
    <definedName name="MACHINE_EQUIPMENT">#REF!</definedName>
    <definedName name="MACHINE_EQUIPMENT_ENTRY" localSheetId="0">#REF!</definedName>
    <definedName name="MACHINE_EQUIPMENT_ENTRY">#REF!</definedName>
    <definedName name="Machinery" localSheetId="0">#REF!</definedName>
    <definedName name="Machinery">#REF!</definedName>
    <definedName name="main2" localSheetId="0">#REF!</definedName>
    <definedName name="main2">#REF!</definedName>
    <definedName name="MainRelay" localSheetId="0">#REF!</definedName>
    <definedName name="MainRelay">#REF!</definedName>
    <definedName name="mak" localSheetId="0" hidden="1">#REF!</definedName>
    <definedName name="mak" hidden="1">#REF!</definedName>
    <definedName name="man" localSheetId="0" hidden="1">{"Total Indirect Manpower",#N/A,FALSE,"J";"Total Direct Manpower",#N/A,FALSE,"J";"Direct Structural Manpower",#N/A,FALSE,"J";"Direct Mechanical Manpower",#N/A,FALSE,"J";"Direct Piping Manpower",#N/A,FALSE,"J";"Direct Tanks Manpower",#N/A,FALSE,"J";"Direct ElecInstrSS Manpower",#N/A,FALSE,"J"}</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n___0" localSheetId="0">#REF!</definedName>
    <definedName name="man___0">#REF!</definedName>
    <definedName name="man___11" localSheetId="0">#REF!</definedName>
    <definedName name="man___11">#REF!</definedName>
    <definedName name="man___12" localSheetId="0">#REF!</definedName>
    <definedName name="man___12">#REF!</definedName>
    <definedName name="manday1" localSheetId="0">#REF!</definedName>
    <definedName name="manday1">#REF!</definedName>
    <definedName name="manday1___0" localSheetId="0">#REF!</definedName>
    <definedName name="manday1___0">#REF!</definedName>
    <definedName name="manday1___11" localSheetId="0">#REF!</definedName>
    <definedName name="manday1___11">#REF!</definedName>
    <definedName name="manday1___12" localSheetId="0">#REF!</definedName>
    <definedName name="manday1___12">#REF!</definedName>
    <definedName name="mani" localSheetId="0" hidden="1">{"form-D1",#N/A,FALSE,"FORM-D1";"form-D1_amt",#N/A,FALSE,"FORM-D1"}</definedName>
    <definedName name="mani" hidden="1">{"form-D1",#N/A,FALSE,"FORM-D1";"form-D1_amt",#N/A,FALSE,"FORM-D1"}</definedName>
    <definedName name="mani_1" localSheetId="0" hidden="1">{"form-D1",#N/A,FALSE,"FORM-D1";"form-D1_amt",#N/A,FALSE,"FORM-D1"}</definedName>
    <definedName name="mani_1" hidden="1">{"form-D1",#N/A,FALSE,"FORM-D1";"form-D1_amt",#N/A,FALSE,"FORM-D1"}</definedName>
    <definedName name="mani_1_1" localSheetId="0" hidden="1">{"form-D1",#N/A,FALSE,"FORM-D1";"form-D1_amt",#N/A,FALSE,"FORM-D1"}</definedName>
    <definedName name="mani_1_1" hidden="1">{"form-D1",#N/A,FALSE,"FORM-D1";"form-D1_amt",#N/A,FALSE,"FORM-D1"}</definedName>
    <definedName name="mani_1_2" localSheetId="0" hidden="1">{"form-D1",#N/A,FALSE,"FORM-D1";"form-D1_amt",#N/A,FALSE,"FORM-D1"}</definedName>
    <definedName name="mani_1_2" hidden="1">{"form-D1",#N/A,FALSE,"FORM-D1";"form-D1_amt",#N/A,FALSE,"FORM-D1"}</definedName>
    <definedName name="mani_2" localSheetId="0" hidden="1">{"form-D1",#N/A,FALSE,"FORM-D1";"form-D1_amt",#N/A,FALSE,"FORM-D1"}</definedName>
    <definedName name="mani_2" hidden="1">{"form-D1",#N/A,FALSE,"FORM-D1";"form-D1_amt",#N/A,FALSE,"FORM-D1"}</definedName>
    <definedName name="mani_2_1" localSheetId="0" hidden="1">{"form-D1",#N/A,FALSE,"FORM-D1";"form-D1_amt",#N/A,FALSE,"FORM-D1"}</definedName>
    <definedName name="mani_2_1" hidden="1">{"form-D1",#N/A,FALSE,"FORM-D1";"form-D1_amt",#N/A,FALSE,"FORM-D1"}</definedName>
    <definedName name="mani_3" localSheetId="0" hidden="1">{"form-D1",#N/A,FALSE,"FORM-D1";"form-D1_amt",#N/A,FALSE,"FORM-D1"}</definedName>
    <definedName name="mani_3" hidden="1">{"form-D1",#N/A,FALSE,"FORM-D1";"form-D1_amt",#N/A,FALSE,"FORM-D1"}</definedName>
    <definedName name="mani_3_1" localSheetId="0" hidden="1">{"form-D1",#N/A,FALSE,"FORM-D1";"form-D1_amt",#N/A,FALSE,"FORM-D1"}</definedName>
    <definedName name="mani_3_1" hidden="1">{"form-D1",#N/A,FALSE,"FORM-D1";"form-D1_amt",#N/A,FALSE,"FORM-D1"}</definedName>
    <definedName name="mani_4" localSheetId="0" hidden="1">{"form-D1",#N/A,FALSE,"FORM-D1";"form-D1_amt",#N/A,FALSE,"FORM-D1"}</definedName>
    <definedName name="mani_4" hidden="1">{"form-D1",#N/A,FALSE,"FORM-D1";"form-D1_amt",#N/A,FALSE,"FORM-D1"}</definedName>
    <definedName name="mani_4_1" localSheetId="0" hidden="1">{"form-D1",#N/A,FALSE,"FORM-D1";"form-D1_amt",#N/A,FALSE,"FORM-D1"}</definedName>
    <definedName name="mani_4_1" hidden="1">{"form-D1",#N/A,FALSE,"FORM-D1";"form-D1_amt",#N/A,FALSE,"FORM-D1"}</definedName>
    <definedName name="mani_5" localSheetId="0" hidden="1">{"form-D1",#N/A,FALSE,"FORM-D1";"form-D1_amt",#N/A,FALSE,"FORM-D1"}</definedName>
    <definedName name="mani_5" hidden="1">{"form-D1",#N/A,FALSE,"FORM-D1";"form-D1_amt",#N/A,FALSE,"FORM-D1"}</definedName>
    <definedName name="mani_5_1" localSheetId="0" hidden="1">{"form-D1",#N/A,FALSE,"FORM-D1";"form-D1_amt",#N/A,FALSE,"FORM-D1"}</definedName>
    <definedName name="mani_5_1" hidden="1">{"form-D1",#N/A,FALSE,"FORM-D1";"form-D1_amt",#N/A,FALSE,"FORM-D1"}</definedName>
    <definedName name="Manish" localSheetId="0" hidden="1">{"form-D1",#N/A,FALSE,"FORM-D1";"form-D1_amt",#N/A,FALSE,"FORM-D1"}</definedName>
    <definedName name="Manish" hidden="1">{"form-D1",#N/A,FALSE,"FORM-D1";"form-D1_amt",#N/A,FALSE,"FORM-D1"}</definedName>
    <definedName name="Manish_1" localSheetId="0" hidden="1">{"form-D1",#N/A,FALSE,"FORM-D1";"form-D1_amt",#N/A,FALSE,"FORM-D1"}</definedName>
    <definedName name="Manish_1" hidden="1">{"form-D1",#N/A,FALSE,"FORM-D1";"form-D1_amt",#N/A,FALSE,"FORM-D1"}</definedName>
    <definedName name="Manish_1_1" localSheetId="0" hidden="1">{"form-D1",#N/A,FALSE,"FORM-D1";"form-D1_amt",#N/A,FALSE,"FORM-D1"}</definedName>
    <definedName name="Manish_1_1" hidden="1">{"form-D1",#N/A,FALSE,"FORM-D1";"form-D1_amt",#N/A,FALSE,"FORM-D1"}</definedName>
    <definedName name="Manish_1_2" localSheetId="0" hidden="1">{"form-D1",#N/A,FALSE,"FORM-D1";"form-D1_amt",#N/A,FALSE,"FORM-D1"}</definedName>
    <definedName name="Manish_1_2" hidden="1">{"form-D1",#N/A,FALSE,"FORM-D1";"form-D1_amt",#N/A,FALSE,"FORM-D1"}</definedName>
    <definedName name="Manish_2" localSheetId="0" hidden="1">{"form-D1",#N/A,FALSE,"FORM-D1";"form-D1_amt",#N/A,FALSE,"FORM-D1"}</definedName>
    <definedName name="Manish_2" hidden="1">{"form-D1",#N/A,FALSE,"FORM-D1";"form-D1_amt",#N/A,FALSE,"FORM-D1"}</definedName>
    <definedName name="Manish_2_1" localSheetId="0" hidden="1">{"form-D1",#N/A,FALSE,"FORM-D1";"form-D1_amt",#N/A,FALSE,"FORM-D1"}</definedName>
    <definedName name="Manish_2_1" hidden="1">{"form-D1",#N/A,FALSE,"FORM-D1";"form-D1_amt",#N/A,FALSE,"FORM-D1"}</definedName>
    <definedName name="Manish_3" localSheetId="0" hidden="1">{"form-D1",#N/A,FALSE,"FORM-D1";"form-D1_amt",#N/A,FALSE,"FORM-D1"}</definedName>
    <definedName name="Manish_3" hidden="1">{"form-D1",#N/A,FALSE,"FORM-D1";"form-D1_amt",#N/A,FALSE,"FORM-D1"}</definedName>
    <definedName name="Manish_3_1" localSheetId="0" hidden="1">{"form-D1",#N/A,FALSE,"FORM-D1";"form-D1_amt",#N/A,FALSE,"FORM-D1"}</definedName>
    <definedName name="Manish_3_1" hidden="1">{"form-D1",#N/A,FALSE,"FORM-D1";"form-D1_amt",#N/A,FALSE,"FORM-D1"}</definedName>
    <definedName name="Manish_4" localSheetId="0" hidden="1">{"form-D1",#N/A,FALSE,"FORM-D1";"form-D1_amt",#N/A,FALSE,"FORM-D1"}</definedName>
    <definedName name="Manish_4" hidden="1">{"form-D1",#N/A,FALSE,"FORM-D1";"form-D1_amt",#N/A,FALSE,"FORM-D1"}</definedName>
    <definedName name="Manish_4_1" localSheetId="0" hidden="1">{"form-D1",#N/A,FALSE,"FORM-D1";"form-D1_amt",#N/A,FALSE,"FORM-D1"}</definedName>
    <definedName name="Manish_4_1" hidden="1">{"form-D1",#N/A,FALSE,"FORM-D1";"form-D1_amt",#N/A,FALSE,"FORM-D1"}</definedName>
    <definedName name="Manish_5" localSheetId="0" hidden="1">{"form-D1",#N/A,FALSE,"FORM-D1";"form-D1_amt",#N/A,FALSE,"FORM-D1"}</definedName>
    <definedName name="Manish_5" hidden="1">{"form-D1",#N/A,FALSE,"FORM-D1";"form-D1_amt",#N/A,FALSE,"FORM-D1"}</definedName>
    <definedName name="Manish_5_1" localSheetId="0" hidden="1">{"form-D1",#N/A,FALSE,"FORM-D1";"form-D1_amt",#N/A,FALSE,"FORM-D1"}</definedName>
    <definedName name="Manish_5_1" hidden="1">{"form-D1",#N/A,FALSE,"FORM-D1";"form-D1_amt",#N/A,FALSE,"FORM-D1"}</definedName>
    <definedName name="MANOR" localSheetId="0">#REF!</definedName>
    <definedName name="MANOR">#REF!</definedName>
    <definedName name="Manpower" localSheetId="0">#REF!</definedName>
    <definedName name="Manpower">#REF!</definedName>
    <definedName name="march_qty" localSheetId="0">#REF!</definedName>
    <definedName name="march_qty">#REF!</definedName>
    <definedName name="Mason" localSheetId="0">#REF!</definedName>
    <definedName name="Mason">#REF!</definedName>
    <definedName name="MASTICCOOker" localSheetId="0">#REF!</definedName>
    <definedName name="MASTICCOOker">#REF!</definedName>
    <definedName name="mat" localSheetId="0"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_1" localSheetId="0" hidden="1">{#N/A,#N/A,TRUE,"Front";#N/A,#N/A,TRUE,"Simple Letter";#N/A,#N/A,TRUE,"Inside";#N/A,#N/A,TRUE,"Contents";#N/A,#N/A,TRUE,"Basis";#N/A,#N/A,TRUE,"Inclusions";#N/A,#N/A,TRUE,"Exclusions";#N/A,#N/A,TRUE,"Areas";#N/A,#N/A,TRUE,"Summary";#N/A,#N/A,TRUE,"Detail"}</definedName>
    <definedName name="mat_1" hidden="1">{#N/A,#N/A,TRUE,"Front";#N/A,#N/A,TRUE,"Simple Letter";#N/A,#N/A,TRUE,"Inside";#N/A,#N/A,TRUE,"Contents";#N/A,#N/A,TRUE,"Basis";#N/A,#N/A,TRUE,"Inclusions";#N/A,#N/A,TRUE,"Exclusions";#N/A,#N/A,TRUE,"Areas";#N/A,#N/A,TRUE,"Summary";#N/A,#N/A,TRUE,"Detail"}</definedName>
    <definedName name="mat_1_1" localSheetId="0" hidden="1">{#N/A,#N/A,TRUE,"Front";#N/A,#N/A,TRUE,"Simple Letter";#N/A,#N/A,TRUE,"Inside";#N/A,#N/A,TRUE,"Contents";#N/A,#N/A,TRUE,"Basis";#N/A,#N/A,TRUE,"Inclusions";#N/A,#N/A,TRUE,"Exclusions";#N/A,#N/A,TRUE,"Areas";#N/A,#N/A,TRUE,"Summary";#N/A,#N/A,TRUE,"Detail"}</definedName>
    <definedName name="mat_1_1" hidden="1">{#N/A,#N/A,TRUE,"Front";#N/A,#N/A,TRUE,"Simple Letter";#N/A,#N/A,TRUE,"Inside";#N/A,#N/A,TRUE,"Contents";#N/A,#N/A,TRUE,"Basis";#N/A,#N/A,TRUE,"Inclusions";#N/A,#N/A,TRUE,"Exclusions";#N/A,#N/A,TRUE,"Areas";#N/A,#N/A,TRUE,"Summary";#N/A,#N/A,TRUE,"Detail"}</definedName>
    <definedName name="mat_1_2" localSheetId="0" hidden="1">{#N/A,#N/A,TRUE,"Front";#N/A,#N/A,TRUE,"Simple Letter";#N/A,#N/A,TRUE,"Inside";#N/A,#N/A,TRUE,"Contents";#N/A,#N/A,TRUE,"Basis";#N/A,#N/A,TRUE,"Inclusions";#N/A,#N/A,TRUE,"Exclusions";#N/A,#N/A,TRUE,"Areas";#N/A,#N/A,TRUE,"Summary";#N/A,#N/A,TRUE,"Detail"}</definedName>
    <definedName name="mat_1_2" hidden="1">{#N/A,#N/A,TRUE,"Front";#N/A,#N/A,TRUE,"Simple Letter";#N/A,#N/A,TRUE,"Inside";#N/A,#N/A,TRUE,"Contents";#N/A,#N/A,TRUE,"Basis";#N/A,#N/A,TRUE,"Inclusions";#N/A,#N/A,TRUE,"Exclusions";#N/A,#N/A,TRUE,"Areas";#N/A,#N/A,TRUE,"Summary";#N/A,#N/A,TRUE,"Detail"}</definedName>
    <definedName name="mat_2" localSheetId="0" hidden="1">{#N/A,#N/A,TRUE,"Front";#N/A,#N/A,TRUE,"Simple Letter";#N/A,#N/A,TRUE,"Inside";#N/A,#N/A,TRUE,"Contents";#N/A,#N/A,TRUE,"Basis";#N/A,#N/A,TRUE,"Inclusions";#N/A,#N/A,TRUE,"Exclusions";#N/A,#N/A,TRUE,"Areas";#N/A,#N/A,TRUE,"Summary";#N/A,#N/A,TRUE,"Detail"}</definedName>
    <definedName name="mat_2" hidden="1">{#N/A,#N/A,TRUE,"Front";#N/A,#N/A,TRUE,"Simple Letter";#N/A,#N/A,TRUE,"Inside";#N/A,#N/A,TRUE,"Contents";#N/A,#N/A,TRUE,"Basis";#N/A,#N/A,TRUE,"Inclusions";#N/A,#N/A,TRUE,"Exclusions";#N/A,#N/A,TRUE,"Areas";#N/A,#N/A,TRUE,"Summary";#N/A,#N/A,TRUE,"Detail"}</definedName>
    <definedName name="mat_2_1" localSheetId="0" hidden="1">{#N/A,#N/A,TRUE,"Front";#N/A,#N/A,TRUE,"Simple Letter";#N/A,#N/A,TRUE,"Inside";#N/A,#N/A,TRUE,"Contents";#N/A,#N/A,TRUE,"Basis";#N/A,#N/A,TRUE,"Inclusions";#N/A,#N/A,TRUE,"Exclusions";#N/A,#N/A,TRUE,"Areas";#N/A,#N/A,TRUE,"Summary";#N/A,#N/A,TRUE,"Detail"}</definedName>
    <definedName name="mat_2_1" hidden="1">{#N/A,#N/A,TRUE,"Front";#N/A,#N/A,TRUE,"Simple Letter";#N/A,#N/A,TRUE,"Inside";#N/A,#N/A,TRUE,"Contents";#N/A,#N/A,TRUE,"Basis";#N/A,#N/A,TRUE,"Inclusions";#N/A,#N/A,TRUE,"Exclusions";#N/A,#N/A,TRUE,"Areas";#N/A,#N/A,TRUE,"Summary";#N/A,#N/A,TRUE,"Detail"}</definedName>
    <definedName name="mat_3" localSheetId="0" hidden="1">{#N/A,#N/A,TRUE,"Front";#N/A,#N/A,TRUE,"Simple Letter";#N/A,#N/A,TRUE,"Inside";#N/A,#N/A,TRUE,"Contents";#N/A,#N/A,TRUE,"Basis";#N/A,#N/A,TRUE,"Inclusions";#N/A,#N/A,TRUE,"Exclusions";#N/A,#N/A,TRUE,"Areas";#N/A,#N/A,TRUE,"Summary";#N/A,#N/A,TRUE,"Detail"}</definedName>
    <definedName name="mat_3" hidden="1">{#N/A,#N/A,TRUE,"Front";#N/A,#N/A,TRUE,"Simple Letter";#N/A,#N/A,TRUE,"Inside";#N/A,#N/A,TRUE,"Contents";#N/A,#N/A,TRUE,"Basis";#N/A,#N/A,TRUE,"Inclusions";#N/A,#N/A,TRUE,"Exclusions";#N/A,#N/A,TRUE,"Areas";#N/A,#N/A,TRUE,"Summary";#N/A,#N/A,TRUE,"Detail"}</definedName>
    <definedName name="mat_4" localSheetId="0" hidden="1">{#N/A,#N/A,TRUE,"Front";#N/A,#N/A,TRUE,"Simple Letter";#N/A,#N/A,TRUE,"Inside";#N/A,#N/A,TRUE,"Contents";#N/A,#N/A,TRUE,"Basis";#N/A,#N/A,TRUE,"Inclusions";#N/A,#N/A,TRUE,"Exclusions";#N/A,#N/A,TRUE,"Areas";#N/A,#N/A,TRUE,"Summary";#N/A,#N/A,TRUE,"Detail"}</definedName>
    <definedName name="mat_4" hidden="1">{#N/A,#N/A,TRUE,"Front";#N/A,#N/A,TRUE,"Simple Letter";#N/A,#N/A,TRUE,"Inside";#N/A,#N/A,TRUE,"Contents";#N/A,#N/A,TRUE,"Basis";#N/A,#N/A,TRUE,"Inclusions";#N/A,#N/A,TRUE,"Exclusions";#N/A,#N/A,TRUE,"Areas";#N/A,#N/A,TRUE,"Summary";#N/A,#N/A,TRUE,"Detail"}</definedName>
    <definedName name="MAT_RATE" localSheetId="0">#REF!</definedName>
    <definedName name="MAT_RATE">#REF!</definedName>
    <definedName name="material" localSheetId="0">#REF!</definedName>
    <definedName name="material">#REF!</definedName>
    <definedName name="Material_rate_entry" localSheetId="0">#REF!</definedName>
    <definedName name="Material_rate_entry">#REF!</definedName>
    <definedName name="MaxDemChrgs" localSheetId="0">#REF!</definedName>
    <definedName name="MaxDemChrgs">#REF!</definedName>
    <definedName name="MaxDemChrgs_I" localSheetId="0">#REF!</definedName>
    <definedName name="MaxDemChrgs_I">#REF!</definedName>
    <definedName name="maxmix" localSheetId="0">#REF!</definedName>
    <definedName name="maxmix">#REF!</definedName>
    <definedName name="maxmiy" localSheetId="0">#REF!</definedName>
    <definedName name="maxmiy">#REF!</definedName>
    <definedName name="mayflower" localSheetId="0">#REF!</definedName>
    <definedName name="mayflower">#REF!</definedName>
    <definedName name="Mb" localSheetId="0">#REF!</definedName>
    <definedName name="Mb">#REF!</definedName>
    <definedName name="mb_inputLocation" localSheetId="0" hidden="1">#REF!</definedName>
    <definedName name="mb_inputLocation" hidden="1">#REF!</definedName>
    <definedName name="Mb_v" localSheetId="0">#REF!</definedName>
    <definedName name="Mb_v">#REF!</definedName>
    <definedName name="MB10Length" localSheetId="0">#REF!</definedName>
    <definedName name="MB10Length">#REF!</definedName>
    <definedName name="MB11Length" localSheetId="0">#REF!</definedName>
    <definedName name="MB11Length">#REF!</definedName>
    <definedName name="MB12Length" localSheetId="0">#REF!</definedName>
    <definedName name="MB12Length">#REF!</definedName>
    <definedName name="MB13Length" localSheetId="0">#REF!</definedName>
    <definedName name="MB13Length">#REF!</definedName>
    <definedName name="MB14Length" localSheetId="0">#REF!</definedName>
    <definedName name="MB14Length">#REF!</definedName>
    <definedName name="MB1Length" localSheetId="0">#REF!</definedName>
    <definedName name="MB1Length">#REF!</definedName>
    <definedName name="MB2Length" localSheetId="0">#REF!</definedName>
    <definedName name="MB2Length">#REF!</definedName>
    <definedName name="MB3Length" localSheetId="0">#REF!</definedName>
    <definedName name="MB3Length">#REF!</definedName>
    <definedName name="MB4Length" localSheetId="0">#REF!</definedName>
    <definedName name="MB4Length">#REF!</definedName>
    <definedName name="MB5Length" localSheetId="0">#REF!</definedName>
    <definedName name="MB5Length">#REF!</definedName>
    <definedName name="MB6Length" localSheetId="0">#REF!</definedName>
    <definedName name="MB6Length">#REF!</definedName>
    <definedName name="MB7Length" localSheetId="0">#REF!</definedName>
    <definedName name="MB7Length">#REF!</definedName>
    <definedName name="MB8Length" localSheetId="0">#REF!</definedName>
    <definedName name="MB8Length">#REF!</definedName>
    <definedName name="MB9Length" localSheetId="0">#REF!</definedName>
    <definedName name="MB9Length">#REF!</definedName>
    <definedName name="mbroom" localSheetId="0">#REF!</definedName>
    <definedName name="mbroom">#REF!</definedName>
    <definedName name="Mc" localSheetId="0">#REF!</definedName>
    <definedName name="Mc">#REF!</definedName>
    <definedName name="Mc_v" localSheetId="0">#REF!</definedName>
    <definedName name="Mc_v">#REF!</definedName>
    <definedName name="MCBDB" localSheetId="0" hidden="1">{#N/A,#N/A,FALSE,"mpph1";#N/A,#N/A,FALSE,"mpmseb";#N/A,#N/A,FALSE,"mpph2"}</definedName>
    <definedName name="MCBDB" hidden="1">{#N/A,#N/A,FALSE,"mpph1";#N/A,#N/A,FALSE,"mpmseb";#N/A,#N/A,FALSE,"mpph2"}</definedName>
    <definedName name="Mcbdo" localSheetId="0">#REF!</definedName>
    <definedName name="Mcbdo">#REF!</definedName>
    <definedName name="mclo" localSheetId="0">#REF!</definedName>
    <definedName name="mclo">#REF!</definedName>
    <definedName name="Mcwc" localSheetId="0">#REF!</definedName>
    <definedName name="Mcwc">#REF!</definedName>
    <definedName name="Mcws" localSheetId="0">#REF!</definedName>
    <definedName name="Mcws">#REF!</definedName>
    <definedName name="Md" localSheetId="0">#REF!</definedName>
    <definedName name="Md">#REF!</definedName>
    <definedName name="Md_v" localSheetId="0">#REF!</definedName>
    <definedName name="Md_v">#REF!</definedName>
    <definedName name="mdash" localSheetId="0">#REF!</definedName>
    <definedName name="mdash">#REF!</definedName>
    <definedName name="Me" localSheetId="0">#REF!</definedName>
    <definedName name="Me">#REF!</definedName>
    <definedName name="Me_v" localSheetId="0">#REF!</definedName>
    <definedName name="Me_v">#REF!</definedName>
    <definedName name="Mechanical" localSheetId="0">#REF!</definedName>
    <definedName name="Mechanical">#REF!</definedName>
    <definedName name="MECHBROOm" localSheetId="0">#REF!</definedName>
    <definedName name="MECHBROOm">#REF!</definedName>
    <definedName name="MECHPAVER" localSheetId="0">#REF!</definedName>
    <definedName name="MECHPAVER">#REF!</definedName>
    <definedName name="memid" localSheetId="0">#REF!</definedName>
    <definedName name="memid">#REF!</definedName>
    <definedName name="mena" localSheetId="0">#REF!</definedName>
    <definedName name="mena">#REF!</definedName>
    <definedName name="Metal_124" localSheetId="0">#REF!</definedName>
    <definedName name="Metal_124">#REF!</definedName>
    <definedName name="metal12mm" localSheetId="0">#REF!</definedName>
    <definedName name="metal12mm">#REF!</definedName>
    <definedName name="metal20mm" localSheetId="0">#REF!</definedName>
    <definedName name="metal20mm">#REF!</definedName>
    <definedName name="metal40mm" localSheetId="0">#REF!</definedName>
    <definedName name="metal40mm">#REF!</definedName>
    <definedName name="metal6mm" localSheetId="0">#REF!</definedName>
    <definedName name="metal6mm">#REF!</definedName>
    <definedName name="MF" localSheetId="0">#REF!</definedName>
    <definedName name="MF">#REF!</definedName>
    <definedName name="MF___0" localSheetId="0">#REF!</definedName>
    <definedName name="MF___0">#REF!</definedName>
    <definedName name="MF___13" localSheetId="0">#REF!</definedName>
    <definedName name="MF___13">#REF!</definedName>
    <definedName name="Mf_v" localSheetId="0">#REF!</definedName>
    <definedName name="Mf_v">#REF!</definedName>
    <definedName name="mff" localSheetId="0">#REF!</definedName>
    <definedName name="mff">#REF!</definedName>
    <definedName name="Mfour" localSheetId="0">#REF!</definedName>
    <definedName name="Mfour">#REF!</definedName>
    <definedName name="Mg" localSheetId="0">#REF!</definedName>
    <definedName name="Mg">#REF!</definedName>
    <definedName name="Mg_v" localSheetId="0">#REF!</definedName>
    <definedName name="Mg_v">#REF!</definedName>
    <definedName name="Mh" localSheetId="0">#REF!</definedName>
    <definedName name="Mh">#REF!</definedName>
    <definedName name="Mh_v" localSheetId="0">#REF!</definedName>
    <definedName name="Mh_v">#REF!</definedName>
    <definedName name="mhjj" localSheetId="0" hidden="1">{"'Bill No. 7'!$A$1:$G$32"}</definedName>
    <definedName name="mhjj" hidden="1">{"'Bill No. 7'!$A$1:$G$32"}</definedName>
    <definedName name="Mhpc" localSheetId="0">#REF!:#REF!</definedName>
    <definedName name="Mhpc">#REF!:#REF!</definedName>
    <definedName name="Mhpipd" localSheetId="0">#REF!</definedName>
    <definedName name="Mhpipd">#REF!</definedName>
    <definedName name="Mhps" localSheetId="0">#REF!</definedName>
    <definedName name="Mhps">#REF!</definedName>
    <definedName name="mhr" localSheetId="0">#REF!</definedName>
    <definedName name="mhr">#REF!</definedName>
    <definedName name="micrack" localSheetId="0">#REF!</definedName>
    <definedName name="micrack">#REF!</definedName>
    <definedName name="migr" localSheetId="0">#REF!</definedName>
    <definedName name="migr">#REF!</definedName>
    <definedName name="million">1000000</definedName>
    <definedName name="minReserve" localSheetId="0">#REF!</definedName>
    <definedName name="minReserve">#REF!</definedName>
    <definedName name="Mipc" localSheetId="0">#REF!:#REF!</definedName>
    <definedName name="Mipc">#REF!:#REF!</definedName>
    <definedName name="Mips" localSheetId="0">#REF!</definedName>
    <definedName name="Mips">#REF!</definedName>
    <definedName name="mir" localSheetId="0">#REF!</definedName>
    <definedName name="mir">#REF!</definedName>
    <definedName name="mix" localSheetId="0">#REF!</definedName>
    <definedName name="mix">#REF!</definedName>
    <definedName name="mixb" localSheetId="0">#REF!</definedName>
    <definedName name="mixb">#REF!</definedName>
    <definedName name="mixer" localSheetId="0">#REF!</definedName>
    <definedName name="mixer">#REF!</definedName>
    <definedName name="mixt" localSheetId="0">#REF!</definedName>
    <definedName name="mixt">#REF!</definedName>
    <definedName name="miy" localSheetId="0">#REF!</definedName>
    <definedName name="miy">#REF!</definedName>
    <definedName name="miyb" localSheetId="0">#REF!</definedName>
    <definedName name="miyb">#REF!</definedName>
    <definedName name="miyt" localSheetId="0">#REF!</definedName>
    <definedName name="miyt">#REF!</definedName>
    <definedName name="mk" localSheetId="0">#REF!</definedName>
    <definedName name="mk">#REF!</definedName>
    <definedName name="mlbs" localSheetId="0">#REF!</definedName>
    <definedName name="mlbs">#REF!</definedName>
    <definedName name="mld" localSheetId="0">#REF!</definedName>
    <definedName name="mld">#REF!</definedName>
    <definedName name="mll" localSheetId="0">#REF!</definedName>
    <definedName name="mll">#REF!</definedName>
    <definedName name="Mlpc" localSheetId="0">#REF!</definedName>
    <definedName name="Mlpc">#REF!</definedName>
    <definedName name="Mlpd" localSheetId="0">#REF!</definedName>
    <definedName name="Mlpd">#REF!</definedName>
    <definedName name="Mlps" localSheetId="0">#REF!</definedName>
    <definedName name="Mlps">#REF!</definedName>
    <definedName name="mlt" localSheetId="0">#REF!</definedName>
    <definedName name="mlt">#REF!</definedName>
    <definedName name="mmm" localSheetId="0">#REF!</definedName>
    <definedName name="mmm">#REF!</definedName>
    <definedName name="mmmmmmmmmm" localSheetId="0">#REF!</definedName>
    <definedName name="mmmmmmmmmm">#REF!</definedName>
    <definedName name="mmmmmmmmmmmmm" localSheetId="0">#REF!</definedName>
    <definedName name="mmmmmmmmmmmmm">#REF!</definedName>
    <definedName name="mnk" localSheetId="0">#REF!</definedName>
    <definedName name="mnk">#REF!</definedName>
    <definedName name="mnvgdg" localSheetId="0">#REF!</definedName>
    <definedName name="mnvgdg">#REF!</definedName>
    <definedName name="mobi" localSheetId="0">#REF!</definedName>
    <definedName name="mobi">#REF!</definedName>
    <definedName name="Mobilization" localSheetId="0">#REF!</definedName>
    <definedName name="Mobilization">#REF!</definedName>
    <definedName name="mom1x" localSheetId="0">#REF!</definedName>
    <definedName name="mom1x">#REF!</definedName>
    <definedName name="mom1y" localSheetId="0">#REF!</definedName>
    <definedName name="mom1y">#REF!</definedName>
    <definedName name="mom2x" localSheetId="0">#REF!</definedName>
    <definedName name="mom2x">#REF!</definedName>
    <definedName name="mom2y" localSheetId="0">#REF!</definedName>
    <definedName name="mom2y">#REF!</definedName>
    <definedName name="momratio" localSheetId="0">#REF!</definedName>
    <definedName name="momratio">#REF!</definedName>
    <definedName name="Mone" localSheetId="0">#REF!</definedName>
    <definedName name="Mone">#REF!</definedName>
    <definedName name="month" localSheetId="0">#REF!</definedName>
    <definedName name="month">#REF!</definedName>
    <definedName name="Month1_Ending_Bal" localSheetId="0">#REF!</definedName>
    <definedName name="Month1_Ending_Bal">#REF!</definedName>
    <definedName name="moo">#REF!</definedName>
    <definedName name="mooia">#REF!</definedName>
    <definedName name="moolangudi">#REF!</definedName>
    <definedName name="MOSIC_INSITU">#REF!</definedName>
    <definedName name="MOSIC_TILES">#REF!</definedName>
    <definedName name="mpaver" localSheetId="0">#REF!</definedName>
    <definedName name="mpaver">#REF!</definedName>
    <definedName name="mr" localSheetId="0">#REF!</definedName>
    <definedName name="mr">#REF!</definedName>
    <definedName name="mr10resi"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localSheetId="0" hidden="1">{#N/A,#N/A,TRUE,"Financials";#N/A,#N/A,TRUE,"Operating Statistics";#N/A,#N/A,TRUE,"Capex &amp; Depreciation";#N/A,#N/A,TRUE,"Debt"}</definedName>
    <definedName name="mr10residen" hidden="1">{#N/A,#N/A,TRUE,"Financials";#N/A,#N/A,TRUE,"Operating Statistics";#N/A,#N/A,TRUE,"Capex &amp; Depreciation";#N/A,#N/A,TRUE,"Debt"}</definedName>
    <definedName name="ms" localSheetId="0">#REF!</definedName>
    <definedName name="ms">#REF!</definedName>
    <definedName name="MS200202rev2" localSheetId="0">#REF!</definedName>
    <definedName name="MS200202rev2">#REF!</definedName>
    <definedName name="ms200203rev03" localSheetId="0">#REF!</definedName>
    <definedName name="ms200203rev03">#REF!</definedName>
    <definedName name="ms2002june1706" localSheetId="0">#REF!</definedName>
    <definedName name="ms2002june1706">#REF!</definedName>
    <definedName name="ms2002may1706" localSheetId="0">#REF!</definedName>
    <definedName name="ms2002may1706">#REF!</definedName>
    <definedName name="Msbdo" localSheetId="0">#REF!</definedName>
    <definedName name="Msbdo">#REF!</definedName>
    <definedName name="msc" localSheetId="0">#REF!</definedName>
    <definedName name="msc">#REF!</definedName>
    <definedName name="MSEMULSION" localSheetId="0">#REF!</definedName>
    <definedName name="MSEMULSION">#REF!</definedName>
    <definedName name="msjune1807" localSheetId="0">#REF!</definedName>
    <definedName name="msjune1807">#REF!</definedName>
    <definedName name="msjunerev" localSheetId="0">#REF!</definedName>
    <definedName name="msjunerev">#REF!</definedName>
    <definedName name="msx" localSheetId="0">#REF!</definedName>
    <definedName name="msx">#REF!</definedName>
    <definedName name="msxb" localSheetId="0">#REF!</definedName>
    <definedName name="msxb">#REF!</definedName>
    <definedName name="msxt" localSheetId="0">#REF!</definedName>
    <definedName name="msxt">#REF!</definedName>
    <definedName name="msy" localSheetId="0">#REF!</definedName>
    <definedName name="msy">#REF!</definedName>
    <definedName name="msyb" localSheetId="0">#REF!</definedName>
    <definedName name="msyb">#REF!</definedName>
    <definedName name="msyt" localSheetId="0">#REF!</definedName>
    <definedName name="msyt">#REF!</definedName>
    <definedName name="mta" localSheetId="0" hidden="1">{#N/A,#N/A,TRUE,"Front";#N/A,#N/A,TRUE,"Simple Letter";#N/A,#N/A,TRUE,"Inside";#N/A,#N/A,TRUE,"Contents";#N/A,#N/A,TRUE,"Basis";#N/A,#N/A,TRUE,"Inclusions";#N/A,#N/A,TRUE,"Exclusions";#N/A,#N/A,TRUE,"Areas";#N/A,#N/A,TRUE,"Summary";#N/A,#N/A,TRUE,"Detail"}</definedName>
    <definedName name="mta" hidden="1">{#N/A,#N/A,TRUE,"Front";#N/A,#N/A,TRUE,"Simple Letter";#N/A,#N/A,TRUE,"Inside";#N/A,#N/A,TRUE,"Contents";#N/A,#N/A,TRUE,"Basis";#N/A,#N/A,TRUE,"Inclusions";#N/A,#N/A,TRUE,"Exclusions";#N/A,#N/A,TRUE,"Areas";#N/A,#N/A,TRUE,"Summary";#N/A,#N/A,TRUE,"Detail"}</definedName>
    <definedName name="mta_1" localSheetId="0" hidden="1">{#N/A,#N/A,TRUE,"Front";#N/A,#N/A,TRUE,"Simple Letter";#N/A,#N/A,TRUE,"Inside";#N/A,#N/A,TRUE,"Contents";#N/A,#N/A,TRUE,"Basis";#N/A,#N/A,TRUE,"Inclusions";#N/A,#N/A,TRUE,"Exclusions";#N/A,#N/A,TRUE,"Areas";#N/A,#N/A,TRUE,"Summary";#N/A,#N/A,TRUE,"Detail"}</definedName>
    <definedName name="mta_1" hidden="1">{#N/A,#N/A,TRUE,"Front";#N/A,#N/A,TRUE,"Simple Letter";#N/A,#N/A,TRUE,"Inside";#N/A,#N/A,TRUE,"Contents";#N/A,#N/A,TRUE,"Basis";#N/A,#N/A,TRUE,"Inclusions";#N/A,#N/A,TRUE,"Exclusions";#N/A,#N/A,TRUE,"Areas";#N/A,#N/A,TRUE,"Summary";#N/A,#N/A,TRUE,"Detail"}</definedName>
    <definedName name="mta_1_1" localSheetId="0" hidden="1">{#N/A,#N/A,TRUE,"Front";#N/A,#N/A,TRUE,"Simple Letter";#N/A,#N/A,TRUE,"Inside";#N/A,#N/A,TRUE,"Contents";#N/A,#N/A,TRUE,"Basis";#N/A,#N/A,TRUE,"Inclusions";#N/A,#N/A,TRUE,"Exclusions";#N/A,#N/A,TRUE,"Areas";#N/A,#N/A,TRUE,"Summary";#N/A,#N/A,TRUE,"Detail"}</definedName>
    <definedName name="mta_1_1" hidden="1">{#N/A,#N/A,TRUE,"Front";#N/A,#N/A,TRUE,"Simple Letter";#N/A,#N/A,TRUE,"Inside";#N/A,#N/A,TRUE,"Contents";#N/A,#N/A,TRUE,"Basis";#N/A,#N/A,TRUE,"Inclusions";#N/A,#N/A,TRUE,"Exclusions";#N/A,#N/A,TRUE,"Areas";#N/A,#N/A,TRUE,"Summary";#N/A,#N/A,TRUE,"Detail"}</definedName>
    <definedName name="mta_1_2" localSheetId="0" hidden="1">{#N/A,#N/A,TRUE,"Front";#N/A,#N/A,TRUE,"Simple Letter";#N/A,#N/A,TRUE,"Inside";#N/A,#N/A,TRUE,"Contents";#N/A,#N/A,TRUE,"Basis";#N/A,#N/A,TRUE,"Inclusions";#N/A,#N/A,TRUE,"Exclusions";#N/A,#N/A,TRUE,"Areas";#N/A,#N/A,TRUE,"Summary";#N/A,#N/A,TRUE,"Detail"}</definedName>
    <definedName name="mta_1_2" hidden="1">{#N/A,#N/A,TRUE,"Front";#N/A,#N/A,TRUE,"Simple Letter";#N/A,#N/A,TRUE,"Inside";#N/A,#N/A,TRUE,"Contents";#N/A,#N/A,TRUE,"Basis";#N/A,#N/A,TRUE,"Inclusions";#N/A,#N/A,TRUE,"Exclusions";#N/A,#N/A,TRUE,"Areas";#N/A,#N/A,TRUE,"Summary";#N/A,#N/A,TRUE,"Detail"}</definedName>
    <definedName name="mta_2" localSheetId="0" hidden="1">{#N/A,#N/A,TRUE,"Front";#N/A,#N/A,TRUE,"Simple Letter";#N/A,#N/A,TRUE,"Inside";#N/A,#N/A,TRUE,"Contents";#N/A,#N/A,TRUE,"Basis";#N/A,#N/A,TRUE,"Inclusions";#N/A,#N/A,TRUE,"Exclusions";#N/A,#N/A,TRUE,"Areas";#N/A,#N/A,TRUE,"Summary";#N/A,#N/A,TRUE,"Detail"}</definedName>
    <definedName name="mta_2" hidden="1">{#N/A,#N/A,TRUE,"Front";#N/A,#N/A,TRUE,"Simple Letter";#N/A,#N/A,TRUE,"Inside";#N/A,#N/A,TRUE,"Contents";#N/A,#N/A,TRUE,"Basis";#N/A,#N/A,TRUE,"Inclusions";#N/A,#N/A,TRUE,"Exclusions";#N/A,#N/A,TRUE,"Areas";#N/A,#N/A,TRUE,"Summary";#N/A,#N/A,TRUE,"Detail"}</definedName>
    <definedName name="mta_2_1" localSheetId="0" hidden="1">{#N/A,#N/A,TRUE,"Front";#N/A,#N/A,TRUE,"Simple Letter";#N/A,#N/A,TRUE,"Inside";#N/A,#N/A,TRUE,"Contents";#N/A,#N/A,TRUE,"Basis";#N/A,#N/A,TRUE,"Inclusions";#N/A,#N/A,TRUE,"Exclusions";#N/A,#N/A,TRUE,"Areas";#N/A,#N/A,TRUE,"Summary";#N/A,#N/A,TRUE,"Detail"}</definedName>
    <definedName name="mta_2_1" hidden="1">{#N/A,#N/A,TRUE,"Front";#N/A,#N/A,TRUE,"Simple Letter";#N/A,#N/A,TRUE,"Inside";#N/A,#N/A,TRUE,"Contents";#N/A,#N/A,TRUE,"Basis";#N/A,#N/A,TRUE,"Inclusions";#N/A,#N/A,TRUE,"Exclusions";#N/A,#N/A,TRUE,"Areas";#N/A,#N/A,TRUE,"Summary";#N/A,#N/A,TRUE,"Detail"}</definedName>
    <definedName name="mta_3" localSheetId="0" hidden="1">{#N/A,#N/A,TRUE,"Front";#N/A,#N/A,TRUE,"Simple Letter";#N/A,#N/A,TRUE,"Inside";#N/A,#N/A,TRUE,"Contents";#N/A,#N/A,TRUE,"Basis";#N/A,#N/A,TRUE,"Inclusions";#N/A,#N/A,TRUE,"Exclusions";#N/A,#N/A,TRUE,"Areas";#N/A,#N/A,TRUE,"Summary";#N/A,#N/A,TRUE,"Detail"}</definedName>
    <definedName name="mta_3" hidden="1">{#N/A,#N/A,TRUE,"Front";#N/A,#N/A,TRUE,"Simple Letter";#N/A,#N/A,TRUE,"Inside";#N/A,#N/A,TRUE,"Contents";#N/A,#N/A,TRUE,"Basis";#N/A,#N/A,TRUE,"Inclusions";#N/A,#N/A,TRUE,"Exclusions";#N/A,#N/A,TRUE,"Areas";#N/A,#N/A,TRUE,"Summary";#N/A,#N/A,TRUE,"Detail"}</definedName>
    <definedName name="mta_4" localSheetId="0" hidden="1">{#N/A,#N/A,TRUE,"Front";#N/A,#N/A,TRUE,"Simple Letter";#N/A,#N/A,TRUE,"Inside";#N/A,#N/A,TRUE,"Contents";#N/A,#N/A,TRUE,"Basis";#N/A,#N/A,TRUE,"Inclusions";#N/A,#N/A,TRUE,"Exclusions";#N/A,#N/A,TRUE,"Areas";#N/A,#N/A,TRUE,"Summary";#N/A,#N/A,TRUE,"Detail"}</definedName>
    <definedName name="mta_4" hidden="1">{#N/A,#N/A,TRUE,"Front";#N/A,#N/A,TRUE,"Simple Letter";#N/A,#N/A,TRUE,"Inside";#N/A,#N/A,TRUE,"Contents";#N/A,#N/A,TRUE,"Basis";#N/A,#N/A,TRUE,"Inclusions";#N/A,#N/A,TRUE,"Exclusions";#N/A,#N/A,TRUE,"Areas";#N/A,#N/A,TRUE,"Summary";#N/A,#N/A,TRUE,"Detail"}</definedName>
    <definedName name="Mthree" localSheetId="0">#REF!</definedName>
    <definedName name="Mthree">#REF!</definedName>
    <definedName name="mu">110</definedName>
    <definedName name="Mubd2" localSheetId="0">#REF!</definedName>
    <definedName name="Mubd2">#REF!</definedName>
    <definedName name="mubyfckbd" localSheetId="0">#REF!</definedName>
    <definedName name="mubyfckbd">#REF!</definedName>
    <definedName name="MUTHU" localSheetId="0">#REF!</definedName>
    <definedName name="MUTHU">#REF!</definedName>
    <definedName name="mux" localSheetId="0">#REF!</definedName>
    <definedName name="mux">#REF!</definedName>
    <definedName name="mux1b" localSheetId="0">#REF!</definedName>
    <definedName name="mux1b">#REF!</definedName>
    <definedName name="mux1t" localSheetId="0">#REF!</definedName>
    <definedName name="mux1t">#REF!</definedName>
    <definedName name="muxb" localSheetId="0">#REF!</definedName>
    <definedName name="muxb">#REF!</definedName>
    <definedName name="muxt" localSheetId="0">#REF!</definedName>
    <definedName name="muxt">#REF!</definedName>
    <definedName name="muy" localSheetId="0">#REF!</definedName>
    <definedName name="muy">#REF!</definedName>
    <definedName name="muy1b" localSheetId="0">#REF!</definedName>
    <definedName name="muy1b">#REF!</definedName>
    <definedName name="muy1t" localSheetId="0">#REF!</definedName>
    <definedName name="muy1t">#REF!</definedName>
    <definedName name="muyb" localSheetId="0">#REF!</definedName>
    <definedName name="muyb">#REF!</definedName>
    <definedName name="muybyfckbd" localSheetId="0">#REF!</definedName>
    <definedName name="muybyfckbd">#REF!</definedName>
    <definedName name="muyt" localSheetId="0">#REF!</definedName>
    <definedName name="muyt">#REF!</definedName>
    <definedName name="mx" localSheetId="0">#REF!</definedName>
    <definedName name="mx">#REF!</definedName>
    <definedName name="mxb" localSheetId="0">#REF!</definedName>
    <definedName name="mxb">#REF!</definedName>
    <definedName name="mxt" localSheetId="0">#REF!</definedName>
    <definedName name="mxt">#REF!</definedName>
    <definedName name="my" localSheetId="0">#REF!</definedName>
    <definedName name="my">#REF!</definedName>
    <definedName name="myb" localSheetId="0">#REF!</definedName>
    <definedName name="myb">#REF!</definedName>
    <definedName name="myt" localSheetId="0">#REF!</definedName>
    <definedName name="myt">#REF!</definedName>
    <definedName name="N" localSheetId="0">#REF!</definedName>
    <definedName name="N">#REF!</definedName>
    <definedName name="n.j.amalraj" localSheetId="0">#REF!</definedName>
    <definedName name="n.j.amalraj">#REF!</definedName>
    <definedName name="N___0" localSheetId="0">#REF!</definedName>
    <definedName name="N___0">#REF!</definedName>
    <definedName name="N___13" localSheetId="0">#REF!</definedName>
    <definedName name="N___13">#REF!</definedName>
    <definedName name="n_1" localSheetId="0" hidden="1">{"form-D1",#N/A,FALSE,"FORM-D1";"form-D1_amt",#N/A,FALSE,"FORM-D1"}</definedName>
    <definedName name="n_1" hidden="1">{"form-D1",#N/A,FALSE,"FORM-D1";"form-D1_amt",#N/A,FALSE,"FORM-D1"}</definedName>
    <definedName name="n_1_1" localSheetId="0" hidden="1">{"form-D1",#N/A,FALSE,"FORM-D1";"form-D1_amt",#N/A,FALSE,"FORM-D1"}</definedName>
    <definedName name="n_1_1" hidden="1">{"form-D1",#N/A,FALSE,"FORM-D1";"form-D1_amt",#N/A,FALSE,"FORM-D1"}</definedName>
    <definedName name="n_1_2" localSheetId="0" hidden="1">{"form-D1",#N/A,FALSE,"FORM-D1";"form-D1_amt",#N/A,FALSE,"FORM-D1"}</definedName>
    <definedName name="n_1_2" hidden="1">{"form-D1",#N/A,FALSE,"FORM-D1";"form-D1_amt",#N/A,FALSE,"FORM-D1"}</definedName>
    <definedName name="n_2" localSheetId="0" hidden="1">{"form-D1",#N/A,FALSE,"FORM-D1";"form-D1_amt",#N/A,FALSE,"FORM-D1"}</definedName>
    <definedName name="n_2" hidden="1">{"form-D1",#N/A,FALSE,"FORM-D1";"form-D1_amt",#N/A,FALSE,"FORM-D1"}</definedName>
    <definedName name="n_2_1" localSheetId="0" hidden="1">{"form-D1",#N/A,FALSE,"FORM-D1";"form-D1_amt",#N/A,FALSE,"FORM-D1"}</definedName>
    <definedName name="n_2_1" hidden="1">{"form-D1",#N/A,FALSE,"FORM-D1";"form-D1_amt",#N/A,FALSE,"FORM-D1"}</definedName>
    <definedName name="n_3" localSheetId="0" hidden="1">{"form-D1",#N/A,FALSE,"FORM-D1";"form-D1_amt",#N/A,FALSE,"FORM-D1"}</definedName>
    <definedName name="n_3" hidden="1">{"form-D1",#N/A,FALSE,"FORM-D1";"form-D1_amt",#N/A,FALSE,"FORM-D1"}</definedName>
    <definedName name="n_3_1" localSheetId="0" hidden="1">{"form-D1",#N/A,FALSE,"FORM-D1";"form-D1_amt",#N/A,FALSE,"FORM-D1"}</definedName>
    <definedName name="n_3_1" hidden="1">{"form-D1",#N/A,FALSE,"FORM-D1";"form-D1_amt",#N/A,FALSE,"FORM-D1"}</definedName>
    <definedName name="n_4" localSheetId="0" hidden="1">{"form-D1",#N/A,FALSE,"FORM-D1";"form-D1_amt",#N/A,FALSE,"FORM-D1"}</definedName>
    <definedName name="n_4" hidden="1">{"form-D1",#N/A,FALSE,"FORM-D1";"form-D1_amt",#N/A,FALSE,"FORM-D1"}</definedName>
    <definedName name="n_4_1" localSheetId="0" hidden="1">{"form-D1",#N/A,FALSE,"FORM-D1";"form-D1_amt",#N/A,FALSE,"FORM-D1"}</definedName>
    <definedName name="n_4_1" hidden="1">{"form-D1",#N/A,FALSE,"FORM-D1";"form-D1_amt",#N/A,FALSE,"FORM-D1"}</definedName>
    <definedName name="n_5" localSheetId="0" hidden="1">{"form-D1",#N/A,FALSE,"FORM-D1";"form-D1_amt",#N/A,FALSE,"FORM-D1"}</definedName>
    <definedName name="n_5" hidden="1">{"form-D1",#N/A,FALSE,"FORM-D1";"form-D1_amt",#N/A,FALSE,"FORM-D1"}</definedName>
    <definedName name="n_5_1" localSheetId="0" hidden="1">{"form-D1",#N/A,FALSE,"FORM-D1";"form-D1_amt",#N/A,FALSE,"FORM-D1"}</definedName>
    <definedName name="n_5_1" hidden="1">{"form-D1",#N/A,FALSE,"FORM-D1";"form-D1_amt",#N/A,FALSE,"FORM-D1"}</definedName>
    <definedName name="na" localSheetId="0">#REF!</definedName>
    <definedName name="na">#REF!</definedName>
    <definedName name="Nahani" localSheetId="0">#REF!</definedName>
    <definedName name="Nahani">#REF!</definedName>
    <definedName name="nandan"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R" localSheetId="0">#REF!</definedName>
    <definedName name="NAR">#REF!</definedName>
    <definedName name="Nariman_Point_Car_Parking_Site" localSheetId="0">#REF!</definedName>
    <definedName name="Nariman_Point_Car_Parking_Site">#REF!</definedName>
    <definedName name="nb" localSheetId="0">#REF!</definedName>
    <definedName name="nb">#REF!</definedName>
    <definedName name="NBMF" localSheetId="0">#REF!</definedName>
    <definedName name="NBMF">#REF!</definedName>
    <definedName name="nc" localSheetId="0">#REF!</definedName>
    <definedName name="nc">#REF!</definedName>
    <definedName name="nd" localSheetId="0">#REF!</definedName>
    <definedName name="nd">#REF!</definedName>
    <definedName name="ne" localSheetId="0">#REF!</definedName>
    <definedName name="ne">#REF!</definedName>
    <definedName name="new" localSheetId="0" hidden="1">{"'Bill No. 7'!$A$1:$G$32"}</definedName>
    <definedName name="new" hidden="1">{"'Bill No. 7'!$A$1:$G$32"}</definedName>
    <definedName name="New_Iron_work" localSheetId="0">#REF!</definedName>
    <definedName name="New_Iron_work">#REF!</definedName>
    <definedName name="New_Wood_work" localSheetId="0">#REF!</definedName>
    <definedName name="New_Wood_work">#REF!</definedName>
    <definedName name="NewItem" localSheetId="0">#REF!</definedName>
    <definedName name="NewItem">#REF!</definedName>
    <definedName name="NEWNA"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me" localSheetId="0">#REF!</definedName>
    <definedName name="Newname">#REF!</definedName>
    <definedName name="NewRow" localSheetId="0">#REF!</definedName>
    <definedName name="NewRow">#REF!</definedName>
    <definedName name="ni" localSheetId="0">#REF!</definedName>
    <definedName name="ni">#REF!</definedName>
    <definedName name="nmk" localSheetId="0">#REF!</definedName>
    <definedName name="nmk">#REF!</definedName>
    <definedName name="nmmn" localSheetId="0">#REF!</definedName>
    <definedName name="nmmn">#REF!</definedName>
    <definedName name="NN" localSheetId="0">#REF!</definedName>
    <definedName name="NN">#REF!</definedName>
    <definedName name="NN___0" localSheetId="0">#REF!</definedName>
    <definedName name="NN___0">#REF!</definedName>
    <definedName name="NN___13" localSheetId="0">#REF!</definedName>
    <definedName name="NN___13">#REF!</definedName>
    <definedName name="nnn" localSheetId="0">#REF!</definedName>
    <definedName name="nnn">#REF!</definedName>
    <definedName name="nnnnnnnnnnnnn" localSheetId="0">#REF!</definedName>
    <definedName name="nnnnnnnnnnnnn">#REF!</definedName>
    <definedName name="NO" localSheetId="0">#REF!</definedName>
    <definedName name="NO">#REF!</definedName>
    <definedName name="NO." localSheetId="0">#REF!</definedName>
    <definedName name="NO.">#REF!</definedName>
    <definedName name="NOS" localSheetId="0">#REF!</definedName>
    <definedName name="NOS">#REF!</definedName>
    <definedName name="Note_Cap_Crit" localSheetId="0">#REF!</definedName>
    <definedName name="Note_Cap_Crit">#REF!</definedName>
    <definedName name="Note_inc_Exp" localSheetId="0">#REF!</definedName>
    <definedName name="Note_inc_Exp">#REF!</definedName>
    <definedName name="Note_to_Auditors" localSheetId="0">#REF!</definedName>
    <definedName name="Note_to_Auditors">#REF!</definedName>
    <definedName name="notok" localSheetId="0">#REF!</definedName>
    <definedName name="notok">#REF!</definedName>
    <definedName name="Ns" localSheetId="0">#REF!</definedName>
    <definedName name="Ns">#REF!</definedName>
    <definedName name="nss" localSheetId="0" hidden="1">{#N/A,#N/A,FALSE,"consu_cover";#N/A,#N/A,FALSE,"consu_strategy";#N/A,#N/A,FALSE,"consu_flow";#N/A,#N/A,FALSE,"Summary_reqmt";#N/A,#N/A,FALSE,"field_ppg";#N/A,#N/A,FALSE,"ppg_shop";#N/A,#N/A,FALSE,"strl";#N/A,#N/A,FALSE,"tankages";#N/A,#N/A,FALSE,"gases"}</definedName>
    <definedName name="nss" hidden="1">{#N/A,#N/A,FALSE,"consu_cover";#N/A,#N/A,FALSE,"consu_strategy";#N/A,#N/A,FALSE,"consu_flow";#N/A,#N/A,FALSE,"Summary_reqmt";#N/A,#N/A,FALSE,"field_ppg";#N/A,#N/A,FALSE,"ppg_shop";#N/A,#N/A,FALSE,"strl";#N/A,#N/A,FALSE,"tankages";#N/A,#N/A,FALSE,"gases"}</definedName>
    <definedName name="NSSR1" localSheetId="0">#REF!</definedName>
    <definedName name="NSSR1">#REF!</definedName>
    <definedName name="NSSR10" localSheetId="0">#REF!</definedName>
    <definedName name="NSSR10">#REF!</definedName>
    <definedName name="NSSR100" localSheetId="0">#REF!</definedName>
    <definedName name="NSSR100">#REF!</definedName>
    <definedName name="NSSR101" localSheetId="0">#REF!</definedName>
    <definedName name="NSSR101">#REF!</definedName>
    <definedName name="NSSR102" localSheetId="0">#REF!</definedName>
    <definedName name="NSSR102">#REF!</definedName>
    <definedName name="NSSR103" localSheetId="0">#REF!</definedName>
    <definedName name="NSSR103">#REF!</definedName>
    <definedName name="NSSR104" localSheetId="0">#REF!</definedName>
    <definedName name="NSSR104">#REF!</definedName>
    <definedName name="NSSR105" localSheetId="0">#REF!</definedName>
    <definedName name="NSSR105">#REF!</definedName>
    <definedName name="NSSR106" localSheetId="0">#REF!</definedName>
    <definedName name="NSSR106">#REF!</definedName>
    <definedName name="NSSR107" localSheetId="0">#REF!</definedName>
    <definedName name="NSSR107">#REF!</definedName>
    <definedName name="NSSR108" localSheetId="0">#REF!</definedName>
    <definedName name="NSSR108">#REF!</definedName>
    <definedName name="NSSR109" localSheetId="0">#REF!</definedName>
    <definedName name="NSSR109">#REF!</definedName>
    <definedName name="NSSR11" localSheetId="0">#REF!</definedName>
    <definedName name="NSSR11">#REF!</definedName>
    <definedName name="NSSR110" localSheetId="0">#REF!</definedName>
    <definedName name="NSSR110">#REF!</definedName>
    <definedName name="NSSR111" localSheetId="0">#REF!</definedName>
    <definedName name="NSSR111">#REF!</definedName>
    <definedName name="NSSR112" localSheetId="0">#REF!</definedName>
    <definedName name="NSSR112">#REF!</definedName>
    <definedName name="NSSR113" localSheetId="0">#REF!</definedName>
    <definedName name="NSSR113">#REF!</definedName>
    <definedName name="NSSR114" localSheetId="0">#REF!</definedName>
    <definedName name="NSSR114">#REF!</definedName>
    <definedName name="NSSR115" localSheetId="0">#REF!</definedName>
    <definedName name="NSSR115">#REF!</definedName>
    <definedName name="NSSR116" localSheetId="0">#REF!</definedName>
    <definedName name="NSSR116">#REF!</definedName>
    <definedName name="NSSR117" localSheetId="0">#REF!</definedName>
    <definedName name="NSSR117">#REF!</definedName>
    <definedName name="NSSR118" localSheetId="0">#REF!</definedName>
    <definedName name="NSSR118">#REF!</definedName>
    <definedName name="NSSR119" localSheetId="0">#REF!</definedName>
    <definedName name="NSSR119">#REF!</definedName>
    <definedName name="NSSR12" localSheetId="0">#REF!</definedName>
    <definedName name="NSSR12">#REF!</definedName>
    <definedName name="NSSR120" localSheetId="0">#REF!</definedName>
    <definedName name="NSSR120">#REF!</definedName>
    <definedName name="NSSR121" localSheetId="0">#REF!</definedName>
    <definedName name="NSSR121">#REF!</definedName>
    <definedName name="NSSR122" localSheetId="0">#REF!</definedName>
    <definedName name="NSSR122">#REF!</definedName>
    <definedName name="NSSR123" localSheetId="0">#REF!</definedName>
    <definedName name="NSSR123">#REF!</definedName>
    <definedName name="NSSR124" localSheetId="0">#REF!</definedName>
    <definedName name="NSSR124">#REF!</definedName>
    <definedName name="NSSR125" localSheetId="0">#REF!</definedName>
    <definedName name="NSSR125">#REF!</definedName>
    <definedName name="NSSR126" localSheetId="0">#REF!</definedName>
    <definedName name="NSSR126">#REF!</definedName>
    <definedName name="NSSR127" localSheetId="0">#REF!</definedName>
    <definedName name="NSSR127">#REF!</definedName>
    <definedName name="NSSR128" localSheetId="0">#REF!</definedName>
    <definedName name="NSSR128">#REF!</definedName>
    <definedName name="NSSR129" localSheetId="0">#REF!</definedName>
    <definedName name="NSSR129">#REF!</definedName>
    <definedName name="NSSR13" localSheetId="0">#REF!</definedName>
    <definedName name="NSSR13">#REF!</definedName>
    <definedName name="NSSR130" localSheetId="0">#REF!</definedName>
    <definedName name="NSSR130">#REF!</definedName>
    <definedName name="NSSR131" localSheetId="0">#REF!</definedName>
    <definedName name="NSSR131">#REF!</definedName>
    <definedName name="NSSR132" localSheetId="0">#REF!</definedName>
    <definedName name="NSSR132">#REF!</definedName>
    <definedName name="NSSR133" localSheetId="0">#REF!</definedName>
    <definedName name="NSSR133">#REF!</definedName>
    <definedName name="NSSR134" localSheetId="0">#REF!</definedName>
    <definedName name="NSSR134">#REF!</definedName>
    <definedName name="NSSR135" localSheetId="0">#REF!</definedName>
    <definedName name="NSSR135">#REF!</definedName>
    <definedName name="NSSR136" localSheetId="0">#REF!</definedName>
    <definedName name="NSSR136">#REF!</definedName>
    <definedName name="NSSR137" localSheetId="0">#REF!</definedName>
    <definedName name="NSSR137">#REF!</definedName>
    <definedName name="NSSR138" localSheetId="0">#REF!</definedName>
    <definedName name="NSSR138">#REF!</definedName>
    <definedName name="NSSR139" localSheetId="0">#REF!</definedName>
    <definedName name="NSSR139">#REF!</definedName>
    <definedName name="NSSR14" localSheetId="0">#REF!</definedName>
    <definedName name="NSSR14">#REF!</definedName>
    <definedName name="NSSR140" localSheetId="0">#REF!</definedName>
    <definedName name="NSSR140">#REF!</definedName>
    <definedName name="NSSR141" localSheetId="0">#REF!</definedName>
    <definedName name="NSSR141">#REF!</definedName>
    <definedName name="NSSR142" localSheetId="0">#REF!</definedName>
    <definedName name="NSSR142">#REF!</definedName>
    <definedName name="NSSR143" localSheetId="0">#REF!</definedName>
    <definedName name="NSSR143">#REF!</definedName>
    <definedName name="NSSR144" localSheetId="0">#REF!</definedName>
    <definedName name="NSSR144">#REF!</definedName>
    <definedName name="NSSR145" localSheetId="0">#REF!</definedName>
    <definedName name="NSSR145">#REF!</definedName>
    <definedName name="NSSR146" localSheetId="0">#REF!</definedName>
    <definedName name="NSSR146">#REF!</definedName>
    <definedName name="NSSR147" localSheetId="0">#REF!</definedName>
    <definedName name="NSSR147">#REF!</definedName>
    <definedName name="NSSR148" localSheetId="0">#REF!</definedName>
    <definedName name="NSSR148">#REF!</definedName>
    <definedName name="NSSR149" localSheetId="0">#REF!</definedName>
    <definedName name="NSSR149">#REF!</definedName>
    <definedName name="NSSR15" localSheetId="0">#REF!</definedName>
    <definedName name="NSSR15">#REF!</definedName>
    <definedName name="NSSR150" localSheetId="0">#REF!</definedName>
    <definedName name="NSSR150">#REF!</definedName>
    <definedName name="NSSR151" localSheetId="0">#REF!</definedName>
    <definedName name="NSSR151">#REF!</definedName>
    <definedName name="NSSR152" localSheetId="0">#REF!</definedName>
    <definedName name="NSSR152">#REF!</definedName>
    <definedName name="NSSR153" localSheetId="0">#REF!</definedName>
    <definedName name="NSSR153">#REF!</definedName>
    <definedName name="NSSR154" localSheetId="0">#REF!</definedName>
    <definedName name="NSSR154">#REF!</definedName>
    <definedName name="NSSR155" localSheetId="0">#REF!</definedName>
    <definedName name="NSSR155">#REF!</definedName>
    <definedName name="NSSR156" localSheetId="0">#REF!</definedName>
    <definedName name="NSSR156">#REF!</definedName>
    <definedName name="NSSR157" localSheetId="0">#REF!</definedName>
    <definedName name="NSSR157">#REF!</definedName>
    <definedName name="NSSR158" localSheetId="0">#REF!</definedName>
    <definedName name="NSSR158">#REF!</definedName>
    <definedName name="NSSR159" localSheetId="0">#REF!</definedName>
    <definedName name="NSSR159">#REF!</definedName>
    <definedName name="NSSR16" localSheetId="0">#REF!</definedName>
    <definedName name="NSSR16">#REF!</definedName>
    <definedName name="NSSR160" localSheetId="0">#REF!</definedName>
    <definedName name="NSSR160">#REF!</definedName>
    <definedName name="NSSR161" localSheetId="0">#REF!</definedName>
    <definedName name="NSSR161">#REF!</definedName>
    <definedName name="NSSR162" localSheetId="0">#REF!</definedName>
    <definedName name="NSSR162">#REF!</definedName>
    <definedName name="NSSR163" localSheetId="0">#REF!</definedName>
    <definedName name="NSSR163">#REF!</definedName>
    <definedName name="NSSR164" localSheetId="0">#REF!</definedName>
    <definedName name="NSSR164">#REF!</definedName>
    <definedName name="NSSR165" localSheetId="0">#REF!</definedName>
    <definedName name="NSSR165">#REF!</definedName>
    <definedName name="NSSR166" localSheetId="0">#REF!</definedName>
    <definedName name="NSSR166">#REF!</definedName>
    <definedName name="NSSR167" localSheetId="0">#REF!</definedName>
    <definedName name="NSSR167">#REF!</definedName>
    <definedName name="NSSR168" localSheetId="0">#REF!</definedName>
    <definedName name="NSSR168">#REF!</definedName>
    <definedName name="NSSR169" localSheetId="0">#REF!</definedName>
    <definedName name="NSSR169">#REF!</definedName>
    <definedName name="NSSR17" localSheetId="0">#REF!</definedName>
    <definedName name="NSSR17">#REF!</definedName>
    <definedName name="NSSR170" localSheetId="0">#REF!</definedName>
    <definedName name="NSSR170">#REF!</definedName>
    <definedName name="NSSR171" localSheetId="0">#REF!</definedName>
    <definedName name="NSSR171">#REF!</definedName>
    <definedName name="NSSR172" localSheetId="0">#REF!</definedName>
    <definedName name="NSSR172">#REF!</definedName>
    <definedName name="NSSR173" localSheetId="0">#REF!</definedName>
    <definedName name="NSSR173">#REF!</definedName>
    <definedName name="NSSR174" localSheetId="0">#REF!</definedName>
    <definedName name="NSSR174">#REF!</definedName>
    <definedName name="NSSR18" localSheetId="0">#REF!</definedName>
    <definedName name="NSSR18">#REF!</definedName>
    <definedName name="NSSR19" localSheetId="0">#REF!</definedName>
    <definedName name="NSSR19">#REF!</definedName>
    <definedName name="NSSR2" localSheetId="0">#REF!</definedName>
    <definedName name="NSSR2">#REF!</definedName>
    <definedName name="NSSR20" localSheetId="0">#REF!</definedName>
    <definedName name="NSSR20">#REF!</definedName>
    <definedName name="NSSR21" localSheetId="0">#REF!</definedName>
    <definedName name="NSSR21">#REF!</definedName>
    <definedName name="NSSR22" localSheetId="0">#REF!</definedName>
    <definedName name="NSSR22">#REF!</definedName>
    <definedName name="NSSR23" localSheetId="0">#REF!</definedName>
    <definedName name="NSSR23">#REF!</definedName>
    <definedName name="NSSR24" localSheetId="0">#REF!</definedName>
    <definedName name="NSSR24">#REF!</definedName>
    <definedName name="NSSR25" localSheetId="0">#REF!</definedName>
    <definedName name="NSSR25">#REF!</definedName>
    <definedName name="NSSR26" localSheetId="0">#REF!</definedName>
    <definedName name="NSSR26">#REF!</definedName>
    <definedName name="NSSR27" localSheetId="0">#REF!</definedName>
    <definedName name="NSSR27">#REF!</definedName>
    <definedName name="NSSR28" localSheetId="0">#REF!</definedName>
    <definedName name="NSSR28">#REF!</definedName>
    <definedName name="NSSR29" localSheetId="0">#REF!</definedName>
    <definedName name="NSSR29">#REF!</definedName>
    <definedName name="NSSR3" localSheetId="0">#REF!</definedName>
    <definedName name="NSSR3">#REF!</definedName>
    <definedName name="NSSR30" localSheetId="0">#REF!</definedName>
    <definedName name="NSSR30">#REF!</definedName>
    <definedName name="NSSR31" localSheetId="0">#REF!</definedName>
    <definedName name="NSSR31">#REF!</definedName>
    <definedName name="NSSR32" localSheetId="0">#REF!</definedName>
    <definedName name="NSSR32">#REF!</definedName>
    <definedName name="NSSR33" localSheetId="0">#REF!</definedName>
    <definedName name="NSSR33">#REF!</definedName>
    <definedName name="NSSR34" localSheetId="0">#REF!</definedName>
    <definedName name="NSSR34">#REF!</definedName>
    <definedName name="NSSR35" localSheetId="0">#REF!</definedName>
    <definedName name="NSSR35">#REF!</definedName>
    <definedName name="NSSR36" localSheetId="0">#REF!</definedName>
    <definedName name="NSSR36">#REF!</definedName>
    <definedName name="NSSR37" localSheetId="0">#REF!</definedName>
    <definedName name="NSSR37">#REF!</definedName>
    <definedName name="NSSR38" localSheetId="0">#REF!</definedName>
    <definedName name="NSSR38">#REF!</definedName>
    <definedName name="NSSR39" localSheetId="0">#REF!</definedName>
    <definedName name="NSSR39">#REF!</definedName>
    <definedName name="NSSR4" localSheetId="0">#REF!</definedName>
    <definedName name="NSSR4">#REF!</definedName>
    <definedName name="NSSR40" localSheetId="0">#REF!</definedName>
    <definedName name="NSSR40">#REF!</definedName>
    <definedName name="NSSR41" localSheetId="0">#REF!</definedName>
    <definedName name="NSSR41">#REF!</definedName>
    <definedName name="NSSR42" localSheetId="0">#REF!</definedName>
    <definedName name="NSSR42">#REF!</definedName>
    <definedName name="NSSR43" localSheetId="0">#REF!</definedName>
    <definedName name="NSSR43">#REF!</definedName>
    <definedName name="NSSR44" localSheetId="0">#REF!</definedName>
    <definedName name="NSSR44">#REF!</definedName>
    <definedName name="NSSR45" localSheetId="0">#REF!</definedName>
    <definedName name="NSSR45">#REF!</definedName>
    <definedName name="NSSR46" localSheetId="0">#REF!</definedName>
    <definedName name="NSSR46">#REF!</definedName>
    <definedName name="NSSR47" localSheetId="0">#REF!</definedName>
    <definedName name="NSSR47">#REF!</definedName>
    <definedName name="NSSR48" localSheetId="0">#REF!</definedName>
    <definedName name="NSSR48">#REF!</definedName>
    <definedName name="NSSR49" localSheetId="0">#REF!</definedName>
    <definedName name="NSSR49">#REF!</definedName>
    <definedName name="NSSR5" localSheetId="0">#REF!</definedName>
    <definedName name="NSSR5">#REF!</definedName>
    <definedName name="NSSR50" localSheetId="0">#REF!</definedName>
    <definedName name="NSSR50">#REF!</definedName>
    <definedName name="NSSR51" localSheetId="0">#REF!</definedName>
    <definedName name="NSSR51">#REF!</definedName>
    <definedName name="NSSR52" localSheetId="0">#REF!</definedName>
    <definedName name="NSSR52">#REF!</definedName>
    <definedName name="NSSR53" localSheetId="0">#REF!</definedName>
    <definedName name="NSSR53">#REF!</definedName>
    <definedName name="NSSR54" localSheetId="0">#REF!</definedName>
    <definedName name="NSSR54">#REF!</definedName>
    <definedName name="NSSR55" localSheetId="0">#REF!</definedName>
    <definedName name="NSSR55">#REF!</definedName>
    <definedName name="NSSR56" localSheetId="0">#REF!</definedName>
    <definedName name="NSSR56">#REF!</definedName>
    <definedName name="NSSR57" localSheetId="0">#REF!</definedName>
    <definedName name="NSSR57">#REF!</definedName>
    <definedName name="NSSR58" localSheetId="0">#REF!</definedName>
    <definedName name="NSSR58">#REF!</definedName>
    <definedName name="NSSR59" localSheetId="0">#REF!</definedName>
    <definedName name="NSSR59">#REF!</definedName>
    <definedName name="NSSR6" localSheetId="0">#REF!</definedName>
    <definedName name="NSSR6">#REF!</definedName>
    <definedName name="NSSR60" localSheetId="0">#REF!</definedName>
    <definedName name="NSSR60">#REF!</definedName>
    <definedName name="NSSR61" localSheetId="0">#REF!</definedName>
    <definedName name="NSSR61">#REF!</definedName>
    <definedName name="NSSR62" localSheetId="0">#REF!</definedName>
    <definedName name="NSSR62">#REF!</definedName>
    <definedName name="NSSR63" localSheetId="0">#REF!</definedName>
    <definedName name="NSSR63">#REF!</definedName>
    <definedName name="NSSR64" localSheetId="0">#REF!</definedName>
    <definedName name="NSSR64">#REF!</definedName>
    <definedName name="NSSR65" localSheetId="0">#REF!</definedName>
    <definedName name="NSSR65">#REF!</definedName>
    <definedName name="NSSR66" localSheetId="0">#REF!</definedName>
    <definedName name="NSSR66">#REF!</definedName>
    <definedName name="NSSR67" localSheetId="0">#REF!</definedName>
    <definedName name="NSSR67">#REF!</definedName>
    <definedName name="NSSR68" localSheetId="0">#REF!</definedName>
    <definedName name="NSSR68">#REF!</definedName>
    <definedName name="NSSR69" localSheetId="0">#REF!</definedName>
    <definedName name="NSSR69">#REF!</definedName>
    <definedName name="NSSR7" localSheetId="0">#REF!</definedName>
    <definedName name="NSSR7">#REF!</definedName>
    <definedName name="NSSR70" localSheetId="0">#REF!</definedName>
    <definedName name="NSSR70">#REF!</definedName>
    <definedName name="NSSR71" localSheetId="0">#REF!</definedName>
    <definedName name="NSSR71">#REF!</definedName>
    <definedName name="NSSR72" localSheetId="0">#REF!</definedName>
    <definedName name="NSSR72">#REF!</definedName>
    <definedName name="NSSR73" localSheetId="0">#REF!</definedName>
    <definedName name="NSSR73">#REF!</definedName>
    <definedName name="NSSR74" localSheetId="0">#REF!</definedName>
    <definedName name="NSSR74">#REF!</definedName>
    <definedName name="NSSR75" localSheetId="0">#REF!</definedName>
    <definedName name="NSSR75">#REF!</definedName>
    <definedName name="NSSR76" localSheetId="0">#REF!</definedName>
    <definedName name="NSSR76">#REF!</definedName>
    <definedName name="NSSR77" localSheetId="0">#REF!</definedName>
    <definedName name="NSSR77">#REF!</definedName>
    <definedName name="NSSR78" localSheetId="0">#REF!</definedName>
    <definedName name="NSSR78">#REF!</definedName>
    <definedName name="NSSR79" localSheetId="0">#REF!</definedName>
    <definedName name="NSSR79">#REF!</definedName>
    <definedName name="NSSR8" localSheetId="0">#REF!</definedName>
    <definedName name="NSSR8">#REF!</definedName>
    <definedName name="NSSR80" localSheetId="0">#REF!</definedName>
    <definedName name="NSSR80">#REF!</definedName>
    <definedName name="NSSR81" localSheetId="0">#REF!</definedName>
    <definedName name="NSSR81">#REF!</definedName>
    <definedName name="NSSR82" localSheetId="0">#REF!</definedName>
    <definedName name="NSSR82">#REF!</definedName>
    <definedName name="NSSR83" localSheetId="0">#REF!</definedName>
    <definedName name="NSSR83">#REF!</definedName>
    <definedName name="NSSR84" localSheetId="0">#REF!</definedName>
    <definedName name="NSSR84">#REF!</definedName>
    <definedName name="NSSR85" localSheetId="0">#REF!</definedName>
    <definedName name="NSSR85">#REF!</definedName>
    <definedName name="NSSR86" localSheetId="0">#REF!</definedName>
    <definedName name="NSSR86">#REF!</definedName>
    <definedName name="NSSR87" localSheetId="0">#REF!</definedName>
    <definedName name="NSSR87">#REF!</definedName>
    <definedName name="NSSR88" localSheetId="0">#REF!</definedName>
    <definedName name="NSSR88">#REF!</definedName>
    <definedName name="NSSR89" localSheetId="0">#REF!</definedName>
    <definedName name="NSSR89">#REF!</definedName>
    <definedName name="NSSR9" localSheetId="0">#REF!</definedName>
    <definedName name="NSSR9">#REF!</definedName>
    <definedName name="NSSR90" localSheetId="0">#REF!</definedName>
    <definedName name="NSSR90">#REF!</definedName>
    <definedName name="NSSR91" localSheetId="0">#REF!</definedName>
    <definedName name="NSSR91">#REF!</definedName>
    <definedName name="NSSR92" localSheetId="0">#REF!</definedName>
    <definedName name="NSSR92">#REF!</definedName>
    <definedName name="NSSR93" localSheetId="0">#REF!</definedName>
    <definedName name="NSSR93">#REF!</definedName>
    <definedName name="NSSR94" localSheetId="0">#REF!</definedName>
    <definedName name="NSSR94">#REF!</definedName>
    <definedName name="NSSR95" localSheetId="0">#REF!</definedName>
    <definedName name="NSSR95">#REF!</definedName>
    <definedName name="NSSR96" localSheetId="0">#REF!</definedName>
    <definedName name="NSSR96">#REF!</definedName>
    <definedName name="NSSR97" localSheetId="0">#REF!</definedName>
    <definedName name="NSSR97">#REF!</definedName>
    <definedName name="NSSR98" localSheetId="0">#REF!</definedName>
    <definedName name="NSSR98">#REF!</definedName>
    <definedName name="NSSR99" localSheetId="0">#REF!</definedName>
    <definedName name="NSSR99">#REF!</definedName>
    <definedName name="nt" localSheetId="0">#REF!</definedName>
    <definedName name="nt">#REF!</definedName>
    <definedName name="nt0" localSheetId="0">#REF!</definedName>
    <definedName name="nt0">#REF!</definedName>
    <definedName name="ntes" localSheetId="0">#REF!</definedName>
    <definedName name="ntes">#REF!</definedName>
    <definedName name="ntesu" localSheetId="0">#REF!</definedName>
    <definedName name="ntesu">#REF!</definedName>
    <definedName name="Num_Pmt_Per_Year" localSheetId="0">#REF!</definedName>
    <definedName name="Num_Pmt_Per_Year">#REF!</definedName>
    <definedName name="Number_of_Payments" localSheetId="0">MATCH(0.01,'Pandalur -covering'!End_Bal,-1)+1</definedName>
    <definedName name="Number_of_Payments">MATCH(0.01,End_Bal,-1)+1</definedName>
    <definedName name="NW" localSheetId="0">#REF!</definedName>
    <definedName name="NW">#REF!</definedName>
    <definedName name="Nx" localSheetId="0">#REF!</definedName>
    <definedName name="Nx">#REF!</definedName>
    <definedName name="Nx___0" localSheetId="0">#REF!</definedName>
    <definedName name="Nx___0">#REF!</definedName>
    <definedName name="Nx___13" localSheetId="0">#REF!</definedName>
    <definedName name="Nx___13">#REF!</definedName>
    <definedName name="nxs" localSheetId="0">#REF!</definedName>
    <definedName name="nxs">#REF!</definedName>
    <definedName name="Ny" localSheetId="0">#REF!</definedName>
    <definedName name="Ny">#REF!</definedName>
    <definedName name="Ny___0" localSheetId="0">#REF!</definedName>
    <definedName name="Ny___0">#REF!</definedName>
    <definedName name="Ny___13" localSheetId="0">#REF!</definedName>
    <definedName name="Ny___13">#REF!</definedName>
    <definedName name="nys" localSheetId="0">#REF!</definedName>
    <definedName name="nys">#REF!</definedName>
    <definedName name="o" localSheetId="0">#REF!</definedName>
    <definedName name="O">#REF!</definedName>
    <definedName name="O_M_Exp." localSheetId="0">#REF!</definedName>
    <definedName name="O_M_Exp.">#REF!</definedName>
    <definedName name="O_M_Exp._I" localSheetId="0">#REF!</definedName>
    <definedName name="O_M_Exp._I">#REF!</definedName>
    <definedName name="O_Mexp" localSheetId="0">#REF!</definedName>
    <definedName name="O_Mexp">#REF!</definedName>
    <definedName name="O_Mexp_I" localSheetId="0">#REF!</definedName>
    <definedName name="O_Mexp_I">#REF!</definedName>
    <definedName name="obpl" localSheetId="0">#REF!</definedName>
    <definedName name="obpl">#REF!</definedName>
    <definedName name="OCConsump" localSheetId="0">#REF!</definedName>
    <definedName name="OCConsump">#REF!</definedName>
    <definedName name="OCConsump_I" localSheetId="0">#REF!</definedName>
    <definedName name="OCConsump_I">#REF!</definedName>
    <definedName name="OCCost" localSheetId="0">#REF!</definedName>
    <definedName name="OCCost">#REF!</definedName>
    <definedName name="OCCost_I" localSheetId="0">#REF!</definedName>
    <definedName name="OCCost_I">#REF!</definedName>
    <definedName name="OCEsc" localSheetId="0">#REF!</definedName>
    <definedName name="OCEsc">#REF!</definedName>
    <definedName name="OCEsc_I" localSheetId="0">#REF!</definedName>
    <definedName name="OCEsc_I">#REF!</definedName>
    <definedName name="OH_PM" localSheetId="0">#REF!</definedName>
    <definedName name="OH_PM">#REF!</definedName>
    <definedName name="oi" localSheetId="0">#REF!</definedName>
    <definedName name="oi">[6]Data!#REF!</definedName>
    <definedName name="oio" localSheetId="0">#REF!</definedName>
    <definedName name="oio">#REF!</definedName>
    <definedName name="oirr" localSheetId="0">#REF!</definedName>
    <definedName name="oirr">#REF!</definedName>
    <definedName name="ok" localSheetId="0">#REF!</definedName>
    <definedName name="ok">#REF!</definedName>
    <definedName name="Old_Iron_one" localSheetId="0">#REF!</definedName>
    <definedName name="Old_Iron_one">[6]Data!#REF!</definedName>
    <definedName name="Old_iron_two" localSheetId="0">#REF!</definedName>
    <definedName name="Old_iron_two">[6]Data!#REF!</definedName>
    <definedName name="Old_wood_Onecoat" localSheetId="0">#REF!</definedName>
    <definedName name="Old_wood_Onecoat">[6]Data!#REF!</definedName>
    <definedName name="Old_wood_two" localSheetId="0">#REF!</definedName>
    <definedName name="Old_wood_two">[6]Data!#REF!</definedName>
    <definedName name="om_exp" localSheetId="0">#REF!</definedName>
    <definedName name="om_exp">#REF!</definedName>
    <definedName name="om_exp_I" localSheetId="0">#REF!</definedName>
    <definedName name="om_exp_I">#REF!</definedName>
    <definedName name="on" localSheetId="0">#REF!</definedName>
    <definedName name="on">[6]Data!#REF!</definedName>
    <definedName name="one" localSheetId="0">#REF!</definedName>
    <definedName name="one">1</definedName>
    <definedName name="ool" localSheetId="0">#REF!</definedName>
    <definedName name="ool">#REF!</definedName>
    <definedName name="ooooooooo" localSheetId="0">#REF!</definedName>
    <definedName name="ooooooooo">#REF!</definedName>
    <definedName name="ooooooooooooooo" localSheetId="0">#REF!</definedName>
    <definedName name="ooooooooooooooo">#REF!</definedName>
    <definedName name="OrderTable" localSheetId="0" hidden="1">#REF!</definedName>
    <definedName name="OrderTable" hidden="1">#REF!</definedName>
    <definedName name="Origin" localSheetId="0">#REF!</definedName>
    <definedName name="Origin">#REF!</definedName>
    <definedName name="Others" localSheetId="0" hidden="1">{#N/A,#N/A,FALSE,"COVER1.XLS ";#N/A,#N/A,FALSE,"RACT1.XLS";#N/A,#N/A,FALSE,"RACT2.XLS";#N/A,#N/A,FALSE,"ECCMP";#N/A,#N/A,FALSE,"WELDER.XLS"}</definedName>
    <definedName name="Others" hidden="1">{#N/A,#N/A,FALSE,"COVER1.XLS ";#N/A,#N/A,FALSE,"RACT1.XLS";#N/A,#N/A,FALSE,"RACT2.XLS";#N/A,#N/A,FALSE,"ECCMP";#N/A,#N/A,FALSE,"WELDER.XLS"}</definedName>
    <definedName name="Outbuildings" localSheetId="0">#REF!</definedName>
    <definedName name="Outbuildings">#REF!</definedName>
    <definedName name="OUTTERWALLLength" localSheetId="0">#REF!</definedName>
    <definedName name="OUTTERWALLLength">#REF!</definedName>
    <definedName name="OVER_HEADS_ENTRY" localSheetId="0">#REF!</definedName>
    <definedName name="OVER_HEADS_ENTRY">#REF!</definedName>
    <definedName name="Overall_Summary_Title" localSheetId="0">#REF!</definedName>
    <definedName name="Overall_Summary_Title">#REF!</definedName>
    <definedName name="OVERHEADS" localSheetId="0">#REF!</definedName>
    <definedName name="OVERHEADS">#REF!</definedName>
    <definedName name="OYI" localSheetId="0">#REF!</definedName>
    <definedName name="OYI">#REF!</definedName>
    <definedName name="p" localSheetId="0">#REF!</definedName>
    <definedName name="p">#REF!</definedName>
    <definedName name="P.C.C.1.2.4.10MM" localSheetId="0">#REF!</definedName>
    <definedName name="P.C.C.1.2.4.10MM">#REF!</definedName>
    <definedName name="P.C.C.1.2.4.H.B">#REF!</definedName>
    <definedName name="P.C.C.1.2.4.M.B" localSheetId="0">#REF!</definedName>
    <definedName name="P.C.C.1.2.4.M.B">[17]DATA!$A$235+[17]DATA!$G$244</definedName>
    <definedName name="P.C.C.1.3.6.40MM" localSheetId="0">#REF!</definedName>
    <definedName name="P.C.C.1.3.6.40MM">#REF!</definedName>
    <definedName name="P.C.C.1.3.6.H.B">#REF!</definedName>
    <definedName name="P.C.C.1.4.8">#REF!</definedName>
    <definedName name="P.C.C.1.5.10">#REF!</definedName>
    <definedName name="P.C.C.1.8.16HB">#REF!</definedName>
    <definedName name="P.C.C1.3.6.MB">#REF!</definedName>
    <definedName name="P.C.C1.8.16_MB">#REF!</definedName>
    <definedName name="p____2___m____p___l_______ln__4___l___d____1___2___K1____l___SQRT_A_____SQRT_m__1__2">"ki1"</definedName>
    <definedName name="p___0" localSheetId="0">#REF!</definedName>
    <definedName name="p___0">#REF!</definedName>
    <definedName name="p___13" localSheetId="0">#REF!</definedName>
    <definedName name="p___13">#REF!</definedName>
    <definedName name="pa" localSheetId="0">#REF!</definedName>
    <definedName name="pa">#REF!</definedName>
    <definedName name="pa___0" localSheetId="0">#REF!</definedName>
    <definedName name="pa___0">#REF!</definedName>
    <definedName name="pa___13" localSheetId="0">#REF!</definedName>
    <definedName name="pa___13">#REF!</definedName>
    <definedName name="pad_baywise" localSheetId="0">#REF!</definedName>
    <definedName name="pad_baywise">#REF!</definedName>
    <definedName name="Page" localSheetId="0">#REF!</definedName>
    <definedName name="Page">#REF!</definedName>
    <definedName name="PAINT" localSheetId="0">#REF!</definedName>
    <definedName name="PAINT">#REF!</definedName>
    <definedName name="PAINTING" localSheetId="0">#REF!</definedName>
    <definedName name="PAINTING">#REF!</definedName>
    <definedName name="Pane2" localSheetId="0">#REF!</definedName>
    <definedName name="Pane2">#REF!</definedName>
    <definedName name="Pane2___0" localSheetId="0">#REF!</definedName>
    <definedName name="Pane2___0">#REF!</definedName>
    <definedName name="Pane2___13" localSheetId="0">#REF!</definedName>
    <definedName name="Pane2___13">#REF!</definedName>
    <definedName name="PANEL" localSheetId="0">#REF!</definedName>
    <definedName name="PANEL">#REF!</definedName>
    <definedName name="parse" localSheetId="0" hidden="1">#REF!</definedName>
    <definedName name="parse" hidden="1">#REF!</definedName>
    <definedName name="Pay_Date" localSheetId="0">#REF!</definedName>
    <definedName name="Pay_Date">#REF!</definedName>
    <definedName name="Pay_Num" localSheetId="0">#REF!</definedName>
    <definedName name="Pay_Num">#REF!</definedName>
    <definedName name="Payment_Date" localSheetId="0">DATE(YEAR('Pandalur -covering'!Loan_Start),MONTH('Pandalur -covering'!Loan_Start)+Payment_Number,DAY('Pandalur -covering'!Loan_Start))</definedName>
    <definedName name="Payment_Date">DATE(YEAR(Loan_Start),MONTH(Loan_Start)+Payment_Number,DAY(Loan_Start))</definedName>
    <definedName name="pb" localSheetId="0">#REF!</definedName>
    <definedName name="pb">#REF!</definedName>
    <definedName name="pb___0" localSheetId="0">#REF!</definedName>
    <definedName name="pb___0">#REF!</definedName>
    <definedName name="pb___11" localSheetId="0">#REF!</definedName>
    <definedName name="pb___11">#REF!</definedName>
    <definedName name="pb___12" localSheetId="0">#REF!</definedName>
    <definedName name="pb___12">#REF!</definedName>
    <definedName name="pbxexp" localSheetId="0">#REF!</definedName>
    <definedName name="pbxexp">#REF!</definedName>
    <definedName name="pbyexp" localSheetId="0">#REF!</definedName>
    <definedName name="pbyexp">#REF!</definedName>
    <definedName name="pbyfck" localSheetId="0">#REF!</definedName>
    <definedName name="pbyfck">#REF!</definedName>
    <definedName name="pbypuz" localSheetId="0">#REF!</definedName>
    <definedName name="pbypuz">#REF!</definedName>
    <definedName name="pc" localSheetId="0">#REF!</definedName>
    <definedName name="pc">#REF!</definedName>
    <definedName name="pcc" localSheetId="0">#REF!</definedName>
    <definedName name="pcc">#REF!</definedName>
    <definedName name="pccp" localSheetId="0">#REF!</definedName>
    <definedName name="pccp">#REF!</definedName>
    <definedName name="pccproj" localSheetId="0">#REF!</definedName>
    <definedName name="pccproj">#REF!</definedName>
    <definedName name="pcct" localSheetId="0">#REF!</definedName>
    <definedName name="pcct">#REF!</definedName>
    <definedName name="pccthk" localSheetId="0">#REF!</definedName>
    <definedName name="pccthk">#REF!</definedName>
    <definedName name="pccut" localSheetId="0">#REF!</definedName>
    <definedName name="pccut">#REF!</definedName>
    <definedName name="PCT" localSheetId="0">#REF!</definedName>
    <definedName name="PCT">#REF!</definedName>
    <definedName name="pcurr1" localSheetId="0">#REF!</definedName>
    <definedName name="pcurr1">#REF!</definedName>
    <definedName name="PDF" localSheetId="0">#REF!</definedName>
    <definedName name="PDF">#REF!</definedName>
    <definedName name="pDiscountRate" localSheetId="0">#REF!</definedName>
    <definedName name="pDiscountRate">#REF!</definedName>
    <definedName name="pDSRCov" localSheetId="0">#REF!</definedName>
    <definedName name="pDSRCov">#REF!</definedName>
    <definedName name="PeakHrChrgs" localSheetId="0">#REF!</definedName>
    <definedName name="PeakHrChrgs">#REF!</definedName>
    <definedName name="PeakHrChrgs_I" localSheetId="0">#REF!</definedName>
    <definedName name="PeakHrChrgs_I">#REF!</definedName>
    <definedName name="PeakHrElec" localSheetId="0">#REF!</definedName>
    <definedName name="PeakHrElec">#REF!</definedName>
    <definedName name="PeakHrElec_I" localSheetId="0">#REF!</definedName>
    <definedName name="PeakHrElec_I">#REF!</definedName>
    <definedName name="PEDESTAL" localSheetId="0">#REF!</definedName>
    <definedName name="PEDESTAL">#REF!</definedName>
    <definedName name="Percent_Text" localSheetId="0">#REF!</definedName>
    <definedName name="Percent_Text">#REF!</definedName>
    <definedName name="Percent_Value" localSheetId="0">#REF!</definedName>
    <definedName name="Percent_Value">#REF!</definedName>
    <definedName name="pfTaxHol" localSheetId="0">#REF!</definedName>
    <definedName name="pfTaxHol">#REF!</definedName>
    <definedName name="pg" localSheetId="0">#REF!</definedName>
    <definedName name="pg">#REF!</definedName>
    <definedName name="pH" localSheetId="0">#REF!</definedName>
    <definedName name="pH">#REF!</definedName>
    <definedName name="pH___0" localSheetId="0">#REF!</definedName>
    <definedName name="pH___0">#REF!</definedName>
    <definedName name="pH___13" localSheetId="0">#REF!</definedName>
    <definedName name="pH___13">#REF!</definedName>
    <definedName name="phi" localSheetId="0">#REF!</definedName>
    <definedName name="phi">#REF!</definedName>
    <definedName name="phis" localSheetId="0">#REF!</definedName>
    <definedName name="phis">#REF!</definedName>
    <definedName name="phit" localSheetId="0">#REF!</definedName>
    <definedName name="phit">#REF!</definedName>
    <definedName name="Phone" localSheetId="0">#REF!</definedName>
    <definedName name="Phone">#REF!</definedName>
    <definedName name="Picture4" localSheetId="0">#REF!</definedName>
    <definedName name="Picture4">#REF!</definedName>
    <definedName name="pileinraftCount" localSheetId="0">#REF!</definedName>
    <definedName name="pileinraftCount">#REF!</definedName>
    <definedName name="pioi" localSheetId="0">#REF!</definedName>
    <definedName name="pioi">#REF!</definedName>
    <definedName name="PipeSize" localSheetId="0">#REF!</definedName>
    <definedName name="PipeSize">#REF!</definedName>
    <definedName name="PipingDetail" localSheetId="0">#REF!</definedName>
    <definedName name="PipingDetail">#REF!</definedName>
    <definedName name="piTaxHol" localSheetId="0">#REF!</definedName>
    <definedName name="piTaxHol">#REF!</definedName>
    <definedName name="pkppl" localSheetId="0">#REF!</definedName>
    <definedName name="pkppl">#REF!</definedName>
    <definedName name="pla" localSheetId="0">#REF!</definedName>
    <definedName name="pla">[6]Data!#REF!</definedName>
    <definedName name="plan" localSheetId="0">#REF!</definedName>
    <definedName name="plan">#REF!</definedName>
    <definedName name="Plant" localSheetId="0">#REF!</definedName>
    <definedName name="Plant">#REF!</definedName>
    <definedName name="plant_load_factor" localSheetId="0">#REF!</definedName>
    <definedName name="plant_load_factor">#REF!</definedName>
    <definedName name="PLANTCOST" localSheetId="0">#REF!</definedName>
    <definedName name="PLANTCOST">#REF!</definedName>
    <definedName name="plants" localSheetId="0">#REF!</definedName>
    <definedName name="plants">#REF!</definedName>
    <definedName name="Plast_1.3_W.P.C" localSheetId="0">#REF!</definedName>
    <definedName name="Plast_1.3_W.P.C">#REF!</definedName>
    <definedName name="Plast_1.5_12mm">#REF!</definedName>
    <definedName name="Plast_1.5_20mm">#REF!</definedName>
    <definedName name="Plast_Dummy">#REF!</definedName>
    <definedName name="Plast_Roof">#REF!</definedName>
    <definedName name="Plast15">#REF!</definedName>
    <definedName name="PLASTERING" localSheetId="0">#REF!</definedName>
    <definedName name="Plastering">#REF!</definedName>
    <definedName name="Plastering_1.3_12mm" localSheetId="0">#REF!</definedName>
    <definedName name="Plastering_1.3_12mm">#REF!</definedName>
    <definedName name="Plastering_1.3_20mm" localSheetId="0">#REF!</definedName>
    <definedName name="Plastering_1.3_20mm">#REF!</definedName>
    <definedName name="Plastering_Special_1.3" localSheetId="0">#REF!</definedName>
    <definedName name="Plastering_Special_1.3">#REF!</definedName>
    <definedName name="Plastering_W.P_1.3_20mm" localSheetId="0">#REF!</definedName>
    <definedName name="Plastering_W.P_1.3_20mm">#REF!</definedName>
    <definedName name="Plastering1.5_12mm" localSheetId="0">#REF!</definedName>
    <definedName name="Plastering1.5_12mm">#REF!</definedName>
    <definedName name="Plastic_Emulsion">#REF!</definedName>
    <definedName name="Plastic_Emulsion_Paint" localSheetId="0">#REF!</definedName>
    <definedName name="Plastic_Emulsion_Paint">[6]Data!#REF!</definedName>
    <definedName name="Platecomp" localSheetId="0">#REF!</definedName>
    <definedName name="Platecomp">#REF!</definedName>
    <definedName name="plbeams" localSheetId="0">#REF!</definedName>
    <definedName name="plbeams">#REF!</definedName>
    <definedName name="pLength" localSheetId="0">#REF!</definedName>
    <definedName name="pLength">#REF!</definedName>
    <definedName name="PLF1_I" localSheetId="0">#REF!</definedName>
    <definedName name="PLF1_I">#REF!</definedName>
    <definedName name="PLF2_I" localSheetId="0">#REF!</definedName>
    <definedName name="PLF2_I">#REF!</definedName>
    <definedName name="PLF3_I" localSheetId="0">#REF!</definedName>
    <definedName name="PLF3_I">#REF!</definedName>
    <definedName name="pLoanLifeForeignDebt" localSheetId="0">#REF!</definedName>
    <definedName name="pLoanLifeForeignDebt">#REF!</definedName>
    <definedName name="pLoanLifeLTDebt" localSheetId="0">#REF!</definedName>
    <definedName name="pLoanLifeLTDebt">#REF!</definedName>
    <definedName name="plock" localSheetId="0">#REF!</definedName>
    <definedName name="plock">#REF!</definedName>
    <definedName name="pLossCarFor" localSheetId="0">#REF!</definedName>
    <definedName name="pLossCarFor">#REF!</definedName>
    <definedName name="Plt_Capacity" localSheetId="0">#REF!</definedName>
    <definedName name="Plt_Capacity">#REF!</definedName>
    <definedName name="PM" localSheetId="0">#REF!</definedName>
    <definedName name="PM">#REF!</definedName>
    <definedName name="pmc" localSheetId="0">#REF!</definedName>
    <definedName name="pmc">#REF!</definedName>
    <definedName name="pMorForeignDebt" localSheetId="0">#REF!</definedName>
    <definedName name="pMorForeignDebt">#REF!</definedName>
    <definedName name="pMorLTDebt" localSheetId="0">#REF!</definedName>
    <definedName name="pMorLTDebt">#REF!</definedName>
    <definedName name="pmt" localSheetId="0">#REF!</definedName>
    <definedName name="pmt">#REF!</definedName>
    <definedName name="pocpl" localSheetId="0">#REF!</definedName>
    <definedName name="pocpl">#REF!</definedName>
    <definedName name="podd" localSheetId="0">#REF!</definedName>
    <definedName name="podd">#REF!</definedName>
    <definedName name="POINTING" localSheetId="0">#REF!</definedName>
    <definedName name="POINTING">#REF!</definedName>
    <definedName name="PONDA" localSheetId="0">#REF!</definedName>
    <definedName name="PONDA">#REF!</definedName>
    <definedName name="POWER" localSheetId="0">#REF!</definedName>
    <definedName name="POWER">#REF!</definedName>
    <definedName name="PowerCons" localSheetId="0">#REF!</definedName>
    <definedName name="PowerCons">#REF!</definedName>
    <definedName name="PowerCons_I" localSheetId="0">#REF!</definedName>
    <definedName name="PowerCons_I">#REF!</definedName>
    <definedName name="PowGenChrg" localSheetId="0">#REF!</definedName>
    <definedName name="PowGenChrg">#REF!</definedName>
    <definedName name="PowGenChrg_I" localSheetId="0">#REF!</definedName>
    <definedName name="PowGenChrg_I">#REF!</definedName>
    <definedName name="pper" localSheetId="0">#REF!</definedName>
    <definedName name="pper">#REF!</definedName>
    <definedName name="pper1" localSheetId="0">#REF!</definedName>
    <definedName name="pper1">#REF!</definedName>
    <definedName name="ppl" localSheetId="0" hidden="1">{#N/A,#N/A,FALSE,"gc (2)"}</definedName>
    <definedName name="ppl" hidden="1">{#N/A,#N/A,FALSE,"gc (2)"}</definedName>
    <definedName name="pplg" localSheetId="0">#REF!</definedName>
    <definedName name="pplg">#REF!</definedName>
    <definedName name="pppppppppp" localSheetId="0">#REF!</definedName>
    <definedName name="pppppppppp">#REF!</definedName>
    <definedName name="ppppppppppppp" localSheetId="0">#REF!</definedName>
    <definedName name="ppppppppppppp">#REF!</definedName>
    <definedName name="ppppppppppppppp" localSheetId="0">#REF!</definedName>
    <definedName name="ppppppppppppppp">#REF!</definedName>
    <definedName name="PR" localSheetId="0">#REF!</definedName>
    <definedName name="PR">#REF!</definedName>
    <definedName name="pra" localSheetId="0">#REF!</definedName>
    <definedName name="pra">#REF!</definedName>
    <definedName name="pradeep" localSheetId="0">#REF!</definedName>
    <definedName name="pradeep">#REF!</definedName>
    <definedName name="pre" localSheetId="0">#REF!</definedName>
    <definedName name="pre">#REF!</definedName>
    <definedName name="Precast" localSheetId="0">#REF!</definedName>
    <definedName name="Precast">#REF!</definedName>
    <definedName name="Precast_slab" localSheetId="0">#REF!</definedName>
    <definedName name="Precast_slab">#REF!</definedName>
    <definedName name="prefDivRate" localSheetId="0">#REF!</definedName>
    <definedName name="prefDivRate">#REF!</definedName>
    <definedName name="preli" localSheetId="0">#REF!</definedName>
    <definedName name="preli">#REF!</definedName>
    <definedName name="Preliminaries" localSheetId="0">#REF!</definedName>
    <definedName name="Preliminaries">#REF!</definedName>
    <definedName name="Prelm_Exp" localSheetId="0">#REF!</definedName>
    <definedName name="Prelm_Exp">#REF!</definedName>
    <definedName name="Pressed_tiles" localSheetId="0">#REF!</definedName>
    <definedName name="Pressed_tiles">#REF!</definedName>
    <definedName name="PressedTile">#REF!</definedName>
    <definedName name="Princ" localSheetId="0">#REF!</definedName>
    <definedName name="Princ">#REF!</definedName>
    <definedName name="prince" localSheetId="0">#REF!</definedName>
    <definedName name="prince">#REF!</definedName>
    <definedName name="prince1" localSheetId="0">#REF!</definedName>
    <definedName name="prince1">#REF!</definedName>
    <definedName name="PRINCE2" localSheetId="0">#REF!</definedName>
    <definedName name="PRINCE2">#REF!</definedName>
    <definedName name="PRINCE22" localSheetId="0">#REF!</definedName>
    <definedName name="PRINCE22">#REF!</definedName>
    <definedName name="prince25" localSheetId="0">#REF!</definedName>
    <definedName name="prince25">#REF!</definedName>
    <definedName name="Principal" localSheetId="0">#REF!</definedName>
    <definedName name="Principal">#REF!</definedName>
    <definedName name="Print" localSheetId="0">#REF!</definedName>
    <definedName name="Print">#REF!</definedName>
    <definedName name="_xlnm.Print_Area" localSheetId="3">'Bill Abs'!$A$1:$M$77</definedName>
    <definedName name="_xlnm.Print_Area" localSheetId="1">BOQ!$A$1:$F$61</definedName>
    <definedName name="_xlnm.Print_Area" localSheetId="2">Comparative!$A$1:$N$75</definedName>
    <definedName name="_xlnm.Print_Area" localSheetId="0">'Pandalur -covering'!$A$1:$J$37</definedName>
    <definedName name="_xlnm.Print_Area" localSheetId="5">'Pandalur Dt Wise'!$A$1:$J$451</definedName>
    <definedName name="_xlnm.Print_Area" localSheetId="4">Set!$A$1:$E$29</definedName>
    <definedName name="_xlnm.Print_Area" localSheetId="6">'Steel 1000MT '!$A$1:$K$105</definedName>
    <definedName name="_xlnm.Print_Area" localSheetId="7">'Steel 1500MT'!$A$1:$K$114</definedName>
    <definedName name="_xlnm.Print_Area">#REF!</definedName>
    <definedName name="PRINT_AREA_MI" localSheetId="0">#REF!</definedName>
    <definedName name="PRINT_AREA_MI">#REF!</definedName>
    <definedName name="PRINT_AREA_MI___0" localSheetId="0">#REF!</definedName>
    <definedName name="PRINT_AREA_MI___0">#REF!</definedName>
    <definedName name="Print_Area_Reset" localSheetId="0">OFFSET('Pandalur -covering'!Full_Print,0,0,Last_Row)</definedName>
    <definedName name="Print_Area_Reset">OFFSET(Full_Print,0,0,Last_Row)</definedName>
    <definedName name="Print_Checklist" localSheetId="0">#REF!</definedName>
    <definedName name="Print_Checklist">#REF!</definedName>
    <definedName name="Print_Cover" localSheetId="0">#REF!</definedName>
    <definedName name="Print_Cover">#REF!</definedName>
    <definedName name="Print_ITR" localSheetId="0">#REF!</definedName>
    <definedName name="Print_ITR">#REF!</definedName>
    <definedName name="Print_Range" localSheetId="0">#REF!</definedName>
    <definedName name="Print_Range">#REF!</definedName>
    <definedName name="Print_Settlement" localSheetId="0">#REF!</definedName>
    <definedName name="Print_Settlement">#REF!</definedName>
    <definedName name="Print_title" localSheetId="0">#REF!</definedName>
    <definedName name="Print_title">#REF!</definedName>
    <definedName name="_xlnm.Print_Titles" localSheetId="3">'Bill Abs'!$5:$7</definedName>
    <definedName name="_xlnm.Print_Titles" localSheetId="1">BOQ!$1:$3</definedName>
    <definedName name="_xlnm.Print_Titles" localSheetId="2">Comparative!$1:$5</definedName>
    <definedName name="_xlnm.Print_Titles" localSheetId="5">'Pandalur Dt Wise'!$1:$2</definedName>
    <definedName name="_xlnm.Print_Titles" localSheetId="4">Set!$6:$6</definedName>
    <definedName name="_xlnm.Print_Titles" localSheetId="6">'Steel 1000MT '!$1:$3</definedName>
    <definedName name="_xlnm.Print_Titles" localSheetId="7">'Steel 1500MT'!$1:$3</definedName>
    <definedName name="_xlnm.Print_Titles">#N/A</definedName>
    <definedName name="PRINT_TITLES_MI" localSheetId="0">#REF!</definedName>
    <definedName name="PRINT_TITLES_MI">#REF!</definedName>
    <definedName name="Print_TRA" localSheetId="0">#REF!</definedName>
    <definedName name="Print_TRA">#REF!</definedName>
    <definedName name="prnit" localSheetId="0">#REF!</definedName>
    <definedName name="prnit">#REF!</definedName>
    <definedName name="ProdForm" localSheetId="0" hidden="1">#REF!</definedName>
    <definedName name="ProdForm" hidden="1">#REF!</definedName>
    <definedName name="Product" localSheetId="0" hidden="1">#REF!</definedName>
    <definedName name="Product" hidden="1">#REF!</definedName>
    <definedName name="profit" localSheetId="0" hidden="1">{#N/A,"Good",TRUE,"Sheet1";#N/A,"Normal",TRUE,"Sheet1";#N/A,"Bad",TRUE,"Sheet1"}</definedName>
    <definedName name="profit" hidden="1">{#N/A,"Good",TRUE,"Sheet1";#N/A,"Normal",TRUE,"Sheet1";#N/A,"Bad",TRUE,"Sheet1"}</definedName>
    <definedName name="project" localSheetId="0">#REF!</definedName>
    <definedName name="project">#REF!</definedName>
    <definedName name="project1" localSheetId="0">#REF!</definedName>
    <definedName name="project1">#REF!</definedName>
    <definedName name="ProjectName">"Test"</definedName>
    <definedName name="ProjectName1">"Test"</definedName>
    <definedName name="ProjectName2">"Test"</definedName>
    <definedName name="ProjectName3">"Test"</definedName>
    <definedName name="provide" localSheetId="0">#REF!</definedName>
    <definedName name="provide">#REF!</definedName>
    <definedName name="PROVISION" localSheetId="0">#REF!</definedName>
    <definedName name="PROVISION">#REF!</definedName>
    <definedName name="Provisions" localSheetId="0">#REF!</definedName>
    <definedName name="Provisions">#REF!</definedName>
    <definedName name="Provisions_I" localSheetId="0">#REF!</definedName>
    <definedName name="Provisions_I">#REF!</definedName>
    <definedName name="PS" localSheetId="0">#REF!</definedName>
    <definedName name="PS">#REF!</definedName>
    <definedName name="PS___0" localSheetId="0">#REF!</definedName>
    <definedName name="PS___0">#REF!</definedName>
    <definedName name="PS___13" localSheetId="0">#REF!</definedName>
    <definedName name="PS___13">#REF!</definedName>
    <definedName name="psLibor" localSheetId="0">#REF!</definedName>
    <definedName name="psLibor">#REF!</definedName>
    <definedName name="pStartTaxHol" localSheetId="0">#REF!</definedName>
    <definedName name="pStartTaxHol">#REF!</definedName>
    <definedName name="PT" localSheetId="0">#REF!</definedName>
    <definedName name="PT">#REF!</definedName>
    <definedName name="ptr" localSheetId="0">#REF!</definedName>
    <definedName name="ptr">#REF!</definedName>
    <definedName name="pu" localSheetId="0">#REF!</definedName>
    <definedName name="Pu">#REF!</definedName>
    <definedName name="pub" localSheetId="0">#REF!</definedName>
    <definedName name="pub">#REF!</definedName>
    <definedName name="PUB_FileID" hidden="1">"L10003363.xls"</definedName>
    <definedName name="PUB_UserID" hidden="1">"MAYERX"</definedName>
    <definedName name="pubyfckbd" localSheetId="0">#REF!</definedName>
    <definedName name="pubyfckbd">#REF!</definedName>
    <definedName name="pubyfckbd1" localSheetId="0">#REF!</definedName>
    <definedName name="pubyfckbd1">#REF!</definedName>
    <definedName name="puc" localSheetId="0">#REF!</definedName>
    <definedName name="puc">#REF!</definedName>
    <definedName name="put" localSheetId="0">#REF!</definedName>
    <definedName name="put">#REF!</definedName>
    <definedName name="puzb" localSheetId="0">#REF!</definedName>
    <definedName name="puzb">#REF!</definedName>
    <definedName name="puzt" localSheetId="0">#REF!</definedName>
    <definedName name="puzt">#REF!</definedName>
    <definedName name="pvc_100" localSheetId="0">#REF!</definedName>
    <definedName name="pvc_100">#REF!</definedName>
    <definedName name="pvc_15" localSheetId="0">#REF!</definedName>
    <definedName name="pvc_15">#REF!</definedName>
    <definedName name="pvc_150" localSheetId="0">#REF!</definedName>
    <definedName name="pvc_150">#REF!</definedName>
    <definedName name="pvc_20" localSheetId="0">#REF!</definedName>
    <definedName name="pvc_20">#REF!</definedName>
    <definedName name="pvc_200" localSheetId="0">#REF!</definedName>
    <definedName name="pvc_200">#REF!</definedName>
    <definedName name="pvc_25" localSheetId="0">#REF!</definedName>
    <definedName name="pvc_25">#REF!</definedName>
    <definedName name="pvc_250" localSheetId="0">#REF!</definedName>
    <definedName name="pvc_250">#REF!</definedName>
    <definedName name="pvc_300" localSheetId="0">#REF!</definedName>
    <definedName name="pvc_300">#REF!</definedName>
    <definedName name="pvc_32" localSheetId="0">#REF!</definedName>
    <definedName name="pvc_32">#REF!</definedName>
    <definedName name="pvc_40" localSheetId="0">#REF!</definedName>
    <definedName name="pvc_40">#REF!</definedName>
    <definedName name="pvc_400" localSheetId="0">#REF!</definedName>
    <definedName name="pvc_400">#REF!</definedName>
    <definedName name="pvc_50" localSheetId="0">#REF!</definedName>
    <definedName name="pvc_50">#REF!</definedName>
    <definedName name="pvc_600" localSheetId="0">#REF!</definedName>
    <definedName name="pvc_600">#REF!</definedName>
    <definedName name="pvc_65" localSheetId="0">#REF!</definedName>
    <definedName name="pvc_65">#REF!</definedName>
    <definedName name="pvc_80" localSheetId="0">#REF!</definedName>
    <definedName name="pvc_80">#REF!</definedName>
    <definedName name="PVC_Above_Ground_Level" localSheetId="0">#REF!</definedName>
    <definedName name="PVC_Above_Ground_Level">[6]Data!#REF!</definedName>
    <definedName name="PVC_Below_Ground_Level" localSheetId="0">#REF!</definedName>
    <definedName name="PVC_Below_Ground_Level">[6]Data!#REF!</definedName>
    <definedName name="PVC_Soil_pipe" localSheetId="0">#REF!</definedName>
    <definedName name="PVC_Soil_pipe">#REF!</definedName>
    <definedName name="pve" localSheetId="0">#REF!</definedName>
    <definedName name="pve">[6]Data!#REF!</definedName>
    <definedName name="Pz" localSheetId="0">#REF!</definedName>
    <definedName name="Pz">#REF!</definedName>
    <definedName name="q" localSheetId="0">#REF!</definedName>
    <definedName name="q">#REF!</definedName>
    <definedName name="Qc" localSheetId="0">#REF!</definedName>
    <definedName name="Qc">#REF!</definedName>
    <definedName name="Qc___0" localSheetId="0">#REF!</definedName>
    <definedName name="Qc___0">#REF!</definedName>
    <definedName name="Qc___13" localSheetId="0">#REF!</definedName>
    <definedName name="Qc___13">#REF!</definedName>
    <definedName name="Qf" localSheetId="0">#REF!</definedName>
    <definedName name="Qf">#REF!</definedName>
    <definedName name="Qf___0" localSheetId="0">#REF!</definedName>
    <definedName name="Qf___0">#REF!</definedName>
    <definedName name="Qf___13" localSheetId="0">#REF!</definedName>
    <definedName name="Qf___13">#REF!</definedName>
    <definedName name="Qi" localSheetId="0">#REF!</definedName>
    <definedName name="Qi">#REF!</definedName>
    <definedName name="Qi___0" localSheetId="0">#REF!</definedName>
    <definedName name="Qi___0">#REF!</definedName>
    <definedName name="Qi___13" localSheetId="0">#REF!</definedName>
    <definedName name="Qi___13">#REF!</definedName>
    <definedName name="Ql" localSheetId="0">#REF!</definedName>
    <definedName name="Ql">#REF!</definedName>
    <definedName name="Ql___0" localSheetId="0">#REF!</definedName>
    <definedName name="Ql___0">#REF!</definedName>
    <definedName name="Ql___13" localSheetId="0">#REF!</definedName>
    <definedName name="Ql___13">#REF!</definedName>
    <definedName name="qq" localSheetId="0">#REF!</definedName>
    <definedName name="qq">#REF!</definedName>
    <definedName name="qqq" localSheetId="0" hidden="1">#REF!</definedName>
    <definedName name="qqq" hidden="1">#REF!</definedName>
    <definedName name="qqqqq" localSheetId="0">#REF!</definedName>
    <definedName name="qqqqq">#REF!</definedName>
    <definedName name="QQQQQQQQQQQQQ" localSheetId="0">#REF!</definedName>
    <definedName name="QQQQQQQQQQQQQ">#REF!</definedName>
    <definedName name="qqqqqqqqqqqqqqqq" localSheetId="0">#REF!</definedName>
    <definedName name="qqqqqqqqqqqqqqqq">#REF!</definedName>
    <definedName name="QRQWD" localSheetId="0">#REF!</definedName>
    <definedName name="QRQWD">#REF!</definedName>
    <definedName name="Qspan" localSheetId="0">#REF!</definedName>
    <definedName name="Qspan">#REF!</definedName>
    <definedName name="Qty_as_on" localSheetId="0">#REF!</definedName>
    <definedName name="Qty_as_on">#REF!</definedName>
    <definedName name="Qty_as_on_apr" localSheetId="0">#REF!</definedName>
    <definedName name="Qty_as_on_apr">#REF!</definedName>
    <definedName name="QtyB02" localSheetId="0">#REF!</definedName>
    <definedName name="QtyB02">#REF!</definedName>
    <definedName name="QtyB05" localSheetId="0">#REF!</definedName>
    <definedName name="QtyB05">#REF!</definedName>
    <definedName name="QtyB06" localSheetId="0">#REF!</definedName>
    <definedName name="QtyB06">#REF!</definedName>
    <definedName name="QtyB07" localSheetId="0">#REF!</definedName>
    <definedName name="QtyB07">#REF!</definedName>
    <definedName name="qua" localSheetId="0">#REF!</definedName>
    <definedName name="qua">#REF!</definedName>
    <definedName name="Quantity">"C1"</definedName>
    <definedName name="QUANTITY1" localSheetId="0">#REF!</definedName>
    <definedName name="QUANTITY1">#REF!</definedName>
    <definedName name="quanty" localSheetId="0">#REF!</definedName>
    <definedName name="quanty">#REF!</definedName>
    <definedName name="quar" localSheetId="0">#REF!</definedName>
    <definedName name="quar">#REF!</definedName>
    <definedName name="QUARTZ" localSheetId="0">#REF!</definedName>
    <definedName name="QUARTZ">#REF!</definedName>
    <definedName name="Qv" localSheetId="0">#REF!</definedName>
    <definedName name="Qv">#REF!</definedName>
    <definedName name="qw" localSheetId="0">#REF!</definedName>
    <definedName name="qw">#REF!</definedName>
    <definedName name="qww" localSheetId="0">Scheduled_Payment+Extra_Payment</definedName>
    <definedName name="qww">Scheduled_Payment+Extra_Payment</definedName>
    <definedName name="qwwww" localSheetId="0">#REF!</definedName>
    <definedName name="qwwww">#REF!</definedName>
    <definedName name="qwy" localSheetId="0">Scheduled_Payment+Extra_Payment</definedName>
    <definedName name="qwy">Scheduled_Payment+Extra_Payment</definedName>
    <definedName name="r.p.sarma" localSheetId="0">#REF!</definedName>
    <definedName name="r.p.sarma">#REF!</definedName>
    <definedName name="R.R_1.3" localSheetId="0">#REF!</definedName>
    <definedName name="R.R_1.3">#REF!</definedName>
    <definedName name="R.R_1.5" localSheetId="0">#REF!</definedName>
    <definedName name="R.R_1.5">#REF!</definedName>
    <definedName name="R.R_1.6" localSheetId="0">#REF!</definedName>
    <definedName name="R.R_1.6">#REF!</definedName>
    <definedName name="R.R_2">#REF!</definedName>
    <definedName name="R.R_2.0">#REF!</definedName>
    <definedName name="R.R_2.3">#REF!</definedName>
    <definedName name="R.R_2.5">#REF!</definedName>
    <definedName name="R.R_2.6">#REF!</definedName>
    <definedName name="r.v.pal" localSheetId="0">#REF!</definedName>
    <definedName name="r.v.pal">#REF!</definedName>
    <definedName name="r.v.pall" localSheetId="0">#REF!</definedName>
    <definedName name="r.v.pall">#REF!</definedName>
    <definedName name="R_" localSheetId="0">#REF!</definedName>
    <definedName name="R_">#REF!</definedName>
    <definedName name="R___variation_factor_in_capacity_per_degree_Celcius" localSheetId="0">#REF!</definedName>
    <definedName name="R___variation_factor_in_capacity_per_degree_Celcius">#REF!</definedName>
    <definedName name="Ra" localSheetId="0">#REF!</definedName>
    <definedName name="Ra">#REF!</definedName>
    <definedName name="raams" localSheetId="0">#REF!</definedName>
    <definedName name="raams">#REF!</definedName>
    <definedName name="RAAMS12" localSheetId="0">#REF!</definedName>
    <definedName name="RAAMS12">#REF!</definedName>
    <definedName name="raams23" localSheetId="0">#REF!</definedName>
    <definedName name="raams23">#REF!</definedName>
    <definedName name="RAFTArea" localSheetId="0">#REF!</definedName>
    <definedName name="RAFTArea">#REF!</definedName>
    <definedName name="RaftD" localSheetId="0">#REF!</definedName>
    <definedName name="RaftD">#REF!</definedName>
    <definedName name="RAFTPerimeter" localSheetId="0">#REF!</definedName>
    <definedName name="RAFTPerimeter">#REF!</definedName>
    <definedName name="RaftSlbThk" localSheetId="0">#REF!</definedName>
    <definedName name="RaftSlbThk">#REF!</definedName>
    <definedName name="Rain_water" localSheetId="0">#REF!</definedName>
    <definedName name="Rain_water">#REF!</definedName>
    <definedName name="RAIN_WATER_DOWNFALL_PIPE" localSheetId="0">#REF!</definedName>
    <definedName name="RAIN_WATER_DOWNFALL_PIPE">#REF!</definedName>
    <definedName name="raj" localSheetId="0">'[5]ALL ITEMS-RATE'!$E$111</definedName>
    <definedName name="Raj" hidden="1">{"'Sheet1'!$A$4386:$N$4591"}</definedName>
    <definedName name="raja" localSheetId="0">#REF!</definedName>
    <definedName name="RAJA">#REF!</definedName>
    <definedName name="rajakansari" localSheetId="0">#REF!</definedName>
    <definedName name="rajakansari">#REF!</definedName>
    <definedName name="rajan" localSheetId="0">#REF!</definedName>
    <definedName name="rajan">[8]data!#REF!</definedName>
    <definedName name="rakesh" localSheetId="0">#REF!</definedName>
    <definedName name="rakesh">#REF!</definedName>
    <definedName name="ram" localSheetId="0">#REF!</definedName>
    <definedName name="ram">#REF!</definedName>
    <definedName name="RASH" localSheetId="0">#REF!</definedName>
    <definedName name="RASH">#REF!</definedName>
    <definedName name="RatAna" localSheetId="0">#REF!</definedName>
    <definedName name="RatAna">#REF!</definedName>
    <definedName name="RATE" localSheetId="0">#REF!</definedName>
    <definedName name="rate">#REF!</definedName>
    <definedName name="Rate_for_1_Cum" localSheetId="0">#REF!</definedName>
    <definedName name="Rate_for_1_Cum">#REF!</definedName>
    <definedName name="RateB02" localSheetId="0">#REF!</definedName>
    <definedName name="RateB02">#REF!</definedName>
    <definedName name="RateB05" localSheetId="0">#REF!</definedName>
    <definedName name="RateB05">#REF!</definedName>
    <definedName name="RateB06" localSheetId="0">#REF!</definedName>
    <definedName name="RateB06">#REF!</definedName>
    <definedName name="RateB07" localSheetId="0">#REF!</definedName>
    <definedName name="RateB07">#REF!</definedName>
    <definedName name="RateMaxDemChrgs" localSheetId="0">#REF!</definedName>
    <definedName name="RateMaxDemChrgs">#REF!</definedName>
    <definedName name="RateMaxDemChrgs_I" localSheetId="0">#REF!</definedName>
    <definedName name="RateMaxDemChrgs_I">#REF!</definedName>
    <definedName name="RATES__ADJUSTMENT__AREA" localSheetId="0">#REF!</definedName>
    <definedName name="RATES__ADJUSTMENT__AREA">#REF!</definedName>
    <definedName name="RCArea" localSheetId="0" hidden="1">#REF!</definedName>
    <definedName name="RCArea" hidden="1">#REF!</definedName>
    <definedName name="RCC.1.1.2_MB">#REF!</definedName>
    <definedName name="RCC.1.1.5.3_MB">#REF!</definedName>
    <definedName name="RCC.1.2.4_MB">#REF!</definedName>
    <definedName name="RCT" localSheetId="0">#REF!</definedName>
    <definedName name="RCT">#REF!</definedName>
    <definedName name="RCVFINAL" localSheetId="0">#REF!</definedName>
    <definedName name="RCVFINAL">#REF!</definedName>
    <definedName name="rcwbgl" localSheetId="0">#REF!</definedName>
    <definedName name="rcwbgl">#REF!</definedName>
    <definedName name="rcwbgl2" localSheetId="0">#REF!</definedName>
    <definedName name="rcwbgl2">#REF!</definedName>
    <definedName name="RD_InputTable" localSheetId="0">#REF!</definedName>
    <definedName name="RD_InputTable">#REF!</definedName>
    <definedName name="RD_OutputTable" localSheetId="0">#REF!</definedName>
    <definedName name="RD_OutputTable">#REF!</definedName>
    <definedName name="RDN" localSheetId="0" hidden="1">{#N/A,#N/A,FALSE,"COVER.XLS";#N/A,#N/A,FALSE,"RACT1.XLS";#N/A,#N/A,FALSE,"RACT2.XLS";#N/A,#N/A,FALSE,"ECCMP";#N/A,#N/A,FALSE,"WELDER.XLS"}</definedName>
    <definedName name="RDN" hidden="1">{#N/A,#N/A,FALSE,"COVER.XLS";#N/A,#N/A,FALSE,"RACT1.XLS";#N/A,#N/A,FALSE,"RACT2.XLS";#N/A,#N/A,FALSE,"ECCMP";#N/A,#N/A,FALSE,"WELDER.XLS"}</definedName>
    <definedName name="Re" localSheetId="0">#REF!</definedName>
    <definedName name="Re">#REF!</definedName>
    <definedName name="Re___0" localSheetId="0">#REF!</definedName>
    <definedName name="Re___0">#REF!</definedName>
    <definedName name="Re___13" localSheetId="0">#REF!</definedName>
    <definedName name="Re___13">#REF!</definedName>
    <definedName name="Rebar_Qty._for_Bottom_L" localSheetId="0">#REF!</definedName>
    <definedName name="Rebar_Qty._for_Bottom_L">#REF!</definedName>
    <definedName name="RebIns" localSheetId="0">#REF!</definedName>
    <definedName name="RebIns">#REF!</definedName>
    <definedName name="RebIns_I" localSheetId="0">#REF!</definedName>
    <definedName name="RebIns_I">#REF!</definedName>
    <definedName name="rec" localSheetId="0">#REF!</definedName>
    <definedName name="rec">#REF!</definedName>
    <definedName name="receipt" localSheetId="0">#REF!</definedName>
    <definedName name="receipt">#REF!</definedName>
    <definedName name="Receivables" localSheetId="0">#REF!</definedName>
    <definedName name="Receivables">#REF!</definedName>
    <definedName name="Receivables_I" localSheetId="0">#REF!</definedName>
    <definedName name="Receivables_I">#REF!</definedName>
    <definedName name="RECON" localSheetId="0" hidden="1">{"form-D1",#N/A,FALSE,"FORM-D1";"form-D1_amt",#N/A,FALSE,"FORM-D1"}</definedName>
    <definedName name="RECON" hidden="1">{"form-D1",#N/A,FALSE,"FORM-D1";"form-D1_amt",#N/A,FALSE,"FORM-D1"}</definedName>
    <definedName name="RECON_1" localSheetId="0" hidden="1">{"form-D1",#N/A,FALSE,"FORM-D1";"form-D1_amt",#N/A,FALSE,"FORM-D1"}</definedName>
    <definedName name="RECON_1" hidden="1">{"form-D1",#N/A,FALSE,"FORM-D1";"form-D1_amt",#N/A,FALSE,"FORM-D1"}</definedName>
    <definedName name="RECON_1_1" localSheetId="0" hidden="1">{"form-D1",#N/A,FALSE,"FORM-D1";"form-D1_amt",#N/A,FALSE,"FORM-D1"}</definedName>
    <definedName name="RECON_1_1" hidden="1">{"form-D1",#N/A,FALSE,"FORM-D1";"form-D1_amt",#N/A,FALSE,"FORM-D1"}</definedName>
    <definedName name="RECON_1_2" localSheetId="0" hidden="1">{"form-D1",#N/A,FALSE,"FORM-D1";"form-D1_amt",#N/A,FALSE,"FORM-D1"}</definedName>
    <definedName name="RECON_1_2" hidden="1">{"form-D1",#N/A,FALSE,"FORM-D1";"form-D1_amt",#N/A,FALSE,"FORM-D1"}</definedName>
    <definedName name="RECON_2" localSheetId="0" hidden="1">{"form-D1",#N/A,FALSE,"FORM-D1";"form-D1_amt",#N/A,FALSE,"FORM-D1"}</definedName>
    <definedName name="RECON_2" hidden="1">{"form-D1",#N/A,FALSE,"FORM-D1";"form-D1_amt",#N/A,FALSE,"FORM-D1"}</definedName>
    <definedName name="RECON_2_1" localSheetId="0" hidden="1">{"form-D1",#N/A,FALSE,"FORM-D1";"form-D1_amt",#N/A,FALSE,"FORM-D1"}</definedName>
    <definedName name="RECON_2_1" hidden="1">{"form-D1",#N/A,FALSE,"FORM-D1";"form-D1_amt",#N/A,FALSE,"FORM-D1"}</definedName>
    <definedName name="RECON_3" localSheetId="0" hidden="1">{"form-D1",#N/A,FALSE,"FORM-D1";"form-D1_amt",#N/A,FALSE,"FORM-D1"}</definedName>
    <definedName name="RECON_3" hidden="1">{"form-D1",#N/A,FALSE,"FORM-D1";"form-D1_amt",#N/A,FALSE,"FORM-D1"}</definedName>
    <definedName name="RECON_3_1" localSheetId="0" hidden="1">{"form-D1",#N/A,FALSE,"FORM-D1";"form-D1_amt",#N/A,FALSE,"FORM-D1"}</definedName>
    <definedName name="RECON_3_1" hidden="1">{"form-D1",#N/A,FALSE,"FORM-D1";"form-D1_amt",#N/A,FALSE,"FORM-D1"}</definedName>
    <definedName name="RECON_4" localSheetId="0" hidden="1">{"form-D1",#N/A,FALSE,"FORM-D1";"form-D1_amt",#N/A,FALSE,"FORM-D1"}</definedName>
    <definedName name="RECON_4" hidden="1">{"form-D1",#N/A,FALSE,"FORM-D1";"form-D1_amt",#N/A,FALSE,"FORM-D1"}</definedName>
    <definedName name="RECON_4_1" localSheetId="0" hidden="1">{"form-D1",#N/A,FALSE,"FORM-D1";"form-D1_amt",#N/A,FALSE,"FORM-D1"}</definedName>
    <definedName name="RECON_4_1" hidden="1">{"form-D1",#N/A,FALSE,"FORM-D1";"form-D1_amt",#N/A,FALSE,"FORM-D1"}</definedName>
    <definedName name="RECON_5" localSheetId="0" hidden="1">{"form-D1",#N/A,FALSE,"FORM-D1";"form-D1_amt",#N/A,FALSE,"FORM-D1"}</definedName>
    <definedName name="RECON_5" hidden="1">{"form-D1",#N/A,FALSE,"FORM-D1";"form-D1_amt",#N/A,FALSE,"FORM-D1"}</definedName>
    <definedName name="RECON_5_1" localSheetId="0" hidden="1">{"form-D1",#N/A,FALSE,"FORM-D1";"form-D1_amt",#N/A,FALSE,"FORM-D1"}</definedName>
    <definedName name="RECON_5_1" hidden="1">{"form-D1",#N/A,FALSE,"FORM-D1";"form-D1_amt",#N/A,FALSE,"FORM-D1"}</definedName>
    <definedName name="reconcilation" localSheetId="0">#REF!</definedName>
    <definedName name="reconcilation">#REF!</definedName>
    <definedName name="_xlnm.Recorder" localSheetId="0">#REF!</definedName>
    <definedName name="_xlnm.Recorder">#REF!</definedName>
    <definedName name="RECOUT">#N/A</definedName>
    <definedName name="rect_4_415" localSheetId="0">#REF!</definedName>
    <definedName name="rect_4_415">#REF!</definedName>
    <definedName name="REDOXIDE">#REF!</definedName>
    <definedName name="reee" localSheetId="0">#REF!</definedName>
    <definedName name="reee">#REF!</definedName>
    <definedName name="RefDwg" localSheetId="0">#REF!</definedName>
    <definedName name="RefDwg">#REF!</definedName>
    <definedName name="REGULAR_STAFF" localSheetId="0">#REF!</definedName>
    <definedName name="REGULAR_STAFF">#REF!</definedName>
    <definedName name="REGULAR_STAFF_ENTRY" localSheetId="0">#REF!</definedName>
    <definedName name="REGULAR_STAFF_ENTRY">#REF!</definedName>
    <definedName name="REHAB" localSheetId="0">#REF!</definedName>
    <definedName name="REHAB">#REF!</definedName>
    <definedName name="REINFORCE">#REF!</definedName>
    <definedName name="REINFORCEMENT" localSheetId="0">#REF!</definedName>
    <definedName name="REINFORCEMENT">#REF!</definedName>
    <definedName name="RejCon" localSheetId="0">#REF!</definedName>
    <definedName name="RejCon">#REF!</definedName>
    <definedName name="RejCon_I" localSheetId="0">#REF!</definedName>
    <definedName name="RejCon_I">#REF!</definedName>
    <definedName name="rel" localSheetId="0">#REF!</definedName>
    <definedName name="rel">#REF!</definedName>
    <definedName name="req" localSheetId="0">#REF!</definedName>
    <definedName name="req">#REF!</definedName>
    <definedName name="reqDSRCov" localSheetId="0">#REF!</definedName>
    <definedName name="reqDSRCov">#REF!</definedName>
    <definedName name="res_sum" localSheetId="0" hidden="1">{#N/A,#N/A,FALSE,"COVER1.XLS ";#N/A,#N/A,FALSE,"RACT1.XLS";#N/A,#N/A,FALSE,"RACT2.XLS";#N/A,#N/A,FALSE,"ECCMP";#N/A,#N/A,FALSE,"WELDER.XLS"}</definedName>
    <definedName name="res_sum" hidden="1">{#N/A,#N/A,FALSE,"COVER1.XLS ";#N/A,#N/A,FALSE,"RACT1.XLS";#N/A,#N/A,FALSE,"RACT2.XLS";#N/A,#N/A,FALSE,"ECCMP";#N/A,#N/A,FALSE,"WELDER.XLS"}</definedName>
    <definedName name="ret" localSheetId="0" hidden="1">{"Total Indirect Manpower",#N/A,FALSE,"J";"Total Direct Manpower",#N/A,FALSE,"J";"Direct Structural Manpower",#N/A,FALSE,"J";"Direct Mechanical Manpower",#N/A,FALSE,"J";"Direct Piping Manpower",#N/A,FALSE,"J";"Direct Tanks Manpower",#N/A,FALSE,"J";"Direct ElecInstrSS Manpower",#N/A,FALSE,"J"}</definedName>
    <definedName name="ret" hidden="1">{"Total Indirect Manpower",#N/A,FALSE,"J";"Total Direct Manpower",#N/A,FALSE,"J";"Direct Structural Manpower",#N/A,FALSE,"J";"Direct Mechanical Manpower",#N/A,FALSE,"J";"Direct Piping Manpower",#N/A,FALSE,"J";"Direct Tanks Manpower",#N/A,FALSE,"J";"Direct ElecInstrSS Manpower",#N/A,FALSE,"J"}</definedName>
    <definedName name="RetaingWallLength" localSheetId="0">#REF!</definedName>
    <definedName name="RetaingWallLength">#REF!</definedName>
    <definedName name="rete" localSheetId="0">#REF!</definedName>
    <definedName name="rete">#REF!</definedName>
    <definedName name="retn" localSheetId="0">#REF!</definedName>
    <definedName name="retn">#REF!</definedName>
    <definedName name="reu" localSheetId="0" hidden="1">{#N/A,#N/A,FALSE,"gc (2)"}</definedName>
    <definedName name="reu" hidden="1">{#N/A,#N/A,FALSE,"gc (2)"}</definedName>
    <definedName name="Rev" localSheetId="0">#REF!</definedName>
    <definedName name="Rev">#REF!</definedName>
    <definedName name="REVISED" localSheetId="0">#REF!</definedName>
    <definedName name="REVISED">#REF!</definedName>
    <definedName name="Revision" localSheetId="0">#REF!</definedName>
    <definedName name="Revision">#REF!</definedName>
    <definedName name="revision1" localSheetId="0">#REF!</definedName>
    <definedName name="revision1">#REF!</definedName>
    <definedName name="REVISION12" localSheetId="0">#REF!</definedName>
    <definedName name="REVISION12">#REF!</definedName>
    <definedName name="REVISION23" localSheetId="0">#REF!</definedName>
    <definedName name="REVISION23">#REF!</definedName>
    <definedName name="REW" localSheetId="0">#REF!</definedName>
    <definedName name="REW">#REF!</definedName>
    <definedName name="reya" localSheetId="0" hidden="1">{"office ltcg",#N/A,FALSE,"gain01";"IT LTCG",#N/A,FALSE,"gain01"}</definedName>
    <definedName name="reya" hidden="1">{"office ltcg",#N/A,FALSE,"gain01";"IT LTCG",#N/A,FALSE,"gain01"}</definedName>
    <definedName name="RFP003A" localSheetId="0">#REF!</definedName>
    <definedName name="RFP003A">#REF!</definedName>
    <definedName name="RFP003B" localSheetId="0">#REF!</definedName>
    <definedName name="RFP003B">#REF!</definedName>
    <definedName name="RFP003C" localSheetId="0">#REF!</definedName>
    <definedName name="RFP003C">#REF!</definedName>
    <definedName name="RFP003D" localSheetId="0">#REF!</definedName>
    <definedName name="RFP003D">#REF!</definedName>
    <definedName name="RFP003E" localSheetId="0">#REF!</definedName>
    <definedName name="RFP003E">#REF!</definedName>
    <definedName name="RFP003F" localSheetId="0">#REF!</definedName>
    <definedName name="RFP003F">#REF!</definedName>
    <definedName name="Rg" localSheetId="0">#REF!</definedName>
    <definedName name="Rg">#REF!</definedName>
    <definedName name="rgs" localSheetId="0">#REF!</definedName>
    <definedName name="rgs">#REF!</definedName>
    <definedName name="RH" localSheetId="0">#REF!</definedName>
    <definedName name="RH">#REF!</definedName>
    <definedName name="rho" localSheetId="0">#REF!</definedName>
    <definedName name="rho">#REF!</definedName>
    <definedName name="RHS" localSheetId="0">#REF!</definedName>
    <definedName name="RHS">#REF!</definedName>
    <definedName name="rig" localSheetId="0">#REF!</definedName>
    <definedName name="rig">#REF!</definedName>
    <definedName name="ripal" localSheetId="0" hidden="1">{#N/A,#N/A,FALSE,"gc (2)"}</definedName>
    <definedName name="ripal" hidden="1">{#N/A,#N/A,FALSE,"gc (2)"}</definedName>
    <definedName name="RL" localSheetId="0">[18]Rate!$A$2:$E$345</definedName>
    <definedName name="Rl">#REF!</definedName>
    <definedName name="Rl___0" localSheetId="0">#REF!</definedName>
    <definedName name="Rl___0">#REF!</definedName>
    <definedName name="Rl___13" localSheetId="0">#REF!</definedName>
    <definedName name="Rl___13">#REF!</definedName>
    <definedName name="Rlead" localSheetId="0">#REF!</definedName>
    <definedName name="Rlead">#REF!</definedName>
    <definedName name="Rm" localSheetId="0">#REF!</definedName>
    <definedName name="Rm">#REF!</definedName>
    <definedName name="RNNN" localSheetId="0">#REF!</definedName>
    <definedName name="RNNN">#REF!</definedName>
    <definedName name="road" localSheetId="0">#REF!</definedName>
    <definedName name="road">#REF!</definedName>
    <definedName name="Roads___Footpaths" localSheetId="0">#REF!</definedName>
    <definedName name="Roads___Footpaths">#REF!</definedName>
    <definedName name="robot" localSheetId="0">#REF!</definedName>
    <definedName name="robot">#REF!</definedName>
    <definedName name="robot1" localSheetId="0">#REF!</definedName>
    <definedName name="robot1">#REF!</definedName>
    <definedName name="ROCE" localSheetId="0">#REF!</definedName>
    <definedName name="ROCE">#REF!</definedName>
    <definedName name="Roof" localSheetId="0">#REF!</definedName>
    <definedName name="Roof">#REF!</definedName>
    <definedName name="rose" localSheetId="0">#REF!</definedName>
    <definedName name="rose">#REF!</definedName>
    <definedName name="rosid" localSheetId="0">#REF!</definedName>
    <definedName name="rosid">#REF!</definedName>
    <definedName name="round" localSheetId="0">#REF!</definedName>
    <definedName name="round">#REF!</definedName>
    <definedName name="RQQQ" localSheetId="0">#REF!</definedName>
    <definedName name="RQQQ">#REF!</definedName>
    <definedName name="rr" localSheetId="0">#REF!</definedName>
    <definedName name="Rr">#REF!</definedName>
    <definedName name="rrammv" localSheetId="0">#REF!</definedName>
    <definedName name="rrammv">#REF!</definedName>
    <definedName name="Rrelay" localSheetId="0">#REF!</definedName>
    <definedName name="Rrelay">#REF!</definedName>
    <definedName name="rrr" localSheetId="0">#REF!</definedName>
    <definedName name="rrr">#REF!</definedName>
    <definedName name="rrrrrr" localSheetId="0">#REF!</definedName>
    <definedName name="rrrrrr">#REF!</definedName>
    <definedName name="rrrrrrrrr" localSheetId="0">#REF!</definedName>
    <definedName name="rrrrrrrrr">#REF!</definedName>
    <definedName name="rrrrrrrrrr" localSheetId="0">#REF!</definedName>
    <definedName name="rrrrrrrrrr">#REF!</definedName>
    <definedName name="rrrrrrrrrrr" localSheetId="0">#REF!</definedName>
    <definedName name="rrrrrrrrrrr">#REF!</definedName>
    <definedName name="rrrrrrrrrrrrrrrrrrrr" localSheetId="0">#REF!</definedName>
    <definedName name="rrrrrrrrrrrrrrrrrrrr">#REF!</definedName>
    <definedName name="RRstone" localSheetId="0">#REF!</definedName>
    <definedName name="RRstone">#REF!</definedName>
    <definedName name="RRstones" localSheetId="0">#REF!</definedName>
    <definedName name="RRstones">#REF!</definedName>
    <definedName name="Rs" localSheetId="0">#REF!</definedName>
    <definedName name="Rs">#REF!</definedName>
    <definedName name="Rs___0" localSheetId="0">#REF!</definedName>
    <definedName name="Rs___0">#REF!</definedName>
    <definedName name="Rs___13" localSheetId="0">#REF!</definedName>
    <definedName name="Rs___13">#REF!</definedName>
    <definedName name="rsat" localSheetId="0">#REF!</definedName>
    <definedName name="rsat">#REF!</definedName>
    <definedName name="Rse" localSheetId="0">#REF!</definedName>
    <definedName name="Rse">#REF!</definedName>
    <definedName name="Rse___0" localSheetId="0">#REF!</definedName>
    <definedName name="Rse___0">#REF!</definedName>
    <definedName name="Rse___13" localSheetId="0">#REF!</definedName>
    <definedName name="Rse___13">#REF!</definedName>
    <definedName name="RSEMULSIOn" localSheetId="0">#REF!</definedName>
    <definedName name="RSEMULSIOn">#REF!</definedName>
    <definedName name="rto" localSheetId="0">[19]Steel!$A$2:$B$8</definedName>
    <definedName name="rto">[20]Steel!$A$2:$B$8</definedName>
    <definedName name="rtrt" localSheetId="0">#REF!</definedName>
    <definedName name="rtrt">#REF!</definedName>
    <definedName name="rtrtrt" localSheetId="0">#REF!</definedName>
    <definedName name="rtrtrt">#REF!</definedName>
    <definedName name="rttrt" localSheetId="0" hidden="1">{"form-D1",#N/A,FALSE,"FORM-D1";"form-D1_amt",#N/A,FALSE,"FORM-D1"}</definedName>
    <definedName name="rttrt" hidden="1">{"form-D1",#N/A,FALSE,"FORM-D1";"form-D1_amt",#N/A,FALSE,"FORM-D1"}</definedName>
    <definedName name="rttrt_1" localSheetId="0" hidden="1">{"form-D1",#N/A,FALSE,"FORM-D1";"form-D1_amt",#N/A,FALSE,"FORM-D1"}</definedName>
    <definedName name="rttrt_1" hidden="1">{"form-D1",#N/A,FALSE,"FORM-D1";"form-D1_amt",#N/A,FALSE,"FORM-D1"}</definedName>
    <definedName name="rttrt_1_1" localSheetId="0" hidden="1">{"form-D1",#N/A,FALSE,"FORM-D1";"form-D1_amt",#N/A,FALSE,"FORM-D1"}</definedName>
    <definedName name="rttrt_1_1" hidden="1">{"form-D1",#N/A,FALSE,"FORM-D1";"form-D1_amt",#N/A,FALSE,"FORM-D1"}</definedName>
    <definedName name="rttrt_1_2" localSheetId="0" hidden="1">{"form-D1",#N/A,FALSE,"FORM-D1";"form-D1_amt",#N/A,FALSE,"FORM-D1"}</definedName>
    <definedName name="rttrt_1_2" hidden="1">{"form-D1",#N/A,FALSE,"FORM-D1";"form-D1_amt",#N/A,FALSE,"FORM-D1"}</definedName>
    <definedName name="rttrt_2" localSheetId="0" hidden="1">{"form-D1",#N/A,FALSE,"FORM-D1";"form-D1_amt",#N/A,FALSE,"FORM-D1"}</definedName>
    <definedName name="rttrt_2" hidden="1">{"form-D1",#N/A,FALSE,"FORM-D1";"form-D1_amt",#N/A,FALSE,"FORM-D1"}</definedName>
    <definedName name="rttrt_2_1" localSheetId="0" hidden="1">{"form-D1",#N/A,FALSE,"FORM-D1";"form-D1_amt",#N/A,FALSE,"FORM-D1"}</definedName>
    <definedName name="rttrt_2_1" hidden="1">{"form-D1",#N/A,FALSE,"FORM-D1";"form-D1_amt",#N/A,FALSE,"FORM-D1"}</definedName>
    <definedName name="rttrt_3" localSheetId="0" hidden="1">{"form-D1",#N/A,FALSE,"FORM-D1";"form-D1_amt",#N/A,FALSE,"FORM-D1"}</definedName>
    <definedName name="rttrt_3" hidden="1">{"form-D1",#N/A,FALSE,"FORM-D1";"form-D1_amt",#N/A,FALSE,"FORM-D1"}</definedName>
    <definedName name="rttrt_3_1" localSheetId="0" hidden="1">{"form-D1",#N/A,FALSE,"FORM-D1";"form-D1_amt",#N/A,FALSE,"FORM-D1"}</definedName>
    <definedName name="rttrt_3_1" hidden="1">{"form-D1",#N/A,FALSE,"FORM-D1";"form-D1_amt",#N/A,FALSE,"FORM-D1"}</definedName>
    <definedName name="rttrt_4" localSheetId="0" hidden="1">{"form-D1",#N/A,FALSE,"FORM-D1";"form-D1_amt",#N/A,FALSE,"FORM-D1"}</definedName>
    <definedName name="rttrt_4" hidden="1">{"form-D1",#N/A,FALSE,"FORM-D1";"form-D1_amt",#N/A,FALSE,"FORM-D1"}</definedName>
    <definedName name="rttrt_4_1" localSheetId="0" hidden="1">{"form-D1",#N/A,FALSE,"FORM-D1";"form-D1_amt",#N/A,FALSE,"FORM-D1"}</definedName>
    <definedName name="rttrt_4_1" hidden="1">{"form-D1",#N/A,FALSE,"FORM-D1";"form-D1_amt",#N/A,FALSE,"FORM-D1"}</definedName>
    <definedName name="rttrt_5" localSheetId="0" hidden="1">{"form-D1",#N/A,FALSE,"FORM-D1";"form-D1_amt",#N/A,FALSE,"FORM-D1"}</definedName>
    <definedName name="rttrt_5" hidden="1">{"form-D1",#N/A,FALSE,"FORM-D1";"form-D1_amt",#N/A,FALSE,"FORM-D1"}</definedName>
    <definedName name="rttrt_5_1" localSheetId="0" hidden="1">{"form-D1",#N/A,FALSE,"FORM-D1";"form-D1_amt",#N/A,FALSE,"FORM-D1"}</definedName>
    <definedName name="rttrt_5_1" hidden="1">{"form-D1",#N/A,FALSE,"FORM-D1";"form-D1_amt",#N/A,FALSE,"FORM-D1"}</definedName>
    <definedName name="RTTRTRTR"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y" localSheetId="0">#REF!</definedName>
    <definedName name="rty">#REF!</definedName>
    <definedName name="rwere" localSheetId="0" hidden="1">{#N/A,#N/A,FALSE,"COVER1.XLS ";#N/A,#N/A,FALSE,"RACT1.XLS";#N/A,#N/A,FALSE,"RACT2.XLS";#N/A,#N/A,FALSE,"ECCMP";#N/A,#N/A,FALSE,"WELDER.XLS"}</definedName>
    <definedName name="rwere" hidden="1">{#N/A,#N/A,FALSE,"COVER1.XLS ";#N/A,#N/A,FALSE,"RACT1.XLS";#N/A,#N/A,FALSE,"RACT2.XLS";#N/A,#N/A,FALSE,"ECCMP";#N/A,#N/A,FALSE,"WELDER.XLS"}</definedName>
    <definedName name="RWP" localSheetId="0">#REF!</definedName>
    <definedName name="RWP">#REF!</definedName>
    <definedName name="rwrwrwrwrwrwr" localSheetId="0">#REF!</definedName>
    <definedName name="rwrwrwrwrwrwr">#REF!</definedName>
    <definedName name="s" localSheetId="0">#REF!</definedName>
    <definedName name="s">#REF!</definedName>
    <definedName name="S.L.WALL" localSheetId="0">#REF!</definedName>
    <definedName name="S.L.WALL">#REF!</definedName>
    <definedName name="s.l.wallls" localSheetId="0">#REF!</definedName>
    <definedName name="s.l.wallls">#REF!</definedName>
    <definedName name="S.L.WALLS" localSheetId="0">#REF!</definedName>
    <definedName name="S.L.WALLS">#REF!</definedName>
    <definedName name="S.S.WALL" localSheetId="0">#REF!</definedName>
    <definedName name="S.S.WALL">#REF!</definedName>
    <definedName name="S.S.WALL1" localSheetId="0">#REF!</definedName>
    <definedName name="S.S.WALL1">#REF!</definedName>
    <definedName name="S.S.WALLL" localSheetId="0">#REF!</definedName>
    <definedName name="S.S.WALLL">#REF!</definedName>
    <definedName name="S.WALL" localSheetId="0">#REF!</definedName>
    <definedName name="S.WALL">#REF!</definedName>
    <definedName name="S_1" localSheetId="0" hidden="1">{"form-D1",#N/A,FALSE,"FORM-D1";"form-D1_amt",#N/A,FALSE,"FORM-D1"}</definedName>
    <definedName name="S_1" hidden="1">{"form-D1",#N/A,FALSE,"FORM-D1";"form-D1_amt",#N/A,FALSE,"FORM-D1"}</definedName>
    <definedName name="S_1_1" localSheetId="0" hidden="1">{"form-D1",#N/A,FALSE,"FORM-D1";"form-D1_amt",#N/A,FALSE,"FORM-D1"}</definedName>
    <definedName name="S_1_1" hidden="1">{"form-D1",#N/A,FALSE,"FORM-D1";"form-D1_amt",#N/A,FALSE,"FORM-D1"}</definedName>
    <definedName name="S_1_2" localSheetId="0" hidden="1">{"form-D1",#N/A,FALSE,"FORM-D1";"form-D1_amt",#N/A,FALSE,"FORM-D1"}</definedName>
    <definedName name="S_1_2" hidden="1">{"form-D1",#N/A,FALSE,"FORM-D1";"form-D1_amt",#N/A,FALSE,"FORM-D1"}</definedName>
    <definedName name="S_2" localSheetId="0" hidden="1">{"form-D1",#N/A,FALSE,"FORM-D1";"form-D1_amt",#N/A,FALSE,"FORM-D1"}</definedName>
    <definedName name="S_2" hidden="1">{"form-D1",#N/A,FALSE,"FORM-D1";"form-D1_amt",#N/A,FALSE,"FORM-D1"}</definedName>
    <definedName name="S_2_1" localSheetId="0" hidden="1">{"form-D1",#N/A,FALSE,"FORM-D1";"form-D1_amt",#N/A,FALSE,"FORM-D1"}</definedName>
    <definedName name="S_2_1" hidden="1">{"form-D1",#N/A,FALSE,"FORM-D1";"form-D1_amt",#N/A,FALSE,"FORM-D1"}</definedName>
    <definedName name="S_3" localSheetId="0" hidden="1">{"form-D1",#N/A,FALSE,"FORM-D1";"form-D1_amt",#N/A,FALSE,"FORM-D1"}</definedName>
    <definedName name="S_3" hidden="1">{"form-D1",#N/A,FALSE,"FORM-D1";"form-D1_amt",#N/A,FALSE,"FORM-D1"}</definedName>
    <definedName name="S_3_1" localSheetId="0" hidden="1">{"form-D1",#N/A,FALSE,"FORM-D1";"form-D1_amt",#N/A,FALSE,"FORM-D1"}</definedName>
    <definedName name="S_3_1" hidden="1">{"form-D1",#N/A,FALSE,"FORM-D1";"form-D1_amt",#N/A,FALSE,"FORM-D1"}</definedName>
    <definedName name="S_4" localSheetId="0" hidden="1">{"form-D1",#N/A,FALSE,"FORM-D1";"form-D1_amt",#N/A,FALSE,"FORM-D1"}</definedName>
    <definedName name="S_4" hidden="1">{"form-D1",#N/A,FALSE,"FORM-D1";"form-D1_amt",#N/A,FALSE,"FORM-D1"}</definedName>
    <definedName name="S0" localSheetId="0">#REF!</definedName>
    <definedName name="S0">#REF!</definedName>
    <definedName name="s0ne" localSheetId="0">#REF!</definedName>
    <definedName name="s0ne">#REF!</definedName>
    <definedName name="s11Area" localSheetId="0">#REF!</definedName>
    <definedName name="s11Area">#REF!</definedName>
    <definedName name="s11Perimeter" localSheetId="0">#REF!</definedName>
    <definedName name="s11Perimeter">#REF!</definedName>
    <definedName name="Sa" localSheetId="0">#REF!</definedName>
    <definedName name="Sa">#REF!</definedName>
    <definedName name="saa" localSheetId="0" hidden="1">{"form-D1",#N/A,FALSE,"FORM-D1";"form-D1_amt",#N/A,FALSE,"FORM-D1"}</definedName>
    <definedName name="saa" hidden="1">{"form-D1",#N/A,FALSE,"FORM-D1";"form-D1_amt",#N/A,FALSE,"FORM-D1"}</definedName>
    <definedName name="saa_1" localSheetId="0" hidden="1">{"form-D1",#N/A,FALSE,"FORM-D1";"form-D1_amt",#N/A,FALSE,"FORM-D1"}</definedName>
    <definedName name="saa_1" hidden="1">{"form-D1",#N/A,FALSE,"FORM-D1";"form-D1_amt",#N/A,FALSE,"FORM-D1"}</definedName>
    <definedName name="saa_1_1" localSheetId="0" hidden="1">{"form-D1",#N/A,FALSE,"FORM-D1";"form-D1_amt",#N/A,FALSE,"FORM-D1"}</definedName>
    <definedName name="saa_1_1" hidden="1">{"form-D1",#N/A,FALSE,"FORM-D1";"form-D1_amt",#N/A,FALSE,"FORM-D1"}</definedName>
    <definedName name="saa_1_2" localSheetId="0" hidden="1">{"form-D1",#N/A,FALSE,"FORM-D1";"form-D1_amt",#N/A,FALSE,"FORM-D1"}</definedName>
    <definedName name="saa_1_2" hidden="1">{"form-D1",#N/A,FALSE,"FORM-D1";"form-D1_amt",#N/A,FALSE,"FORM-D1"}</definedName>
    <definedName name="saa_2" localSheetId="0" hidden="1">{"form-D1",#N/A,FALSE,"FORM-D1";"form-D1_amt",#N/A,FALSE,"FORM-D1"}</definedName>
    <definedName name="saa_2" hidden="1">{"form-D1",#N/A,FALSE,"FORM-D1";"form-D1_amt",#N/A,FALSE,"FORM-D1"}</definedName>
    <definedName name="saa_2_1" localSheetId="0" hidden="1">{"form-D1",#N/A,FALSE,"FORM-D1";"form-D1_amt",#N/A,FALSE,"FORM-D1"}</definedName>
    <definedName name="saa_2_1" hidden="1">{"form-D1",#N/A,FALSE,"FORM-D1";"form-D1_amt",#N/A,FALSE,"FORM-D1"}</definedName>
    <definedName name="saa_3" localSheetId="0" hidden="1">{"form-D1",#N/A,FALSE,"FORM-D1";"form-D1_amt",#N/A,FALSE,"FORM-D1"}</definedName>
    <definedName name="saa_3" hidden="1">{"form-D1",#N/A,FALSE,"FORM-D1";"form-D1_amt",#N/A,FALSE,"FORM-D1"}</definedName>
    <definedName name="saa_3_1" localSheetId="0" hidden="1">{"form-D1",#N/A,FALSE,"FORM-D1";"form-D1_amt",#N/A,FALSE,"FORM-D1"}</definedName>
    <definedName name="saa_3_1" hidden="1">{"form-D1",#N/A,FALSE,"FORM-D1";"form-D1_amt",#N/A,FALSE,"FORM-D1"}</definedName>
    <definedName name="saa_4" localSheetId="0" hidden="1">{"form-D1",#N/A,FALSE,"FORM-D1";"form-D1_amt",#N/A,FALSE,"FORM-D1"}</definedName>
    <definedName name="saa_4" hidden="1">{"form-D1",#N/A,FALSE,"FORM-D1";"form-D1_amt",#N/A,FALSE,"FORM-D1"}</definedName>
    <definedName name="saa_4_1" localSheetId="0" hidden="1">{"form-D1",#N/A,FALSE,"FORM-D1";"form-D1_amt",#N/A,FALSE,"FORM-D1"}</definedName>
    <definedName name="saa_4_1" hidden="1">{"form-D1",#N/A,FALSE,"FORM-D1";"form-D1_amt",#N/A,FALSE,"FORM-D1"}</definedName>
    <definedName name="saa_5" localSheetId="0" hidden="1">{"form-D1",#N/A,FALSE,"FORM-D1";"form-D1_amt",#N/A,FALSE,"FORM-D1"}</definedName>
    <definedName name="saa_5" hidden="1">{"form-D1",#N/A,FALSE,"FORM-D1";"form-D1_amt",#N/A,FALSE,"FORM-D1"}</definedName>
    <definedName name="saa_5_1" localSheetId="0" hidden="1">{"form-D1",#N/A,FALSE,"FORM-D1";"form-D1_amt",#N/A,FALSE,"FORM-D1"}</definedName>
    <definedName name="saa_5_1" hidden="1">{"form-D1",#N/A,FALSE,"FORM-D1";"form-D1_amt",#N/A,FALSE,"FORM-D1"}</definedName>
    <definedName name="sadfdasf" localSheetId="0" hidden="1">#REF!</definedName>
    <definedName name="sadfdasf" hidden="1">#REF!</definedName>
    <definedName name="sadfsdaf" localSheetId="0">#REF!</definedName>
    <definedName name="sadfsdaf">#REF!</definedName>
    <definedName name="sadsad" localSheetId="0">#REF!</definedName>
    <definedName name="sadsad">#REF!</definedName>
    <definedName name="safe" localSheetId="0">#REF!</definedName>
    <definedName name="safe">#REF!</definedName>
    <definedName name="sagdhag" localSheetId="0" hidden="1">{#N/A,#N/A,FALSE,"COVER1.XLS ";#N/A,#N/A,FALSE,"RACT1.XLS";#N/A,#N/A,FALSE,"RACT2.XLS";#N/A,#N/A,FALSE,"ECCMP";#N/A,#N/A,FALSE,"WELDER.XLS"}</definedName>
    <definedName name="sagdhag" hidden="1">{#N/A,#N/A,FALSE,"COVER1.XLS ";#N/A,#N/A,FALSE,"RACT1.XLS";#N/A,#N/A,FALSE,"RACT2.XLS";#N/A,#N/A,FALSE,"ECCMP";#N/A,#N/A,FALSE,"WELDER.XLS"}</definedName>
    <definedName name="sailensarkar" localSheetId="0">#REF!</definedName>
    <definedName name="sailensarkar">#REF!</definedName>
    <definedName name="Sal_Wash" localSheetId="0">#REF!</definedName>
    <definedName name="Sal_Wash">#REF!</definedName>
    <definedName name="Sal_Wash_I" localSheetId="0">#REF!</definedName>
    <definedName name="Sal_Wash_I">#REF!</definedName>
    <definedName name="SALARY" localSheetId="0">#REF!</definedName>
    <definedName name="SALARY">#REF!</definedName>
    <definedName name="Sales_Per_Manday" localSheetId="0">#REF!</definedName>
    <definedName name="Sales_Per_Manday">#REF!</definedName>
    <definedName name="SalesCons" localSheetId="0">#REF!</definedName>
    <definedName name="SalesCons">#REF!</definedName>
    <definedName name="SalesCons_I" localSheetId="0">#REF!</definedName>
    <definedName name="SalesCons_I">#REF!</definedName>
    <definedName name="SalesNorm" localSheetId="0">#REF!</definedName>
    <definedName name="SalesNorm">#REF!</definedName>
    <definedName name="SalesNorm_I" localSheetId="0">#REF!</definedName>
    <definedName name="SalesNorm_I">#REF!</definedName>
    <definedName name="SalExp" localSheetId="0">#REF!</definedName>
    <definedName name="SalExp">#REF!</definedName>
    <definedName name="SalExp_I" localSheetId="0">#REF!</definedName>
    <definedName name="SalExp_I">#REF!</definedName>
    <definedName name="san" localSheetId="0">#REF!</definedName>
    <definedName name="san">#REF!</definedName>
    <definedName name="Sand_124" localSheetId="0">#REF!</definedName>
    <definedName name="Sand_124">#REF!</definedName>
    <definedName name="SAND_FILL" localSheetId="0">#REF!</definedName>
    <definedName name="SAND_FILL">#REF!</definedName>
    <definedName name="Sand_filling" localSheetId="0">#REF!</definedName>
    <definedName name="Sand_filling">#REF!</definedName>
    <definedName name="Sandfill">#REF!</definedName>
    <definedName name="Sanitary" localSheetId="0">#REF!</definedName>
    <definedName name="Sanitary">#REF!</definedName>
    <definedName name="Sanitary_Fixtures" localSheetId="0">#REF!</definedName>
    <definedName name="Sanitary_Fixtures">#REF!</definedName>
    <definedName name="Sanitary_Plumbing" localSheetId="0">#REF!</definedName>
    <definedName name="Sanitary_Plumbing">#REF!</definedName>
    <definedName name="sanju" localSheetId="0" hidden="1">{"office ltcg",#N/A,FALSE,"gain01";"IT LTCG",#N/A,FALSE,"gain01"}</definedName>
    <definedName name="sanju" hidden="1">{"office ltcg",#N/A,FALSE,"gain01";"IT LTCG",#N/A,FALSE,"gain01"}</definedName>
    <definedName name="SARAVANAN" localSheetId="0">#REF!</definedName>
    <definedName name="SARAVANAN">#REF!</definedName>
    <definedName name="saru" localSheetId="0">#REF!</definedName>
    <definedName name="saru">#REF!</definedName>
    <definedName name="sasi" localSheetId="0">#REF!</definedName>
    <definedName name="sasi">#REF!</definedName>
    <definedName name="satish" localSheetId="0">#REF!</definedName>
    <definedName name="satish">#REF!</definedName>
    <definedName name="sb" localSheetId="0">#REF!</definedName>
    <definedName name="sb">#REF!</definedName>
    <definedName name="sbc" localSheetId="0">#REF!</definedName>
    <definedName name="sbc">#REF!</definedName>
    <definedName name="SC" localSheetId="0">#REF!</definedName>
    <definedName name="SC">#REF!</definedName>
    <definedName name="scaffolding" localSheetId="0" hidden="1">#REF!</definedName>
    <definedName name="scaffolding" hidden="1">#REF!</definedName>
    <definedName name="SCC" localSheetId="0">#REF!</definedName>
    <definedName name="SCC">#REF!</definedName>
    <definedName name="SCD" localSheetId="0">#REF!</definedName>
    <definedName name="SCD">#REF!</definedName>
    <definedName name="SCE" localSheetId="0">#REF!</definedName>
    <definedName name="SCE">#REF!</definedName>
    <definedName name="SCED" localSheetId="0">#REF!</definedName>
    <definedName name="SCED">#REF!</definedName>
    <definedName name="Sched_Pay" localSheetId="0">#REF!</definedName>
    <definedName name="Sched_Pay">#REF!</definedName>
    <definedName name="Scheduled_Extra_Payments" localSheetId="0">#REF!</definedName>
    <definedName name="Scheduled_Extra_Payments">#REF!</definedName>
    <definedName name="Scheduled_Interest_Rate" localSheetId="0">#REF!</definedName>
    <definedName name="Scheduled_Interest_Rate">#REF!</definedName>
    <definedName name="Scheduled_Monthly_Payment" localSheetId="0">#REF!</definedName>
    <definedName name="Scheduled_Monthly_Payment">#REF!</definedName>
    <definedName name="scheduleType">"valve"</definedName>
    <definedName name="Scheme" localSheetId="0">#REF!</definedName>
    <definedName name="Scheme">#REF!</definedName>
    <definedName name="schools" localSheetId="0">#REF!</definedName>
    <definedName name="schools">#REF!</definedName>
    <definedName name="scrif" localSheetId="0">#REF!</definedName>
    <definedName name="scrif">#REF!</definedName>
    <definedName name="scs" localSheetId="0">#REF!</definedName>
    <definedName name="scs">#REF!</definedName>
    <definedName name="SCSADCESQ" localSheetId="0">#REF!</definedName>
    <definedName name="SCSADCESQ">#REF!</definedName>
    <definedName name="SD" localSheetId="0">#REF!</definedName>
    <definedName name="SD">#REF!</definedName>
    <definedName name="sdafdsa" localSheetId="0" hidden="1">{#N/A,#N/A,TRUE,"Front";#N/A,#N/A,TRUE,"Simple Letter";#N/A,#N/A,TRUE,"Inside";#N/A,#N/A,TRUE,"Contents";#N/A,#N/A,TRUE,"Basis";#N/A,#N/A,TRUE,"Inclusions";#N/A,#N/A,TRUE,"Exclusions";#N/A,#N/A,TRUE,"Areas";#N/A,#N/A,TRUE,"Summary";#N/A,#N/A,TRUE,"Detail"}</definedName>
    <definedName name="sdafdsa" hidden="1">{#N/A,#N/A,TRUE,"Front";#N/A,#N/A,TRUE,"Simple Letter";#N/A,#N/A,TRUE,"Inside";#N/A,#N/A,TRUE,"Contents";#N/A,#N/A,TRUE,"Basis";#N/A,#N/A,TRUE,"Inclusions";#N/A,#N/A,TRUE,"Exclusions";#N/A,#N/A,TRUE,"Areas";#N/A,#N/A,TRUE,"Summary";#N/A,#N/A,TRUE,"Detail"}</definedName>
    <definedName name="sdafdsa_1" localSheetId="0" hidden="1">{#N/A,#N/A,TRUE,"Front";#N/A,#N/A,TRUE,"Simple Letter";#N/A,#N/A,TRUE,"Inside";#N/A,#N/A,TRUE,"Contents";#N/A,#N/A,TRUE,"Basis";#N/A,#N/A,TRUE,"Inclusions";#N/A,#N/A,TRUE,"Exclusions";#N/A,#N/A,TRUE,"Areas";#N/A,#N/A,TRUE,"Summary";#N/A,#N/A,TRUE,"Detail"}</definedName>
    <definedName name="sdafdsa_1" hidden="1">{#N/A,#N/A,TRUE,"Front";#N/A,#N/A,TRUE,"Simple Letter";#N/A,#N/A,TRUE,"Inside";#N/A,#N/A,TRUE,"Contents";#N/A,#N/A,TRUE,"Basis";#N/A,#N/A,TRUE,"Inclusions";#N/A,#N/A,TRUE,"Exclusions";#N/A,#N/A,TRUE,"Areas";#N/A,#N/A,TRUE,"Summary";#N/A,#N/A,TRUE,"Detail"}</definedName>
    <definedName name="sdafdsa_1_1" localSheetId="0" hidden="1">{#N/A,#N/A,TRUE,"Front";#N/A,#N/A,TRUE,"Simple Letter";#N/A,#N/A,TRUE,"Inside";#N/A,#N/A,TRUE,"Contents";#N/A,#N/A,TRUE,"Basis";#N/A,#N/A,TRUE,"Inclusions";#N/A,#N/A,TRUE,"Exclusions";#N/A,#N/A,TRUE,"Areas";#N/A,#N/A,TRUE,"Summary";#N/A,#N/A,TRUE,"Detail"}</definedName>
    <definedName name="sdafdsa_1_1" hidden="1">{#N/A,#N/A,TRUE,"Front";#N/A,#N/A,TRUE,"Simple Letter";#N/A,#N/A,TRUE,"Inside";#N/A,#N/A,TRUE,"Contents";#N/A,#N/A,TRUE,"Basis";#N/A,#N/A,TRUE,"Inclusions";#N/A,#N/A,TRUE,"Exclusions";#N/A,#N/A,TRUE,"Areas";#N/A,#N/A,TRUE,"Summary";#N/A,#N/A,TRUE,"Detail"}</definedName>
    <definedName name="sdafdsa_1_2" localSheetId="0" hidden="1">{#N/A,#N/A,TRUE,"Front";#N/A,#N/A,TRUE,"Simple Letter";#N/A,#N/A,TRUE,"Inside";#N/A,#N/A,TRUE,"Contents";#N/A,#N/A,TRUE,"Basis";#N/A,#N/A,TRUE,"Inclusions";#N/A,#N/A,TRUE,"Exclusions";#N/A,#N/A,TRUE,"Areas";#N/A,#N/A,TRUE,"Summary";#N/A,#N/A,TRUE,"Detail"}</definedName>
    <definedName name="sdafdsa_1_2" hidden="1">{#N/A,#N/A,TRUE,"Front";#N/A,#N/A,TRUE,"Simple Letter";#N/A,#N/A,TRUE,"Inside";#N/A,#N/A,TRUE,"Contents";#N/A,#N/A,TRUE,"Basis";#N/A,#N/A,TRUE,"Inclusions";#N/A,#N/A,TRUE,"Exclusions";#N/A,#N/A,TRUE,"Areas";#N/A,#N/A,TRUE,"Summary";#N/A,#N/A,TRUE,"Detail"}</definedName>
    <definedName name="sdafdsa_2" localSheetId="0" hidden="1">{#N/A,#N/A,TRUE,"Front";#N/A,#N/A,TRUE,"Simple Letter";#N/A,#N/A,TRUE,"Inside";#N/A,#N/A,TRUE,"Contents";#N/A,#N/A,TRUE,"Basis";#N/A,#N/A,TRUE,"Inclusions";#N/A,#N/A,TRUE,"Exclusions";#N/A,#N/A,TRUE,"Areas";#N/A,#N/A,TRUE,"Summary";#N/A,#N/A,TRUE,"Detail"}</definedName>
    <definedName name="sdafdsa_2" hidden="1">{#N/A,#N/A,TRUE,"Front";#N/A,#N/A,TRUE,"Simple Letter";#N/A,#N/A,TRUE,"Inside";#N/A,#N/A,TRUE,"Contents";#N/A,#N/A,TRUE,"Basis";#N/A,#N/A,TRUE,"Inclusions";#N/A,#N/A,TRUE,"Exclusions";#N/A,#N/A,TRUE,"Areas";#N/A,#N/A,TRUE,"Summary";#N/A,#N/A,TRUE,"Detail"}</definedName>
    <definedName name="sdafdsa_2_1" localSheetId="0" hidden="1">{#N/A,#N/A,TRUE,"Front";#N/A,#N/A,TRUE,"Simple Letter";#N/A,#N/A,TRUE,"Inside";#N/A,#N/A,TRUE,"Contents";#N/A,#N/A,TRUE,"Basis";#N/A,#N/A,TRUE,"Inclusions";#N/A,#N/A,TRUE,"Exclusions";#N/A,#N/A,TRUE,"Areas";#N/A,#N/A,TRUE,"Summary";#N/A,#N/A,TRUE,"Detail"}</definedName>
    <definedName name="sdafdsa_2_1" hidden="1">{#N/A,#N/A,TRUE,"Front";#N/A,#N/A,TRUE,"Simple Letter";#N/A,#N/A,TRUE,"Inside";#N/A,#N/A,TRUE,"Contents";#N/A,#N/A,TRUE,"Basis";#N/A,#N/A,TRUE,"Inclusions";#N/A,#N/A,TRUE,"Exclusions";#N/A,#N/A,TRUE,"Areas";#N/A,#N/A,TRUE,"Summary";#N/A,#N/A,TRUE,"Detail"}</definedName>
    <definedName name="sdafdsa_3" localSheetId="0" hidden="1">{#N/A,#N/A,TRUE,"Front";#N/A,#N/A,TRUE,"Simple Letter";#N/A,#N/A,TRUE,"Inside";#N/A,#N/A,TRUE,"Contents";#N/A,#N/A,TRUE,"Basis";#N/A,#N/A,TRUE,"Inclusions";#N/A,#N/A,TRUE,"Exclusions";#N/A,#N/A,TRUE,"Areas";#N/A,#N/A,TRUE,"Summary";#N/A,#N/A,TRUE,"Detail"}</definedName>
    <definedName name="sdafdsa_3" hidden="1">{#N/A,#N/A,TRUE,"Front";#N/A,#N/A,TRUE,"Simple Letter";#N/A,#N/A,TRUE,"Inside";#N/A,#N/A,TRUE,"Contents";#N/A,#N/A,TRUE,"Basis";#N/A,#N/A,TRUE,"Inclusions";#N/A,#N/A,TRUE,"Exclusions";#N/A,#N/A,TRUE,"Areas";#N/A,#N/A,TRUE,"Summary";#N/A,#N/A,TRUE,"Detail"}</definedName>
    <definedName name="sdafdsa_4" localSheetId="0" hidden="1">{#N/A,#N/A,TRUE,"Front";#N/A,#N/A,TRUE,"Simple Letter";#N/A,#N/A,TRUE,"Inside";#N/A,#N/A,TRUE,"Contents";#N/A,#N/A,TRUE,"Basis";#N/A,#N/A,TRUE,"Inclusions";#N/A,#N/A,TRUE,"Exclusions";#N/A,#N/A,TRUE,"Areas";#N/A,#N/A,TRUE,"Summary";#N/A,#N/A,TRUE,"Detail"}</definedName>
    <definedName name="sdafdsa_4" hidden="1">{#N/A,#N/A,TRUE,"Front";#N/A,#N/A,TRUE,"Simple Letter";#N/A,#N/A,TRUE,"Inside";#N/A,#N/A,TRUE,"Contents";#N/A,#N/A,TRUE,"Basis";#N/A,#N/A,TRUE,"Inclusions";#N/A,#N/A,TRUE,"Exclusions";#N/A,#N/A,TRUE,"Areas";#N/A,#N/A,TRUE,"Summary";#N/A,#N/A,TRUE,"Detail"}</definedName>
    <definedName name="Sdate" localSheetId="0">#REF!</definedName>
    <definedName name="Sdate">#REF!</definedName>
    <definedName name="SDebtAvgDSCR" localSheetId="0">#REF!</definedName>
    <definedName name="SDebtAvgDSCR">#REF!</definedName>
    <definedName name="SDebtLLCR" localSheetId="0">#REF!</definedName>
    <definedName name="SDebtLLCR">#REF!</definedName>
    <definedName name="SDebtMinDSCR" localSheetId="0">#REF!</definedName>
    <definedName name="SDebtMinDSCR">#REF!</definedName>
    <definedName name="sdfd" localSheetId="0">#REF!</definedName>
    <definedName name="sdfd">#REF!</definedName>
    <definedName name="sdfds" localSheetId="0" hidden="1">{#N/A,#N/A,TRUE,"Front";#N/A,#N/A,TRUE,"Simple Letter";#N/A,#N/A,TRUE,"Inside";#N/A,#N/A,TRUE,"Contents";#N/A,#N/A,TRUE,"Basis";#N/A,#N/A,TRUE,"Inclusions";#N/A,#N/A,TRUE,"Exclusions";#N/A,#N/A,TRUE,"Areas";#N/A,#N/A,TRUE,"Summary";#N/A,#N/A,TRUE,"Detail"}</definedName>
    <definedName name="sdfds" hidden="1">{#N/A,#N/A,TRUE,"Front";#N/A,#N/A,TRUE,"Simple Letter";#N/A,#N/A,TRUE,"Inside";#N/A,#N/A,TRUE,"Contents";#N/A,#N/A,TRUE,"Basis";#N/A,#N/A,TRUE,"Inclusions";#N/A,#N/A,TRUE,"Exclusions";#N/A,#N/A,TRUE,"Areas";#N/A,#N/A,TRUE,"Summary";#N/A,#N/A,TRUE,"Detail"}</definedName>
    <definedName name="sdfds_1" localSheetId="0" hidden="1">{#N/A,#N/A,TRUE,"Front";#N/A,#N/A,TRUE,"Simple Letter";#N/A,#N/A,TRUE,"Inside";#N/A,#N/A,TRUE,"Contents";#N/A,#N/A,TRUE,"Basis";#N/A,#N/A,TRUE,"Inclusions";#N/A,#N/A,TRUE,"Exclusions";#N/A,#N/A,TRUE,"Areas";#N/A,#N/A,TRUE,"Summary";#N/A,#N/A,TRUE,"Detail"}</definedName>
    <definedName name="sdfds_1" hidden="1">{#N/A,#N/A,TRUE,"Front";#N/A,#N/A,TRUE,"Simple Letter";#N/A,#N/A,TRUE,"Inside";#N/A,#N/A,TRUE,"Contents";#N/A,#N/A,TRUE,"Basis";#N/A,#N/A,TRUE,"Inclusions";#N/A,#N/A,TRUE,"Exclusions";#N/A,#N/A,TRUE,"Areas";#N/A,#N/A,TRUE,"Summary";#N/A,#N/A,TRUE,"Detail"}</definedName>
    <definedName name="sdfds_1_1" localSheetId="0" hidden="1">{#N/A,#N/A,TRUE,"Front";#N/A,#N/A,TRUE,"Simple Letter";#N/A,#N/A,TRUE,"Inside";#N/A,#N/A,TRUE,"Contents";#N/A,#N/A,TRUE,"Basis";#N/A,#N/A,TRUE,"Inclusions";#N/A,#N/A,TRUE,"Exclusions";#N/A,#N/A,TRUE,"Areas";#N/A,#N/A,TRUE,"Summary";#N/A,#N/A,TRUE,"Detail"}</definedName>
    <definedName name="sdfds_1_1" hidden="1">{#N/A,#N/A,TRUE,"Front";#N/A,#N/A,TRUE,"Simple Letter";#N/A,#N/A,TRUE,"Inside";#N/A,#N/A,TRUE,"Contents";#N/A,#N/A,TRUE,"Basis";#N/A,#N/A,TRUE,"Inclusions";#N/A,#N/A,TRUE,"Exclusions";#N/A,#N/A,TRUE,"Areas";#N/A,#N/A,TRUE,"Summary";#N/A,#N/A,TRUE,"Detail"}</definedName>
    <definedName name="sdfds_1_2" localSheetId="0" hidden="1">{#N/A,#N/A,TRUE,"Front";#N/A,#N/A,TRUE,"Simple Letter";#N/A,#N/A,TRUE,"Inside";#N/A,#N/A,TRUE,"Contents";#N/A,#N/A,TRUE,"Basis";#N/A,#N/A,TRUE,"Inclusions";#N/A,#N/A,TRUE,"Exclusions";#N/A,#N/A,TRUE,"Areas";#N/A,#N/A,TRUE,"Summary";#N/A,#N/A,TRUE,"Detail"}</definedName>
    <definedName name="sdfds_1_2" hidden="1">{#N/A,#N/A,TRUE,"Front";#N/A,#N/A,TRUE,"Simple Letter";#N/A,#N/A,TRUE,"Inside";#N/A,#N/A,TRUE,"Contents";#N/A,#N/A,TRUE,"Basis";#N/A,#N/A,TRUE,"Inclusions";#N/A,#N/A,TRUE,"Exclusions";#N/A,#N/A,TRUE,"Areas";#N/A,#N/A,TRUE,"Summary";#N/A,#N/A,TRUE,"Detail"}</definedName>
    <definedName name="sdfds_2" localSheetId="0" hidden="1">{#N/A,#N/A,TRUE,"Front";#N/A,#N/A,TRUE,"Simple Letter";#N/A,#N/A,TRUE,"Inside";#N/A,#N/A,TRUE,"Contents";#N/A,#N/A,TRUE,"Basis";#N/A,#N/A,TRUE,"Inclusions";#N/A,#N/A,TRUE,"Exclusions";#N/A,#N/A,TRUE,"Areas";#N/A,#N/A,TRUE,"Summary";#N/A,#N/A,TRUE,"Detail"}</definedName>
    <definedName name="sdfds_2" hidden="1">{#N/A,#N/A,TRUE,"Front";#N/A,#N/A,TRUE,"Simple Letter";#N/A,#N/A,TRUE,"Inside";#N/A,#N/A,TRUE,"Contents";#N/A,#N/A,TRUE,"Basis";#N/A,#N/A,TRUE,"Inclusions";#N/A,#N/A,TRUE,"Exclusions";#N/A,#N/A,TRUE,"Areas";#N/A,#N/A,TRUE,"Summary";#N/A,#N/A,TRUE,"Detail"}</definedName>
    <definedName name="sdfds_2_1" localSheetId="0" hidden="1">{#N/A,#N/A,TRUE,"Front";#N/A,#N/A,TRUE,"Simple Letter";#N/A,#N/A,TRUE,"Inside";#N/A,#N/A,TRUE,"Contents";#N/A,#N/A,TRUE,"Basis";#N/A,#N/A,TRUE,"Inclusions";#N/A,#N/A,TRUE,"Exclusions";#N/A,#N/A,TRUE,"Areas";#N/A,#N/A,TRUE,"Summary";#N/A,#N/A,TRUE,"Detail"}</definedName>
    <definedName name="sdfds_2_1" hidden="1">{#N/A,#N/A,TRUE,"Front";#N/A,#N/A,TRUE,"Simple Letter";#N/A,#N/A,TRUE,"Inside";#N/A,#N/A,TRUE,"Contents";#N/A,#N/A,TRUE,"Basis";#N/A,#N/A,TRUE,"Inclusions";#N/A,#N/A,TRUE,"Exclusions";#N/A,#N/A,TRUE,"Areas";#N/A,#N/A,TRUE,"Summary";#N/A,#N/A,TRUE,"Detail"}</definedName>
    <definedName name="sdfds_3" localSheetId="0" hidden="1">{#N/A,#N/A,TRUE,"Front";#N/A,#N/A,TRUE,"Simple Letter";#N/A,#N/A,TRUE,"Inside";#N/A,#N/A,TRUE,"Contents";#N/A,#N/A,TRUE,"Basis";#N/A,#N/A,TRUE,"Inclusions";#N/A,#N/A,TRUE,"Exclusions";#N/A,#N/A,TRUE,"Areas";#N/A,#N/A,TRUE,"Summary";#N/A,#N/A,TRUE,"Detail"}</definedName>
    <definedName name="sdfds_3" hidden="1">{#N/A,#N/A,TRUE,"Front";#N/A,#N/A,TRUE,"Simple Letter";#N/A,#N/A,TRUE,"Inside";#N/A,#N/A,TRUE,"Contents";#N/A,#N/A,TRUE,"Basis";#N/A,#N/A,TRUE,"Inclusions";#N/A,#N/A,TRUE,"Exclusions";#N/A,#N/A,TRUE,"Areas";#N/A,#N/A,TRUE,"Summary";#N/A,#N/A,TRUE,"Detail"}</definedName>
    <definedName name="sdfds_4" localSheetId="0" hidden="1">{#N/A,#N/A,TRUE,"Front";#N/A,#N/A,TRUE,"Simple Letter";#N/A,#N/A,TRUE,"Inside";#N/A,#N/A,TRUE,"Contents";#N/A,#N/A,TRUE,"Basis";#N/A,#N/A,TRUE,"Inclusions";#N/A,#N/A,TRUE,"Exclusions";#N/A,#N/A,TRUE,"Areas";#N/A,#N/A,TRUE,"Summary";#N/A,#N/A,TRUE,"Detail"}</definedName>
    <definedName name="sdfds_4" hidden="1">{#N/A,#N/A,TRUE,"Front";#N/A,#N/A,TRUE,"Simple Letter";#N/A,#N/A,TRUE,"Inside";#N/A,#N/A,TRUE,"Contents";#N/A,#N/A,TRUE,"Basis";#N/A,#N/A,TRUE,"Inclusions";#N/A,#N/A,TRUE,"Exclusions";#N/A,#N/A,TRUE,"Areas";#N/A,#N/A,TRUE,"Summary";#N/A,#N/A,TRUE,"Detail"}</definedName>
    <definedName name="sdffggg" localSheetId="0">#REF!</definedName>
    <definedName name="sdffggg">#REF!</definedName>
    <definedName name="sdffs" localSheetId="0">#REF!</definedName>
    <definedName name="sdffs">#REF!</definedName>
    <definedName name="sdffsd" localSheetId="0">#REF!</definedName>
    <definedName name="sdffsd">#REF!</definedName>
    <definedName name="sdfgsdsdsdf" localSheetId="0">#REF!</definedName>
    <definedName name="sdfgsdsdsdf">#REF!</definedName>
    <definedName name="sdfsd" localSheetId="0" hidden="1">{#N/A,#N/A,TRUE,"Front";#N/A,#N/A,TRUE,"Simple Letter";#N/A,#N/A,TRUE,"Inside";#N/A,#N/A,TRUE,"Contents";#N/A,#N/A,TRUE,"Basis";#N/A,#N/A,TRUE,"Inclusions";#N/A,#N/A,TRUE,"Exclusions";#N/A,#N/A,TRUE,"Areas";#N/A,#N/A,TRUE,"Summary";#N/A,#N/A,TRUE,"Detail"}</definedName>
    <definedName name="sdfsd" hidden="1">{#N/A,#N/A,TRUE,"Front";#N/A,#N/A,TRUE,"Simple Letter";#N/A,#N/A,TRUE,"Inside";#N/A,#N/A,TRUE,"Contents";#N/A,#N/A,TRUE,"Basis";#N/A,#N/A,TRUE,"Inclusions";#N/A,#N/A,TRUE,"Exclusions";#N/A,#N/A,TRUE,"Areas";#N/A,#N/A,TRUE,"Summary";#N/A,#N/A,TRUE,"Detail"}</definedName>
    <definedName name="sdfsd_1" localSheetId="0" hidden="1">{#N/A,#N/A,TRUE,"Front";#N/A,#N/A,TRUE,"Simple Letter";#N/A,#N/A,TRUE,"Inside";#N/A,#N/A,TRUE,"Contents";#N/A,#N/A,TRUE,"Basis";#N/A,#N/A,TRUE,"Inclusions";#N/A,#N/A,TRUE,"Exclusions";#N/A,#N/A,TRUE,"Areas";#N/A,#N/A,TRUE,"Summary";#N/A,#N/A,TRUE,"Detail"}</definedName>
    <definedName name="sdfsd_1" hidden="1">{#N/A,#N/A,TRUE,"Front";#N/A,#N/A,TRUE,"Simple Letter";#N/A,#N/A,TRUE,"Inside";#N/A,#N/A,TRUE,"Contents";#N/A,#N/A,TRUE,"Basis";#N/A,#N/A,TRUE,"Inclusions";#N/A,#N/A,TRUE,"Exclusions";#N/A,#N/A,TRUE,"Areas";#N/A,#N/A,TRUE,"Summary";#N/A,#N/A,TRUE,"Detail"}</definedName>
    <definedName name="sdfsd_1_1" localSheetId="0" hidden="1">{#N/A,#N/A,TRUE,"Front";#N/A,#N/A,TRUE,"Simple Letter";#N/A,#N/A,TRUE,"Inside";#N/A,#N/A,TRUE,"Contents";#N/A,#N/A,TRUE,"Basis";#N/A,#N/A,TRUE,"Inclusions";#N/A,#N/A,TRUE,"Exclusions";#N/A,#N/A,TRUE,"Areas";#N/A,#N/A,TRUE,"Summary";#N/A,#N/A,TRUE,"Detail"}</definedName>
    <definedName name="sdfsd_1_1" hidden="1">{#N/A,#N/A,TRUE,"Front";#N/A,#N/A,TRUE,"Simple Letter";#N/A,#N/A,TRUE,"Inside";#N/A,#N/A,TRUE,"Contents";#N/A,#N/A,TRUE,"Basis";#N/A,#N/A,TRUE,"Inclusions";#N/A,#N/A,TRUE,"Exclusions";#N/A,#N/A,TRUE,"Areas";#N/A,#N/A,TRUE,"Summary";#N/A,#N/A,TRUE,"Detail"}</definedName>
    <definedName name="sdfsd_1_2" localSheetId="0" hidden="1">{#N/A,#N/A,TRUE,"Front";#N/A,#N/A,TRUE,"Simple Letter";#N/A,#N/A,TRUE,"Inside";#N/A,#N/A,TRUE,"Contents";#N/A,#N/A,TRUE,"Basis";#N/A,#N/A,TRUE,"Inclusions";#N/A,#N/A,TRUE,"Exclusions";#N/A,#N/A,TRUE,"Areas";#N/A,#N/A,TRUE,"Summary";#N/A,#N/A,TRUE,"Detail"}</definedName>
    <definedName name="sdfsd_1_2" hidden="1">{#N/A,#N/A,TRUE,"Front";#N/A,#N/A,TRUE,"Simple Letter";#N/A,#N/A,TRUE,"Inside";#N/A,#N/A,TRUE,"Contents";#N/A,#N/A,TRUE,"Basis";#N/A,#N/A,TRUE,"Inclusions";#N/A,#N/A,TRUE,"Exclusions";#N/A,#N/A,TRUE,"Areas";#N/A,#N/A,TRUE,"Summary";#N/A,#N/A,TRUE,"Detail"}</definedName>
    <definedName name="sdfsd_2" localSheetId="0" hidden="1">{#N/A,#N/A,TRUE,"Front";#N/A,#N/A,TRUE,"Simple Letter";#N/A,#N/A,TRUE,"Inside";#N/A,#N/A,TRUE,"Contents";#N/A,#N/A,TRUE,"Basis";#N/A,#N/A,TRUE,"Inclusions";#N/A,#N/A,TRUE,"Exclusions";#N/A,#N/A,TRUE,"Areas";#N/A,#N/A,TRUE,"Summary";#N/A,#N/A,TRUE,"Detail"}</definedName>
    <definedName name="sdfsd_2" hidden="1">{#N/A,#N/A,TRUE,"Front";#N/A,#N/A,TRUE,"Simple Letter";#N/A,#N/A,TRUE,"Inside";#N/A,#N/A,TRUE,"Contents";#N/A,#N/A,TRUE,"Basis";#N/A,#N/A,TRUE,"Inclusions";#N/A,#N/A,TRUE,"Exclusions";#N/A,#N/A,TRUE,"Areas";#N/A,#N/A,TRUE,"Summary";#N/A,#N/A,TRUE,"Detail"}</definedName>
    <definedName name="sdfsd_2_1" localSheetId="0" hidden="1">{#N/A,#N/A,TRUE,"Front";#N/A,#N/A,TRUE,"Simple Letter";#N/A,#N/A,TRUE,"Inside";#N/A,#N/A,TRUE,"Contents";#N/A,#N/A,TRUE,"Basis";#N/A,#N/A,TRUE,"Inclusions";#N/A,#N/A,TRUE,"Exclusions";#N/A,#N/A,TRUE,"Areas";#N/A,#N/A,TRUE,"Summary";#N/A,#N/A,TRUE,"Detail"}</definedName>
    <definedName name="sdfsd_2_1" hidden="1">{#N/A,#N/A,TRUE,"Front";#N/A,#N/A,TRUE,"Simple Letter";#N/A,#N/A,TRUE,"Inside";#N/A,#N/A,TRUE,"Contents";#N/A,#N/A,TRUE,"Basis";#N/A,#N/A,TRUE,"Inclusions";#N/A,#N/A,TRUE,"Exclusions";#N/A,#N/A,TRUE,"Areas";#N/A,#N/A,TRUE,"Summary";#N/A,#N/A,TRUE,"Detail"}</definedName>
    <definedName name="sdfsd_3" localSheetId="0" hidden="1">{#N/A,#N/A,TRUE,"Front";#N/A,#N/A,TRUE,"Simple Letter";#N/A,#N/A,TRUE,"Inside";#N/A,#N/A,TRUE,"Contents";#N/A,#N/A,TRUE,"Basis";#N/A,#N/A,TRUE,"Inclusions";#N/A,#N/A,TRUE,"Exclusions";#N/A,#N/A,TRUE,"Areas";#N/A,#N/A,TRUE,"Summary";#N/A,#N/A,TRUE,"Detail"}</definedName>
    <definedName name="sdfsd_3" hidden="1">{#N/A,#N/A,TRUE,"Front";#N/A,#N/A,TRUE,"Simple Letter";#N/A,#N/A,TRUE,"Inside";#N/A,#N/A,TRUE,"Contents";#N/A,#N/A,TRUE,"Basis";#N/A,#N/A,TRUE,"Inclusions";#N/A,#N/A,TRUE,"Exclusions";#N/A,#N/A,TRUE,"Areas";#N/A,#N/A,TRUE,"Summary";#N/A,#N/A,TRUE,"Detail"}</definedName>
    <definedName name="sdfsd_4" localSheetId="0" hidden="1">{#N/A,#N/A,TRUE,"Front";#N/A,#N/A,TRUE,"Simple Letter";#N/A,#N/A,TRUE,"Inside";#N/A,#N/A,TRUE,"Contents";#N/A,#N/A,TRUE,"Basis";#N/A,#N/A,TRUE,"Inclusions";#N/A,#N/A,TRUE,"Exclusions";#N/A,#N/A,TRUE,"Areas";#N/A,#N/A,TRUE,"Summary";#N/A,#N/A,TRUE,"Detail"}</definedName>
    <definedName name="sdfsd_4" hidden="1">{#N/A,#N/A,TRUE,"Front";#N/A,#N/A,TRUE,"Simple Letter";#N/A,#N/A,TRUE,"Inside";#N/A,#N/A,TRUE,"Contents";#N/A,#N/A,TRUE,"Basis";#N/A,#N/A,TRUE,"Inclusions";#N/A,#N/A,TRUE,"Exclusions";#N/A,#N/A,TRUE,"Areas";#N/A,#N/A,TRUE,"Summary";#N/A,#N/A,TRUE,"Detail"}</definedName>
    <definedName name="sdfsdf" localSheetId="0">#REF!</definedName>
    <definedName name="sdfsdf">#REF!</definedName>
    <definedName name="sdggdsfgsdf" localSheetId="0">#REF!</definedName>
    <definedName name="sdggdsfgsdf">#REF!</definedName>
    <definedName name="sdgsdht" localSheetId="0">#REF!</definedName>
    <definedName name="sdgsdht">#REF!</definedName>
    <definedName name="sdgsdsdf" localSheetId="0">#REF!</definedName>
    <definedName name="sdgsdsdf">#REF!</definedName>
    <definedName name="sdpl" localSheetId="0">#REF!</definedName>
    <definedName name="sdpl">#REF!</definedName>
    <definedName name="SDPLBS" localSheetId="0">#REF!</definedName>
    <definedName name="SDPLBS">#REF!</definedName>
    <definedName name="SDPLFA" localSheetId="0">#REF!</definedName>
    <definedName name="SDPLFA">#REF!</definedName>
    <definedName name="SDPLPL" localSheetId="0">#REF!</definedName>
    <definedName name="SDPLPL">#REF!</definedName>
    <definedName name="SDS" localSheetId="0">#REF!</definedName>
    <definedName name="SDS">#REF!</definedName>
    <definedName name="sdsad" localSheetId="0">#REF!</definedName>
    <definedName name="sdsad">#REF!</definedName>
    <definedName name="SDSQ" localSheetId="0">#REF!</definedName>
    <definedName name="SDSQ">#REF!</definedName>
    <definedName name="SDW" localSheetId="0">#REF!</definedName>
    <definedName name="SDW">#REF!</definedName>
    <definedName name="se" localSheetId="0">#REF!</definedName>
    <definedName name="se">#REF!</definedName>
    <definedName name="Sec" localSheetId="0">#REF!</definedName>
    <definedName name="Sec">#REF!</definedName>
    <definedName name="SEC.Shed" localSheetId="0">#REF!</definedName>
    <definedName name="SEC.Shed">#REF!</definedName>
    <definedName name="sec_deposit" localSheetId="0">#REF!</definedName>
    <definedName name="sec_deposit">#REF!</definedName>
    <definedName name="SEC_TAB" localSheetId="0">#REF!</definedName>
    <definedName name="SEC_TAB">#REF!</definedName>
    <definedName name="SEC_TAB1" localSheetId="0">#REF!</definedName>
    <definedName name="SEC_TAB1">#REF!</definedName>
    <definedName name="Section_1_Title" localSheetId="0">#REF!</definedName>
    <definedName name="Section_1_Title">#REF!</definedName>
    <definedName name="Section_2_Title" localSheetId="0">#REF!</definedName>
    <definedName name="Section_2_Title">#REF!</definedName>
    <definedName name="Section_3_Title" localSheetId="0">#REF!</definedName>
    <definedName name="Section_3_Title">#REF!</definedName>
    <definedName name="Section_4_Title" localSheetId="0">#REF!</definedName>
    <definedName name="Section_4_Title">#REF!</definedName>
    <definedName name="Section_5_Title" localSheetId="0">#REF!</definedName>
    <definedName name="Section_5_Title">#REF!</definedName>
    <definedName name="Section_6_Title" localSheetId="0">#REF!</definedName>
    <definedName name="Section_6_Title">#REF!</definedName>
    <definedName name="Section_7_Title" localSheetId="0">#REF!</definedName>
    <definedName name="Section_7_Title">#REF!</definedName>
    <definedName name="Section_8_Title" localSheetId="0">#REF!</definedName>
    <definedName name="Section_8_Title">#REF!</definedName>
    <definedName name="secured" localSheetId="0">#REF!</definedName>
    <definedName name="secured">#REF!</definedName>
    <definedName name="see" localSheetId="0">#REF!</definedName>
    <definedName name="see">#REF!</definedName>
    <definedName name="SegCharge" localSheetId="0">#REF!</definedName>
    <definedName name="SegCharge">#REF!</definedName>
    <definedName name="Seismicsource" localSheetId="0">#REF!</definedName>
    <definedName name="Seismicsource">#REF!</definedName>
    <definedName name="sencount" hidden="1">1</definedName>
    <definedName name="Sensorpaver" localSheetId="0">#REF!</definedName>
    <definedName name="Sensorpaver">#REF!</definedName>
    <definedName name="SEPT" localSheetId="0">#REF!</definedName>
    <definedName name="SEPT">#REF!</definedName>
    <definedName name="SER" localSheetId="0">#REF!</definedName>
    <definedName name="SER">#REF!</definedName>
    <definedName name="sere" localSheetId="0">#REF!</definedName>
    <definedName name="sere">#REF!</definedName>
    <definedName name="Service" localSheetId="0">#REF!</definedName>
    <definedName name="Service">#REF!</definedName>
    <definedName name="Services" localSheetId="0">#REF!</definedName>
    <definedName name="Services">#REF!</definedName>
    <definedName name="set" localSheetId="0">#REF!</definedName>
    <definedName name="set">#REF!</definedName>
    <definedName name="Setflag" localSheetId="0">#REF!</definedName>
    <definedName name="Setflag">#REF!</definedName>
    <definedName name="sets" localSheetId="0">#REF!</definedName>
    <definedName name="sets">#REF!</definedName>
    <definedName name="SF" localSheetId="0">#REF!</definedName>
    <definedName name="SF">#REF!</definedName>
    <definedName name="sfdfsd" localSheetId="0">#REF!</definedName>
    <definedName name="sfdfsd">#REF!</definedName>
    <definedName name="SFFSDF" localSheetId="0">#REF!</definedName>
    <definedName name="SFFSDF">#REF!</definedName>
    <definedName name="sffsff" localSheetId="0">#REF!</definedName>
    <definedName name="sffsff">#REF!</definedName>
    <definedName name="sffssd" localSheetId="0">#REF!</definedName>
    <definedName name="sffssd">#REF!</definedName>
    <definedName name="SFR" localSheetId="0">#REF!</definedName>
    <definedName name="SFR">#REF!</definedName>
    <definedName name="sfsd" localSheetId="0">#REF!</definedName>
    <definedName name="sfsd">#REF!</definedName>
    <definedName name="SFSDFS" localSheetId="0">#REF!</definedName>
    <definedName name="SFSDFS">#REF!</definedName>
    <definedName name="SFSDFSD" localSheetId="0">#REF!</definedName>
    <definedName name="SFSDFSD">#REF!</definedName>
    <definedName name="SFSDFSDF" localSheetId="0">#REF!</definedName>
    <definedName name="SFSDFSDF">#REF!</definedName>
    <definedName name="SFSDFSF" localSheetId="0">#REF!</definedName>
    <definedName name="SFSDFSF">#REF!</definedName>
    <definedName name="sfsf" localSheetId="0">#REF!</definedName>
    <definedName name="sfsf">#REF!</definedName>
    <definedName name="sfssdfs" localSheetId="0">#REF!</definedName>
    <definedName name="sfssdfs">#REF!</definedName>
    <definedName name="sfvdafv" localSheetId="0" hidden="1">{#N/A,#N/A,TRUE,"Front";#N/A,#N/A,TRUE,"Simple Letter";#N/A,#N/A,TRUE,"Inside";#N/A,#N/A,TRUE,"Contents";#N/A,#N/A,TRUE,"Basis";#N/A,#N/A,TRUE,"Inclusions";#N/A,#N/A,TRUE,"Exclusions";#N/A,#N/A,TRUE,"Areas";#N/A,#N/A,TRUE,"Summary";#N/A,#N/A,TRUE,"Detail"}</definedName>
    <definedName name="sfvdafv" hidden="1">{#N/A,#N/A,TRUE,"Front";#N/A,#N/A,TRUE,"Simple Letter";#N/A,#N/A,TRUE,"Inside";#N/A,#N/A,TRUE,"Contents";#N/A,#N/A,TRUE,"Basis";#N/A,#N/A,TRUE,"Inclusions";#N/A,#N/A,TRUE,"Exclusions";#N/A,#N/A,TRUE,"Areas";#N/A,#N/A,TRUE,"Summary";#N/A,#N/A,TRUE,"Detail"}</definedName>
    <definedName name="sfvdafv_1" localSheetId="0" hidden="1">{#N/A,#N/A,TRUE,"Front";#N/A,#N/A,TRUE,"Simple Letter";#N/A,#N/A,TRUE,"Inside";#N/A,#N/A,TRUE,"Contents";#N/A,#N/A,TRUE,"Basis";#N/A,#N/A,TRUE,"Inclusions";#N/A,#N/A,TRUE,"Exclusions";#N/A,#N/A,TRUE,"Areas";#N/A,#N/A,TRUE,"Summary";#N/A,#N/A,TRUE,"Detail"}</definedName>
    <definedName name="sfvdafv_1" hidden="1">{#N/A,#N/A,TRUE,"Front";#N/A,#N/A,TRUE,"Simple Letter";#N/A,#N/A,TRUE,"Inside";#N/A,#N/A,TRUE,"Contents";#N/A,#N/A,TRUE,"Basis";#N/A,#N/A,TRUE,"Inclusions";#N/A,#N/A,TRUE,"Exclusions";#N/A,#N/A,TRUE,"Areas";#N/A,#N/A,TRUE,"Summary";#N/A,#N/A,TRUE,"Detail"}</definedName>
    <definedName name="sfvdafv_1_1" localSheetId="0" hidden="1">{#N/A,#N/A,TRUE,"Front";#N/A,#N/A,TRUE,"Simple Letter";#N/A,#N/A,TRUE,"Inside";#N/A,#N/A,TRUE,"Contents";#N/A,#N/A,TRUE,"Basis";#N/A,#N/A,TRUE,"Inclusions";#N/A,#N/A,TRUE,"Exclusions";#N/A,#N/A,TRUE,"Areas";#N/A,#N/A,TRUE,"Summary";#N/A,#N/A,TRUE,"Detail"}</definedName>
    <definedName name="sfvdafv_1_1" hidden="1">{#N/A,#N/A,TRUE,"Front";#N/A,#N/A,TRUE,"Simple Letter";#N/A,#N/A,TRUE,"Inside";#N/A,#N/A,TRUE,"Contents";#N/A,#N/A,TRUE,"Basis";#N/A,#N/A,TRUE,"Inclusions";#N/A,#N/A,TRUE,"Exclusions";#N/A,#N/A,TRUE,"Areas";#N/A,#N/A,TRUE,"Summary";#N/A,#N/A,TRUE,"Detail"}</definedName>
    <definedName name="sfvdafv_1_2" localSheetId="0" hidden="1">{#N/A,#N/A,TRUE,"Front";#N/A,#N/A,TRUE,"Simple Letter";#N/A,#N/A,TRUE,"Inside";#N/A,#N/A,TRUE,"Contents";#N/A,#N/A,TRUE,"Basis";#N/A,#N/A,TRUE,"Inclusions";#N/A,#N/A,TRUE,"Exclusions";#N/A,#N/A,TRUE,"Areas";#N/A,#N/A,TRUE,"Summary";#N/A,#N/A,TRUE,"Detail"}</definedName>
    <definedName name="sfvdafv_1_2" hidden="1">{#N/A,#N/A,TRUE,"Front";#N/A,#N/A,TRUE,"Simple Letter";#N/A,#N/A,TRUE,"Inside";#N/A,#N/A,TRUE,"Contents";#N/A,#N/A,TRUE,"Basis";#N/A,#N/A,TRUE,"Inclusions";#N/A,#N/A,TRUE,"Exclusions";#N/A,#N/A,TRUE,"Areas";#N/A,#N/A,TRUE,"Summary";#N/A,#N/A,TRUE,"Detail"}</definedName>
    <definedName name="sfvdafv_2" localSheetId="0" hidden="1">{#N/A,#N/A,TRUE,"Front";#N/A,#N/A,TRUE,"Simple Letter";#N/A,#N/A,TRUE,"Inside";#N/A,#N/A,TRUE,"Contents";#N/A,#N/A,TRUE,"Basis";#N/A,#N/A,TRUE,"Inclusions";#N/A,#N/A,TRUE,"Exclusions";#N/A,#N/A,TRUE,"Areas";#N/A,#N/A,TRUE,"Summary";#N/A,#N/A,TRUE,"Detail"}</definedName>
    <definedName name="sfvdafv_2" hidden="1">{#N/A,#N/A,TRUE,"Front";#N/A,#N/A,TRUE,"Simple Letter";#N/A,#N/A,TRUE,"Inside";#N/A,#N/A,TRUE,"Contents";#N/A,#N/A,TRUE,"Basis";#N/A,#N/A,TRUE,"Inclusions";#N/A,#N/A,TRUE,"Exclusions";#N/A,#N/A,TRUE,"Areas";#N/A,#N/A,TRUE,"Summary";#N/A,#N/A,TRUE,"Detail"}</definedName>
    <definedName name="sfvdafv_2_1" localSheetId="0" hidden="1">{#N/A,#N/A,TRUE,"Front";#N/A,#N/A,TRUE,"Simple Letter";#N/A,#N/A,TRUE,"Inside";#N/A,#N/A,TRUE,"Contents";#N/A,#N/A,TRUE,"Basis";#N/A,#N/A,TRUE,"Inclusions";#N/A,#N/A,TRUE,"Exclusions";#N/A,#N/A,TRUE,"Areas";#N/A,#N/A,TRUE,"Summary";#N/A,#N/A,TRUE,"Detail"}</definedName>
    <definedName name="sfvdafv_2_1" hidden="1">{#N/A,#N/A,TRUE,"Front";#N/A,#N/A,TRUE,"Simple Letter";#N/A,#N/A,TRUE,"Inside";#N/A,#N/A,TRUE,"Contents";#N/A,#N/A,TRUE,"Basis";#N/A,#N/A,TRUE,"Inclusions";#N/A,#N/A,TRUE,"Exclusions";#N/A,#N/A,TRUE,"Areas";#N/A,#N/A,TRUE,"Summary";#N/A,#N/A,TRUE,"Detail"}</definedName>
    <definedName name="sfvdafv_3" localSheetId="0" hidden="1">{#N/A,#N/A,TRUE,"Front";#N/A,#N/A,TRUE,"Simple Letter";#N/A,#N/A,TRUE,"Inside";#N/A,#N/A,TRUE,"Contents";#N/A,#N/A,TRUE,"Basis";#N/A,#N/A,TRUE,"Inclusions";#N/A,#N/A,TRUE,"Exclusions";#N/A,#N/A,TRUE,"Areas";#N/A,#N/A,TRUE,"Summary";#N/A,#N/A,TRUE,"Detail"}</definedName>
    <definedName name="sfvdafv_3" hidden="1">{#N/A,#N/A,TRUE,"Front";#N/A,#N/A,TRUE,"Simple Letter";#N/A,#N/A,TRUE,"Inside";#N/A,#N/A,TRUE,"Contents";#N/A,#N/A,TRUE,"Basis";#N/A,#N/A,TRUE,"Inclusions";#N/A,#N/A,TRUE,"Exclusions";#N/A,#N/A,TRUE,"Areas";#N/A,#N/A,TRUE,"Summary";#N/A,#N/A,TRUE,"Detail"}</definedName>
    <definedName name="sfvdafv_4" localSheetId="0" hidden="1">{#N/A,#N/A,TRUE,"Front";#N/A,#N/A,TRUE,"Simple Letter";#N/A,#N/A,TRUE,"Inside";#N/A,#N/A,TRUE,"Contents";#N/A,#N/A,TRUE,"Basis";#N/A,#N/A,TRUE,"Inclusions";#N/A,#N/A,TRUE,"Exclusions";#N/A,#N/A,TRUE,"Areas";#N/A,#N/A,TRUE,"Summary";#N/A,#N/A,TRUE,"Detail"}</definedName>
    <definedName name="sfvdafv_4" hidden="1">{#N/A,#N/A,TRUE,"Front";#N/A,#N/A,TRUE,"Simple Letter";#N/A,#N/A,TRUE,"Inside";#N/A,#N/A,TRUE,"Contents";#N/A,#N/A,TRUE,"Basis";#N/A,#N/A,TRUE,"Inclusions";#N/A,#N/A,TRUE,"Exclusions";#N/A,#N/A,TRUE,"Areas";#N/A,#N/A,TRUE,"Summary";#N/A,#N/A,TRUE,"Detail"}</definedName>
    <definedName name="sgfssfs" localSheetId="0">#REF!</definedName>
    <definedName name="sgfssfs">#REF!</definedName>
    <definedName name="sh0.5" localSheetId="0">#REF!</definedName>
    <definedName name="sh0.5">#REF!</definedName>
    <definedName name="sh0.6" localSheetId="0">#REF!</definedName>
    <definedName name="sh0.6">#REF!</definedName>
    <definedName name="sh0.8" localSheetId="0">#REF!</definedName>
    <definedName name="sh0.8">#REF!</definedName>
    <definedName name="sh1.0" localSheetId="0">#REF!</definedName>
    <definedName name="sh1.0">#REF!</definedName>
    <definedName name="sh1.2" localSheetId="0">#REF!</definedName>
    <definedName name="sh1.2">#REF!</definedName>
    <definedName name="Shanthi3" localSheetId="0">#REF!</definedName>
    <definedName name="Shanthi3">#REF!</definedName>
    <definedName name="shape" localSheetId="0">#REF!</definedName>
    <definedName name="shape">#REF!</definedName>
    <definedName name="shar" localSheetId="0">#REF!</definedName>
    <definedName name="shar">#REF!</definedName>
    <definedName name="sharada">185</definedName>
    <definedName name="SHED" localSheetId="0">#REF!</definedName>
    <definedName name="SHED">#REF!</definedName>
    <definedName name="sheet">#N/A</definedName>
    <definedName name="sheet1" localSheetId="0">#REF!</definedName>
    <definedName name="sheet1">#REF!</definedName>
    <definedName name="sheet1___0" localSheetId="0">#REF!</definedName>
    <definedName name="sheet1___0">#REF!</definedName>
    <definedName name="sheet1___13" localSheetId="0">#REF!</definedName>
    <definedName name="sheet1___13">#REF!</definedName>
    <definedName name="shi" localSheetId="0">#REF!</definedName>
    <definedName name="shi">#REF!</definedName>
    <definedName name="shiva" localSheetId="0">#REF!</definedName>
    <definedName name="shiva">#REF!</definedName>
    <definedName name="SHOPBOQ" localSheetId="0">#REF!</definedName>
    <definedName name="SHOPBOQ">#REF!</definedName>
    <definedName name="SHOPHED" localSheetId="0">#REF!</definedName>
    <definedName name="SHOPHED">#REF!</definedName>
    <definedName name="short" localSheetId="0" hidden="1">{#N/A,#N/A,FALSE,"COVER1.XLS ";#N/A,#N/A,FALSE,"RACT1.XLS";#N/A,#N/A,FALSE,"RACT2.XLS";#N/A,#N/A,FALSE,"ECCMP";#N/A,#N/A,FALSE,"WELDER.XLS"}</definedName>
    <definedName name="short" hidden="1">{#N/A,#N/A,FALSE,"COVER1.XLS ";#N/A,#N/A,FALSE,"RACT1.XLS";#N/A,#N/A,FALSE,"RACT2.XLS";#N/A,#N/A,FALSE,"ECCMP";#N/A,#N/A,FALSE,"WELDER.XLS"}</definedName>
    <definedName name="Show.Acct.Update.Warning" localSheetId="0" hidden="1">#REF!</definedName>
    <definedName name="Show.Acct.Update.Warning" hidden="1">#REF!</definedName>
    <definedName name="Show.MDB.Update.Warning" localSheetId="0" hidden="1">#REF!</definedName>
    <definedName name="Show.MDB.Update.Warning" hidden="1">#REF!</definedName>
    <definedName name="SHS" localSheetId="0">#REF!</definedName>
    <definedName name="SHS">#REF!</definedName>
    <definedName name="Sht" localSheetId="0">#REF!</definedName>
    <definedName name="Sht">#REF!</definedName>
    <definedName name="shup" localSheetId="0">#REF!</definedName>
    <definedName name="shup">#REF!</definedName>
    <definedName name="Shuttering" localSheetId="0">#REF!</definedName>
    <definedName name="Shuttering">#REF!</definedName>
    <definedName name="si" localSheetId="0">#REF!</definedName>
    <definedName name="si">#REF!</definedName>
    <definedName name="sigma0.2" localSheetId="0">#REF!</definedName>
    <definedName name="sigma0.2">#REF!</definedName>
    <definedName name="sigma0_2" localSheetId="0">#REF!</definedName>
    <definedName name="sigma0_2">#REF!</definedName>
    <definedName name="sigmab" localSheetId="0">#REF!</definedName>
    <definedName name="sigmab">#REF!</definedName>
    <definedName name="sigmah" localSheetId="0">#REF!</definedName>
    <definedName name="sigmah">#REF!</definedName>
    <definedName name="sigmat" localSheetId="0">#REF!</definedName>
    <definedName name="sigmat">#REF!</definedName>
    <definedName name="sii" localSheetId="0">#REF!</definedName>
    <definedName name="sii">#REF!</definedName>
    <definedName name="sill">#REF!</definedName>
    <definedName name="Sink_Cuddapah" localSheetId="0">#REF!</definedName>
    <definedName name="Sink_Cuddapah">#REF!</definedName>
    <definedName name="Sink_white" localSheetId="0">#REF!</definedName>
    <definedName name="Sink_white">[6]Data!#REF!</definedName>
    <definedName name="sinq" localSheetId="0">#REF!</definedName>
    <definedName name="sinq">#REF!</definedName>
    <definedName name="sis" localSheetId="0">#REF!</definedName>
    <definedName name="sis">#REF!</definedName>
    <definedName name="sit" localSheetId="0">#REF!</definedName>
    <definedName name="sit">#REF!</definedName>
    <definedName name="sit0" localSheetId="0">#REF!</definedName>
    <definedName name="sit0">#REF!</definedName>
    <definedName name="Site_Preparation" localSheetId="0">#REF!</definedName>
    <definedName name="Site_Preparation">#REF!</definedName>
    <definedName name="sk"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illed" localSheetId="0">#REF!</definedName>
    <definedName name="skilled">#REF!</definedName>
    <definedName name="SKIRTING" localSheetId="0">#REF!</definedName>
    <definedName name="SKIRTING">#REF!</definedName>
    <definedName name="Skirting1" localSheetId="0">#REF!</definedName>
    <definedName name="Skirting1">#REF!</definedName>
    <definedName name="Sl_No" localSheetId="0">#REF!</definedName>
    <definedName name="Sl_No">#REF!</definedName>
    <definedName name="slab" localSheetId="0">#REF!</definedName>
    <definedName name="slab">#REF!</definedName>
    <definedName name="slab_1" localSheetId="0" hidden="1">{"form-D1",#N/A,FALSE,"FORM-D1";"form-D1_amt",#N/A,FALSE,"FORM-D1"}</definedName>
    <definedName name="slab_1" hidden="1">{"form-D1",#N/A,FALSE,"FORM-D1";"form-D1_amt",#N/A,FALSE,"FORM-D1"}</definedName>
    <definedName name="slab_1_1" localSheetId="0" hidden="1">{"form-D1",#N/A,FALSE,"FORM-D1";"form-D1_amt",#N/A,FALSE,"FORM-D1"}</definedName>
    <definedName name="slab_1_1" hidden="1">{"form-D1",#N/A,FALSE,"FORM-D1";"form-D1_amt",#N/A,FALSE,"FORM-D1"}</definedName>
    <definedName name="slab_1_2" localSheetId="0" hidden="1">{"form-D1",#N/A,FALSE,"FORM-D1";"form-D1_amt",#N/A,FALSE,"FORM-D1"}</definedName>
    <definedName name="slab_1_2" hidden="1">{"form-D1",#N/A,FALSE,"FORM-D1";"form-D1_amt",#N/A,FALSE,"FORM-D1"}</definedName>
    <definedName name="slab_2" localSheetId="0" hidden="1">{"form-D1",#N/A,FALSE,"FORM-D1";"form-D1_amt",#N/A,FALSE,"FORM-D1"}</definedName>
    <definedName name="slab_2" hidden="1">{"form-D1",#N/A,FALSE,"FORM-D1";"form-D1_amt",#N/A,FALSE,"FORM-D1"}</definedName>
    <definedName name="slab_2_1" localSheetId="0" hidden="1">{"form-D1",#N/A,FALSE,"FORM-D1";"form-D1_amt",#N/A,FALSE,"FORM-D1"}</definedName>
    <definedName name="slab_2_1" hidden="1">{"form-D1",#N/A,FALSE,"FORM-D1";"form-D1_amt",#N/A,FALSE,"FORM-D1"}</definedName>
    <definedName name="slab_3" localSheetId="0" hidden="1">{"form-D1",#N/A,FALSE,"FORM-D1";"form-D1_amt",#N/A,FALSE,"FORM-D1"}</definedName>
    <definedName name="slab_3" hidden="1">{"form-D1",#N/A,FALSE,"FORM-D1";"form-D1_amt",#N/A,FALSE,"FORM-D1"}</definedName>
    <definedName name="slab_3_1" localSheetId="0" hidden="1">{"form-D1",#N/A,FALSE,"FORM-D1";"form-D1_amt",#N/A,FALSE,"FORM-D1"}</definedName>
    <definedName name="slab_3_1" hidden="1">{"form-D1",#N/A,FALSE,"FORM-D1";"form-D1_amt",#N/A,FALSE,"FORM-D1"}</definedName>
    <definedName name="slab_4" localSheetId="0" hidden="1">{"form-D1",#N/A,FALSE,"FORM-D1";"form-D1_amt",#N/A,FALSE,"FORM-D1"}</definedName>
    <definedName name="slab_4" hidden="1">{"form-D1",#N/A,FALSE,"FORM-D1";"form-D1_amt",#N/A,FALSE,"FORM-D1"}</definedName>
    <definedName name="slab_4_1" localSheetId="0" hidden="1">{"form-D1",#N/A,FALSE,"FORM-D1";"form-D1_amt",#N/A,FALSE,"FORM-D1"}</definedName>
    <definedName name="slab_4_1" hidden="1">{"form-D1",#N/A,FALSE,"FORM-D1";"form-D1_amt",#N/A,FALSE,"FORM-D1"}</definedName>
    <definedName name="slab_5" localSheetId="0" hidden="1">{"form-D1",#N/A,FALSE,"FORM-D1";"form-D1_amt",#N/A,FALSE,"FORM-D1"}</definedName>
    <definedName name="slab_5" hidden="1">{"form-D1",#N/A,FALSE,"FORM-D1";"form-D1_amt",#N/A,FALSE,"FORM-D1"}</definedName>
    <definedName name="slab_5_1" localSheetId="0" hidden="1">{"form-D1",#N/A,FALSE,"FORM-D1";"form-D1_amt",#N/A,FALSE,"FORM-D1"}</definedName>
    <definedName name="slab_5_1" hidden="1">{"form-D1",#N/A,FALSE,"FORM-D1";"form-D1_amt",#N/A,FALSE,"FORM-D1"}</definedName>
    <definedName name="slab_p" localSheetId="0" hidden="1">{"form-D1",#N/A,FALSE,"FORM-D1";"form-D1_amt",#N/A,FALSE,"FORM-D1"}</definedName>
    <definedName name="slab_p" hidden="1">{"form-D1",#N/A,FALSE,"FORM-D1";"form-D1_amt",#N/A,FALSE,"FORM-D1"}</definedName>
    <definedName name="slab_p_1" localSheetId="0" hidden="1">{"form-D1",#N/A,FALSE,"FORM-D1";"form-D1_amt",#N/A,FALSE,"FORM-D1"}</definedName>
    <definedName name="slab_p_1" hidden="1">{"form-D1",#N/A,FALSE,"FORM-D1";"form-D1_amt",#N/A,FALSE,"FORM-D1"}</definedName>
    <definedName name="slab_p_1_1" localSheetId="0" hidden="1">{"form-D1",#N/A,FALSE,"FORM-D1";"form-D1_amt",#N/A,FALSE,"FORM-D1"}</definedName>
    <definedName name="slab_p_1_1" hidden="1">{"form-D1",#N/A,FALSE,"FORM-D1";"form-D1_amt",#N/A,FALSE,"FORM-D1"}</definedName>
    <definedName name="slab_p_1_2" localSheetId="0" hidden="1">{"form-D1",#N/A,FALSE,"FORM-D1";"form-D1_amt",#N/A,FALSE,"FORM-D1"}</definedName>
    <definedName name="slab_p_1_2" hidden="1">{"form-D1",#N/A,FALSE,"FORM-D1";"form-D1_amt",#N/A,FALSE,"FORM-D1"}</definedName>
    <definedName name="slab_p_2" localSheetId="0" hidden="1">{"form-D1",#N/A,FALSE,"FORM-D1";"form-D1_amt",#N/A,FALSE,"FORM-D1"}</definedName>
    <definedName name="slab_p_2" hidden="1">{"form-D1",#N/A,FALSE,"FORM-D1";"form-D1_amt",#N/A,FALSE,"FORM-D1"}</definedName>
    <definedName name="slab_p_2_1" localSheetId="0" hidden="1">{"form-D1",#N/A,FALSE,"FORM-D1";"form-D1_amt",#N/A,FALSE,"FORM-D1"}</definedName>
    <definedName name="slab_p_2_1" hidden="1">{"form-D1",#N/A,FALSE,"FORM-D1";"form-D1_amt",#N/A,FALSE,"FORM-D1"}</definedName>
    <definedName name="slab_p_3" localSheetId="0" hidden="1">{"form-D1",#N/A,FALSE,"FORM-D1";"form-D1_amt",#N/A,FALSE,"FORM-D1"}</definedName>
    <definedName name="slab_p_3" hidden="1">{"form-D1",#N/A,FALSE,"FORM-D1";"form-D1_amt",#N/A,FALSE,"FORM-D1"}</definedName>
    <definedName name="slab_p_3_1" localSheetId="0" hidden="1">{"form-D1",#N/A,FALSE,"FORM-D1";"form-D1_amt",#N/A,FALSE,"FORM-D1"}</definedName>
    <definedName name="slab_p_3_1" hidden="1">{"form-D1",#N/A,FALSE,"FORM-D1";"form-D1_amt",#N/A,FALSE,"FORM-D1"}</definedName>
    <definedName name="slab_p_4" localSheetId="0" hidden="1">{"form-D1",#N/A,FALSE,"FORM-D1";"form-D1_amt",#N/A,FALSE,"FORM-D1"}</definedName>
    <definedName name="slab_p_4" hidden="1">{"form-D1",#N/A,FALSE,"FORM-D1";"form-D1_amt",#N/A,FALSE,"FORM-D1"}</definedName>
    <definedName name="slab_p_4_1" localSheetId="0" hidden="1">{"form-D1",#N/A,FALSE,"FORM-D1";"form-D1_amt",#N/A,FALSE,"FORM-D1"}</definedName>
    <definedName name="slab_p_4_1" hidden="1">{"form-D1",#N/A,FALSE,"FORM-D1";"form-D1_amt",#N/A,FALSE,"FORM-D1"}</definedName>
    <definedName name="slab_p_5" localSheetId="0" hidden="1">{"form-D1",#N/A,FALSE,"FORM-D1";"form-D1_amt",#N/A,FALSE,"FORM-D1"}</definedName>
    <definedName name="slab_p_5" hidden="1">{"form-D1",#N/A,FALSE,"FORM-D1";"form-D1_amt",#N/A,FALSE,"FORM-D1"}</definedName>
    <definedName name="slab_p_5_1" localSheetId="0" hidden="1">{"form-D1",#N/A,FALSE,"FORM-D1";"form-D1_amt",#N/A,FALSE,"FORM-D1"}</definedName>
    <definedName name="slab_p_5_1" hidden="1">{"form-D1",#N/A,FALSE,"FORM-D1";"form-D1_amt",#N/A,FALSE,"FORM-D1"}</definedName>
    <definedName name="SLAB1" localSheetId="0">#REF!</definedName>
    <definedName name="SLAB1">#REF!</definedName>
    <definedName name="SLAB12" localSheetId="0">#REF!</definedName>
    <definedName name="SLAB12">#REF!</definedName>
    <definedName name="SLAB13" localSheetId="0">#REF!</definedName>
    <definedName name="SLAB13">#REF!</definedName>
    <definedName name="slab2" localSheetId="0">#REF!</definedName>
    <definedName name="slab2">#REF!</definedName>
    <definedName name="slab22" localSheetId="0">#REF!</definedName>
    <definedName name="slab22">#REF!</definedName>
    <definedName name="SLAB31" localSheetId="0">#REF!</definedName>
    <definedName name="SLAB31">#REF!</definedName>
    <definedName name="slab7" localSheetId="0">#REF!</definedName>
    <definedName name="slab7">#REF!</definedName>
    <definedName name="SlabArea" localSheetId="0">#REF!</definedName>
    <definedName name="SlabArea">#REF!</definedName>
    <definedName name="slabconArea" localSheetId="0">#REF!</definedName>
    <definedName name="slabconArea">#REF!</definedName>
    <definedName name="slabconPerimeter" localSheetId="0">#REF!</definedName>
    <definedName name="slabconPerimeter">#REF!</definedName>
    <definedName name="SlabD" localSheetId="0">#REF!</definedName>
    <definedName name="SlabD">#REF!</definedName>
    <definedName name="SlabPerimeter" localSheetId="0">#REF!</definedName>
    <definedName name="SlabPerimeter">#REF!</definedName>
    <definedName name="SLOPE" localSheetId="0">#REF!</definedName>
    <definedName name="SLOPE">#REF!</definedName>
    <definedName name="smmmm12" localSheetId="0">#REF!</definedName>
    <definedName name="smmmm12">#REF!</definedName>
    <definedName name="smx" localSheetId="0">#REF!</definedName>
    <definedName name="smx">#REF!</definedName>
    <definedName name="smy" localSheetId="0">#REF!</definedName>
    <definedName name="smy">#REF!</definedName>
    <definedName name="sN" localSheetId="0">#REF!</definedName>
    <definedName name="sN">#REF!</definedName>
    <definedName name="SO" localSheetId="0">#REF!</definedName>
    <definedName name="SO">#REF!</definedName>
    <definedName name="soasia" localSheetId="0" hidden="1">#REF!</definedName>
    <definedName name="soasia" hidden="1">#REF!</definedName>
    <definedName name="Society" localSheetId="0">#REF!</definedName>
    <definedName name="Society">#REF!</definedName>
    <definedName name="SOFITEL" localSheetId="0">#REF!</definedName>
    <definedName name="SOFITEL">#REF!</definedName>
    <definedName name="soh">0%</definedName>
    <definedName name="SoilProfile" localSheetId="0">#REF!</definedName>
    <definedName name="SoilProfile">#REF!</definedName>
    <definedName name="SOLVENT" localSheetId="0">#REF!</definedName>
    <definedName name="SOLVENT">#REF!</definedName>
    <definedName name="solvents" localSheetId="0">#REF!</definedName>
    <definedName name="solvents">#REF!</definedName>
    <definedName name="sone" localSheetId="0">#REF!</definedName>
    <definedName name="sone">#REF!</definedName>
    <definedName name="soo" localSheetId="0" hidden="1">#REF!</definedName>
    <definedName name="soo" hidden="1">#REF!</definedName>
    <definedName name="Space_Heating" localSheetId="0">#REF!</definedName>
    <definedName name="Space_Heating">#REF!</definedName>
    <definedName name="spacing" localSheetId="0">#REF!</definedName>
    <definedName name="spacing">#REF!</definedName>
    <definedName name="Spalls" localSheetId="0">#REF!</definedName>
    <definedName name="Spalls">#REF!</definedName>
    <definedName name="span" localSheetId="0">#REF!</definedName>
    <definedName name="span">#REF!</definedName>
    <definedName name="spares" localSheetId="0">#REF!</definedName>
    <definedName name="spares">#REF!</definedName>
    <definedName name="Spaver" localSheetId="0">#REF!</definedName>
    <definedName name="Spaver">#REF!</definedName>
    <definedName name="Special_Equipment" localSheetId="0">#REF!</definedName>
    <definedName name="Special_Equipment">#REF!</definedName>
    <definedName name="Special_Services" localSheetId="0">#REF!</definedName>
    <definedName name="Special_Services">#REF!</definedName>
    <definedName name="SpecialPrice" localSheetId="0" hidden="1">#REF!</definedName>
    <definedName name="SpecialPrice" hidden="1">#REF!</definedName>
    <definedName name="specifi">#REF!</definedName>
    <definedName name="SPR" localSheetId="0">#REF!</definedName>
    <definedName name="SPR">#REF!</definedName>
    <definedName name="sprare" localSheetId="0">#REF!</definedName>
    <definedName name="sprare">#REF!</definedName>
    <definedName name="spsl" localSheetId="0">DATE(YEAR('Pandalur -covering'!Loan_Start),MONTH('Pandalur -covering'!Loan_Start)+Payment_Number,DAY('Pandalur -covering'!Loan_Start))</definedName>
    <definedName name="spsl">DATE(YEAR(Loan_Start),MONTH(Loan_Start)+Payment_Number,DAY(Loan_Start))</definedName>
    <definedName name="SQRT__1___0.6___1.0" localSheetId="0">#REF!</definedName>
    <definedName name="SQRT__1___0.6___1.0">#REF!</definedName>
    <definedName name="SQRT__1___0_6___1_0" localSheetId="0">#REF!</definedName>
    <definedName name="SQRT__1___0_6___1_0">#REF!</definedName>
    <definedName name="SQRT__1___0_6___1_0___0" localSheetId="0">#REF!</definedName>
    <definedName name="SQRT__1___0_6___1_0___0">#REF!</definedName>
    <definedName name="SQRT__1___0_6___1_0___13" localSheetId="0">#REF!</definedName>
    <definedName name="SQRT__1___0_6___1_0___13">#REF!</definedName>
    <definedName name="srtthyrt" localSheetId="0" hidden="1">{#N/A,#N/A,TRUE,"Front";#N/A,#N/A,TRUE,"Simple Letter";#N/A,#N/A,TRUE,"Inside";#N/A,#N/A,TRUE,"Contents";#N/A,#N/A,TRUE,"Basis";#N/A,#N/A,TRUE,"Inclusions";#N/A,#N/A,TRUE,"Exclusions";#N/A,#N/A,TRUE,"Areas";#N/A,#N/A,TRUE,"Summary";#N/A,#N/A,TRUE,"Detail"}</definedName>
    <definedName name="srtthyrt" hidden="1">{#N/A,#N/A,TRUE,"Front";#N/A,#N/A,TRUE,"Simple Letter";#N/A,#N/A,TRUE,"Inside";#N/A,#N/A,TRUE,"Contents";#N/A,#N/A,TRUE,"Basis";#N/A,#N/A,TRUE,"Inclusions";#N/A,#N/A,TRUE,"Exclusions";#N/A,#N/A,TRUE,"Areas";#N/A,#N/A,TRUE,"Summary";#N/A,#N/A,TRUE,"Detail"}</definedName>
    <definedName name="srtthyrt_1" localSheetId="0" hidden="1">{#N/A,#N/A,TRUE,"Front";#N/A,#N/A,TRUE,"Simple Letter";#N/A,#N/A,TRUE,"Inside";#N/A,#N/A,TRUE,"Contents";#N/A,#N/A,TRUE,"Basis";#N/A,#N/A,TRUE,"Inclusions";#N/A,#N/A,TRUE,"Exclusions";#N/A,#N/A,TRUE,"Areas";#N/A,#N/A,TRUE,"Summary";#N/A,#N/A,TRUE,"Detail"}</definedName>
    <definedName name="srtthyrt_1" hidden="1">{#N/A,#N/A,TRUE,"Front";#N/A,#N/A,TRUE,"Simple Letter";#N/A,#N/A,TRUE,"Inside";#N/A,#N/A,TRUE,"Contents";#N/A,#N/A,TRUE,"Basis";#N/A,#N/A,TRUE,"Inclusions";#N/A,#N/A,TRUE,"Exclusions";#N/A,#N/A,TRUE,"Areas";#N/A,#N/A,TRUE,"Summary";#N/A,#N/A,TRUE,"Detail"}</definedName>
    <definedName name="srtthyrt_1_1" localSheetId="0" hidden="1">{#N/A,#N/A,TRUE,"Front";#N/A,#N/A,TRUE,"Simple Letter";#N/A,#N/A,TRUE,"Inside";#N/A,#N/A,TRUE,"Contents";#N/A,#N/A,TRUE,"Basis";#N/A,#N/A,TRUE,"Inclusions";#N/A,#N/A,TRUE,"Exclusions";#N/A,#N/A,TRUE,"Areas";#N/A,#N/A,TRUE,"Summary";#N/A,#N/A,TRUE,"Detail"}</definedName>
    <definedName name="srtthyrt_1_1" hidden="1">{#N/A,#N/A,TRUE,"Front";#N/A,#N/A,TRUE,"Simple Letter";#N/A,#N/A,TRUE,"Inside";#N/A,#N/A,TRUE,"Contents";#N/A,#N/A,TRUE,"Basis";#N/A,#N/A,TRUE,"Inclusions";#N/A,#N/A,TRUE,"Exclusions";#N/A,#N/A,TRUE,"Areas";#N/A,#N/A,TRUE,"Summary";#N/A,#N/A,TRUE,"Detail"}</definedName>
    <definedName name="srtthyrt_1_2" localSheetId="0" hidden="1">{#N/A,#N/A,TRUE,"Front";#N/A,#N/A,TRUE,"Simple Letter";#N/A,#N/A,TRUE,"Inside";#N/A,#N/A,TRUE,"Contents";#N/A,#N/A,TRUE,"Basis";#N/A,#N/A,TRUE,"Inclusions";#N/A,#N/A,TRUE,"Exclusions";#N/A,#N/A,TRUE,"Areas";#N/A,#N/A,TRUE,"Summary";#N/A,#N/A,TRUE,"Detail"}</definedName>
    <definedName name="srtthyrt_1_2" hidden="1">{#N/A,#N/A,TRUE,"Front";#N/A,#N/A,TRUE,"Simple Letter";#N/A,#N/A,TRUE,"Inside";#N/A,#N/A,TRUE,"Contents";#N/A,#N/A,TRUE,"Basis";#N/A,#N/A,TRUE,"Inclusions";#N/A,#N/A,TRUE,"Exclusions";#N/A,#N/A,TRUE,"Areas";#N/A,#N/A,TRUE,"Summary";#N/A,#N/A,TRUE,"Detail"}</definedName>
    <definedName name="srtthyrt_2" localSheetId="0" hidden="1">{#N/A,#N/A,TRUE,"Front";#N/A,#N/A,TRUE,"Simple Letter";#N/A,#N/A,TRUE,"Inside";#N/A,#N/A,TRUE,"Contents";#N/A,#N/A,TRUE,"Basis";#N/A,#N/A,TRUE,"Inclusions";#N/A,#N/A,TRUE,"Exclusions";#N/A,#N/A,TRUE,"Areas";#N/A,#N/A,TRUE,"Summary";#N/A,#N/A,TRUE,"Detail"}</definedName>
    <definedName name="srtthyrt_2" hidden="1">{#N/A,#N/A,TRUE,"Front";#N/A,#N/A,TRUE,"Simple Letter";#N/A,#N/A,TRUE,"Inside";#N/A,#N/A,TRUE,"Contents";#N/A,#N/A,TRUE,"Basis";#N/A,#N/A,TRUE,"Inclusions";#N/A,#N/A,TRUE,"Exclusions";#N/A,#N/A,TRUE,"Areas";#N/A,#N/A,TRUE,"Summary";#N/A,#N/A,TRUE,"Detail"}</definedName>
    <definedName name="srtthyrt_2_1" localSheetId="0" hidden="1">{#N/A,#N/A,TRUE,"Front";#N/A,#N/A,TRUE,"Simple Letter";#N/A,#N/A,TRUE,"Inside";#N/A,#N/A,TRUE,"Contents";#N/A,#N/A,TRUE,"Basis";#N/A,#N/A,TRUE,"Inclusions";#N/A,#N/A,TRUE,"Exclusions";#N/A,#N/A,TRUE,"Areas";#N/A,#N/A,TRUE,"Summary";#N/A,#N/A,TRUE,"Detail"}</definedName>
    <definedName name="srtthyrt_2_1" hidden="1">{#N/A,#N/A,TRUE,"Front";#N/A,#N/A,TRUE,"Simple Letter";#N/A,#N/A,TRUE,"Inside";#N/A,#N/A,TRUE,"Contents";#N/A,#N/A,TRUE,"Basis";#N/A,#N/A,TRUE,"Inclusions";#N/A,#N/A,TRUE,"Exclusions";#N/A,#N/A,TRUE,"Areas";#N/A,#N/A,TRUE,"Summary";#N/A,#N/A,TRUE,"Detail"}</definedName>
    <definedName name="srtthyrt_3" localSheetId="0" hidden="1">{#N/A,#N/A,TRUE,"Front";#N/A,#N/A,TRUE,"Simple Letter";#N/A,#N/A,TRUE,"Inside";#N/A,#N/A,TRUE,"Contents";#N/A,#N/A,TRUE,"Basis";#N/A,#N/A,TRUE,"Inclusions";#N/A,#N/A,TRUE,"Exclusions";#N/A,#N/A,TRUE,"Areas";#N/A,#N/A,TRUE,"Summary";#N/A,#N/A,TRUE,"Detail"}</definedName>
    <definedName name="srtthyrt_3" hidden="1">{#N/A,#N/A,TRUE,"Front";#N/A,#N/A,TRUE,"Simple Letter";#N/A,#N/A,TRUE,"Inside";#N/A,#N/A,TRUE,"Contents";#N/A,#N/A,TRUE,"Basis";#N/A,#N/A,TRUE,"Inclusions";#N/A,#N/A,TRUE,"Exclusions";#N/A,#N/A,TRUE,"Areas";#N/A,#N/A,TRUE,"Summary";#N/A,#N/A,TRUE,"Detail"}</definedName>
    <definedName name="srtthyrt_4" localSheetId="0" hidden="1">{#N/A,#N/A,TRUE,"Front";#N/A,#N/A,TRUE,"Simple Letter";#N/A,#N/A,TRUE,"Inside";#N/A,#N/A,TRUE,"Contents";#N/A,#N/A,TRUE,"Basis";#N/A,#N/A,TRUE,"Inclusions";#N/A,#N/A,TRUE,"Exclusions";#N/A,#N/A,TRUE,"Areas";#N/A,#N/A,TRUE,"Summary";#N/A,#N/A,TRUE,"Detail"}</definedName>
    <definedName name="srtthyrt_4" hidden="1">{#N/A,#N/A,TRUE,"Front";#N/A,#N/A,TRUE,"Simple Letter";#N/A,#N/A,TRUE,"Inside";#N/A,#N/A,TRUE,"Contents";#N/A,#N/A,TRUE,"Basis";#N/A,#N/A,TRUE,"Inclusions";#N/A,#N/A,TRUE,"Exclusions";#N/A,#N/A,TRUE,"Areas";#N/A,#N/A,TRUE,"Summary";#N/A,#N/A,TRUE,"Detail"}</definedName>
    <definedName name="ss" localSheetId="0">#REF!</definedName>
    <definedName name="ss">#REF!</definedName>
    <definedName name="Ssec1" localSheetId="0">#REF!</definedName>
    <definedName name="Ssec1">#REF!</definedName>
    <definedName name="ssec12" localSheetId="0">#REF!</definedName>
    <definedName name="ssec12">#REF!</definedName>
    <definedName name="SSEC13" localSheetId="0">#REF!</definedName>
    <definedName name="SSEC13">#REF!</definedName>
    <definedName name="Ssec2" localSheetId="0">#REF!</definedName>
    <definedName name="Ssec2">#REF!</definedName>
    <definedName name="ssec22" localSheetId="0">#REF!</definedName>
    <definedName name="ssec22">#REF!</definedName>
    <definedName name="SSEC23" localSheetId="0">#REF!</definedName>
    <definedName name="SSEC23">#REF!</definedName>
    <definedName name="Ssec3" localSheetId="0">#REF!</definedName>
    <definedName name="Ssec3">#REF!</definedName>
    <definedName name="ssec34" localSheetId="0">#REF!</definedName>
    <definedName name="ssec34">#REF!</definedName>
    <definedName name="SSEC35" localSheetId="0">#REF!</definedName>
    <definedName name="SSEC35">#REF!</definedName>
    <definedName name="Ssec4" localSheetId="0">#REF!</definedName>
    <definedName name="Ssec4">#REF!</definedName>
    <definedName name="SSEC43" localSheetId="0">#REF!</definedName>
    <definedName name="SSEC43">#REF!</definedName>
    <definedName name="ssec45" localSheetId="0">#REF!</definedName>
    <definedName name="ssec45">#REF!</definedName>
    <definedName name="Ssec5" localSheetId="0">#REF!</definedName>
    <definedName name="Ssec5">#REF!</definedName>
    <definedName name="SSEC54" localSheetId="0">#REF!</definedName>
    <definedName name="SSEC54">#REF!</definedName>
    <definedName name="ssec55" localSheetId="0">#REF!</definedName>
    <definedName name="ssec55">#REF!</definedName>
    <definedName name="Ssec6" localSheetId="0">#REF!</definedName>
    <definedName name="Ssec6">#REF!</definedName>
    <definedName name="SSEC65" localSheetId="0">#REF!</definedName>
    <definedName name="SSEC65">#REF!</definedName>
    <definedName name="ssec66" localSheetId="0">#REF!</definedName>
    <definedName name="ssec66">#REF!</definedName>
    <definedName name="ssemulsion" localSheetId="0">#REF!</definedName>
    <definedName name="ssemulsion">#REF!</definedName>
    <definedName name="ssl" localSheetId="0">#REF!</definedName>
    <definedName name="ssl">#REF!</definedName>
    <definedName name="sssss"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ss" localSheetId="0">#REF!</definedName>
    <definedName name="sssssss">#REF!</definedName>
    <definedName name="sssssssss" localSheetId="0" hidden="1">{"form-D1",#N/A,FALSE,"FORM-D1";"form-D1_amt",#N/A,FALSE,"FORM-D1"}</definedName>
    <definedName name="sssssssss" hidden="1">{"form-D1",#N/A,FALSE,"FORM-D1";"form-D1_amt",#N/A,FALSE,"FORM-D1"}</definedName>
    <definedName name="sssssssss_1" localSheetId="0" hidden="1">{"form-D1",#N/A,FALSE,"FORM-D1";"form-D1_amt",#N/A,FALSE,"FORM-D1"}</definedName>
    <definedName name="sssssssss_1" hidden="1">{"form-D1",#N/A,FALSE,"FORM-D1";"form-D1_amt",#N/A,FALSE,"FORM-D1"}</definedName>
    <definedName name="sssssssss_1_1" localSheetId="0" hidden="1">{"form-D1",#N/A,FALSE,"FORM-D1";"form-D1_amt",#N/A,FALSE,"FORM-D1"}</definedName>
    <definedName name="sssssssss_1_1" hidden="1">{"form-D1",#N/A,FALSE,"FORM-D1";"form-D1_amt",#N/A,FALSE,"FORM-D1"}</definedName>
    <definedName name="sssssssss_1_2" localSheetId="0" hidden="1">{"form-D1",#N/A,FALSE,"FORM-D1";"form-D1_amt",#N/A,FALSE,"FORM-D1"}</definedName>
    <definedName name="sssssssss_1_2" hidden="1">{"form-D1",#N/A,FALSE,"FORM-D1";"form-D1_amt",#N/A,FALSE,"FORM-D1"}</definedName>
    <definedName name="sssssssss_2" localSheetId="0" hidden="1">{"form-D1",#N/A,FALSE,"FORM-D1";"form-D1_amt",#N/A,FALSE,"FORM-D1"}</definedName>
    <definedName name="sssssssss_2" hidden="1">{"form-D1",#N/A,FALSE,"FORM-D1";"form-D1_amt",#N/A,FALSE,"FORM-D1"}</definedName>
    <definedName name="sssssssss_2_1" localSheetId="0" hidden="1">{"form-D1",#N/A,FALSE,"FORM-D1";"form-D1_amt",#N/A,FALSE,"FORM-D1"}</definedName>
    <definedName name="sssssssss_2_1" hidden="1">{"form-D1",#N/A,FALSE,"FORM-D1";"form-D1_amt",#N/A,FALSE,"FORM-D1"}</definedName>
    <definedName name="sssssssss_3" localSheetId="0" hidden="1">{"form-D1",#N/A,FALSE,"FORM-D1";"form-D1_amt",#N/A,FALSE,"FORM-D1"}</definedName>
    <definedName name="sssssssss_3" hidden="1">{"form-D1",#N/A,FALSE,"FORM-D1";"form-D1_amt",#N/A,FALSE,"FORM-D1"}</definedName>
    <definedName name="sssssssss_3_1" localSheetId="0" hidden="1">{"form-D1",#N/A,FALSE,"FORM-D1";"form-D1_amt",#N/A,FALSE,"FORM-D1"}</definedName>
    <definedName name="sssssssss_3_1" hidden="1">{"form-D1",#N/A,FALSE,"FORM-D1";"form-D1_amt",#N/A,FALSE,"FORM-D1"}</definedName>
    <definedName name="sssssssss_4" localSheetId="0" hidden="1">{"form-D1",#N/A,FALSE,"FORM-D1";"form-D1_amt",#N/A,FALSE,"FORM-D1"}</definedName>
    <definedName name="sssssssss_4" hidden="1">{"form-D1",#N/A,FALSE,"FORM-D1";"form-D1_amt",#N/A,FALSE,"FORM-D1"}</definedName>
    <definedName name="sssssssss_4_1" localSheetId="0" hidden="1">{"form-D1",#N/A,FALSE,"FORM-D1";"form-D1_amt",#N/A,FALSE,"FORM-D1"}</definedName>
    <definedName name="sssssssss_4_1" hidden="1">{"form-D1",#N/A,FALSE,"FORM-D1";"form-D1_amt",#N/A,FALSE,"FORM-D1"}</definedName>
    <definedName name="sssssssss_5" localSheetId="0" hidden="1">{"form-D1",#N/A,FALSE,"FORM-D1";"form-D1_amt",#N/A,FALSE,"FORM-D1"}</definedName>
    <definedName name="sssssssss_5" hidden="1">{"form-D1",#N/A,FALSE,"FORM-D1";"form-D1_amt",#N/A,FALSE,"FORM-D1"}</definedName>
    <definedName name="sssssssss_5_1" localSheetId="0" hidden="1">{"form-D1",#N/A,FALSE,"FORM-D1";"form-D1_amt",#N/A,FALSE,"FORM-D1"}</definedName>
    <definedName name="sssssssss_5_1" hidden="1">{"form-D1",#N/A,FALSE,"FORM-D1";"form-D1_amt",#N/A,FALSE,"FORM-D1"}</definedName>
    <definedName name="sssssssssss" localSheetId="0">#REF!</definedName>
    <definedName name="sssssssssss">#REF!</definedName>
    <definedName name="ssssssssssss" localSheetId="0">#REF!</definedName>
    <definedName name="ssssssssssss">#REF!</definedName>
    <definedName name="sssssssssssss" localSheetId="0" hidden="1">{"form-D1",#N/A,FALSE,"FORM-D1";"form-D1_amt",#N/A,FALSE,"FORM-D1"}</definedName>
    <definedName name="sssssssssssss" hidden="1">{"form-D1",#N/A,FALSE,"FORM-D1";"form-D1_amt",#N/A,FALSE,"FORM-D1"}</definedName>
    <definedName name="sssssssssssss_1" localSheetId="0" hidden="1">{"form-D1",#N/A,FALSE,"FORM-D1";"form-D1_amt",#N/A,FALSE,"FORM-D1"}</definedName>
    <definedName name="sssssssssssss_1" hidden="1">{"form-D1",#N/A,FALSE,"FORM-D1";"form-D1_amt",#N/A,FALSE,"FORM-D1"}</definedName>
    <definedName name="sssssssssssss_1_1" localSheetId="0" hidden="1">{"form-D1",#N/A,FALSE,"FORM-D1";"form-D1_amt",#N/A,FALSE,"FORM-D1"}</definedName>
    <definedName name="sssssssssssss_1_1" hidden="1">{"form-D1",#N/A,FALSE,"FORM-D1";"form-D1_amt",#N/A,FALSE,"FORM-D1"}</definedName>
    <definedName name="sssssssssssss_1_2" localSheetId="0" hidden="1">{"form-D1",#N/A,FALSE,"FORM-D1";"form-D1_amt",#N/A,FALSE,"FORM-D1"}</definedName>
    <definedName name="sssssssssssss_1_2" hidden="1">{"form-D1",#N/A,FALSE,"FORM-D1";"form-D1_amt",#N/A,FALSE,"FORM-D1"}</definedName>
    <definedName name="sssssssssssss_2" localSheetId="0" hidden="1">{"form-D1",#N/A,FALSE,"FORM-D1";"form-D1_amt",#N/A,FALSE,"FORM-D1"}</definedName>
    <definedName name="sssssssssssss_2" hidden="1">{"form-D1",#N/A,FALSE,"FORM-D1";"form-D1_amt",#N/A,FALSE,"FORM-D1"}</definedName>
    <definedName name="sssssssssssss_2_1" localSheetId="0" hidden="1">{"form-D1",#N/A,FALSE,"FORM-D1";"form-D1_amt",#N/A,FALSE,"FORM-D1"}</definedName>
    <definedName name="sssssssssssss_2_1" hidden="1">{"form-D1",#N/A,FALSE,"FORM-D1";"form-D1_amt",#N/A,FALSE,"FORM-D1"}</definedName>
    <definedName name="sssssssssssss_3" localSheetId="0" hidden="1">{"form-D1",#N/A,FALSE,"FORM-D1";"form-D1_amt",#N/A,FALSE,"FORM-D1"}</definedName>
    <definedName name="sssssssssssss_3" hidden="1">{"form-D1",#N/A,FALSE,"FORM-D1";"form-D1_amt",#N/A,FALSE,"FORM-D1"}</definedName>
    <definedName name="sssssssssssss_3_1" localSheetId="0" hidden="1">{"form-D1",#N/A,FALSE,"FORM-D1";"form-D1_amt",#N/A,FALSE,"FORM-D1"}</definedName>
    <definedName name="sssssssssssss_3_1" hidden="1">{"form-D1",#N/A,FALSE,"FORM-D1";"form-D1_amt",#N/A,FALSE,"FORM-D1"}</definedName>
    <definedName name="sssssssssssss_4" localSheetId="0" hidden="1">{"form-D1",#N/A,FALSE,"FORM-D1";"form-D1_amt",#N/A,FALSE,"FORM-D1"}</definedName>
    <definedName name="sssssssssssss_4" hidden="1">{"form-D1",#N/A,FALSE,"FORM-D1";"form-D1_amt",#N/A,FALSE,"FORM-D1"}</definedName>
    <definedName name="sssssssssssss_4_1" localSheetId="0" hidden="1">{"form-D1",#N/A,FALSE,"FORM-D1";"form-D1_amt",#N/A,FALSE,"FORM-D1"}</definedName>
    <definedName name="sssssssssssss_4_1" hidden="1">{"form-D1",#N/A,FALSE,"FORM-D1";"form-D1_amt",#N/A,FALSE,"FORM-D1"}</definedName>
    <definedName name="sssssssssssss_5" localSheetId="0" hidden="1">{"form-D1",#N/A,FALSE,"FORM-D1";"form-D1_amt",#N/A,FALSE,"FORM-D1"}</definedName>
    <definedName name="sssssssssssss_5" hidden="1">{"form-D1",#N/A,FALSE,"FORM-D1";"form-D1_amt",#N/A,FALSE,"FORM-D1"}</definedName>
    <definedName name="sssssssssssss_5_1" localSheetId="0" hidden="1">{"form-D1",#N/A,FALSE,"FORM-D1";"form-D1_amt",#N/A,FALSE,"FORM-D1"}</definedName>
    <definedName name="sssssssssssss_5_1" hidden="1">{"form-D1",#N/A,FALSE,"FORM-D1";"form-D1_amt",#N/A,FALSE,"FORM-D1"}</definedName>
    <definedName name="sssssssssssssas" localSheetId="0" hidden="1">{"form-D1",#N/A,FALSE,"FORM-D1";"form-D1_amt",#N/A,FALSE,"FORM-D1"}</definedName>
    <definedName name="sssssssssssssas" hidden="1">{"form-D1",#N/A,FALSE,"FORM-D1";"form-D1_amt",#N/A,FALSE,"FORM-D1"}</definedName>
    <definedName name="sssssssssssssas_1" localSheetId="0" hidden="1">{"form-D1",#N/A,FALSE,"FORM-D1";"form-D1_amt",#N/A,FALSE,"FORM-D1"}</definedName>
    <definedName name="sssssssssssssas_1" hidden="1">{"form-D1",#N/A,FALSE,"FORM-D1";"form-D1_amt",#N/A,FALSE,"FORM-D1"}</definedName>
    <definedName name="sssssssssssssas_1_1" localSheetId="0" hidden="1">{"form-D1",#N/A,FALSE,"FORM-D1";"form-D1_amt",#N/A,FALSE,"FORM-D1"}</definedName>
    <definedName name="sssssssssssssas_1_1" hidden="1">{"form-D1",#N/A,FALSE,"FORM-D1";"form-D1_amt",#N/A,FALSE,"FORM-D1"}</definedName>
    <definedName name="sssssssssssssas_1_2" localSheetId="0" hidden="1">{"form-D1",#N/A,FALSE,"FORM-D1";"form-D1_amt",#N/A,FALSE,"FORM-D1"}</definedName>
    <definedName name="sssssssssssssas_1_2" hidden="1">{"form-D1",#N/A,FALSE,"FORM-D1";"form-D1_amt",#N/A,FALSE,"FORM-D1"}</definedName>
    <definedName name="sssssssssssssas_2" localSheetId="0" hidden="1">{"form-D1",#N/A,FALSE,"FORM-D1";"form-D1_amt",#N/A,FALSE,"FORM-D1"}</definedName>
    <definedName name="sssssssssssssas_2" hidden="1">{"form-D1",#N/A,FALSE,"FORM-D1";"form-D1_amt",#N/A,FALSE,"FORM-D1"}</definedName>
    <definedName name="sssssssssssssas_2_1" localSheetId="0" hidden="1">{"form-D1",#N/A,FALSE,"FORM-D1";"form-D1_amt",#N/A,FALSE,"FORM-D1"}</definedName>
    <definedName name="sssssssssssssas_2_1" hidden="1">{"form-D1",#N/A,FALSE,"FORM-D1";"form-D1_amt",#N/A,FALSE,"FORM-D1"}</definedName>
    <definedName name="sssssssssssssas_3" localSheetId="0" hidden="1">{"form-D1",#N/A,FALSE,"FORM-D1";"form-D1_amt",#N/A,FALSE,"FORM-D1"}</definedName>
    <definedName name="sssssssssssssas_3" hidden="1">{"form-D1",#N/A,FALSE,"FORM-D1";"form-D1_amt",#N/A,FALSE,"FORM-D1"}</definedName>
    <definedName name="sssssssssssssas_3_1" localSheetId="0" hidden="1">{"form-D1",#N/A,FALSE,"FORM-D1";"form-D1_amt",#N/A,FALSE,"FORM-D1"}</definedName>
    <definedName name="sssssssssssssas_3_1" hidden="1">{"form-D1",#N/A,FALSE,"FORM-D1";"form-D1_amt",#N/A,FALSE,"FORM-D1"}</definedName>
    <definedName name="sssssssssssssas_4" localSheetId="0" hidden="1">{"form-D1",#N/A,FALSE,"FORM-D1";"form-D1_amt",#N/A,FALSE,"FORM-D1"}</definedName>
    <definedName name="sssssssssssssas_4" hidden="1">{"form-D1",#N/A,FALSE,"FORM-D1";"form-D1_amt",#N/A,FALSE,"FORM-D1"}</definedName>
    <definedName name="sssssssssssssas_4_1" localSheetId="0" hidden="1">{"form-D1",#N/A,FALSE,"FORM-D1";"form-D1_amt",#N/A,FALSE,"FORM-D1"}</definedName>
    <definedName name="sssssssssssssas_4_1" hidden="1">{"form-D1",#N/A,FALSE,"FORM-D1";"form-D1_amt",#N/A,FALSE,"FORM-D1"}</definedName>
    <definedName name="sssssssssssssas_5" localSheetId="0" hidden="1">{"form-D1",#N/A,FALSE,"FORM-D1";"form-D1_amt",#N/A,FALSE,"FORM-D1"}</definedName>
    <definedName name="sssssssssssssas_5" hidden="1">{"form-D1",#N/A,FALSE,"FORM-D1";"form-D1_amt",#N/A,FALSE,"FORM-D1"}</definedName>
    <definedName name="sssssssssssssas_5_1" localSheetId="0" hidden="1">{"form-D1",#N/A,FALSE,"FORM-D1";"form-D1_amt",#N/A,FALSE,"FORM-D1"}</definedName>
    <definedName name="sssssssssssssas_5_1" hidden="1">{"form-D1",#N/A,FALSE,"FORM-D1";"form-D1_amt",#N/A,FALSE,"FORM-D1"}</definedName>
    <definedName name="sssssssssssssssssss" localSheetId="0">#REF!</definedName>
    <definedName name="sssssssssssssssssss">#REF!</definedName>
    <definedName name="sstype3drop" localSheetId="0">#REF!</definedName>
    <definedName name="sstype3drop">#REF!</definedName>
    <definedName name="SSTYPE3DROP1" localSheetId="0">#REF!</definedName>
    <definedName name="SSTYPE3DROP1">#REF!</definedName>
    <definedName name="sstype3drop2" localSheetId="0">#REF!</definedName>
    <definedName name="sstype3drop2">#REF!</definedName>
    <definedName name="SSTYPE3DROP3" localSheetId="0">#REF!</definedName>
    <definedName name="SSTYPE3DROP3">#REF!</definedName>
    <definedName name="sstype3drop33" localSheetId="0">#REF!</definedName>
    <definedName name="sstype3drop33">#REF!</definedName>
    <definedName name="SSTYPE3DROP35" localSheetId="0">#REF!</definedName>
    <definedName name="SSTYPE3DROP35">#REF!</definedName>
    <definedName name="sstype3dropp" localSheetId="0">#REF!</definedName>
    <definedName name="sstype3dropp">#REF!</definedName>
    <definedName name="SSTYPE3DROPP1" localSheetId="0">#REF!</definedName>
    <definedName name="SSTYPE3DROPP1">#REF!</definedName>
    <definedName name="sstype3slab" localSheetId="0">#REF!</definedName>
    <definedName name="sstype3slab">#REF!</definedName>
    <definedName name="SSTYPE3SLAB121" localSheetId="0">#REF!</definedName>
    <definedName name="SSTYPE3SLAB121">#REF!</definedName>
    <definedName name="sstype3slab2" localSheetId="0">#REF!</definedName>
    <definedName name="sstype3slab2">#REF!</definedName>
    <definedName name="SSTYPE3SLAB3" localSheetId="0">#REF!</definedName>
    <definedName name="SSTYPE3SLAB3">#REF!</definedName>
    <definedName name="SSTYPE3SLAB32" localSheetId="0">#REF!</definedName>
    <definedName name="SSTYPE3SLAB32">#REF!</definedName>
    <definedName name="sstype3slab6" localSheetId="0">#REF!</definedName>
    <definedName name="sstype3slab6">#REF!</definedName>
    <definedName name="sstype3slabb" localSheetId="0">#REF!</definedName>
    <definedName name="sstype3slabb">#REF!</definedName>
    <definedName name="SSTYPESLAB1" localSheetId="0">#REF!</definedName>
    <definedName name="SSTYPESLAB1">#REF!</definedName>
    <definedName name="ssw">#REF!</definedName>
    <definedName name="SSWEWE" localSheetId="0" hidden="1">#REF!</definedName>
    <definedName name="SSWEWE" hidden="1">#REF!</definedName>
    <definedName name="st" localSheetId="0" hidden="1">{#N/A,#N/A,TRUE,"Front";#N/A,#N/A,TRUE,"Simple Letter";#N/A,#N/A,TRUE,"Inside";#N/A,#N/A,TRUE,"Contents";#N/A,#N/A,TRUE,"Basis";#N/A,#N/A,TRUE,"Inclusions";#N/A,#N/A,TRUE,"Exclusions";#N/A,#N/A,TRUE,"Areas";#N/A,#N/A,TRUE,"Summary";#N/A,#N/A,TRUE,"Detail"}</definedName>
    <definedName name="st" hidden="1">{#N/A,#N/A,TRUE,"Front";#N/A,#N/A,TRUE,"Simple Letter";#N/A,#N/A,TRUE,"Inside";#N/A,#N/A,TRUE,"Contents";#N/A,#N/A,TRUE,"Basis";#N/A,#N/A,TRUE,"Inclusions";#N/A,#N/A,TRUE,"Exclusions";#N/A,#N/A,TRUE,"Areas";#N/A,#N/A,TRUE,"Summary";#N/A,#N/A,TRUE,"Detail"}</definedName>
    <definedName name="st_1" localSheetId="0" hidden="1">{#N/A,#N/A,TRUE,"Front";#N/A,#N/A,TRUE,"Simple Letter";#N/A,#N/A,TRUE,"Inside";#N/A,#N/A,TRUE,"Contents";#N/A,#N/A,TRUE,"Basis";#N/A,#N/A,TRUE,"Inclusions";#N/A,#N/A,TRUE,"Exclusions";#N/A,#N/A,TRUE,"Areas";#N/A,#N/A,TRUE,"Summary";#N/A,#N/A,TRUE,"Detail"}</definedName>
    <definedName name="st_1" hidden="1">{#N/A,#N/A,TRUE,"Front";#N/A,#N/A,TRUE,"Simple Letter";#N/A,#N/A,TRUE,"Inside";#N/A,#N/A,TRUE,"Contents";#N/A,#N/A,TRUE,"Basis";#N/A,#N/A,TRUE,"Inclusions";#N/A,#N/A,TRUE,"Exclusions";#N/A,#N/A,TRUE,"Areas";#N/A,#N/A,TRUE,"Summary";#N/A,#N/A,TRUE,"Detail"}</definedName>
    <definedName name="st_1_1" localSheetId="0" hidden="1">{#N/A,#N/A,TRUE,"Front";#N/A,#N/A,TRUE,"Simple Letter";#N/A,#N/A,TRUE,"Inside";#N/A,#N/A,TRUE,"Contents";#N/A,#N/A,TRUE,"Basis";#N/A,#N/A,TRUE,"Inclusions";#N/A,#N/A,TRUE,"Exclusions";#N/A,#N/A,TRUE,"Areas";#N/A,#N/A,TRUE,"Summary";#N/A,#N/A,TRUE,"Detail"}</definedName>
    <definedName name="st_1_1" hidden="1">{#N/A,#N/A,TRUE,"Front";#N/A,#N/A,TRUE,"Simple Letter";#N/A,#N/A,TRUE,"Inside";#N/A,#N/A,TRUE,"Contents";#N/A,#N/A,TRUE,"Basis";#N/A,#N/A,TRUE,"Inclusions";#N/A,#N/A,TRUE,"Exclusions";#N/A,#N/A,TRUE,"Areas";#N/A,#N/A,TRUE,"Summary";#N/A,#N/A,TRUE,"Detail"}</definedName>
    <definedName name="st_1_2" localSheetId="0" hidden="1">{#N/A,#N/A,TRUE,"Front";#N/A,#N/A,TRUE,"Simple Letter";#N/A,#N/A,TRUE,"Inside";#N/A,#N/A,TRUE,"Contents";#N/A,#N/A,TRUE,"Basis";#N/A,#N/A,TRUE,"Inclusions";#N/A,#N/A,TRUE,"Exclusions";#N/A,#N/A,TRUE,"Areas";#N/A,#N/A,TRUE,"Summary";#N/A,#N/A,TRUE,"Detail"}</definedName>
    <definedName name="st_1_2" hidden="1">{#N/A,#N/A,TRUE,"Front";#N/A,#N/A,TRUE,"Simple Letter";#N/A,#N/A,TRUE,"Inside";#N/A,#N/A,TRUE,"Contents";#N/A,#N/A,TRUE,"Basis";#N/A,#N/A,TRUE,"Inclusions";#N/A,#N/A,TRUE,"Exclusions";#N/A,#N/A,TRUE,"Areas";#N/A,#N/A,TRUE,"Summary";#N/A,#N/A,TRUE,"Detail"}</definedName>
    <definedName name="st_100" localSheetId="0">#REF!</definedName>
    <definedName name="st_100">#REF!</definedName>
    <definedName name="st_150" localSheetId="0">#REF!</definedName>
    <definedName name="st_150">#REF!</definedName>
    <definedName name="st_2" localSheetId="0" hidden="1">{#N/A,#N/A,TRUE,"Front";#N/A,#N/A,TRUE,"Simple Letter";#N/A,#N/A,TRUE,"Inside";#N/A,#N/A,TRUE,"Contents";#N/A,#N/A,TRUE,"Basis";#N/A,#N/A,TRUE,"Inclusions";#N/A,#N/A,TRUE,"Exclusions";#N/A,#N/A,TRUE,"Areas";#N/A,#N/A,TRUE,"Summary";#N/A,#N/A,TRUE,"Detail"}</definedName>
    <definedName name="st_2" hidden="1">{#N/A,#N/A,TRUE,"Front";#N/A,#N/A,TRUE,"Simple Letter";#N/A,#N/A,TRUE,"Inside";#N/A,#N/A,TRUE,"Contents";#N/A,#N/A,TRUE,"Basis";#N/A,#N/A,TRUE,"Inclusions";#N/A,#N/A,TRUE,"Exclusions";#N/A,#N/A,TRUE,"Areas";#N/A,#N/A,TRUE,"Summary";#N/A,#N/A,TRUE,"Detail"}</definedName>
    <definedName name="st_2_1" localSheetId="0" hidden="1">{#N/A,#N/A,TRUE,"Front";#N/A,#N/A,TRUE,"Simple Letter";#N/A,#N/A,TRUE,"Inside";#N/A,#N/A,TRUE,"Contents";#N/A,#N/A,TRUE,"Basis";#N/A,#N/A,TRUE,"Inclusions";#N/A,#N/A,TRUE,"Exclusions";#N/A,#N/A,TRUE,"Areas";#N/A,#N/A,TRUE,"Summary";#N/A,#N/A,TRUE,"Detail"}</definedName>
    <definedName name="st_2_1" hidden="1">{#N/A,#N/A,TRUE,"Front";#N/A,#N/A,TRUE,"Simple Letter";#N/A,#N/A,TRUE,"Inside";#N/A,#N/A,TRUE,"Contents";#N/A,#N/A,TRUE,"Basis";#N/A,#N/A,TRUE,"Inclusions";#N/A,#N/A,TRUE,"Exclusions";#N/A,#N/A,TRUE,"Areas";#N/A,#N/A,TRUE,"Summary";#N/A,#N/A,TRUE,"Detail"}</definedName>
    <definedName name="st_200" localSheetId="0">#REF!</definedName>
    <definedName name="st_200">#REF!</definedName>
    <definedName name="st_25" localSheetId="0">#REF!</definedName>
    <definedName name="st_25">#REF!</definedName>
    <definedName name="st_250" localSheetId="0">#REF!</definedName>
    <definedName name="st_250">#REF!</definedName>
    <definedName name="st_3" localSheetId="0" hidden="1">{#N/A,#N/A,TRUE,"Front";#N/A,#N/A,TRUE,"Simple Letter";#N/A,#N/A,TRUE,"Inside";#N/A,#N/A,TRUE,"Contents";#N/A,#N/A,TRUE,"Basis";#N/A,#N/A,TRUE,"Inclusions";#N/A,#N/A,TRUE,"Exclusions";#N/A,#N/A,TRUE,"Areas";#N/A,#N/A,TRUE,"Summary";#N/A,#N/A,TRUE,"Detail"}</definedName>
    <definedName name="st_3" hidden="1">{#N/A,#N/A,TRUE,"Front";#N/A,#N/A,TRUE,"Simple Letter";#N/A,#N/A,TRUE,"Inside";#N/A,#N/A,TRUE,"Contents";#N/A,#N/A,TRUE,"Basis";#N/A,#N/A,TRUE,"Inclusions";#N/A,#N/A,TRUE,"Exclusions";#N/A,#N/A,TRUE,"Areas";#N/A,#N/A,TRUE,"Summary";#N/A,#N/A,TRUE,"Detail"}</definedName>
    <definedName name="st_300" localSheetId="0">#REF!</definedName>
    <definedName name="st_300">#REF!</definedName>
    <definedName name="st_32" localSheetId="0">#REF!</definedName>
    <definedName name="st_32">#REF!</definedName>
    <definedName name="st_40" localSheetId="0">#REF!</definedName>
    <definedName name="st_40">#REF!</definedName>
    <definedName name="st_400" localSheetId="0">#REF!</definedName>
    <definedName name="st_400">#REF!</definedName>
    <definedName name="st_50" localSheetId="0">#REF!</definedName>
    <definedName name="st_50">#REF!</definedName>
    <definedName name="st_500" localSheetId="0">#REF!</definedName>
    <definedName name="st_500">#REF!</definedName>
    <definedName name="st_65" localSheetId="0">#REF!</definedName>
    <definedName name="st_65">#REF!</definedName>
    <definedName name="st_80" localSheetId="0">#REF!</definedName>
    <definedName name="st_80">#REF!</definedName>
    <definedName name="staff" localSheetId="0" hidden="1">{#N/A,#N/A,TRUE,"Front";#N/A,#N/A,TRUE,"Simple Letter";#N/A,#N/A,TRUE,"Inside";#N/A,#N/A,TRUE,"Contents";#N/A,#N/A,TRUE,"Basis";#N/A,#N/A,TRUE,"Inclusions";#N/A,#N/A,TRUE,"Exclusions";#N/A,#N/A,TRUE,"Areas";#N/A,#N/A,TRUE,"Summary";#N/A,#N/A,TRUE,"Detail"}</definedName>
    <definedName name="staff" hidden="1">{#N/A,#N/A,TRUE,"Front";#N/A,#N/A,TRUE,"Simple Letter";#N/A,#N/A,TRUE,"Inside";#N/A,#N/A,TRUE,"Contents";#N/A,#N/A,TRUE,"Basis";#N/A,#N/A,TRUE,"Inclusions";#N/A,#N/A,TRUE,"Exclusions";#N/A,#N/A,TRUE,"Areas";#N/A,#N/A,TRUE,"Summary";#N/A,#N/A,TRUE,"Detail"}</definedName>
    <definedName name="staff_1" localSheetId="0" hidden="1">{#N/A,#N/A,TRUE,"Front";#N/A,#N/A,TRUE,"Simple Letter";#N/A,#N/A,TRUE,"Inside";#N/A,#N/A,TRUE,"Contents";#N/A,#N/A,TRUE,"Basis";#N/A,#N/A,TRUE,"Inclusions";#N/A,#N/A,TRUE,"Exclusions";#N/A,#N/A,TRUE,"Areas";#N/A,#N/A,TRUE,"Summary";#N/A,#N/A,TRUE,"Detail"}</definedName>
    <definedName name="staff_1" hidden="1">{#N/A,#N/A,TRUE,"Front";#N/A,#N/A,TRUE,"Simple Letter";#N/A,#N/A,TRUE,"Inside";#N/A,#N/A,TRUE,"Contents";#N/A,#N/A,TRUE,"Basis";#N/A,#N/A,TRUE,"Inclusions";#N/A,#N/A,TRUE,"Exclusions";#N/A,#N/A,TRUE,"Areas";#N/A,#N/A,TRUE,"Summary";#N/A,#N/A,TRUE,"Detail"}</definedName>
    <definedName name="staff_1_1" localSheetId="0" hidden="1">{#N/A,#N/A,TRUE,"Front";#N/A,#N/A,TRUE,"Simple Letter";#N/A,#N/A,TRUE,"Inside";#N/A,#N/A,TRUE,"Contents";#N/A,#N/A,TRUE,"Basis";#N/A,#N/A,TRUE,"Inclusions";#N/A,#N/A,TRUE,"Exclusions";#N/A,#N/A,TRUE,"Areas";#N/A,#N/A,TRUE,"Summary";#N/A,#N/A,TRUE,"Detail"}</definedName>
    <definedName name="staff_1_1" hidden="1">{#N/A,#N/A,TRUE,"Front";#N/A,#N/A,TRUE,"Simple Letter";#N/A,#N/A,TRUE,"Inside";#N/A,#N/A,TRUE,"Contents";#N/A,#N/A,TRUE,"Basis";#N/A,#N/A,TRUE,"Inclusions";#N/A,#N/A,TRUE,"Exclusions";#N/A,#N/A,TRUE,"Areas";#N/A,#N/A,TRUE,"Summary";#N/A,#N/A,TRUE,"Detail"}</definedName>
    <definedName name="staff_1_2" localSheetId="0" hidden="1">{#N/A,#N/A,TRUE,"Front";#N/A,#N/A,TRUE,"Simple Letter";#N/A,#N/A,TRUE,"Inside";#N/A,#N/A,TRUE,"Contents";#N/A,#N/A,TRUE,"Basis";#N/A,#N/A,TRUE,"Inclusions";#N/A,#N/A,TRUE,"Exclusions";#N/A,#N/A,TRUE,"Areas";#N/A,#N/A,TRUE,"Summary";#N/A,#N/A,TRUE,"Detail"}</definedName>
    <definedName name="staff_1_2" hidden="1">{#N/A,#N/A,TRUE,"Front";#N/A,#N/A,TRUE,"Simple Letter";#N/A,#N/A,TRUE,"Inside";#N/A,#N/A,TRUE,"Contents";#N/A,#N/A,TRUE,"Basis";#N/A,#N/A,TRUE,"Inclusions";#N/A,#N/A,TRUE,"Exclusions";#N/A,#N/A,TRUE,"Areas";#N/A,#N/A,TRUE,"Summary";#N/A,#N/A,TRUE,"Detail"}</definedName>
    <definedName name="staff_2" localSheetId="0" hidden="1">{#N/A,#N/A,TRUE,"Front";#N/A,#N/A,TRUE,"Simple Letter";#N/A,#N/A,TRUE,"Inside";#N/A,#N/A,TRUE,"Contents";#N/A,#N/A,TRUE,"Basis";#N/A,#N/A,TRUE,"Inclusions";#N/A,#N/A,TRUE,"Exclusions";#N/A,#N/A,TRUE,"Areas";#N/A,#N/A,TRUE,"Summary";#N/A,#N/A,TRUE,"Detail"}</definedName>
    <definedName name="staff_2" hidden="1">{#N/A,#N/A,TRUE,"Front";#N/A,#N/A,TRUE,"Simple Letter";#N/A,#N/A,TRUE,"Inside";#N/A,#N/A,TRUE,"Contents";#N/A,#N/A,TRUE,"Basis";#N/A,#N/A,TRUE,"Inclusions";#N/A,#N/A,TRUE,"Exclusions";#N/A,#N/A,TRUE,"Areas";#N/A,#N/A,TRUE,"Summary";#N/A,#N/A,TRUE,"Detail"}</definedName>
    <definedName name="staff_2_1" localSheetId="0" hidden="1">{#N/A,#N/A,TRUE,"Front";#N/A,#N/A,TRUE,"Simple Letter";#N/A,#N/A,TRUE,"Inside";#N/A,#N/A,TRUE,"Contents";#N/A,#N/A,TRUE,"Basis";#N/A,#N/A,TRUE,"Inclusions";#N/A,#N/A,TRUE,"Exclusions";#N/A,#N/A,TRUE,"Areas";#N/A,#N/A,TRUE,"Summary";#N/A,#N/A,TRUE,"Detail"}</definedName>
    <definedName name="staff_2_1" hidden="1">{#N/A,#N/A,TRUE,"Front";#N/A,#N/A,TRUE,"Simple Letter";#N/A,#N/A,TRUE,"Inside";#N/A,#N/A,TRUE,"Contents";#N/A,#N/A,TRUE,"Basis";#N/A,#N/A,TRUE,"Inclusions";#N/A,#N/A,TRUE,"Exclusions";#N/A,#N/A,TRUE,"Areas";#N/A,#N/A,TRUE,"Summary";#N/A,#N/A,TRUE,"Detail"}</definedName>
    <definedName name="staff_3" localSheetId="0" hidden="1">{#N/A,#N/A,TRUE,"Front";#N/A,#N/A,TRUE,"Simple Letter";#N/A,#N/A,TRUE,"Inside";#N/A,#N/A,TRUE,"Contents";#N/A,#N/A,TRUE,"Basis";#N/A,#N/A,TRUE,"Inclusions";#N/A,#N/A,TRUE,"Exclusions";#N/A,#N/A,TRUE,"Areas";#N/A,#N/A,TRUE,"Summary";#N/A,#N/A,TRUE,"Detail"}</definedName>
    <definedName name="staff_3" hidden="1">{#N/A,#N/A,TRUE,"Front";#N/A,#N/A,TRUE,"Simple Letter";#N/A,#N/A,TRUE,"Inside";#N/A,#N/A,TRUE,"Contents";#N/A,#N/A,TRUE,"Basis";#N/A,#N/A,TRUE,"Inclusions";#N/A,#N/A,TRUE,"Exclusions";#N/A,#N/A,TRUE,"Areas";#N/A,#N/A,TRUE,"Summary";#N/A,#N/A,TRUE,"Detail"}</definedName>
    <definedName name="staff_4" localSheetId="0" hidden="1">{#N/A,#N/A,TRUE,"Front";#N/A,#N/A,TRUE,"Simple Letter";#N/A,#N/A,TRUE,"Inside";#N/A,#N/A,TRUE,"Contents";#N/A,#N/A,TRUE,"Basis";#N/A,#N/A,TRUE,"Inclusions";#N/A,#N/A,TRUE,"Exclusions";#N/A,#N/A,TRUE,"Areas";#N/A,#N/A,TRUE,"Summary";#N/A,#N/A,TRUE,"Detail"}</definedName>
    <definedName name="staff_4" hidden="1">{#N/A,#N/A,TRUE,"Front";#N/A,#N/A,TRUE,"Simple Letter";#N/A,#N/A,TRUE,"Inside";#N/A,#N/A,TRUE,"Contents";#N/A,#N/A,TRUE,"Basis";#N/A,#N/A,TRUE,"Inclusions";#N/A,#N/A,TRUE,"Exclusions";#N/A,#N/A,TRUE,"Areas";#N/A,#N/A,TRUE,"Summary";#N/A,#N/A,TRUE,"Detail"}</definedName>
    <definedName name="Staircase" localSheetId="0">#REF!</definedName>
    <definedName name="Staircase">#REF!</definedName>
    <definedName name="Staircase2" localSheetId="0">#REF!</definedName>
    <definedName name="Staircase2">#REF!</definedName>
    <definedName name="Staircases" localSheetId="0">#REF!</definedName>
    <definedName name="Staircases">#REF!</definedName>
    <definedName name="STANDARD_SPECIFICATION_FOR_HOSPITAL_STRUCTURES" localSheetId="0">#REF!</definedName>
    <definedName name="STANDARD_SPECIFICATION_FOR_HOSPITAL_STRUCTURES">#REF!</definedName>
    <definedName name="Start_Date" localSheetId="0">#REF!</definedName>
    <definedName name="Start_Date">#REF!</definedName>
    <definedName name="StartRow">6</definedName>
    <definedName name="State" localSheetId="0">#REF!</definedName>
    <definedName name="State">#REF!</definedName>
    <definedName name="StdWorking" localSheetId="0" hidden="1">#REF!</definedName>
    <definedName name="StdWorking" hidden="1">#REF!</definedName>
    <definedName name="steam_props" localSheetId="0">#REF!</definedName>
    <definedName name="steam_props">#REF!</definedName>
    <definedName name="STEEL" localSheetId="0">#REF!</definedName>
    <definedName name="STEEL">#REF!</definedName>
    <definedName name="STEEL_PRO" localSheetId="0">#REF!</definedName>
    <definedName name="STEEL_PRO">#REF!</definedName>
    <definedName name="steelar" localSheetId="0">#REF!</definedName>
    <definedName name="steelar">#REF!</definedName>
    <definedName name="steelreq" localSheetId="0">#REF!</definedName>
    <definedName name="steelreq">#REF!</definedName>
    <definedName name="Stg_Sub" localSheetId="0">#REF!</definedName>
    <definedName name="Stg_Sub">#REF!</definedName>
    <definedName name="Stg_Super" localSheetId="0">#REF!</definedName>
    <definedName name="Stg_Super">#REF!</definedName>
    <definedName name="stock" localSheetId="0">#REF!</definedName>
    <definedName name="stock">#REF!</definedName>
    <definedName name="stock02" localSheetId="0" hidden="1">{#N/A,#N/A,FALSE,"gc (2)"}</definedName>
    <definedName name="stock02" hidden="1">{#N/A,#N/A,FALSE,"gc (2)"}</definedName>
    <definedName name="StorWash" localSheetId="0">#REF!</definedName>
    <definedName name="StorWash">#REF!</definedName>
    <definedName name="StorWash_I" localSheetId="0">#REF!</definedName>
    <definedName name="StorWash_I">#REF!</definedName>
    <definedName name="STP" localSheetId="0">#REF!</definedName>
    <definedName name="STP">#REF!</definedName>
    <definedName name="Str" localSheetId="0">#REF!</definedName>
    <definedName name="Str">#REF!</definedName>
    <definedName name="StrID" localSheetId="0">#REF!</definedName>
    <definedName name="StrID">#REF!</definedName>
    <definedName name="structure" localSheetId="0">#REF!</definedName>
    <definedName name="structure">#REF!</definedName>
    <definedName name="stt" localSheetId="0">#REF!</definedName>
    <definedName name="stt">#REF!</definedName>
    <definedName name="stu" localSheetId="0">#REF!</definedName>
    <definedName name="stu">[6]Data!#REF!</definedName>
    <definedName name="Stucco" localSheetId="0">#REF!</definedName>
    <definedName name="Stucco">#REF!</definedName>
    <definedName name="Stucco_Plastering" localSheetId="0">#REF!</definedName>
    <definedName name="Stucco_Plastering">[6]Data!#REF!</definedName>
    <definedName name="StudioArea" localSheetId="0">#REF!</definedName>
    <definedName name="StudioArea">#REF!</definedName>
    <definedName name="StudioPerimeter" localSheetId="0">#REF!</definedName>
    <definedName name="StudioPerimeter">#REF!</definedName>
    <definedName name="stype2drop" localSheetId="0">#REF!</definedName>
    <definedName name="stype2drop">#REF!</definedName>
    <definedName name="STYPE2DROP1" localSheetId="0">#REF!</definedName>
    <definedName name="STYPE2DROP1">#REF!</definedName>
    <definedName name="stype2drop11" localSheetId="0">#REF!</definedName>
    <definedName name="stype2drop11">#REF!</definedName>
    <definedName name="stype2drop2" localSheetId="0">#REF!</definedName>
    <definedName name="stype2drop2">#REF!</definedName>
    <definedName name="STYPE2DROP23" localSheetId="0">#REF!</definedName>
    <definedName name="STYPE2DROP23">#REF!</definedName>
    <definedName name="STYPE2DROP3" localSheetId="0">#REF!</definedName>
    <definedName name="STYPE2DROP3">#REF!</definedName>
    <definedName name="STYPE2DROP4" localSheetId="0">#REF!</definedName>
    <definedName name="STYPE2DROP4">#REF!</definedName>
    <definedName name="stype2drop6" localSheetId="0">#REF!</definedName>
    <definedName name="stype2drop6">#REF!</definedName>
    <definedName name="stype2slab" localSheetId="0">#REF!</definedName>
    <definedName name="stype2slab">#REF!</definedName>
    <definedName name="STYPE2SLAB1" localSheetId="0">#REF!</definedName>
    <definedName name="STYPE2SLAB1">#REF!</definedName>
    <definedName name="STYPE2SLAB12" localSheetId="0">#REF!</definedName>
    <definedName name="STYPE2SLAB12">#REF!</definedName>
    <definedName name="STYPE2SLAB2" localSheetId="0">#REF!</definedName>
    <definedName name="STYPE2SLAB2">#REF!</definedName>
    <definedName name="stype2slab22" localSheetId="0">#REF!</definedName>
    <definedName name="stype2slab22">#REF!</definedName>
    <definedName name="STYPE2SLAB23" localSheetId="0">#REF!</definedName>
    <definedName name="STYPE2SLAB23">#REF!</definedName>
    <definedName name="stype2slab3" localSheetId="0">#REF!</definedName>
    <definedName name="stype2slab3">#REF!</definedName>
    <definedName name="stype2slab6" localSheetId="0">#REF!</definedName>
    <definedName name="stype2slab6">#REF!</definedName>
    <definedName name="stype3drop" localSheetId="0">#REF!</definedName>
    <definedName name="stype3drop">#REF!</definedName>
    <definedName name="STYPE3DROP2" localSheetId="0">#REF!</definedName>
    <definedName name="STYPE3DROP2">#REF!</definedName>
    <definedName name="STYPE3DROP21" localSheetId="0">#REF!</definedName>
    <definedName name="STYPE3DROP21">#REF!</definedName>
    <definedName name="STYPE3DROP23" localSheetId="0">#REF!</definedName>
    <definedName name="STYPE3DROP23">#REF!</definedName>
    <definedName name="stype3drop3" localSheetId="0">#REF!</definedName>
    <definedName name="stype3drop3">#REF!</definedName>
    <definedName name="stype3drop33" localSheetId="0">#REF!</definedName>
    <definedName name="stype3drop33">#REF!</definedName>
    <definedName name="STYPE3DROP4" localSheetId="0">#REF!</definedName>
    <definedName name="STYPE3DROP4">#REF!</definedName>
    <definedName name="stype3drop6" localSheetId="0">#REF!</definedName>
    <definedName name="stype3drop6">#REF!</definedName>
    <definedName name="stype3slab" localSheetId="0">#REF!</definedName>
    <definedName name="stype3slab">#REF!</definedName>
    <definedName name="STYPE3SLAB1" localSheetId="0">#REF!</definedName>
    <definedName name="STYPE3SLAB1">#REF!</definedName>
    <definedName name="STYPE3SLAB12" localSheetId="0">#REF!</definedName>
    <definedName name="STYPE3SLAB12">#REF!</definedName>
    <definedName name="STYPE3SLAB13" localSheetId="0">#REF!</definedName>
    <definedName name="STYPE3SLAB13">#REF!</definedName>
    <definedName name="stype3slab22" localSheetId="0">#REF!</definedName>
    <definedName name="stype3slab22">#REF!</definedName>
    <definedName name="STYPE3SLAB23" localSheetId="0">#REF!</definedName>
    <definedName name="STYPE3SLAB23">#REF!</definedName>
    <definedName name="stype3slab3" localSheetId="0">#REF!</definedName>
    <definedName name="stype3slab3">#REF!</definedName>
    <definedName name="stype3slab6" localSheetId="0">#REF!</definedName>
    <definedName name="stype3slab6">#REF!</definedName>
    <definedName name="SubDebtAvgDSCR" localSheetId="0">#REF!</definedName>
    <definedName name="SubDebtAvgDSCR">#REF!</definedName>
    <definedName name="SubDebtLLCR" localSheetId="0">#REF!</definedName>
    <definedName name="SubDebtLLCR">#REF!</definedName>
    <definedName name="SubDebtMinDSCR" localSheetId="0">#REF!</definedName>
    <definedName name="SubDebtMinDSCR">#REF!</definedName>
    <definedName name="Subject" localSheetId="0">#REF!</definedName>
    <definedName name="Subject">#REF!</definedName>
    <definedName name="Substructure" localSheetId="0">#REF!</definedName>
    <definedName name="Substructure">#REF!</definedName>
    <definedName name="succ" localSheetId="0" hidden="1">{#N/A,#N/A,FALSE,"COVER1.XLS ";#N/A,#N/A,FALSE,"RACT1.XLS";#N/A,#N/A,FALSE,"RACT2.XLS";#N/A,#N/A,FALSE,"ECCMP";#N/A,#N/A,FALSE,"WELDER.XLS"}</definedName>
    <definedName name="succ" hidden="1">{#N/A,#N/A,FALSE,"COVER1.XLS ";#N/A,#N/A,FALSE,"RACT1.XLS";#N/A,#N/A,FALSE,"RACT2.XLS";#N/A,#N/A,FALSE,"ECCMP";#N/A,#N/A,FALSE,"WELDER.XLS"}</definedName>
    <definedName name="suite17Area" localSheetId="0">#REF!</definedName>
    <definedName name="suite17Area">#REF!</definedName>
    <definedName name="suite17Perimeter" localSheetId="0">#REF!</definedName>
    <definedName name="suite17Perimeter">#REF!</definedName>
    <definedName name="sum" localSheetId="0">#REF!</definedName>
    <definedName name="sum">#REF!</definedName>
    <definedName name="sumana" localSheetId="0">#REF!</definedName>
    <definedName name="sumana">#REF!</definedName>
    <definedName name="SUMFINAL" localSheetId="0">#REF!</definedName>
    <definedName name="SUMFINAL">#REF!</definedName>
    <definedName name="summary" localSheetId="0">#REF!</definedName>
    <definedName name="summary">#REF!</definedName>
    <definedName name="summary1" localSheetId="0">#REF!</definedName>
    <definedName name="summary1">#REF!</definedName>
    <definedName name="summery" localSheetId="0">#REF!</definedName>
    <definedName name="summery">#REF!</definedName>
    <definedName name="sump" localSheetId="0">#REF!</definedName>
    <definedName name="sump">#REF!</definedName>
    <definedName name="suresh" localSheetId="0" hidden="1">{#N/A,#N/A,TRUE,"Front";#N/A,#N/A,TRUE,"Simple Letter";#N/A,#N/A,TRUE,"Inside";#N/A,#N/A,TRUE,"Contents";#N/A,#N/A,TRUE,"Basis";#N/A,#N/A,TRUE,"Inclusions";#N/A,#N/A,TRUE,"Exclusions";#N/A,#N/A,TRUE,"Areas";#N/A,#N/A,TRUE,"Summary";#N/A,#N/A,TRUE,"Detail"}</definedName>
    <definedName name="suresh" hidden="1">{#N/A,#N/A,TRUE,"Front";#N/A,#N/A,TRUE,"Simple Letter";#N/A,#N/A,TRUE,"Inside";#N/A,#N/A,TRUE,"Contents";#N/A,#N/A,TRUE,"Basis";#N/A,#N/A,TRUE,"Inclusions";#N/A,#N/A,TRUE,"Exclusions";#N/A,#N/A,TRUE,"Areas";#N/A,#N/A,TRUE,"Summary";#N/A,#N/A,TRUE,"Detail"}</definedName>
    <definedName name="suresh_1" localSheetId="0" hidden="1">{#N/A,#N/A,TRUE,"Front";#N/A,#N/A,TRUE,"Simple Letter";#N/A,#N/A,TRUE,"Inside";#N/A,#N/A,TRUE,"Contents";#N/A,#N/A,TRUE,"Basis";#N/A,#N/A,TRUE,"Inclusions";#N/A,#N/A,TRUE,"Exclusions";#N/A,#N/A,TRUE,"Areas";#N/A,#N/A,TRUE,"Summary";#N/A,#N/A,TRUE,"Detail"}</definedName>
    <definedName name="suresh_1" hidden="1">{#N/A,#N/A,TRUE,"Front";#N/A,#N/A,TRUE,"Simple Letter";#N/A,#N/A,TRUE,"Inside";#N/A,#N/A,TRUE,"Contents";#N/A,#N/A,TRUE,"Basis";#N/A,#N/A,TRUE,"Inclusions";#N/A,#N/A,TRUE,"Exclusions";#N/A,#N/A,TRUE,"Areas";#N/A,#N/A,TRUE,"Summary";#N/A,#N/A,TRUE,"Detail"}</definedName>
    <definedName name="suresh_1_1" localSheetId="0" hidden="1">{#N/A,#N/A,TRUE,"Front";#N/A,#N/A,TRUE,"Simple Letter";#N/A,#N/A,TRUE,"Inside";#N/A,#N/A,TRUE,"Contents";#N/A,#N/A,TRUE,"Basis";#N/A,#N/A,TRUE,"Inclusions";#N/A,#N/A,TRUE,"Exclusions";#N/A,#N/A,TRUE,"Areas";#N/A,#N/A,TRUE,"Summary";#N/A,#N/A,TRUE,"Detail"}</definedName>
    <definedName name="suresh_1_1" hidden="1">{#N/A,#N/A,TRUE,"Front";#N/A,#N/A,TRUE,"Simple Letter";#N/A,#N/A,TRUE,"Inside";#N/A,#N/A,TRUE,"Contents";#N/A,#N/A,TRUE,"Basis";#N/A,#N/A,TRUE,"Inclusions";#N/A,#N/A,TRUE,"Exclusions";#N/A,#N/A,TRUE,"Areas";#N/A,#N/A,TRUE,"Summary";#N/A,#N/A,TRUE,"Detail"}</definedName>
    <definedName name="suresh_1_2" localSheetId="0" hidden="1">{#N/A,#N/A,TRUE,"Front";#N/A,#N/A,TRUE,"Simple Letter";#N/A,#N/A,TRUE,"Inside";#N/A,#N/A,TRUE,"Contents";#N/A,#N/A,TRUE,"Basis";#N/A,#N/A,TRUE,"Inclusions";#N/A,#N/A,TRUE,"Exclusions";#N/A,#N/A,TRUE,"Areas";#N/A,#N/A,TRUE,"Summary";#N/A,#N/A,TRUE,"Detail"}</definedName>
    <definedName name="suresh_1_2" hidden="1">{#N/A,#N/A,TRUE,"Front";#N/A,#N/A,TRUE,"Simple Letter";#N/A,#N/A,TRUE,"Inside";#N/A,#N/A,TRUE,"Contents";#N/A,#N/A,TRUE,"Basis";#N/A,#N/A,TRUE,"Inclusions";#N/A,#N/A,TRUE,"Exclusions";#N/A,#N/A,TRUE,"Areas";#N/A,#N/A,TRUE,"Summary";#N/A,#N/A,TRUE,"Detail"}</definedName>
    <definedName name="suresh_2" localSheetId="0" hidden="1">{#N/A,#N/A,TRUE,"Front";#N/A,#N/A,TRUE,"Simple Letter";#N/A,#N/A,TRUE,"Inside";#N/A,#N/A,TRUE,"Contents";#N/A,#N/A,TRUE,"Basis";#N/A,#N/A,TRUE,"Inclusions";#N/A,#N/A,TRUE,"Exclusions";#N/A,#N/A,TRUE,"Areas";#N/A,#N/A,TRUE,"Summary";#N/A,#N/A,TRUE,"Detail"}</definedName>
    <definedName name="suresh_2" hidden="1">{#N/A,#N/A,TRUE,"Front";#N/A,#N/A,TRUE,"Simple Letter";#N/A,#N/A,TRUE,"Inside";#N/A,#N/A,TRUE,"Contents";#N/A,#N/A,TRUE,"Basis";#N/A,#N/A,TRUE,"Inclusions";#N/A,#N/A,TRUE,"Exclusions";#N/A,#N/A,TRUE,"Areas";#N/A,#N/A,TRUE,"Summary";#N/A,#N/A,TRUE,"Detail"}</definedName>
    <definedName name="suresh_2_1" localSheetId="0" hidden="1">{#N/A,#N/A,TRUE,"Front";#N/A,#N/A,TRUE,"Simple Letter";#N/A,#N/A,TRUE,"Inside";#N/A,#N/A,TRUE,"Contents";#N/A,#N/A,TRUE,"Basis";#N/A,#N/A,TRUE,"Inclusions";#N/A,#N/A,TRUE,"Exclusions";#N/A,#N/A,TRUE,"Areas";#N/A,#N/A,TRUE,"Summary";#N/A,#N/A,TRUE,"Detail"}</definedName>
    <definedName name="suresh_2_1" hidden="1">{#N/A,#N/A,TRUE,"Front";#N/A,#N/A,TRUE,"Simple Letter";#N/A,#N/A,TRUE,"Inside";#N/A,#N/A,TRUE,"Contents";#N/A,#N/A,TRUE,"Basis";#N/A,#N/A,TRUE,"Inclusions";#N/A,#N/A,TRUE,"Exclusions";#N/A,#N/A,TRUE,"Areas";#N/A,#N/A,TRUE,"Summary";#N/A,#N/A,TRUE,"Detail"}</definedName>
    <definedName name="suresh_3" localSheetId="0" hidden="1">{#N/A,#N/A,TRUE,"Front";#N/A,#N/A,TRUE,"Simple Letter";#N/A,#N/A,TRUE,"Inside";#N/A,#N/A,TRUE,"Contents";#N/A,#N/A,TRUE,"Basis";#N/A,#N/A,TRUE,"Inclusions";#N/A,#N/A,TRUE,"Exclusions";#N/A,#N/A,TRUE,"Areas";#N/A,#N/A,TRUE,"Summary";#N/A,#N/A,TRUE,"Detail"}</definedName>
    <definedName name="suresh_3" hidden="1">{#N/A,#N/A,TRUE,"Front";#N/A,#N/A,TRUE,"Simple Letter";#N/A,#N/A,TRUE,"Inside";#N/A,#N/A,TRUE,"Contents";#N/A,#N/A,TRUE,"Basis";#N/A,#N/A,TRUE,"Inclusions";#N/A,#N/A,TRUE,"Exclusions";#N/A,#N/A,TRUE,"Areas";#N/A,#N/A,TRUE,"Summary";#N/A,#N/A,TRUE,"Detail"}</definedName>
    <definedName name="suresh_4" localSheetId="0" hidden="1">{#N/A,#N/A,TRUE,"Front";#N/A,#N/A,TRUE,"Simple Letter";#N/A,#N/A,TRUE,"Inside";#N/A,#N/A,TRUE,"Contents";#N/A,#N/A,TRUE,"Basis";#N/A,#N/A,TRUE,"Inclusions";#N/A,#N/A,TRUE,"Exclusions";#N/A,#N/A,TRUE,"Areas";#N/A,#N/A,TRUE,"Summary";#N/A,#N/A,TRUE,"Detail"}</definedName>
    <definedName name="suresh_4" hidden="1">{#N/A,#N/A,TRUE,"Front";#N/A,#N/A,TRUE,"Simple Letter";#N/A,#N/A,TRUE,"Inside";#N/A,#N/A,TRUE,"Contents";#N/A,#N/A,TRUE,"Basis";#N/A,#N/A,TRUE,"Inclusions";#N/A,#N/A,TRUE,"Exclusions";#N/A,#N/A,TRUE,"Areas";#N/A,#N/A,TRUE,"Summary";#N/A,#N/A,TRUE,"Detail"}</definedName>
    <definedName name="SURYA" localSheetId="0">#REF!</definedName>
    <definedName name="SURYA">#REF!</definedName>
    <definedName name="sushma" localSheetId="0">#REF!</definedName>
    <definedName name="sushma">#REF!</definedName>
    <definedName name="SWALL" localSheetId="0">#REF!</definedName>
    <definedName name="SWALL">#REF!</definedName>
    <definedName name="SXZCAX" localSheetId="0">'Pandalur -covering'!City&amp;" "&amp;'Pandalur -covering'!State</definedName>
    <definedName name="SXZCAX">City&amp;" "&amp;State</definedName>
    <definedName name="SystemName" localSheetId="0">#REF!</definedName>
    <definedName name="SystemName">#REF!</definedName>
    <definedName name="SZCSDACQE" localSheetId="0">#REF!</definedName>
    <definedName name="SZCSDACQE">#REF!</definedName>
    <definedName name="T"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A" localSheetId="0">#REF!</definedName>
    <definedName name="T.A">#REF!</definedName>
    <definedName name="t.area" localSheetId="0">#REF!</definedName>
    <definedName name="t.area">#REF!</definedName>
    <definedName name="t___0" localSheetId="0">#REF!</definedName>
    <definedName name="t___0">#REF!</definedName>
    <definedName name="t___13" localSheetId="0">#REF!</definedName>
    <definedName name="t___13">#REF!</definedName>
    <definedName name="T0" localSheetId="0">#REF!</definedName>
    <definedName name="T0">#REF!</definedName>
    <definedName name="TA" localSheetId="0" hidden="1">{#N/A,#N/A,TRUE,"Financials";#N/A,#N/A,TRUE,"Operating Statistics";#N/A,#N/A,TRUE,"Capex &amp; Depreciation";#N/A,#N/A,TRUE,"Debt"}</definedName>
    <definedName name="TA" hidden="1">{#N/A,#N/A,TRUE,"Financials";#N/A,#N/A,TRUE,"Operating Statistics";#N/A,#N/A,TRUE,"Capex &amp; Depreciation";#N/A,#N/A,TRUE,"Debt"}</definedName>
    <definedName name="TAB" localSheetId="0">#REF!</definedName>
    <definedName name="TAB">#REF!</definedName>
    <definedName name="TAB_COLUMN" localSheetId="0">#REF!</definedName>
    <definedName name="TAB_COLUMN">#REF!</definedName>
    <definedName name="Table" localSheetId="0">#REF!</definedName>
    <definedName name="Table">#REF!</definedName>
    <definedName name="TABLE_4" localSheetId="0">#REF!</definedName>
    <definedName name="TABLE_4">#REF!</definedName>
    <definedName name="table1" localSheetId="0">#REF!</definedName>
    <definedName name="table1">#REF!</definedName>
    <definedName name="TABLE2" localSheetId="0">#REF!</definedName>
    <definedName name="TABLE2">#REF!</definedName>
    <definedName name="TableRange" localSheetId="0">#REF!</definedName>
    <definedName name="TableRange">#REF!</definedName>
    <definedName name="tallu" localSheetId="0">#REF!</definedName>
    <definedName name="tallu">#REF!</definedName>
    <definedName name="tally" localSheetId="0">#REF!</definedName>
    <definedName name="tally">#REF!</definedName>
    <definedName name="TANDEMROLLER" localSheetId="0">#REF!</definedName>
    <definedName name="TANDEMROLLER">#REF!</definedName>
    <definedName name="Tap" localSheetId="0">#REF!</definedName>
    <definedName name="Tap">#REF!</definedName>
    <definedName name="tarar"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iff" localSheetId="0">#REF!</definedName>
    <definedName name="Tariff">#REF!</definedName>
    <definedName name="Tariff_I" localSheetId="0">#REF!</definedName>
    <definedName name="Tariff_I">#REF!</definedName>
    <definedName name="taxCapAp" localSheetId="0">#REF!</definedName>
    <definedName name="taxCapAp">#REF!</definedName>
    <definedName name="taxCorpIDFC" localSheetId="0">#REF!</definedName>
    <definedName name="taxCorpIDFC">#REF!</definedName>
    <definedName name="taxPaidThisYear" localSheetId="0">#REF!</definedName>
    <definedName name="taxPaidThisYear">#REF!</definedName>
    <definedName name="taxRate" localSheetId="0">#REF!</definedName>
    <definedName name="taxRate">#REF!</definedName>
    <definedName name="TaxTV">10%</definedName>
    <definedName name="TaxXL">5%</definedName>
    <definedName name="TB" localSheetId="0" hidden="1">{#N/A,#N/A,FALSE,"One Pager";#N/A,#N/A,FALSE,"Technical"}</definedName>
    <definedName name="TB" hidden="1">{#N/A,#N/A,FALSE,"One Pager";#N/A,#N/A,FALSE,"Technical"}</definedName>
    <definedName name="tbl_ProdInfo" localSheetId="0" hidden="1">#REF!</definedName>
    <definedName name="tbl_ProdInfo" hidden="1">#REF!</definedName>
    <definedName name="tc" localSheetId="0">#REF!</definedName>
    <definedName name="tc">#REF!</definedName>
    <definedName name="tcap" localSheetId="0">#REF!</definedName>
    <definedName name="tcap">#REF!</definedName>
    <definedName name="Tcrane" localSheetId="0">#REF!</definedName>
    <definedName name="Tcrane">#REF!</definedName>
    <definedName name="tcy" localSheetId="0">#REF!</definedName>
    <definedName name="tcy">#REF!</definedName>
    <definedName name="te" localSheetId="0">#REF!</definedName>
    <definedName name="te">[6]Data!#REF!</definedName>
    <definedName name="TEI" localSheetId="0">#REF!</definedName>
    <definedName name="TEI">#REF!</definedName>
    <definedName name="telecom" localSheetId="0">#REF!</definedName>
    <definedName name="telecom">#REF!</definedName>
    <definedName name="temp1" localSheetId="0">#REF!</definedName>
    <definedName name="temp1">#REF!</definedName>
    <definedName name="tendem" localSheetId="0">#REF!</definedName>
    <definedName name="tendem">#REF!</definedName>
    <definedName name="teo" localSheetId="0">#REF!</definedName>
    <definedName name="teo">[6]Data!#REF!</definedName>
    <definedName name="ter_vapi" localSheetId="0">#REF!</definedName>
    <definedName name="ter_vapi">#REF!</definedName>
    <definedName name="TERM" localSheetId="0">#REF!</definedName>
    <definedName name="TERM">#REF!</definedName>
    <definedName name="TEs" localSheetId="0">#REF!</definedName>
    <definedName name="TEs">#REF!</definedName>
    <definedName name="TEs___0" localSheetId="0">#REF!</definedName>
    <definedName name="TEs___0">#REF!</definedName>
    <definedName name="TEs___13" localSheetId="0">#REF!</definedName>
    <definedName name="TEs___13">#REF!</definedName>
    <definedName name="TEST" localSheetId="0">#REF!</definedName>
    <definedName name="TEST">#REF!</definedName>
    <definedName name="TEt" localSheetId="0">#REF!</definedName>
    <definedName name="TEt">#REF!</definedName>
    <definedName name="TEt___0" localSheetId="0">#REF!</definedName>
    <definedName name="TEt___0">#REF!</definedName>
    <definedName name="TEt___13" localSheetId="0">#REF!</definedName>
    <definedName name="TEt___13">#REF!</definedName>
    <definedName name="TF" localSheetId="0">#REF!</definedName>
    <definedName name="TF">#REF!</definedName>
    <definedName name="tg" localSheetId="0">#REF!</definedName>
    <definedName name="tg">[6]Data!#REF!</definedName>
    <definedName name="th" localSheetId="0">#REF!</definedName>
    <definedName name="th">#REF!</definedName>
    <definedName name="the" localSheetId="0" hidden="1">{#N/A,#N/A,FALSE,"gc (2)"}</definedName>
    <definedName name="the" hidden="1">{#N/A,#N/A,FALSE,"gc (2)"}</definedName>
    <definedName name="theeta" localSheetId="0">#REF!</definedName>
    <definedName name="theeta">#REF!</definedName>
    <definedName name="thousand">1000</definedName>
    <definedName name="tick">"ü"</definedName>
    <definedName name="tileaq" localSheetId="0">#REF!</definedName>
    <definedName name="tileaq">#REF!</definedName>
    <definedName name="Tiles" localSheetId="0">#REF!</definedName>
    <definedName name="Tiles">#REF!</definedName>
    <definedName name="timeHorizon" localSheetId="0">#REF!</definedName>
    <definedName name="timeHorizon">#REF!</definedName>
    <definedName name="tipper" localSheetId="0">#REF!</definedName>
    <definedName name="tipper">#REF!</definedName>
    <definedName name="TIPPER6" localSheetId="0">#REF!</definedName>
    <definedName name="TIPPER6">#REF!</definedName>
    <definedName name="TIPPER8" localSheetId="0">#REF!</definedName>
    <definedName name="TIPPER8">#REF!</definedName>
    <definedName name="Title" localSheetId="0">#REF!</definedName>
    <definedName name="Title">#REF!</definedName>
    <definedName name="Title1" localSheetId="0">#REF!</definedName>
    <definedName name="Title1">#REF!</definedName>
    <definedName name="Title2" localSheetId="0">#REF!</definedName>
    <definedName name="Title2">#REF!</definedName>
    <definedName name="Titoli_stampa_MI" localSheetId="0">#REF!</definedName>
    <definedName name="Titoli_stampa_MI">#REF!</definedName>
    <definedName name="Tk" localSheetId="0">#REF!</definedName>
    <definedName name="Tk">#REF!</definedName>
    <definedName name="Tkl" localSheetId="0">#REF!</definedName>
    <definedName name="Tkl">#REF!</definedName>
    <definedName name="Tm" localSheetId="0">#REF!</definedName>
    <definedName name="Tm">#REF!</definedName>
    <definedName name="TMaj_cou" localSheetId="0">#REF!</definedName>
    <definedName name="TMaj_cou">#REF!</definedName>
    <definedName name="TMIXER" localSheetId="0">#REF!</definedName>
    <definedName name="TMIXER">#REF!</definedName>
    <definedName name="TMTbars" localSheetId="0">#REF!</definedName>
    <definedName name="TMTbars">#REF!</definedName>
    <definedName name="TO.AR" localSheetId="0">#REF!</definedName>
    <definedName name="TO.AR">#REF!</definedName>
    <definedName name="tol" localSheetId="0">#REF!</definedName>
    <definedName name="tol">#REF!</definedName>
    <definedName name="tools" localSheetId="0">#REF!</definedName>
    <definedName name="tools">#REF!</definedName>
    <definedName name="tools1" localSheetId="0">#REF!</definedName>
    <definedName name="tools1">#REF!</definedName>
    <definedName name="top" localSheetId="0">#REF!</definedName>
    <definedName name="top">#REF!</definedName>
    <definedName name="topl" localSheetId="0">#REF!</definedName>
    <definedName name="topl">#REF!</definedName>
    <definedName name="topn" localSheetId="0">#REF!</definedName>
    <definedName name="topn">#REF!</definedName>
    <definedName name="TopSlbThk" localSheetId="0">#REF!</definedName>
    <definedName name="TopSlbThk">#REF!</definedName>
    <definedName name="TOTAL_CONSUMPTION" localSheetId="0">#REF!</definedName>
    <definedName name="TOTAL_CONSUMPTION">#REF!</definedName>
    <definedName name="Total_Interest" localSheetId="0">#REF!</definedName>
    <definedName name="Total_Interest">#REF!</definedName>
    <definedName name="Total_Mandays" localSheetId="0">#REF!</definedName>
    <definedName name="Total_Mandays">#REF!</definedName>
    <definedName name="Total_Pay" localSheetId="0">#REF!</definedName>
    <definedName name="Total_Pay">#REF!</definedName>
    <definedName name="Total_Payment" localSheetId="0">Scheduled_Payment+Extra_Payment</definedName>
    <definedName name="Total_Payment">Scheduled_Payment+Extra_Payment</definedName>
    <definedName name="TotDebtAvgDSCR" localSheetId="0">#REF!</definedName>
    <definedName name="TotDebtAvgDSCR">#REF!</definedName>
    <definedName name="TotDebtLLCR" localSheetId="0">#REF!</definedName>
    <definedName name="TotDebtLLCR">#REF!</definedName>
    <definedName name="TotDebtMinDSCR" localSheetId="0">#REF!</definedName>
    <definedName name="TotDebtMinDSCR">#REF!</definedName>
    <definedName name="totL" localSheetId="0">'[11]ST-O'!$AC$1</definedName>
    <definedName name="totL">'[7]ST-O'!$AC$1</definedName>
    <definedName name="totw" localSheetId="0">'[11]CG -St'!$AC$1</definedName>
    <definedName name="totw">'[7]CG -St'!$AC$1</definedName>
    <definedName name="towre" localSheetId="0">#REF!</definedName>
    <definedName name="towre">#REF!</definedName>
    <definedName name="tr" localSheetId="0" hidden="1">{#N/A,#N/A,FALSE,"COVER.XLS";#N/A,#N/A,FALSE,"RACT1.XLS";#N/A,#N/A,FALSE,"RACT2.XLS";#N/A,#N/A,FALSE,"ECCMP";#N/A,#N/A,FALSE,"WELDER.XLS"}</definedName>
    <definedName name="tr" hidden="1">{#N/A,#N/A,FALSE,"COVER.XLS";#N/A,#N/A,FALSE,"RACT1.XLS";#N/A,#N/A,FALSE,"RACT2.XLS";#N/A,#N/A,FALSE,"ECCMP";#N/A,#N/A,FALSE,"WELDER.XLS"}</definedName>
    <definedName name="tr0" localSheetId="0">#REF!</definedName>
    <definedName name="tr0">#REF!</definedName>
    <definedName name="tractor" localSheetId="0">#REF!</definedName>
    <definedName name="tractor">#REF!</definedName>
    <definedName name="TRADESMAN" localSheetId="0">#REF!</definedName>
    <definedName name="TRADESMAN">#REF!</definedName>
    <definedName name="TransInsu" localSheetId="0">#REF!</definedName>
    <definedName name="TransInsu">#REF!</definedName>
    <definedName name="Transport" localSheetId="0">#REF!</definedName>
    <definedName name="Transport">#REF!</definedName>
    <definedName name="Tres" localSheetId="0">#REF!</definedName>
    <definedName name="Tres">#REF!</definedName>
    <definedName name="tres4" localSheetId="0">#REF!</definedName>
    <definedName name="tres4">#REF!</definedName>
    <definedName name="Troller" localSheetId="0">#REF!</definedName>
    <definedName name="Troller">#REF!</definedName>
    <definedName name="trrrrrrrrrrrrr" localSheetId="0" hidden="1">{"form-D1",#N/A,FALSE,"FORM-D1";"form-D1_amt",#N/A,FALSE,"FORM-D1"}</definedName>
    <definedName name="trrrrrrrrrrrrr" hidden="1">{"form-D1",#N/A,FALSE,"FORM-D1";"form-D1_amt",#N/A,FALSE,"FORM-D1"}</definedName>
    <definedName name="trrrrrrrrrrrrr_1" localSheetId="0" hidden="1">{"form-D1",#N/A,FALSE,"FORM-D1";"form-D1_amt",#N/A,FALSE,"FORM-D1"}</definedName>
    <definedName name="trrrrrrrrrrrrr_1" hidden="1">{"form-D1",#N/A,FALSE,"FORM-D1";"form-D1_amt",#N/A,FALSE,"FORM-D1"}</definedName>
    <definedName name="trrrrrrrrrrrrr_1_1" localSheetId="0" hidden="1">{"form-D1",#N/A,FALSE,"FORM-D1";"form-D1_amt",#N/A,FALSE,"FORM-D1"}</definedName>
    <definedName name="trrrrrrrrrrrrr_1_1" hidden="1">{"form-D1",#N/A,FALSE,"FORM-D1";"form-D1_amt",#N/A,FALSE,"FORM-D1"}</definedName>
    <definedName name="trrrrrrrrrrrrr_1_2" localSheetId="0" hidden="1">{"form-D1",#N/A,FALSE,"FORM-D1";"form-D1_amt",#N/A,FALSE,"FORM-D1"}</definedName>
    <definedName name="trrrrrrrrrrrrr_1_2" hidden="1">{"form-D1",#N/A,FALSE,"FORM-D1";"form-D1_amt",#N/A,FALSE,"FORM-D1"}</definedName>
    <definedName name="trrrrrrrrrrrrr_2" localSheetId="0" hidden="1">{"form-D1",#N/A,FALSE,"FORM-D1";"form-D1_amt",#N/A,FALSE,"FORM-D1"}</definedName>
    <definedName name="trrrrrrrrrrrrr_2" hidden="1">{"form-D1",#N/A,FALSE,"FORM-D1";"form-D1_amt",#N/A,FALSE,"FORM-D1"}</definedName>
    <definedName name="trrrrrrrrrrrrr_2_1" localSheetId="0" hidden="1">{"form-D1",#N/A,FALSE,"FORM-D1";"form-D1_amt",#N/A,FALSE,"FORM-D1"}</definedName>
    <definedName name="trrrrrrrrrrrrr_2_1" hidden="1">{"form-D1",#N/A,FALSE,"FORM-D1";"form-D1_amt",#N/A,FALSE,"FORM-D1"}</definedName>
    <definedName name="trrrrrrrrrrrrr_3" localSheetId="0" hidden="1">{"form-D1",#N/A,FALSE,"FORM-D1";"form-D1_amt",#N/A,FALSE,"FORM-D1"}</definedName>
    <definedName name="trrrrrrrrrrrrr_3" hidden="1">{"form-D1",#N/A,FALSE,"FORM-D1";"form-D1_amt",#N/A,FALSE,"FORM-D1"}</definedName>
    <definedName name="trrrrrrrrrrrrr_3_1" localSheetId="0" hidden="1">{"form-D1",#N/A,FALSE,"FORM-D1";"form-D1_amt",#N/A,FALSE,"FORM-D1"}</definedName>
    <definedName name="trrrrrrrrrrrrr_3_1" hidden="1">{"form-D1",#N/A,FALSE,"FORM-D1";"form-D1_amt",#N/A,FALSE,"FORM-D1"}</definedName>
    <definedName name="trrrrrrrrrrrrr_4" localSheetId="0" hidden="1">{"form-D1",#N/A,FALSE,"FORM-D1";"form-D1_amt",#N/A,FALSE,"FORM-D1"}</definedName>
    <definedName name="trrrrrrrrrrrrr_4" hidden="1">{"form-D1",#N/A,FALSE,"FORM-D1";"form-D1_amt",#N/A,FALSE,"FORM-D1"}</definedName>
    <definedName name="trrrrrrrrrrrrr_4_1" localSheetId="0" hidden="1">{"form-D1",#N/A,FALSE,"FORM-D1";"form-D1_amt",#N/A,FALSE,"FORM-D1"}</definedName>
    <definedName name="trrrrrrrrrrrrr_4_1" hidden="1">{"form-D1",#N/A,FALSE,"FORM-D1";"form-D1_amt",#N/A,FALSE,"FORM-D1"}</definedName>
    <definedName name="trrrrrrrrrrrrr_5" localSheetId="0" hidden="1">{"form-D1",#N/A,FALSE,"FORM-D1";"form-D1_amt",#N/A,FALSE,"FORM-D1"}</definedName>
    <definedName name="trrrrrrrrrrrrr_5" hidden="1">{"form-D1",#N/A,FALSE,"FORM-D1";"form-D1_amt",#N/A,FALSE,"FORM-D1"}</definedName>
    <definedName name="trrrrrrrrrrrrr_5_1" localSheetId="0" hidden="1">{"form-D1",#N/A,FALSE,"FORM-D1";"form-D1_amt",#N/A,FALSE,"FORM-D1"}</definedName>
    <definedName name="trrrrrrrrrrrrr_5_1" hidden="1">{"form-D1",#N/A,FALSE,"FORM-D1";"form-D1_amt",#N/A,FALSE,"FORM-D1"}</definedName>
    <definedName name="Trs" localSheetId="0">#REF!</definedName>
    <definedName name="Trs">#REF!</definedName>
    <definedName name="Trt" localSheetId="0">#REF!</definedName>
    <definedName name="Trt">#REF!</definedName>
    <definedName name="trt0" localSheetId="0">#REF!</definedName>
    <definedName name="trt0">#REF!</definedName>
    <definedName name="tS" localSheetId="0">#REF!</definedName>
    <definedName name="tS">#REF!</definedName>
    <definedName name="tS___0" localSheetId="0">#REF!</definedName>
    <definedName name="tS___0">#REF!</definedName>
    <definedName name="tS___13" localSheetId="0">#REF!</definedName>
    <definedName name="tS___13">#REF!</definedName>
    <definedName name="TT" localSheetId="0" hidden="1">{#N/A,#N/A,TRUE,"Financials";#N/A,#N/A,TRUE,"Operating Statistics";#N/A,#N/A,TRUE,"Capex &amp; Depreciation";#N/A,#N/A,TRUE,"Debt"}</definedName>
    <definedName name="TT" hidden="1">{#N/A,#N/A,TRUE,"Financials";#N/A,#N/A,TRUE,"Operating Statistics";#N/A,#N/A,TRUE,"Capex &amp; Depreciation";#N/A,#N/A,TRUE,"Debt"}</definedName>
    <definedName name="ttsl" localSheetId="0">#REF!</definedName>
    <definedName name="ttsl">#REF!</definedName>
    <definedName name="tttt" localSheetId="0">#REF!</definedName>
    <definedName name="tttt">#REF!</definedName>
    <definedName name="ttttt" localSheetId="0">#REF!</definedName>
    <definedName name="ttttt">#REF!</definedName>
    <definedName name="tttttt" localSheetId="0">#REF!</definedName>
    <definedName name="tttttt">#REF!</definedName>
    <definedName name="tttttttt" localSheetId="0">#REF!</definedName>
    <definedName name="tttttttt">#REF!</definedName>
    <definedName name="ttttttttt" localSheetId="0">#REF!</definedName>
    <definedName name="ttttttttt">#REF!</definedName>
    <definedName name="tttttttttttttt" localSheetId="0">#REF!</definedName>
    <definedName name="tttttttttttttt">#REF!</definedName>
    <definedName name="tttttttttttttttttttt" localSheetId="0">#REF!</definedName>
    <definedName name="tttttttttttttttttttt">#REF!</definedName>
    <definedName name="TUES1" localSheetId="0">#REF!</definedName>
    <definedName name="TUES1">#REF!</definedName>
    <definedName name="tulip" localSheetId="0">#REF!</definedName>
    <definedName name="tulip">#REF!</definedName>
    <definedName name="TurHeatRate" localSheetId="0">#REF!</definedName>
    <definedName name="TurHeatRate">#REF!</definedName>
    <definedName name="TurHeatRate_I" localSheetId="0">#REF!</definedName>
    <definedName name="TurHeatRate_I">#REF!</definedName>
    <definedName name="tv" localSheetId="0">#REF!</definedName>
    <definedName name="tv">[6]Data!#REF!</definedName>
    <definedName name="twentytwo" localSheetId="0">#REF!</definedName>
    <definedName name="twentytwo">#REF!</definedName>
    <definedName name="twor" localSheetId="0">#REF!</definedName>
    <definedName name="twor">[6]Data!#REF!</definedName>
    <definedName name="type1" localSheetId="0">#REF!</definedName>
    <definedName name="type1">#REF!</definedName>
    <definedName name="type11" localSheetId="0">#REF!</definedName>
    <definedName name="type11">#REF!</definedName>
    <definedName name="type12" localSheetId="0">#REF!</definedName>
    <definedName name="type12">#REF!</definedName>
    <definedName name="TYPE13" localSheetId="0">#REF!</definedName>
    <definedName name="TYPE13">#REF!</definedName>
    <definedName name="type1drop" localSheetId="0">#REF!</definedName>
    <definedName name="type1drop">#REF!</definedName>
    <definedName name="type1drop11" localSheetId="0">#REF!</definedName>
    <definedName name="type1drop11">#REF!</definedName>
    <definedName name="type1drop12" localSheetId="0">#REF!</definedName>
    <definedName name="type1drop12">#REF!</definedName>
    <definedName name="type1drop2" localSheetId="0">#REF!</definedName>
    <definedName name="type1drop2">#REF!</definedName>
    <definedName name="TYPE1DROP212" localSheetId="0">#REF!</definedName>
    <definedName name="TYPE1DROP212">#REF!</definedName>
    <definedName name="TYPE1DROP23" localSheetId="0">#REF!</definedName>
    <definedName name="TYPE1DROP23">#REF!</definedName>
    <definedName name="TYPE1DROP3" localSheetId="0">#REF!</definedName>
    <definedName name="TYPE1DROP3">#REF!</definedName>
    <definedName name="type1slab" localSheetId="0">#REF!</definedName>
    <definedName name="type1slab">#REF!</definedName>
    <definedName name="type1slab11" localSheetId="0">#REF!</definedName>
    <definedName name="type1slab11">#REF!</definedName>
    <definedName name="TYPE1SLAB12" localSheetId="0">#REF!</definedName>
    <definedName name="TYPE1SLAB12">#REF!</definedName>
    <definedName name="TYPE1SLAB13" localSheetId="0">#REF!</definedName>
    <definedName name="TYPE1SLAB13">#REF!</definedName>
    <definedName name="type1slab2" localSheetId="0">#REF!</definedName>
    <definedName name="type1slab2">#REF!</definedName>
    <definedName name="TYPE1SLAB21" localSheetId="0">#REF!</definedName>
    <definedName name="TYPE1SLAB21">#REF!</definedName>
    <definedName name="type1slab6" localSheetId="0">#REF!</definedName>
    <definedName name="type1slab6">#REF!</definedName>
    <definedName name="TYPE2" localSheetId="0">#REF!</definedName>
    <definedName name="TYPE2">#REF!</definedName>
    <definedName name="type22" localSheetId="0">#REF!</definedName>
    <definedName name="type22">#REF!</definedName>
    <definedName name="TYPE23" localSheetId="0">#REF!</definedName>
    <definedName name="TYPE23">#REF!</definedName>
    <definedName name="type2drop" localSheetId="0">#REF!</definedName>
    <definedName name="type2drop">#REF!</definedName>
    <definedName name="type2drop2" localSheetId="0">#REF!</definedName>
    <definedName name="type2drop2">#REF!</definedName>
    <definedName name="type2drop22" localSheetId="0">#REF!</definedName>
    <definedName name="type2drop22">#REF!</definedName>
    <definedName name="type2drop23" localSheetId="0">#REF!</definedName>
    <definedName name="type2drop23">#REF!</definedName>
    <definedName name="TYPE2DROP24" localSheetId="0">#REF!</definedName>
    <definedName name="TYPE2DROP24">#REF!</definedName>
    <definedName name="TYPE2DROP3" localSheetId="0">#REF!</definedName>
    <definedName name="TYPE2DROP3">#REF!</definedName>
    <definedName name="TYPE2DROP32" localSheetId="0">#REF!</definedName>
    <definedName name="TYPE2DROP32">#REF!</definedName>
    <definedName name="type2slab" localSheetId="0">#REF!</definedName>
    <definedName name="type2slab">#REF!</definedName>
    <definedName name="TYPE2SLAB12" localSheetId="0">#REF!</definedName>
    <definedName name="TYPE2SLAB12">#REF!</definedName>
    <definedName name="type2slab2" localSheetId="0">#REF!</definedName>
    <definedName name="type2slab2">#REF!</definedName>
    <definedName name="TYPE2SLAB21" localSheetId="0">#REF!</definedName>
    <definedName name="TYPE2SLAB21">#REF!</definedName>
    <definedName name="type2slab22" localSheetId="0">#REF!</definedName>
    <definedName name="type2slab22">#REF!</definedName>
    <definedName name="TYPE2SLAB24" localSheetId="0">#REF!</definedName>
    <definedName name="TYPE2SLAB24">#REF!</definedName>
    <definedName name="type2slab3" localSheetId="0">#REF!</definedName>
    <definedName name="type2slab3">#REF!</definedName>
    <definedName name="Type3" localSheetId="0">#REF!</definedName>
    <definedName name="Type3">#REF!</definedName>
    <definedName name="type3drop" localSheetId="0">#REF!</definedName>
    <definedName name="type3drop">#REF!</definedName>
    <definedName name="type3drop2" localSheetId="0">#REF!</definedName>
    <definedName name="type3drop2">#REF!</definedName>
    <definedName name="type3drop22" localSheetId="0">#REF!</definedName>
    <definedName name="type3drop22">#REF!</definedName>
    <definedName name="TYPE3DROP23" localSheetId="0">#REF!</definedName>
    <definedName name="TYPE3DROP23">#REF!</definedName>
    <definedName name="TYPE3DROP43" localSheetId="0">#REF!</definedName>
    <definedName name="TYPE3DROP43">#REF!</definedName>
    <definedName name="TYPE3DROP56" localSheetId="0">#REF!</definedName>
    <definedName name="TYPE3DROP56">#REF!</definedName>
    <definedName name="type3drop6" localSheetId="0">#REF!</definedName>
    <definedName name="type3drop6">#REF!</definedName>
    <definedName name="type3slab" localSheetId="0">#REF!</definedName>
    <definedName name="type3slab">#REF!</definedName>
    <definedName name="TYPE3SLAB12" localSheetId="0">#REF!</definedName>
    <definedName name="TYPE3SLAB12">#REF!</definedName>
    <definedName name="type3slab2" localSheetId="0">#REF!</definedName>
    <definedName name="type3slab2">#REF!</definedName>
    <definedName name="TYPE3SLAB23" localSheetId="0">#REF!</definedName>
    <definedName name="TYPE3SLAB23">#REF!</definedName>
    <definedName name="type3slab3" localSheetId="0">#REF!</definedName>
    <definedName name="type3slab3">#REF!</definedName>
    <definedName name="TYPE3SLAB32" localSheetId="0">#REF!</definedName>
    <definedName name="TYPE3SLAB32">#REF!</definedName>
    <definedName name="type3slab4" localSheetId="0">#REF!</definedName>
    <definedName name="type3slab4">#REF!</definedName>
    <definedName name="type3slab6" localSheetId="0">#REF!</definedName>
    <definedName name="type3slab6">#REF!</definedName>
    <definedName name="type4" localSheetId="0">#REF!</definedName>
    <definedName name="type4">#REF!</definedName>
    <definedName name="type44" localSheetId="0">#REF!</definedName>
    <definedName name="type44">#REF!</definedName>
    <definedName name="type45" localSheetId="0">#REF!</definedName>
    <definedName name="type45">#REF!</definedName>
    <definedName name="type46" localSheetId="0">#REF!</definedName>
    <definedName name="type46">#REF!</definedName>
    <definedName name="TYPE47" localSheetId="0">#REF!</definedName>
    <definedName name="TYPE47">#REF!</definedName>
    <definedName name="TYPE48" localSheetId="0">#REF!</definedName>
    <definedName name="TYPE48">#REF!</definedName>
    <definedName name="type4drop" localSheetId="0">#REF!</definedName>
    <definedName name="type4drop">#REF!</definedName>
    <definedName name="TYPE4DROP12" localSheetId="0">#REF!</definedName>
    <definedName name="TYPE4DROP12">#REF!</definedName>
    <definedName name="type4drop2" localSheetId="0">#REF!</definedName>
    <definedName name="type4drop2">#REF!</definedName>
    <definedName name="TYPE4DROP23" localSheetId="0">#REF!</definedName>
    <definedName name="TYPE4DROP23">#REF!</definedName>
    <definedName name="type4drop4" localSheetId="0">#REF!</definedName>
    <definedName name="type4drop4">#REF!</definedName>
    <definedName name="TYPE4DROP54" localSheetId="0">#REF!</definedName>
    <definedName name="TYPE4DROP54">#REF!</definedName>
    <definedName name="type4drops" localSheetId="0">#REF!</definedName>
    <definedName name="type4drops">#REF!</definedName>
    <definedName name="type4slab" localSheetId="0">#REF!</definedName>
    <definedName name="type4slab">#REF!</definedName>
    <definedName name="TYPE4SLAB12" localSheetId="0">#REF!</definedName>
    <definedName name="TYPE4SLAB12">#REF!</definedName>
    <definedName name="type4slab22" localSheetId="0">#REF!</definedName>
    <definedName name="type4slab22">#REF!</definedName>
    <definedName name="TYPE4SLAB23" localSheetId="0">#REF!</definedName>
    <definedName name="TYPE4SLAB23">#REF!</definedName>
    <definedName name="TYPE4SLAB32" localSheetId="0">#REF!</definedName>
    <definedName name="TYPE4SLAB32">#REF!</definedName>
    <definedName name="type4slab6" localSheetId="0">#REF!</definedName>
    <definedName name="type4slab6">#REF!</definedName>
    <definedName name="type5" localSheetId="0">#REF!</definedName>
    <definedName name="type5">#REF!</definedName>
    <definedName name="type6" localSheetId="0">#REF!</definedName>
    <definedName name="type6">#REF!</definedName>
    <definedName name="TYPE64" localSheetId="0">#REF!</definedName>
    <definedName name="TYPE64">#REF!</definedName>
    <definedName name="tyty" localSheetId="0">#REF!</definedName>
    <definedName name="tyty">#REF!</definedName>
    <definedName name="U" localSheetId="0">#REF!</definedName>
    <definedName name="U">#REF!</definedName>
    <definedName name="ulenx" localSheetId="0">#REF!</definedName>
    <definedName name="ulenx">#REF!</definedName>
    <definedName name="uleny" localSheetId="0">#REF!</definedName>
    <definedName name="uleny">#REF!</definedName>
    <definedName name="um" localSheetId="0">#REF!</definedName>
    <definedName name="um">[6]Data!#REF!</definedName>
    <definedName name="uma" localSheetId="0" hidden="1">{#N/A,#N/A,FALSE,"COVER1.XLS ";#N/A,#N/A,FALSE,"RACT1.XLS";#N/A,#N/A,FALSE,"RACT2.XLS";#N/A,#N/A,FALSE,"ECCMP";#N/A,#N/A,FALSE,"WELDER.XLS"}</definedName>
    <definedName name="uma" hidden="1">{#N/A,#N/A,FALSE,"COVER1.XLS ";#N/A,#N/A,FALSE,"RACT1.XLS";#N/A,#N/A,FALSE,"RACT2.XLS";#N/A,#N/A,FALSE,"ECCMP";#N/A,#N/A,FALSE,"WELDER.XLS"}</definedName>
    <definedName name="un" localSheetId="0">#REF!</definedName>
    <definedName name="un">[6]Data!#REF!</definedName>
    <definedName name="ung" localSheetId="0">#REF!</definedName>
    <definedName name="ung">[6]Data!#REF!</definedName>
    <definedName name="UNICOD" localSheetId="0">#REF!</definedName>
    <definedName name="UNICOD">#REF!</definedName>
    <definedName name="uniexp" localSheetId="0">#REF!</definedName>
    <definedName name="uniexp">#REF!</definedName>
    <definedName name="uniexp1" localSheetId="0">#REF!</definedName>
    <definedName name="uniexp1">#REF!</definedName>
    <definedName name="unit" localSheetId="0">#REF!</definedName>
    <definedName name="unit">#REF!</definedName>
    <definedName name="Unit_Rate">"E1"</definedName>
    <definedName name="UNITS" localSheetId="0">#REF!</definedName>
    <definedName name="UNITS">#REF!</definedName>
    <definedName name="Units_Generated" localSheetId="0">#REF!</definedName>
    <definedName name="Units_Generated">#REF!</definedName>
    <definedName name="unsecured" localSheetId="0">#REF!</definedName>
    <definedName name="unsecured">#REF!</definedName>
    <definedName name="Unskilledmazdoor" localSheetId="0">#REF!</definedName>
    <definedName name="Unskilledmazdoor">#REF!</definedName>
    <definedName name="Uo" localSheetId="0">#REF!</definedName>
    <definedName name="Uo">#REF!</definedName>
    <definedName name="UP" localSheetId="0">#REF!</definedName>
    <definedName name="UP">#REF!</definedName>
    <definedName name="ur" localSheetId="0">#REF!</definedName>
    <definedName name="ur">[6]Data!#REF!</definedName>
    <definedName name="Urinal_flat_back" localSheetId="0">#REF!</definedName>
    <definedName name="Urinal_flat_back">[6]Data!#REF!</definedName>
    <definedName name="usd" localSheetId="0">#REF!</definedName>
    <definedName name="usd">#REF!</definedName>
    <definedName name="Use_Alternates" localSheetId="0">#REF!</definedName>
    <definedName name="Use_Alternates">#REF!</definedName>
    <definedName name="UserName">"Subrata"</definedName>
    <definedName name="Ut" localSheetId="0">#REF!</definedName>
    <definedName name="Ut">#REF!</definedName>
    <definedName name="UtilExp" localSheetId="0">#REF!</definedName>
    <definedName name="UtilExp">#REF!</definedName>
    <definedName name="UtilExp_I" localSheetId="0">#REF!</definedName>
    <definedName name="UtilExp_I">#REF!</definedName>
    <definedName name="uu" localSheetId="0" hidden="1">{#N/A,#N/A,FALSE,"gc (2)"}</definedName>
    <definedName name="uu" hidden="1">{#N/A,#N/A,FALSE,"gc (2)"}</definedName>
    <definedName name="uuuu" localSheetId="0">#REF!</definedName>
    <definedName name="uuuu">#REF!</definedName>
    <definedName name="uuuuuuuu" localSheetId="0">#REF!</definedName>
    <definedName name="uuuuuuuu">#REF!</definedName>
    <definedName name="uuuuuuuuuuuuuu" localSheetId="0">#REF!</definedName>
    <definedName name="uuuuuuuuuuuuuu">#REF!</definedName>
    <definedName name="v" localSheetId="0">#REF!</definedName>
    <definedName name="v">#REF!</definedName>
    <definedName name="v.nagaraju" localSheetId="0">#REF!</definedName>
    <definedName name="v.nagaraju">#REF!</definedName>
    <definedName name="va" localSheetId="0">#REF!</definedName>
    <definedName name="va">#REF!</definedName>
    <definedName name="va___0" localSheetId="0">#REF!</definedName>
    <definedName name="va___0">#REF!</definedName>
    <definedName name="va___13" localSheetId="0">#REF!</definedName>
    <definedName name="va___13">#REF!</definedName>
    <definedName name="Values_Entered" localSheetId="0">IF('Pandalur -covering'!Loan_Amount*'Pandalur -covering'!Interest_Rate*'Pandalur -covering'!Loan_Years*'Pandalur -covering'!Loan_Start&gt;0,1,0)</definedName>
    <definedName name="Values_Entered">IF(Loan_Amount*Interest_Rate*Loan_Years*Loan_Start&gt;0,1,0)</definedName>
    <definedName name="valuevx">42.314159</definedName>
    <definedName name="valve2" localSheetId="0">#REF!</definedName>
    <definedName name="valve2">#REF!</definedName>
    <definedName name="valve3" localSheetId="0">#REF!</definedName>
    <definedName name="valve3">#REF!</definedName>
    <definedName name="ValveCfg" localSheetId="0">#REF!</definedName>
    <definedName name="ValveCfg">#REF!</definedName>
    <definedName name="ValveCloseoff" localSheetId="0">#REF!</definedName>
    <definedName name="ValveCloseoff">#REF!</definedName>
    <definedName name="ValveCode" localSheetId="0">#REF!</definedName>
    <definedName name="ValveCode">#REF!</definedName>
    <definedName name="ValveConn" localSheetId="0">#REF!</definedName>
    <definedName name="ValveConn">#REF!</definedName>
    <definedName name="ValveCv" localSheetId="0">#REF!</definedName>
    <definedName name="ValveCv">#REF!</definedName>
    <definedName name="ValveFlow" localSheetId="0">#REF!</definedName>
    <definedName name="ValveFlow">#REF!</definedName>
    <definedName name="ValveFP" localSheetId="0">#REF!</definedName>
    <definedName name="ValveFP">#REF!</definedName>
    <definedName name="ValveQty" localSheetId="0">#REF!</definedName>
    <definedName name="ValveQty">#REF!</definedName>
    <definedName name="valves" localSheetId="0">#REF!</definedName>
    <definedName name="valves">#REF!</definedName>
    <definedName name="ValveSize" localSheetId="0">#REF!</definedName>
    <definedName name="ValveSize">#REF!</definedName>
    <definedName name="VANDEMATARAM" localSheetId="0">#REF!</definedName>
    <definedName name="VANDEMATARAM">#REF!</definedName>
    <definedName name="vapi_baywise" localSheetId="0">#REF!</definedName>
    <definedName name="vapi_baywise">#REF!</definedName>
    <definedName name="variance" localSheetId="0">#REF!</definedName>
    <definedName name="variance">#REF!</definedName>
    <definedName name="Varnish" localSheetId="0">#REF!</definedName>
    <definedName name="Varnish">#REF!</definedName>
    <definedName name="Varnish1" localSheetId="0">#REF!</definedName>
    <definedName name="Varnish1">#REF!</definedName>
    <definedName name="VB" localSheetId="0">#REF!</definedName>
    <definedName name="VB">#REF!</definedName>
    <definedName name="vbv" localSheetId="0">#REF!</definedName>
    <definedName name="vbv">#REF!</definedName>
    <definedName name="vbvb" localSheetId="0">#REF!</definedName>
    <definedName name="vbvb">#REF!</definedName>
    <definedName name="vc" localSheetId="0">#REF!</definedName>
    <definedName name="Vc">#REF!</definedName>
    <definedName name="vcurr" localSheetId="0">#REF!</definedName>
    <definedName name="vcurr">#REF!</definedName>
    <definedName name="VD" localSheetId="0">#REF!</definedName>
    <definedName name="VD">#REF!</definedName>
    <definedName name="Vend" localSheetId="0">#REF!</definedName>
    <definedName name="Vend">#REF!</definedName>
    <definedName name="venu">150</definedName>
    <definedName name="vere" localSheetId="0">#REF!</definedName>
    <definedName name="vere">#REF!</definedName>
    <definedName name="Version">3</definedName>
    <definedName name="vertex42_copyright" hidden="1">"© 2012-2019 Vertex42 LLC"</definedName>
    <definedName name="vertex42_id" hidden="1">"project-budget-WBS.xlsx"</definedName>
    <definedName name="vertex42_title" hidden="1">"Detailed Project Budget with WBS"</definedName>
    <definedName name="VERTICAL" localSheetId="0">#REF!</definedName>
    <definedName name="VERTICAL">#REF!</definedName>
    <definedName name="VERTICAL___EXPANSION_JOINTS" localSheetId="0">#REF!</definedName>
    <definedName name="VERTICAL___EXPANSION_JOINTS">#REF!</definedName>
    <definedName name="vertical_col_and_corner_walls" localSheetId="0">#REF!</definedName>
    <definedName name="vertical_col_and_corner_walls">#REF!</definedName>
    <definedName name="Vf" localSheetId="0">#REF!</definedName>
    <definedName name="Vf">#REF!</definedName>
    <definedName name="Vfour" localSheetId="0">#REF!</definedName>
    <definedName name="Vfour">#REF!</definedName>
    <definedName name="vg" localSheetId="0" hidden="1">{#N/A,#N/A,FALSE,"One Pager";#N/A,#N/A,FALSE,"Technical"}</definedName>
    <definedName name="vg" hidden="1">{#N/A,#N/A,FALSE,"One Pager";#N/A,#N/A,FALSE,"Technical"}</definedName>
    <definedName name="vhskvbdshkv" localSheetId="0">IF('Pandalur -covering'!Loan_Amount*'Pandalur -covering'!Interest_Rate*'Pandalur -covering'!Loan_Years*'Pandalur -covering'!Loan_Start&gt;0,1,0)</definedName>
    <definedName name="vhskvbdshkv">IF(Loan_Amount*Interest_Rate*Loan_Years*Loan_Start&gt;0,1,0)</definedName>
    <definedName name="vijay" localSheetId="0">#REF!</definedName>
    <definedName name="vijay">#REF!</definedName>
    <definedName name="Vinod"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shnu" localSheetId="0" hidden="1">{#N/A,#N/A,FALSE,"One Pager";#N/A,#N/A,FALSE,"Technical"}</definedName>
    <definedName name="vishnu" hidden="1">{#N/A,#N/A,FALSE,"One Pager";#N/A,#N/A,FALSE,"Technical"}</definedName>
    <definedName name="VIVEKANANDA" localSheetId="0">#REF!</definedName>
    <definedName name="VIVEKANANDA">#REF!</definedName>
    <definedName name="vjj" localSheetId="0">#REF!</definedName>
    <definedName name="vjj">#REF!</definedName>
    <definedName name="vk" localSheetId="0" hidden="1">{#N/A,#N/A,FALSE,"One Pager";#N/A,#N/A,FALSE,"Technical"}</definedName>
    <definedName name="vk" hidden="1">{#N/A,#N/A,FALSE,"One Pager";#N/A,#N/A,FALSE,"Technical"}</definedName>
    <definedName name="Vl" localSheetId="0">#REF!</definedName>
    <definedName name="Vl">#REF!</definedName>
    <definedName name="Vm" localSheetId="0">#REF!</definedName>
    <definedName name="Vm">#REF!</definedName>
    <definedName name="Vone" localSheetId="0">#REF!</definedName>
    <definedName name="Vone">#REF!</definedName>
    <definedName name="vroller" localSheetId="0">#REF!</definedName>
    <definedName name="vroller">#REF!</definedName>
    <definedName name="vsasgfsghxas" localSheetId="0" hidden="1">{#N/A,#N/A,FALSE,"consu_cover";#N/A,#N/A,FALSE,"consu_strategy";#N/A,#N/A,FALSE,"consu_flow";#N/A,#N/A,FALSE,"Summary_reqmt";#N/A,#N/A,FALSE,"field_ppg";#N/A,#N/A,FALSE,"ppg_shop";#N/A,#N/A,FALSE,"strl";#N/A,#N/A,FALSE,"tankages";#N/A,#N/A,FALSE,"gases"}</definedName>
    <definedName name="vsasgfsghxas" hidden="1">{#N/A,#N/A,FALSE,"consu_cover";#N/A,#N/A,FALSE,"consu_strategy";#N/A,#N/A,FALSE,"consu_flow";#N/A,#N/A,FALSE,"Summary_reqmt";#N/A,#N/A,FALSE,"field_ppg";#N/A,#N/A,FALSE,"ppg_shop";#N/A,#N/A,FALSE,"strl";#N/A,#N/A,FALSE,"tankages";#N/A,#N/A,FALSE,"gases"}</definedName>
    <definedName name="Vsigma" localSheetId="0">#REF!</definedName>
    <definedName name="Vsigma">#REF!</definedName>
    <definedName name="Vsigma1" localSheetId="0">#REF!</definedName>
    <definedName name="Vsigma1">#REF!</definedName>
    <definedName name="vthree" localSheetId="0">#REF!</definedName>
    <definedName name="vthree">#REF!</definedName>
    <definedName name="Vtwo" localSheetId="0">#REF!</definedName>
    <definedName name="Vtwo">#REF!</definedName>
    <definedName name="Vtwo1" localSheetId="0">#REF!</definedName>
    <definedName name="Vtwo1">#REF!</definedName>
    <definedName name="vv" localSheetId="0">#REF!</definedName>
    <definedName name="vv">#REF!</definedName>
    <definedName name="vvvvvvvvvvvvvvv" localSheetId="0">#REF!</definedName>
    <definedName name="vvvvvvvvvvvvvvv">#REF!</definedName>
    <definedName name="Vz" localSheetId="0">#REF!</definedName>
    <definedName name="Vz">#REF!</definedName>
    <definedName name="W" localSheetId="0">#REF!</definedName>
    <definedName name="W">#REF!</definedName>
    <definedName name="w1_w2" localSheetId="0">#REF!</definedName>
    <definedName name="w1_w2">#REF!</definedName>
    <definedName name="Waiting">"Picture 1"</definedName>
    <definedName name="wallht" localSheetId="0">#REF!</definedName>
    <definedName name="wallht">#REF!</definedName>
    <definedName name="wallthk" localSheetId="0">#REF!</definedName>
    <definedName name="wallthk">#REF!</definedName>
    <definedName name="WasCurAdm" localSheetId="0">#REF!</definedName>
    <definedName name="WasCurAdm">#REF!</definedName>
    <definedName name="WasCurAdm_I" localSheetId="0">#REF!</definedName>
    <definedName name="WasCurAdm_I">#REF!</definedName>
    <definedName name="WasCurO_M" localSheetId="0">#REF!</definedName>
    <definedName name="WasCurO_M">#REF!</definedName>
    <definedName name="WasCurO_M_I" localSheetId="0">#REF!</definedName>
    <definedName name="WasCurO_M_I">#REF!</definedName>
    <definedName name="Wash_Hand_Basin" localSheetId="0">#REF!</definedName>
    <definedName name="Wash_Hand_Basin">#REF!</definedName>
    <definedName name="WashRej" localSheetId="0">#REF!</definedName>
    <definedName name="WashRej">#REF!</definedName>
    <definedName name="WashRej_I" localSheetId="0">#REF!</definedName>
    <definedName name="WashRej_I">#REF!</definedName>
    <definedName name="WasRec." localSheetId="0">#REF!</definedName>
    <definedName name="WasRec.">#REF!</definedName>
    <definedName name="WasRec._I" localSheetId="0">#REF!</definedName>
    <definedName name="WasRec._I">#REF!</definedName>
    <definedName name="WasRejCost" localSheetId="0">#REF!</definedName>
    <definedName name="WasRejCost">#REF!</definedName>
    <definedName name="WasRejCost_I" localSheetId="0">#REF!</definedName>
    <definedName name="WasRejCost_I">#REF!</definedName>
    <definedName name="WasStores" localSheetId="0">#REF!</definedName>
    <definedName name="WasStores">#REF!</definedName>
    <definedName name="WasStores_I" localSheetId="0">#REF!</definedName>
    <definedName name="WasStores_I">#REF!</definedName>
    <definedName name="water" localSheetId="0">#REF!</definedName>
    <definedName name="water">#REF!</definedName>
    <definedName name="Water_Closet_European" localSheetId="0">#REF!</definedName>
    <definedName name="Water_Closet_European">[6]Data!#REF!</definedName>
    <definedName name="Water_Closet_Oriya" localSheetId="0">#REF!</definedName>
    <definedName name="Water_Closet_Oriya">#REF!</definedName>
    <definedName name="WC_Int.Rate" localSheetId="0">#REF!</definedName>
    <definedName name="WC_Int.Rate">#REF!</definedName>
    <definedName name="wdf" localSheetId="0">#REF!</definedName>
    <definedName name="wdf">#REF!</definedName>
    <definedName name="we" localSheetId="0" hidden="1">{"form-D1",#N/A,FALSE,"FORM-D1";"form-D1_amt",#N/A,FALSE,"FORM-D1"}</definedName>
    <definedName name="we" hidden="1">{"form-D1",#N/A,FALSE,"FORM-D1";"form-D1_amt",#N/A,FALSE,"FORM-D1"}</definedName>
    <definedName name="we_1" localSheetId="0" hidden="1">{"form-D1",#N/A,FALSE,"FORM-D1";"form-D1_amt",#N/A,FALSE,"FORM-D1"}</definedName>
    <definedName name="we_1" hidden="1">{"form-D1",#N/A,FALSE,"FORM-D1";"form-D1_amt",#N/A,FALSE,"FORM-D1"}</definedName>
    <definedName name="we_1_1" localSheetId="0" hidden="1">{"form-D1",#N/A,FALSE,"FORM-D1";"form-D1_amt",#N/A,FALSE,"FORM-D1"}</definedName>
    <definedName name="we_1_1" hidden="1">{"form-D1",#N/A,FALSE,"FORM-D1";"form-D1_amt",#N/A,FALSE,"FORM-D1"}</definedName>
    <definedName name="we_1_2" localSheetId="0" hidden="1">{"form-D1",#N/A,FALSE,"FORM-D1";"form-D1_amt",#N/A,FALSE,"FORM-D1"}</definedName>
    <definedName name="we_1_2" hidden="1">{"form-D1",#N/A,FALSE,"FORM-D1";"form-D1_amt",#N/A,FALSE,"FORM-D1"}</definedName>
    <definedName name="we_2" localSheetId="0" hidden="1">{"form-D1",#N/A,FALSE,"FORM-D1";"form-D1_amt",#N/A,FALSE,"FORM-D1"}</definedName>
    <definedName name="we_2" hidden="1">{"form-D1",#N/A,FALSE,"FORM-D1";"form-D1_amt",#N/A,FALSE,"FORM-D1"}</definedName>
    <definedName name="we_2_1" localSheetId="0" hidden="1">{"form-D1",#N/A,FALSE,"FORM-D1";"form-D1_amt",#N/A,FALSE,"FORM-D1"}</definedName>
    <definedName name="we_2_1" hidden="1">{"form-D1",#N/A,FALSE,"FORM-D1";"form-D1_amt",#N/A,FALSE,"FORM-D1"}</definedName>
    <definedName name="we_3" localSheetId="0" hidden="1">{"form-D1",#N/A,FALSE,"FORM-D1";"form-D1_amt",#N/A,FALSE,"FORM-D1"}</definedName>
    <definedName name="we_3" hidden="1">{"form-D1",#N/A,FALSE,"FORM-D1";"form-D1_amt",#N/A,FALSE,"FORM-D1"}</definedName>
    <definedName name="we_3_1" localSheetId="0" hidden="1">{"form-D1",#N/A,FALSE,"FORM-D1";"form-D1_amt",#N/A,FALSE,"FORM-D1"}</definedName>
    <definedName name="we_3_1" hidden="1">{"form-D1",#N/A,FALSE,"FORM-D1";"form-D1_amt",#N/A,FALSE,"FORM-D1"}</definedName>
    <definedName name="we_4" localSheetId="0" hidden="1">{"form-D1",#N/A,FALSE,"FORM-D1";"form-D1_amt",#N/A,FALSE,"FORM-D1"}</definedName>
    <definedName name="we_4" hidden="1">{"form-D1",#N/A,FALSE,"FORM-D1";"form-D1_amt",#N/A,FALSE,"FORM-D1"}</definedName>
    <definedName name="we_4_1" localSheetId="0" hidden="1">{"form-D1",#N/A,FALSE,"FORM-D1";"form-D1_amt",#N/A,FALSE,"FORM-D1"}</definedName>
    <definedName name="we_4_1" hidden="1">{"form-D1",#N/A,FALSE,"FORM-D1";"form-D1_amt",#N/A,FALSE,"FORM-D1"}</definedName>
    <definedName name="we_5" localSheetId="0" hidden="1">{"form-D1",#N/A,FALSE,"FORM-D1";"form-D1_amt",#N/A,FALSE,"FORM-D1"}</definedName>
    <definedName name="we_5" hidden="1">{"form-D1",#N/A,FALSE,"FORM-D1";"form-D1_amt",#N/A,FALSE,"FORM-D1"}</definedName>
    <definedName name="we_5_1" localSheetId="0" hidden="1">{"form-D1",#N/A,FALSE,"FORM-D1";"form-D1_amt",#N/A,FALSE,"FORM-D1"}</definedName>
    <definedName name="we_5_1" hidden="1">{"form-D1",#N/A,FALSE,"FORM-D1";"form-D1_amt",#N/A,FALSE,"FORM-D1"}</definedName>
    <definedName name="Wearing_coat1.2.4" localSheetId="0">#REF!</definedName>
    <definedName name="Wearing_coat1.2.4">#REF!</definedName>
    <definedName name="Wearing1.3.6" localSheetId="0">#REF!</definedName>
    <definedName name="Wearing1.3.6">#REF!</definedName>
    <definedName name="Weath.Course">#REF!</definedName>
    <definedName name="Weathering">#REF!</definedName>
    <definedName name="Weathering_Course" localSheetId="0">#REF!</definedName>
    <definedName name="Weathering_Course">#REF!</definedName>
    <definedName name="webb" localSheetId="0">'[11]ST-O'!$AC$4</definedName>
    <definedName name="webb">'[7]ST-O'!$AC$4</definedName>
    <definedName name="wef" localSheetId="0">#REF!</definedName>
    <definedName name="wef">#REF!</definedName>
    <definedName name="wer_1" localSheetId="0" hidden="1">{"form-D1",#N/A,FALSE,"FORM-D1";"form-D1_amt",#N/A,FALSE,"FORM-D1"}</definedName>
    <definedName name="wer_1" hidden="1">{"form-D1",#N/A,FALSE,"FORM-D1";"form-D1_amt",#N/A,FALSE,"FORM-D1"}</definedName>
    <definedName name="wer_1_1" localSheetId="0" hidden="1">{"form-D1",#N/A,FALSE,"FORM-D1";"form-D1_amt",#N/A,FALSE,"FORM-D1"}</definedName>
    <definedName name="wer_1_1" hidden="1">{"form-D1",#N/A,FALSE,"FORM-D1";"form-D1_amt",#N/A,FALSE,"FORM-D1"}</definedName>
    <definedName name="wer_1_2" localSheetId="0" hidden="1">{"form-D1",#N/A,FALSE,"FORM-D1";"form-D1_amt",#N/A,FALSE,"FORM-D1"}</definedName>
    <definedName name="wer_1_2" hidden="1">{"form-D1",#N/A,FALSE,"FORM-D1";"form-D1_amt",#N/A,FALSE,"FORM-D1"}</definedName>
    <definedName name="wer_2" localSheetId="0" hidden="1">{"form-D1",#N/A,FALSE,"FORM-D1";"form-D1_amt",#N/A,FALSE,"FORM-D1"}</definedName>
    <definedName name="wer_2" hidden="1">{"form-D1",#N/A,FALSE,"FORM-D1";"form-D1_amt",#N/A,FALSE,"FORM-D1"}</definedName>
    <definedName name="wer_2_1" localSheetId="0" hidden="1">{"form-D1",#N/A,FALSE,"FORM-D1";"form-D1_amt",#N/A,FALSE,"FORM-D1"}</definedName>
    <definedName name="wer_2_1" hidden="1">{"form-D1",#N/A,FALSE,"FORM-D1";"form-D1_amt",#N/A,FALSE,"FORM-D1"}</definedName>
    <definedName name="wer_3" localSheetId="0" hidden="1">{"form-D1",#N/A,FALSE,"FORM-D1";"form-D1_amt",#N/A,FALSE,"FORM-D1"}</definedName>
    <definedName name="wer_3" hidden="1">{"form-D1",#N/A,FALSE,"FORM-D1";"form-D1_amt",#N/A,FALSE,"FORM-D1"}</definedName>
    <definedName name="wer_3_1" localSheetId="0" hidden="1">{"form-D1",#N/A,FALSE,"FORM-D1";"form-D1_amt",#N/A,FALSE,"FORM-D1"}</definedName>
    <definedName name="wer_3_1" hidden="1">{"form-D1",#N/A,FALSE,"FORM-D1";"form-D1_amt",#N/A,FALSE,"FORM-D1"}</definedName>
    <definedName name="wer_4" localSheetId="0" hidden="1">{"form-D1",#N/A,FALSE,"FORM-D1";"form-D1_amt",#N/A,FALSE,"FORM-D1"}</definedName>
    <definedName name="wer_4" hidden="1">{"form-D1",#N/A,FALSE,"FORM-D1";"form-D1_amt",#N/A,FALSE,"FORM-D1"}</definedName>
    <definedName name="wer_4_1" localSheetId="0" hidden="1">{"form-D1",#N/A,FALSE,"FORM-D1";"form-D1_amt",#N/A,FALSE,"FORM-D1"}</definedName>
    <definedName name="wer_4_1" hidden="1">{"form-D1",#N/A,FALSE,"FORM-D1";"form-D1_amt",#N/A,FALSE,"FORM-D1"}</definedName>
    <definedName name="wer_5" localSheetId="0" hidden="1">{"form-D1",#N/A,FALSE,"FORM-D1";"form-D1_amt",#N/A,FALSE,"FORM-D1"}</definedName>
    <definedName name="wer_5" hidden="1">{"form-D1",#N/A,FALSE,"FORM-D1";"form-D1_amt",#N/A,FALSE,"FORM-D1"}</definedName>
    <definedName name="wer_5_1" localSheetId="0" hidden="1">{"form-D1",#N/A,FALSE,"FORM-D1";"form-D1_amt",#N/A,FALSE,"FORM-D1"}</definedName>
    <definedName name="wer_5_1" hidden="1">{"form-D1",#N/A,FALSE,"FORM-D1";"form-D1_amt",#N/A,FALSE,"FORM-D1"}</definedName>
    <definedName name="wfrwfrwefw" localSheetId="0">#REF!</definedName>
    <definedName name="wfrwfrwefw">#REF!</definedName>
    <definedName name="Wg" localSheetId="0">#REF!</definedName>
    <definedName name="Wg">#REF!</definedName>
    <definedName name="wh" localSheetId="0">#REF!</definedName>
    <definedName name="wh">[6]Data!#REF!</definedName>
    <definedName name="WheelChrg" localSheetId="0">#REF!</definedName>
    <definedName name="WheelChrg">#REF!</definedName>
    <definedName name="WheelChrg_I" localSheetId="0">#REF!</definedName>
    <definedName name="WheelChrg_I">#REF!</definedName>
    <definedName name="Wheeling" localSheetId="0">#REF!</definedName>
    <definedName name="Wheeling">#REF!</definedName>
    <definedName name="White_Wash" localSheetId="0">#REF!</definedName>
    <definedName name="White_Wash">#REF!</definedName>
    <definedName name="WHITE_WASHING" localSheetId="0">#REF!</definedName>
    <definedName name="WHITE_WASHING">#REF!</definedName>
    <definedName name="wid" localSheetId="0">#REF!</definedName>
    <definedName name="wid">#REF!</definedName>
    <definedName name="Win_Grill" localSheetId="0">#REF!</definedName>
    <definedName name="Win_Grill">#REF!</definedName>
    <definedName name="Win_M.S_RODl">#REF!</definedName>
    <definedName name="Window">#REF!</definedName>
    <definedName name="wip" localSheetId="0">#REF!</definedName>
    <definedName name="wip">#REF!</definedName>
    <definedName name="WLP" localSheetId="0">#REF!</definedName>
    <definedName name="WLP">#REF!</definedName>
    <definedName name="wmmp" localSheetId="0">#REF!</definedName>
    <definedName name="wmmp">#REF!</definedName>
    <definedName name="Wood_Paint">#REF!</definedName>
    <definedName name="work" localSheetId="0">#REF!</definedName>
    <definedName name="work">#REF!</definedName>
    <definedName name="Work_Capital" localSheetId="0">#REF!</definedName>
    <definedName name="Work_Capital">#REF!</definedName>
    <definedName name="WP" localSheetId="0">#REF!</definedName>
    <definedName name="WP">#REF!</definedName>
    <definedName name="wr" localSheetId="0" hidden="1">{#N/A,#N/A,FALSE,"COVER1.XLS ";#N/A,#N/A,FALSE,"RACT1.XLS";#N/A,#N/A,FALSE,"RACT2.XLS";#N/A,#N/A,FALSE,"ECCMP";#N/A,#N/A,FALSE,"WELDER.XLS"}</definedName>
    <definedName name="wr" hidden="1">{#N/A,#N/A,FALSE,"COVER1.XLS ";#N/A,#N/A,FALSE,"RACT1.XLS";#N/A,#N/A,FALSE,"RACT2.XLS";#N/A,#N/A,FALSE,"ECCMP";#N/A,#N/A,FALSE,"WELDER.XLS"}</definedName>
    <definedName name="wrftw" localSheetId="0">#REF!</definedName>
    <definedName name="wrftw">#REF!</definedName>
    <definedName name="wrn"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0" hidden="1">{#N/A,#N/A,FALSE,"17MAY";#N/A,#N/A,FALSE,"24MAY"}</definedName>
    <definedName name="wrn.1." hidden="1">{#N/A,#N/A,FALSE,"17MAY";#N/A,#N/A,FALSE,"24MAY"}</definedName>
    <definedName name="wrn.2.2" localSheetId="0" hidden="1">{#N/A,#N/A,FALSE,"17MAY";#N/A,#N/A,FALSE,"24MAY"}</definedName>
    <definedName name="wrn.2.2" hidden="1">{#N/A,#N/A,FALSE,"17MAY";#N/A,#N/A,FALSE,"24MAY"}</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ssumption._.Book." localSheetId="0" hidden="1">{#N/A,#N/A,FALSE,"Model Assumptions"}</definedName>
    <definedName name="wrn.Assumption._.Book." hidden="1">{#N/A,#N/A,FALSE,"Model Assumptions"}</definedName>
    <definedName name="wrn.backup." localSheetId="0"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nk._.model." localSheetId="0" hidden="1">{"banks",#N/A,FALSE,"BASIC"}</definedName>
    <definedName name="wrn.bank._.model." hidden="1">{"banks",#N/A,FALSE,"BASIC"}</definedName>
    <definedName name="wrn.budget." localSheetId="0" hidden="1">{"form-D1",#N/A,FALSE,"FORM-D1";"form-D1_amt",#N/A,FALSE,"FORM-D1"}</definedName>
    <definedName name="wrn.budget." hidden="1">{"form-D1",#N/A,FALSE,"FORM-D1";"form-D1_amt",#N/A,FALSE,"FORM-D1"}</definedName>
    <definedName name="wrn.budget._1" localSheetId="0" hidden="1">{"form-D1",#N/A,FALSE,"FORM-D1";"form-D1_amt",#N/A,FALSE,"FORM-D1"}</definedName>
    <definedName name="wrn.budget._1" hidden="1">{"form-D1",#N/A,FALSE,"FORM-D1";"form-D1_amt",#N/A,FALSE,"FORM-D1"}</definedName>
    <definedName name="wrn.budget._1_1" localSheetId="0" hidden="1">{"form-D1",#N/A,FALSE,"FORM-D1";"form-D1_amt",#N/A,FALSE,"FORM-D1"}</definedName>
    <definedName name="wrn.budget._1_1" hidden="1">{"form-D1",#N/A,FALSE,"FORM-D1";"form-D1_amt",#N/A,FALSE,"FORM-D1"}</definedName>
    <definedName name="wrn.budget._1_2" localSheetId="0" hidden="1">{"form-D1",#N/A,FALSE,"FORM-D1";"form-D1_amt",#N/A,FALSE,"FORM-D1"}</definedName>
    <definedName name="wrn.budget._1_2" hidden="1">{"form-D1",#N/A,FALSE,"FORM-D1";"form-D1_amt",#N/A,FALSE,"FORM-D1"}</definedName>
    <definedName name="wrn.budget._2" localSheetId="0" hidden="1">{"form-D1",#N/A,FALSE,"FORM-D1";"form-D1_amt",#N/A,FALSE,"FORM-D1"}</definedName>
    <definedName name="wrn.budget._2" hidden="1">{"form-D1",#N/A,FALSE,"FORM-D1";"form-D1_amt",#N/A,FALSE,"FORM-D1"}</definedName>
    <definedName name="wrn.budget._2_1" localSheetId="0" hidden="1">{"form-D1",#N/A,FALSE,"FORM-D1";"form-D1_amt",#N/A,FALSE,"FORM-D1"}</definedName>
    <definedName name="wrn.budget._2_1" hidden="1">{"form-D1",#N/A,FALSE,"FORM-D1";"form-D1_amt",#N/A,FALSE,"FORM-D1"}</definedName>
    <definedName name="wrn.budget._3" localSheetId="0" hidden="1">{"form-D1",#N/A,FALSE,"FORM-D1";"form-D1_amt",#N/A,FALSE,"FORM-D1"}</definedName>
    <definedName name="wrn.budget._3" hidden="1">{"form-D1",#N/A,FALSE,"FORM-D1";"form-D1_amt",#N/A,FALSE,"FORM-D1"}</definedName>
    <definedName name="wrn.budget._3_1" localSheetId="0" hidden="1">{"form-D1",#N/A,FALSE,"FORM-D1";"form-D1_amt",#N/A,FALSE,"FORM-D1"}</definedName>
    <definedName name="wrn.budget._3_1" hidden="1">{"form-D1",#N/A,FALSE,"FORM-D1";"form-D1_amt",#N/A,FALSE,"FORM-D1"}</definedName>
    <definedName name="wrn.budget._4" localSheetId="0" hidden="1">{"form-D1",#N/A,FALSE,"FORM-D1";"form-D1_amt",#N/A,FALSE,"FORM-D1"}</definedName>
    <definedName name="wrn.budget._4" hidden="1">{"form-D1",#N/A,FALSE,"FORM-D1";"form-D1_amt",#N/A,FALSE,"FORM-D1"}</definedName>
    <definedName name="wrn.budget._4_1" localSheetId="0" hidden="1">{"form-D1",#N/A,FALSE,"FORM-D1";"form-D1_amt",#N/A,FALSE,"FORM-D1"}</definedName>
    <definedName name="wrn.budget._4_1" hidden="1">{"form-D1",#N/A,FALSE,"FORM-D1";"form-D1_amt",#N/A,FALSE,"FORM-D1"}</definedName>
    <definedName name="wrn.budget._5" localSheetId="0" hidden="1">{"form-D1",#N/A,FALSE,"FORM-D1";"form-D1_amt",#N/A,FALSE,"FORM-D1"}</definedName>
    <definedName name="wrn.budget._5" hidden="1">{"form-D1",#N/A,FALSE,"FORM-D1";"form-D1_amt",#N/A,FALSE,"FORM-D1"}</definedName>
    <definedName name="wrn.budget._5_1" localSheetId="0" hidden="1">{"form-D1",#N/A,FALSE,"FORM-D1";"form-D1_amt",#N/A,FALSE,"FORM-D1"}</definedName>
    <definedName name="wrn.budget._5_1" hidden="1">{"form-D1",#N/A,FALSE,"FORM-D1";"form-D1_amt",#N/A,FALSE,"FORM-D1"}</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0"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_.Summary." localSheetId="0" hidden="1">{"Cost Summary",#N/A,FALSE,"B";"Cost Detail 1",#N/A,FALSE,"C";"Cost Detail 2",#N/A,FALSE,"C"}</definedName>
    <definedName name="wrn.Cost._.Summary." hidden="1">{"Cost Summary",#N/A,FALSE,"B";"Cost Detail 1",#N/A,FALSE,"C";"Cost Detail 2",#N/A,FALSE,"C"}</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dep." localSheetId="0" hidden="1">{"dep. full detail",#N/A,FALSE,"annex";"3cd annex",#N/A,FALSE,"annex";"co. dep.",#N/A,FALSE,"annex"}</definedName>
    <definedName name="wrn.dep." hidden="1">{"dep. full detail",#N/A,FALSE,"annex";"3cd annex",#N/A,FALSE,"annex";"co. dep.",#N/A,FALSE,"annex"}</definedName>
    <definedName name="wrn.elect."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Financials." localSheetId="0" hidden="1">{#N/A,#N/A,TRUE,"Financials";#N/A,#N/A,TRUE,"Operating Statistics";#N/A,#N/A,TRUE,"Capex &amp; Depreciation";#N/A,#N/A,TRUE,"Debt"}</definedName>
    <definedName name="wrn.Full._.Financials." hidden="1">{#N/A,#N/A,TRUE,"Financials";#N/A,#N/A,TRUE,"Operating Statistics";#N/A,#N/A,TRUE,"Capex &amp; Depreciation";#N/A,#N/A,TRUE,"Debt"}</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Report._1" localSheetId="0" hidden="1">{#N/A,#N/A,TRUE,"Front";#N/A,#N/A,TRUE,"Simple Letter";#N/A,#N/A,TRUE,"Inside";#N/A,#N/A,TRUE,"Contents";#N/A,#N/A,TRUE,"Basis";#N/A,#N/A,TRUE,"Inclusions";#N/A,#N/A,TRUE,"Exclusions";#N/A,#N/A,TRUE,"Areas";#N/A,#N/A,TRUE,"Summary";#N/A,#N/A,TRUE,"Detail"}</definedName>
    <definedName name="wrn.Full._.Report._1" hidden="1">{#N/A,#N/A,TRUE,"Front";#N/A,#N/A,TRUE,"Simple Letter";#N/A,#N/A,TRUE,"Inside";#N/A,#N/A,TRUE,"Contents";#N/A,#N/A,TRUE,"Basis";#N/A,#N/A,TRUE,"Inclusions";#N/A,#N/A,TRUE,"Exclusions";#N/A,#N/A,TRUE,"Areas";#N/A,#N/A,TRUE,"Summary";#N/A,#N/A,TRUE,"Detail"}</definedName>
    <definedName name="wrn.Full._.Report._1_1" localSheetId="0" hidden="1">{#N/A,#N/A,TRUE,"Front";#N/A,#N/A,TRUE,"Simple Letter";#N/A,#N/A,TRUE,"Inside";#N/A,#N/A,TRUE,"Contents";#N/A,#N/A,TRUE,"Basis";#N/A,#N/A,TRUE,"Inclusions";#N/A,#N/A,TRUE,"Exclusions";#N/A,#N/A,TRUE,"Areas";#N/A,#N/A,TRUE,"Summary";#N/A,#N/A,TRUE,"Detail"}</definedName>
    <definedName name="wrn.Full._.Report._1_1" hidden="1">{#N/A,#N/A,TRUE,"Front";#N/A,#N/A,TRUE,"Simple Letter";#N/A,#N/A,TRUE,"Inside";#N/A,#N/A,TRUE,"Contents";#N/A,#N/A,TRUE,"Basis";#N/A,#N/A,TRUE,"Inclusions";#N/A,#N/A,TRUE,"Exclusions";#N/A,#N/A,TRUE,"Areas";#N/A,#N/A,TRUE,"Summary";#N/A,#N/A,TRUE,"Detail"}</definedName>
    <definedName name="wrn.Full._.Report._1_2" localSheetId="0" hidden="1">{#N/A,#N/A,TRUE,"Front";#N/A,#N/A,TRUE,"Simple Letter";#N/A,#N/A,TRUE,"Inside";#N/A,#N/A,TRUE,"Contents";#N/A,#N/A,TRUE,"Basis";#N/A,#N/A,TRUE,"Inclusions";#N/A,#N/A,TRUE,"Exclusions";#N/A,#N/A,TRUE,"Areas";#N/A,#N/A,TRUE,"Summary";#N/A,#N/A,TRUE,"Detail"}</definedName>
    <definedName name="wrn.Full._.Report._1_2" hidden="1">{#N/A,#N/A,TRUE,"Front";#N/A,#N/A,TRUE,"Simple Letter";#N/A,#N/A,TRUE,"Inside";#N/A,#N/A,TRUE,"Contents";#N/A,#N/A,TRUE,"Basis";#N/A,#N/A,TRUE,"Inclusions";#N/A,#N/A,TRUE,"Exclusions";#N/A,#N/A,TRUE,"Areas";#N/A,#N/A,TRUE,"Summary";#N/A,#N/A,TRUE,"Detail"}</definedName>
    <definedName name="wrn.Full._.Report._2" localSheetId="0" hidden="1">{#N/A,#N/A,TRUE,"Front";#N/A,#N/A,TRUE,"Simple Letter";#N/A,#N/A,TRUE,"Inside";#N/A,#N/A,TRUE,"Contents";#N/A,#N/A,TRUE,"Basis";#N/A,#N/A,TRUE,"Inclusions";#N/A,#N/A,TRUE,"Exclusions";#N/A,#N/A,TRUE,"Areas";#N/A,#N/A,TRUE,"Summary";#N/A,#N/A,TRUE,"Detail"}</definedName>
    <definedName name="wrn.Full._.Report._2" hidden="1">{#N/A,#N/A,TRUE,"Front";#N/A,#N/A,TRUE,"Simple Letter";#N/A,#N/A,TRUE,"Inside";#N/A,#N/A,TRUE,"Contents";#N/A,#N/A,TRUE,"Basis";#N/A,#N/A,TRUE,"Inclusions";#N/A,#N/A,TRUE,"Exclusions";#N/A,#N/A,TRUE,"Areas";#N/A,#N/A,TRUE,"Summary";#N/A,#N/A,TRUE,"Detail"}</definedName>
    <definedName name="wrn.Full._.Report._2_1" localSheetId="0" hidden="1">{#N/A,#N/A,TRUE,"Front";#N/A,#N/A,TRUE,"Simple Letter";#N/A,#N/A,TRUE,"Inside";#N/A,#N/A,TRUE,"Contents";#N/A,#N/A,TRUE,"Basis";#N/A,#N/A,TRUE,"Inclusions";#N/A,#N/A,TRUE,"Exclusions";#N/A,#N/A,TRUE,"Areas";#N/A,#N/A,TRUE,"Summary";#N/A,#N/A,TRUE,"Detail"}</definedName>
    <definedName name="wrn.Full._.Report._2_1" hidden="1">{#N/A,#N/A,TRUE,"Front";#N/A,#N/A,TRUE,"Simple Letter";#N/A,#N/A,TRUE,"Inside";#N/A,#N/A,TRUE,"Contents";#N/A,#N/A,TRUE,"Basis";#N/A,#N/A,TRUE,"Inclusions";#N/A,#N/A,TRUE,"Exclusions";#N/A,#N/A,TRUE,"Areas";#N/A,#N/A,TRUE,"Summary";#N/A,#N/A,TRUE,"Detail"}</definedName>
    <definedName name="wrn.Full._.Report._3" localSheetId="0" hidden="1">{#N/A,#N/A,TRUE,"Front";#N/A,#N/A,TRUE,"Simple Letter";#N/A,#N/A,TRUE,"Inside";#N/A,#N/A,TRUE,"Contents";#N/A,#N/A,TRUE,"Basis";#N/A,#N/A,TRUE,"Inclusions";#N/A,#N/A,TRUE,"Exclusions";#N/A,#N/A,TRUE,"Areas";#N/A,#N/A,TRUE,"Summary";#N/A,#N/A,TRUE,"Detail"}</definedName>
    <definedName name="wrn.Full._.Report._3" hidden="1">{#N/A,#N/A,TRUE,"Front";#N/A,#N/A,TRUE,"Simple Letter";#N/A,#N/A,TRUE,"Inside";#N/A,#N/A,TRUE,"Contents";#N/A,#N/A,TRUE,"Basis";#N/A,#N/A,TRUE,"Inclusions";#N/A,#N/A,TRUE,"Exclusions";#N/A,#N/A,TRUE,"Areas";#N/A,#N/A,TRUE,"Summary";#N/A,#N/A,TRUE,"Detail"}</definedName>
    <definedName name="wrn.Full._.Report._4" localSheetId="0" hidden="1">{#N/A,#N/A,TRUE,"Front";#N/A,#N/A,TRUE,"Simple Letter";#N/A,#N/A,TRUE,"Inside";#N/A,#N/A,TRUE,"Contents";#N/A,#N/A,TRUE,"Basis";#N/A,#N/A,TRUE,"Inclusions";#N/A,#N/A,TRUE,"Exclusions";#N/A,#N/A,TRUE,"Areas";#N/A,#N/A,TRUE,"Summary";#N/A,#N/A,TRUE,"Detail"}</definedName>
    <definedName name="wrn.Full._.Report._4" hidden="1">{#N/A,#N/A,TRUE,"Front";#N/A,#N/A,TRUE,"Simple Letter";#N/A,#N/A,TRUE,"Inside";#N/A,#N/A,TRUE,"Contents";#N/A,#N/A,TRUE,"Basis";#N/A,#N/A,TRUE,"Inclusions";#N/A,#N/A,TRUE,"Exclusions";#N/A,#N/A,TRUE,"Areas";#N/A,#N/A,TRUE,"Summary";#N/A,#N/A,TRUE,"Detail"}</definedName>
    <definedName name="wrn.full.fin.1" localSheetId="0" hidden="1">{#N/A,#N/A,TRUE,"Financials";#N/A,#N/A,TRUE,"Operating Statistics";#N/A,#N/A,TRUE,"Capex &amp; Depreciation";#N/A,#N/A,TRUE,"Debt"}</definedName>
    <definedName name="wrn.full.fin.1" hidden="1">{#N/A,#N/A,TRUE,"Financials";#N/A,#N/A,TRUE,"Operating Statistics";#N/A,#N/A,TRUE,"Capex &amp; Depreciation";#N/A,#N/A,TRUE,"Debt"}</definedName>
    <definedName name="wrn.G.C.P.L.." localSheetId="0" hidden="1">{#N/A,#N/A,FALSE,"gc (2)"}</definedName>
    <definedName name="wrn.G.C.P.L.." hidden="1">{#N/A,#N/A,FALSE,"gc (2)"}</definedName>
    <definedName name="wrn.LTCG." localSheetId="0" hidden="1">{"office ltcg",#N/A,FALSE,"gain01";"IT LTCG",#N/A,FALSE,"gain01"}</definedName>
    <definedName name="wrn.LTCG." hidden="1">{"office ltcg",#N/A,FALSE,"gain01";"IT LTCG",#N/A,FALSE,"gain01"}</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del." localSheetId="0" hidden="1">{"basic",#N/A,FALSE,"BASIC"}</definedName>
    <definedName name="wrn.model." hidden="1">{"basic",#N/A,FALSE,"BASIC"}</definedName>
    <definedName name="wrn.One._.Pager._.plus._.Technicals." localSheetId="0" hidden="1">{#N/A,#N/A,FALSE,"One Pager";#N/A,#N/A,FALSE,"Technical"}</definedName>
    <definedName name="wrn.One._.Pager._.plus._.Technicals." hidden="1">{#N/A,#N/A,FALSE,"One Pager";#N/A,#N/A,FALSE,"Technical"}</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int._.Model." localSheetId="0"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whole._.Report." localSheetId="0"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ofitability." localSheetId="0" hidden="1">{#N/A,"Good",TRUE,"Sheet1";#N/A,"Normal",TRUE,"Sheet1";#N/A,"Bad",TRUE,"Sheet1"}</definedName>
    <definedName name="wrn.Profitability." hidden="1">{#N/A,"Good",TRUE,"Sheet1";#N/A,"Normal",TRUE,"Sheet1";#N/A,"Bad",TRUE,"Sheet1"}</definedName>
    <definedName name="wrn.RCC." localSheetId="0"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0" hidden="1">{#N/A,#N/A,FALSE,"COVER.XLS";#N/A,#N/A,FALSE,"RACT1.XLS";#N/A,#N/A,FALSE,"RACT2.XLS";#N/A,#N/A,FALSE,"ECCMP";#N/A,#N/A,FALSE,"WELDER.XLS"}</definedName>
    <definedName name="wrn.report." hidden="1">{#N/A,#N/A,FALSE,"COVER.XLS";#N/A,#N/A,FALSE,"RACT1.XLS";#N/A,#N/A,FALSE,"RACT2.XLS";#N/A,#N/A,FALSE,"ECCMP";#N/A,#N/A,FALSE,"WELDER.XLS"}</definedName>
    <definedName name="wrn.RPLINS." localSheetId="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1" localSheetId="0" hidden="1">{#N/A,#N/A,FALSE,"COVER1.XLS ";#N/A,#N/A,FALSE,"RACT1.XLS";#N/A,#N/A,FALSE,"RACT2.XLS";#N/A,#N/A,FALSE,"ECCMP";#N/A,#N/A,FALSE,"WELDER.XLS"}</definedName>
    <definedName name="wrn.summ1" hidden="1">{#N/A,#N/A,FALSE,"COVER1.XLS ";#N/A,#N/A,FALSE,"RACT1.XLS";#N/A,#N/A,FALSE,"RACT2.XLS";#N/A,#N/A,FALSE,"ECCMP";#N/A,#N/A,FALSE,"WELDER.XLS"}</definedName>
    <definedName name="wrn.summary." localSheetId="0" hidden="1">{"financials",#N/A,FALSE,"BASIC"}</definedName>
    <definedName name="wrn.summary." hidden="1">{"financials",#N/A,FALSE,"BASIC"}</definedName>
    <definedName name="wrn.Total._.Print." localSheetId="0"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rial." localSheetId="0" hidden="1">{#N/A,#N/A,FALSE,"mpph1";#N/A,#N/A,FALSE,"mpmseb";#N/A,#N/A,FALSE,"mpph2"}</definedName>
    <definedName name="wrn.trial." hidden="1">{#N/A,#N/A,FALSE,"mpph1";#N/A,#N/A,FALSE,"mpmseb";#N/A,#N/A,FALSE,"mpph2"}</definedName>
    <definedName name="wrn.Valuation._.Summaries." localSheetId="0" hidden="1">{#N/A,#N/A,FALSE,"Cover Sheet";#N/A,#N/A,FALSE,"Financial Assumptions";#N/A,#N/A,FALSE,"DCFOverviewPower";#N/A,#N/A,FALSE,"DCFOverviewGas";#N/A,#N/A,FALSE,"DCFOverviewWater";#N/A,#N/A,FALSE,"DCFOverviewVersorgung"}</definedName>
    <definedName name="wrn.Valuation._.Summaries." hidden="1">{#N/A,#N/A,FALSE,"Cover Sheet";#N/A,#N/A,FALSE,"Financial Assumptions";#N/A,#N/A,FALSE,"DCFOverviewPower";#N/A,#N/A,FALSE,"DCFOverviewGas";#N/A,#N/A,FALSE,"DCFOverviewWater";#N/A,#N/A,FALSE,"DCFOverviewVersorgung"}</definedName>
    <definedName name="wrn.Versorgungs._.GmbH._.Data." localSheetId="0"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0" localSheetId="0" hidden="1">{#N/A,#N/A,FALSE,"COVER1.XLS ";#N/A,#N/A,FALSE,"RACT1.XLS";#N/A,#N/A,FALSE,"RACT2.XLS";#N/A,#N/A,FALSE,"ECCMP";#N/A,#N/A,FALSE,"WELDER.XLS"}</definedName>
    <definedName name="WRN0" hidden="1">{#N/A,#N/A,FALSE,"COVER1.XLS ";#N/A,#N/A,FALSE,"RACT1.XLS";#N/A,#N/A,FALSE,"RACT2.XLS";#N/A,#N/A,FALSE,"ECCMP";#N/A,#N/A,FALSE,"WELDER.XLS"}</definedName>
    <definedName name="wrnfulla" localSheetId="0"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rnfulla_1" localSheetId="0" hidden="1">{#N/A,#N/A,TRUE,"Front";#N/A,#N/A,TRUE,"Simple Letter";#N/A,#N/A,TRUE,"Inside";#N/A,#N/A,TRUE,"Contents";#N/A,#N/A,TRUE,"Basis";#N/A,#N/A,TRUE,"Inclusions";#N/A,#N/A,TRUE,"Exclusions";#N/A,#N/A,TRUE,"Areas";#N/A,#N/A,TRUE,"Summary";#N/A,#N/A,TRUE,"Detail"}</definedName>
    <definedName name="wrnfulla_1" hidden="1">{#N/A,#N/A,TRUE,"Front";#N/A,#N/A,TRUE,"Simple Letter";#N/A,#N/A,TRUE,"Inside";#N/A,#N/A,TRUE,"Contents";#N/A,#N/A,TRUE,"Basis";#N/A,#N/A,TRUE,"Inclusions";#N/A,#N/A,TRUE,"Exclusions";#N/A,#N/A,TRUE,"Areas";#N/A,#N/A,TRUE,"Summary";#N/A,#N/A,TRUE,"Detail"}</definedName>
    <definedName name="wrnfulla_1_1" localSheetId="0" hidden="1">{#N/A,#N/A,TRUE,"Front";#N/A,#N/A,TRUE,"Simple Letter";#N/A,#N/A,TRUE,"Inside";#N/A,#N/A,TRUE,"Contents";#N/A,#N/A,TRUE,"Basis";#N/A,#N/A,TRUE,"Inclusions";#N/A,#N/A,TRUE,"Exclusions";#N/A,#N/A,TRUE,"Areas";#N/A,#N/A,TRUE,"Summary";#N/A,#N/A,TRUE,"Detail"}</definedName>
    <definedName name="wrnfulla_1_1" hidden="1">{#N/A,#N/A,TRUE,"Front";#N/A,#N/A,TRUE,"Simple Letter";#N/A,#N/A,TRUE,"Inside";#N/A,#N/A,TRUE,"Contents";#N/A,#N/A,TRUE,"Basis";#N/A,#N/A,TRUE,"Inclusions";#N/A,#N/A,TRUE,"Exclusions";#N/A,#N/A,TRUE,"Areas";#N/A,#N/A,TRUE,"Summary";#N/A,#N/A,TRUE,"Detail"}</definedName>
    <definedName name="wrnfulla_1_2" localSheetId="0" hidden="1">{#N/A,#N/A,TRUE,"Front";#N/A,#N/A,TRUE,"Simple Letter";#N/A,#N/A,TRUE,"Inside";#N/A,#N/A,TRUE,"Contents";#N/A,#N/A,TRUE,"Basis";#N/A,#N/A,TRUE,"Inclusions";#N/A,#N/A,TRUE,"Exclusions";#N/A,#N/A,TRUE,"Areas";#N/A,#N/A,TRUE,"Summary";#N/A,#N/A,TRUE,"Detail"}</definedName>
    <definedName name="wrnfulla_1_2" hidden="1">{#N/A,#N/A,TRUE,"Front";#N/A,#N/A,TRUE,"Simple Letter";#N/A,#N/A,TRUE,"Inside";#N/A,#N/A,TRUE,"Contents";#N/A,#N/A,TRUE,"Basis";#N/A,#N/A,TRUE,"Inclusions";#N/A,#N/A,TRUE,"Exclusions";#N/A,#N/A,TRUE,"Areas";#N/A,#N/A,TRUE,"Summary";#N/A,#N/A,TRUE,"Detail"}</definedName>
    <definedName name="wrnfulla_2" localSheetId="0" hidden="1">{#N/A,#N/A,TRUE,"Front";#N/A,#N/A,TRUE,"Simple Letter";#N/A,#N/A,TRUE,"Inside";#N/A,#N/A,TRUE,"Contents";#N/A,#N/A,TRUE,"Basis";#N/A,#N/A,TRUE,"Inclusions";#N/A,#N/A,TRUE,"Exclusions";#N/A,#N/A,TRUE,"Areas";#N/A,#N/A,TRUE,"Summary";#N/A,#N/A,TRUE,"Detail"}</definedName>
    <definedName name="wrnfulla_2" hidden="1">{#N/A,#N/A,TRUE,"Front";#N/A,#N/A,TRUE,"Simple Letter";#N/A,#N/A,TRUE,"Inside";#N/A,#N/A,TRUE,"Contents";#N/A,#N/A,TRUE,"Basis";#N/A,#N/A,TRUE,"Inclusions";#N/A,#N/A,TRUE,"Exclusions";#N/A,#N/A,TRUE,"Areas";#N/A,#N/A,TRUE,"Summary";#N/A,#N/A,TRUE,"Detail"}</definedName>
    <definedName name="wrnfulla_2_1" localSheetId="0" hidden="1">{#N/A,#N/A,TRUE,"Front";#N/A,#N/A,TRUE,"Simple Letter";#N/A,#N/A,TRUE,"Inside";#N/A,#N/A,TRUE,"Contents";#N/A,#N/A,TRUE,"Basis";#N/A,#N/A,TRUE,"Inclusions";#N/A,#N/A,TRUE,"Exclusions";#N/A,#N/A,TRUE,"Areas";#N/A,#N/A,TRUE,"Summary";#N/A,#N/A,TRUE,"Detail"}</definedName>
    <definedName name="wrnfulla_2_1" hidden="1">{#N/A,#N/A,TRUE,"Front";#N/A,#N/A,TRUE,"Simple Letter";#N/A,#N/A,TRUE,"Inside";#N/A,#N/A,TRUE,"Contents";#N/A,#N/A,TRUE,"Basis";#N/A,#N/A,TRUE,"Inclusions";#N/A,#N/A,TRUE,"Exclusions";#N/A,#N/A,TRUE,"Areas";#N/A,#N/A,TRUE,"Summary";#N/A,#N/A,TRUE,"Detail"}</definedName>
    <definedName name="wrnfulla_3" localSheetId="0" hidden="1">{#N/A,#N/A,TRUE,"Front";#N/A,#N/A,TRUE,"Simple Letter";#N/A,#N/A,TRUE,"Inside";#N/A,#N/A,TRUE,"Contents";#N/A,#N/A,TRUE,"Basis";#N/A,#N/A,TRUE,"Inclusions";#N/A,#N/A,TRUE,"Exclusions";#N/A,#N/A,TRUE,"Areas";#N/A,#N/A,TRUE,"Summary";#N/A,#N/A,TRUE,"Detail"}</definedName>
    <definedName name="wrnfulla_3" hidden="1">{#N/A,#N/A,TRUE,"Front";#N/A,#N/A,TRUE,"Simple Letter";#N/A,#N/A,TRUE,"Inside";#N/A,#N/A,TRUE,"Contents";#N/A,#N/A,TRUE,"Basis";#N/A,#N/A,TRUE,"Inclusions";#N/A,#N/A,TRUE,"Exclusions";#N/A,#N/A,TRUE,"Areas";#N/A,#N/A,TRUE,"Summary";#N/A,#N/A,TRUE,"Detail"}</definedName>
    <definedName name="wrnfulla_4" localSheetId="0" hidden="1">{#N/A,#N/A,TRUE,"Front";#N/A,#N/A,TRUE,"Simple Letter";#N/A,#N/A,TRUE,"Inside";#N/A,#N/A,TRUE,"Contents";#N/A,#N/A,TRUE,"Basis";#N/A,#N/A,TRUE,"Inclusions";#N/A,#N/A,TRUE,"Exclusions";#N/A,#N/A,TRUE,"Areas";#N/A,#N/A,TRUE,"Summary";#N/A,#N/A,TRUE,"Detail"}</definedName>
    <definedName name="wrnfulla_4" hidden="1">{#N/A,#N/A,TRUE,"Front";#N/A,#N/A,TRUE,"Simple Letter";#N/A,#N/A,TRUE,"Inside";#N/A,#N/A,TRUE,"Contents";#N/A,#N/A,TRUE,"Basis";#N/A,#N/A,TRUE,"Inclusions";#N/A,#N/A,TRUE,"Exclusions";#N/A,#N/A,TRUE,"Areas";#N/A,#N/A,TRUE,"Summary";#N/A,#N/A,TRUE,"Detail"}</definedName>
    <definedName name="WRNFULLA1" localSheetId="0"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NFULLA1_1" localSheetId="0" hidden="1">{#N/A,#N/A,TRUE,"Front";#N/A,#N/A,TRUE,"Simple Letter";#N/A,#N/A,TRUE,"Inside";#N/A,#N/A,TRUE,"Contents";#N/A,#N/A,TRUE,"Basis";#N/A,#N/A,TRUE,"Inclusions";#N/A,#N/A,TRUE,"Exclusions";#N/A,#N/A,TRUE,"Areas";#N/A,#N/A,TRUE,"Summary";#N/A,#N/A,TRUE,"Detail"}</definedName>
    <definedName name="WRNFULLA1_1" hidden="1">{#N/A,#N/A,TRUE,"Front";#N/A,#N/A,TRUE,"Simple Letter";#N/A,#N/A,TRUE,"Inside";#N/A,#N/A,TRUE,"Contents";#N/A,#N/A,TRUE,"Basis";#N/A,#N/A,TRUE,"Inclusions";#N/A,#N/A,TRUE,"Exclusions";#N/A,#N/A,TRUE,"Areas";#N/A,#N/A,TRUE,"Summary";#N/A,#N/A,TRUE,"Detail"}</definedName>
    <definedName name="WRNFULLA1_1_1" localSheetId="0" hidden="1">{#N/A,#N/A,TRUE,"Front";#N/A,#N/A,TRUE,"Simple Letter";#N/A,#N/A,TRUE,"Inside";#N/A,#N/A,TRUE,"Contents";#N/A,#N/A,TRUE,"Basis";#N/A,#N/A,TRUE,"Inclusions";#N/A,#N/A,TRUE,"Exclusions";#N/A,#N/A,TRUE,"Areas";#N/A,#N/A,TRUE,"Summary";#N/A,#N/A,TRUE,"Detail"}</definedName>
    <definedName name="WRNFULLA1_1_1" hidden="1">{#N/A,#N/A,TRUE,"Front";#N/A,#N/A,TRUE,"Simple Letter";#N/A,#N/A,TRUE,"Inside";#N/A,#N/A,TRUE,"Contents";#N/A,#N/A,TRUE,"Basis";#N/A,#N/A,TRUE,"Inclusions";#N/A,#N/A,TRUE,"Exclusions";#N/A,#N/A,TRUE,"Areas";#N/A,#N/A,TRUE,"Summary";#N/A,#N/A,TRUE,"Detail"}</definedName>
    <definedName name="WRNFULLA1_1_2" localSheetId="0" hidden="1">{#N/A,#N/A,TRUE,"Front";#N/A,#N/A,TRUE,"Simple Letter";#N/A,#N/A,TRUE,"Inside";#N/A,#N/A,TRUE,"Contents";#N/A,#N/A,TRUE,"Basis";#N/A,#N/A,TRUE,"Inclusions";#N/A,#N/A,TRUE,"Exclusions";#N/A,#N/A,TRUE,"Areas";#N/A,#N/A,TRUE,"Summary";#N/A,#N/A,TRUE,"Detail"}</definedName>
    <definedName name="WRNFULLA1_1_2" hidden="1">{#N/A,#N/A,TRUE,"Front";#N/A,#N/A,TRUE,"Simple Letter";#N/A,#N/A,TRUE,"Inside";#N/A,#N/A,TRUE,"Contents";#N/A,#N/A,TRUE,"Basis";#N/A,#N/A,TRUE,"Inclusions";#N/A,#N/A,TRUE,"Exclusions";#N/A,#N/A,TRUE,"Areas";#N/A,#N/A,TRUE,"Summary";#N/A,#N/A,TRUE,"Detail"}</definedName>
    <definedName name="WRNFULLA1_2" localSheetId="0" hidden="1">{#N/A,#N/A,TRUE,"Front";#N/A,#N/A,TRUE,"Simple Letter";#N/A,#N/A,TRUE,"Inside";#N/A,#N/A,TRUE,"Contents";#N/A,#N/A,TRUE,"Basis";#N/A,#N/A,TRUE,"Inclusions";#N/A,#N/A,TRUE,"Exclusions";#N/A,#N/A,TRUE,"Areas";#N/A,#N/A,TRUE,"Summary";#N/A,#N/A,TRUE,"Detail"}</definedName>
    <definedName name="WRNFULLA1_2" hidden="1">{#N/A,#N/A,TRUE,"Front";#N/A,#N/A,TRUE,"Simple Letter";#N/A,#N/A,TRUE,"Inside";#N/A,#N/A,TRUE,"Contents";#N/A,#N/A,TRUE,"Basis";#N/A,#N/A,TRUE,"Inclusions";#N/A,#N/A,TRUE,"Exclusions";#N/A,#N/A,TRUE,"Areas";#N/A,#N/A,TRUE,"Summary";#N/A,#N/A,TRUE,"Detail"}</definedName>
    <definedName name="WRNFULLA1_2_1" localSheetId="0" hidden="1">{#N/A,#N/A,TRUE,"Front";#N/A,#N/A,TRUE,"Simple Letter";#N/A,#N/A,TRUE,"Inside";#N/A,#N/A,TRUE,"Contents";#N/A,#N/A,TRUE,"Basis";#N/A,#N/A,TRUE,"Inclusions";#N/A,#N/A,TRUE,"Exclusions";#N/A,#N/A,TRUE,"Areas";#N/A,#N/A,TRUE,"Summary";#N/A,#N/A,TRUE,"Detail"}</definedName>
    <definedName name="WRNFULLA1_2_1" hidden="1">{#N/A,#N/A,TRUE,"Front";#N/A,#N/A,TRUE,"Simple Letter";#N/A,#N/A,TRUE,"Inside";#N/A,#N/A,TRUE,"Contents";#N/A,#N/A,TRUE,"Basis";#N/A,#N/A,TRUE,"Inclusions";#N/A,#N/A,TRUE,"Exclusions";#N/A,#N/A,TRUE,"Areas";#N/A,#N/A,TRUE,"Summary";#N/A,#N/A,TRUE,"Detail"}</definedName>
    <definedName name="WRNFULLA1_3" localSheetId="0" hidden="1">{#N/A,#N/A,TRUE,"Front";#N/A,#N/A,TRUE,"Simple Letter";#N/A,#N/A,TRUE,"Inside";#N/A,#N/A,TRUE,"Contents";#N/A,#N/A,TRUE,"Basis";#N/A,#N/A,TRUE,"Inclusions";#N/A,#N/A,TRUE,"Exclusions";#N/A,#N/A,TRUE,"Areas";#N/A,#N/A,TRUE,"Summary";#N/A,#N/A,TRUE,"Detail"}</definedName>
    <definedName name="WRNFULLA1_3" hidden="1">{#N/A,#N/A,TRUE,"Front";#N/A,#N/A,TRUE,"Simple Letter";#N/A,#N/A,TRUE,"Inside";#N/A,#N/A,TRUE,"Contents";#N/A,#N/A,TRUE,"Basis";#N/A,#N/A,TRUE,"Inclusions";#N/A,#N/A,TRUE,"Exclusions";#N/A,#N/A,TRUE,"Areas";#N/A,#N/A,TRUE,"Summary";#N/A,#N/A,TRUE,"Detail"}</definedName>
    <definedName name="WRNFULLA1_4" localSheetId="0" hidden="1">{#N/A,#N/A,TRUE,"Front";#N/A,#N/A,TRUE,"Simple Letter";#N/A,#N/A,TRUE,"Inside";#N/A,#N/A,TRUE,"Contents";#N/A,#N/A,TRUE,"Basis";#N/A,#N/A,TRUE,"Inclusions";#N/A,#N/A,TRUE,"Exclusions";#N/A,#N/A,TRUE,"Areas";#N/A,#N/A,TRUE,"Summary";#N/A,#N/A,TRUE,"Detail"}</definedName>
    <definedName name="WRNFULLA1_4" hidden="1">{#N/A,#N/A,TRUE,"Front";#N/A,#N/A,TRUE,"Simple Letter";#N/A,#N/A,TRUE,"Inside";#N/A,#N/A,TRUE,"Contents";#N/A,#N/A,TRUE,"Basis";#N/A,#N/A,TRUE,"Inclusions";#N/A,#N/A,TRUE,"Exclusions";#N/A,#N/A,TRUE,"Areas";#N/A,#N/A,TRUE,"Summary";#N/A,#N/A,TRUE,"Detail"}</definedName>
    <definedName name="wsgz" localSheetId="0" hidden="1">{#N/A,#N/A,FALSE,"COVER1.XLS ";#N/A,#N/A,FALSE,"RACT1.XLS";#N/A,#N/A,FALSE,"RACT2.XLS";#N/A,#N/A,FALSE,"ECCMP";#N/A,#N/A,FALSE,"WELDER.XLS"}</definedName>
    <definedName name="wsgz" hidden="1">{#N/A,#N/A,FALSE,"COVER1.XLS ";#N/A,#N/A,FALSE,"RACT1.XLS";#N/A,#N/A,FALSE,"RACT2.XLS";#N/A,#N/A,FALSE,"ECCMP";#N/A,#N/A,FALSE,"WELDER.XLS"}</definedName>
    <definedName name="wswww" localSheetId="0">#REF!</definedName>
    <definedName name="wswww">#REF!</definedName>
    <definedName name="wtanker" localSheetId="0">#REF!</definedName>
    <definedName name="wtanker">#REF!</definedName>
    <definedName name="wtrwwefr" localSheetId="0">#REF!</definedName>
    <definedName name="wtrwwefr">#REF!</definedName>
    <definedName name="WW">#REF!</definedName>
    <definedName name="www" localSheetId="0" hidden="1">{#N/A,#N/A,FALSE,"COVER.XLS";#N/A,#N/A,FALSE,"RACT1.XLS";#N/A,#N/A,FALSE,"RACT2.XLS";#N/A,#N/A,FALSE,"ECCMP";#N/A,#N/A,FALSE,"WELDER.XLS"}</definedName>
    <definedName name="www" hidden="1">{#N/A,#N/A,FALSE,"COVER.XLS";#N/A,#N/A,FALSE,"RACT1.XLS";#N/A,#N/A,FALSE,"RACT2.XLS";#N/A,#N/A,FALSE,"ECCMP";#N/A,#N/A,FALSE,"WELDER.XLS"}</definedName>
    <definedName name="WWWW" localSheetId="0" hidden="1">{#N/A,#N/A,FALSE,"COVER.XLS";#N/A,#N/A,FALSE,"RACT1.XLS";#N/A,#N/A,FALSE,"RACT2.XLS";#N/A,#N/A,FALSE,"ECCMP";#N/A,#N/A,FALSE,"WELDER.XLS"}</definedName>
    <definedName name="WWWW" hidden="1">{#N/A,#N/A,FALSE,"COVER.XLS";#N/A,#N/A,FALSE,"RACT1.XLS";#N/A,#N/A,FALSE,"RACT2.XLS";#N/A,#N/A,FALSE,"ECCMP";#N/A,#N/A,FALSE,"WELDER.XLS"}</definedName>
    <definedName name="wwwww" localSheetId="0" hidden="1">#REF!</definedName>
    <definedName name="wwwww" hidden="1">#REF!</definedName>
    <definedName name="wwwwww" localSheetId="0">#REF!</definedName>
    <definedName name="wwwwww">#REF!</definedName>
    <definedName name="WWWWWWWW" localSheetId="0">#REF!</definedName>
    <definedName name="WWWWWWWW">#REF!</definedName>
    <definedName name="wwwwwwwww" localSheetId="0">#REF!</definedName>
    <definedName name="wwwwwwwww">#REF!</definedName>
    <definedName name="wwwwwwwwwwwwwwww" localSheetId="0">#REF!</definedName>
    <definedName name="wwwwwwwwwwwwwwww">#REF!</definedName>
    <definedName name="X" localSheetId="0">#REF!</definedName>
    <definedName name="X">#REF!</definedName>
    <definedName name="x_1" localSheetId="0" hidden="1">{"form-D1",#N/A,FALSE,"FORM-D1";"form-D1_amt",#N/A,FALSE,"FORM-D1"}</definedName>
    <definedName name="x_1" hidden="1">{"form-D1",#N/A,FALSE,"FORM-D1";"form-D1_amt",#N/A,FALSE,"FORM-D1"}</definedName>
    <definedName name="x_1_1" localSheetId="0" hidden="1">{"form-D1",#N/A,FALSE,"FORM-D1";"form-D1_amt",#N/A,FALSE,"FORM-D1"}</definedName>
    <definedName name="x_1_1" hidden="1">{"form-D1",#N/A,FALSE,"FORM-D1";"form-D1_amt",#N/A,FALSE,"FORM-D1"}</definedName>
    <definedName name="x_2" localSheetId="0" hidden="1">{"form-D1",#N/A,FALSE,"FORM-D1";"form-D1_amt",#N/A,FALSE,"FORM-D1"}</definedName>
    <definedName name="x_2" hidden="1">{"form-D1",#N/A,FALSE,"FORM-D1";"form-D1_amt",#N/A,FALSE,"FORM-D1"}</definedName>
    <definedName name="x_2_1" localSheetId="0" hidden="1">{"form-D1",#N/A,FALSE,"FORM-D1";"form-D1_amt",#N/A,FALSE,"FORM-D1"}</definedName>
    <definedName name="x_2_1" hidden="1">{"form-D1",#N/A,FALSE,"FORM-D1";"form-D1_amt",#N/A,FALSE,"FORM-D1"}</definedName>
    <definedName name="x_3" localSheetId="0" hidden="1">{"form-D1",#N/A,FALSE,"FORM-D1";"form-D1_amt",#N/A,FALSE,"FORM-D1"}</definedName>
    <definedName name="x_3" hidden="1">{"form-D1",#N/A,FALSE,"FORM-D1";"form-D1_amt",#N/A,FALSE,"FORM-D1"}</definedName>
    <definedName name="x_3_1" localSheetId="0" hidden="1">{"form-D1",#N/A,FALSE,"FORM-D1";"form-D1_amt",#N/A,FALSE,"FORM-D1"}</definedName>
    <definedName name="x_3_1" hidden="1">{"form-D1",#N/A,FALSE,"FORM-D1";"form-D1_amt",#N/A,FALSE,"FORM-D1"}</definedName>
    <definedName name="x_4" localSheetId="0" hidden="1">{"form-D1",#N/A,FALSE,"FORM-D1";"form-D1_amt",#N/A,FALSE,"FORM-D1"}</definedName>
    <definedName name="x_4" hidden="1">{"form-D1",#N/A,FALSE,"FORM-D1";"form-D1_amt",#N/A,FALSE,"FORM-D1"}</definedName>
    <definedName name="x_4_1" localSheetId="0" hidden="1">{"form-D1",#N/A,FALSE,"FORM-D1";"form-D1_amt",#N/A,FALSE,"FORM-D1"}</definedName>
    <definedName name="x_4_1" hidden="1">{"form-D1",#N/A,FALSE,"FORM-D1";"form-D1_amt",#N/A,FALSE,"FORM-D1"}</definedName>
    <definedName name="x_5" localSheetId="0" hidden="1">{"form-D1",#N/A,FALSE,"FORM-D1";"form-D1_amt",#N/A,FALSE,"FORM-D1"}</definedName>
    <definedName name="x_5" hidden="1">{"form-D1",#N/A,FALSE,"FORM-D1";"form-D1_amt",#N/A,FALSE,"FORM-D1"}</definedName>
    <definedName name="xc" localSheetId="0" hidden="1">{"form-D1",#N/A,FALSE,"FORM-D1";"form-D1_amt",#N/A,FALSE,"FORM-D1"}</definedName>
    <definedName name="xc" hidden="1">{"form-D1",#N/A,FALSE,"FORM-D1";"form-D1_amt",#N/A,FALSE,"FORM-D1"}</definedName>
    <definedName name="xc_1" localSheetId="0" hidden="1">{"form-D1",#N/A,FALSE,"FORM-D1";"form-D1_amt",#N/A,FALSE,"FORM-D1"}</definedName>
    <definedName name="xc_1" hidden="1">{"form-D1",#N/A,FALSE,"FORM-D1";"form-D1_amt",#N/A,FALSE,"FORM-D1"}</definedName>
    <definedName name="xc_1_1" localSheetId="0" hidden="1">{"form-D1",#N/A,FALSE,"FORM-D1";"form-D1_amt",#N/A,FALSE,"FORM-D1"}</definedName>
    <definedName name="xc_1_1" hidden="1">{"form-D1",#N/A,FALSE,"FORM-D1";"form-D1_amt",#N/A,FALSE,"FORM-D1"}</definedName>
    <definedName name="xc_1_2" localSheetId="0" hidden="1">{"form-D1",#N/A,FALSE,"FORM-D1";"form-D1_amt",#N/A,FALSE,"FORM-D1"}</definedName>
    <definedName name="xc_1_2" hidden="1">{"form-D1",#N/A,FALSE,"FORM-D1";"form-D1_amt",#N/A,FALSE,"FORM-D1"}</definedName>
    <definedName name="xc_2" localSheetId="0" hidden="1">{"form-D1",#N/A,FALSE,"FORM-D1";"form-D1_amt",#N/A,FALSE,"FORM-D1"}</definedName>
    <definedName name="xc_2" hidden="1">{"form-D1",#N/A,FALSE,"FORM-D1";"form-D1_amt",#N/A,FALSE,"FORM-D1"}</definedName>
    <definedName name="xc_2_1" localSheetId="0" hidden="1">{"form-D1",#N/A,FALSE,"FORM-D1";"form-D1_amt",#N/A,FALSE,"FORM-D1"}</definedName>
    <definedName name="xc_2_1" hidden="1">{"form-D1",#N/A,FALSE,"FORM-D1";"form-D1_amt",#N/A,FALSE,"FORM-D1"}</definedName>
    <definedName name="xc_3" localSheetId="0" hidden="1">{"form-D1",#N/A,FALSE,"FORM-D1";"form-D1_amt",#N/A,FALSE,"FORM-D1"}</definedName>
    <definedName name="xc_3" hidden="1">{"form-D1",#N/A,FALSE,"FORM-D1";"form-D1_amt",#N/A,FALSE,"FORM-D1"}</definedName>
    <definedName name="xc_3_1" localSheetId="0" hidden="1">{"form-D1",#N/A,FALSE,"FORM-D1";"form-D1_amt",#N/A,FALSE,"FORM-D1"}</definedName>
    <definedName name="xc_3_1" hidden="1">{"form-D1",#N/A,FALSE,"FORM-D1";"form-D1_amt",#N/A,FALSE,"FORM-D1"}</definedName>
    <definedName name="xc_4" localSheetId="0" hidden="1">{"form-D1",#N/A,FALSE,"FORM-D1";"form-D1_amt",#N/A,FALSE,"FORM-D1"}</definedName>
    <definedName name="xc_4" hidden="1">{"form-D1",#N/A,FALSE,"FORM-D1";"form-D1_amt",#N/A,FALSE,"FORM-D1"}</definedName>
    <definedName name="xc_4_1" localSheetId="0" hidden="1">{"form-D1",#N/A,FALSE,"FORM-D1";"form-D1_amt",#N/A,FALSE,"FORM-D1"}</definedName>
    <definedName name="xc_4_1" hidden="1">{"form-D1",#N/A,FALSE,"FORM-D1";"form-D1_amt",#N/A,FALSE,"FORM-D1"}</definedName>
    <definedName name="xc_5" localSheetId="0" hidden="1">{"form-D1",#N/A,FALSE,"FORM-D1";"form-D1_amt",#N/A,FALSE,"FORM-D1"}</definedName>
    <definedName name="xc_5" hidden="1">{"form-D1",#N/A,FALSE,"FORM-D1";"form-D1_amt",#N/A,FALSE,"FORM-D1"}</definedName>
    <definedName name="xc_5_1" localSheetId="0" hidden="1">{"form-D1",#N/A,FALSE,"FORM-D1";"form-D1_amt",#N/A,FALSE,"FORM-D1"}</definedName>
    <definedName name="xc_5_1" hidden="1">{"form-D1",#N/A,FALSE,"FORM-D1";"form-D1_amt",#N/A,FALSE,"FORM-D1"}</definedName>
    <definedName name="xcd" localSheetId="0">#REF!</definedName>
    <definedName name="xcd">#REF!</definedName>
    <definedName name="Xl" localSheetId="0">#REF!</definedName>
    <definedName name="Xl">#REF!</definedName>
    <definedName name="Xl___0" localSheetId="0">#REF!</definedName>
    <definedName name="Xl___0">#REF!</definedName>
    <definedName name="Xl___13" localSheetId="0">#REF!</definedName>
    <definedName name="Xl___13">#REF!</definedName>
    <definedName name="Xm" localSheetId="0">#REF!</definedName>
    <definedName name="Xm">#REF!</definedName>
    <definedName name="xRqryPUOrig" localSheetId="0">#REF!</definedName>
    <definedName name="xRqryPUOrig">#REF!</definedName>
    <definedName name="xs" localSheetId="0">#REF!</definedName>
    <definedName name="xs">#REF!</definedName>
    <definedName name="Xso" localSheetId="0">#REF!</definedName>
    <definedName name="Xso">#REF!</definedName>
    <definedName name="xt" localSheetId="0">#REF!</definedName>
    <definedName name="xt">#REF!</definedName>
    <definedName name="xx" localSheetId="0">#REF!</definedName>
    <definedName name="xx">#REF!</definedName>
    <definedName name="xxx" localSheetId="0">#REF!</definedName>
    <definedName name="xxx">#REF!</definedName>
    <definedName name="xxx1" localSheetId="0">#REF!</definedName>
    <definedName name="xxx1">#REF!</definedName>
    <definedName name="xxxx" localSheetId="0">#REF!</definedName>
    <definedName name="xxxx">#REF!</definedName>
    <definedName name="xxxxxxxxxxxxx" localSheetId="0">#REF!</definedName>
    <definedName name="xxxxxxxxxxxxx">#REF!</definedName>
    <definedName name="y" localSheetId="0">#REF!</definedName>
    <definedName name="y">#REF!</definedName>
    <definedName name="Year">#REF!</definedName>
    <definedName name="yp" localSheetId="0">#REF!</definedName>
    <definedName name="yp">[6]Data!#REF!</definedName>
    <definedName name="ys" localSheetId="0">#REF!</definedName>
    <definedName name="ys">#REF!</definedName>
    <definedName name="yty" localSheetId="0">#REF!</definedName>
    <definedName name="yty">#REF!</definedName>
    <definedName name="yuuy" localSheetId="0">#REF!</definedName>
    <definedName name="yuuy">#REF!</definedName>
    <definedName name="yuyu" localSheetId="0">#REF!</definedName>
    <definedName name="yuyu">#REF!</definedName>
    <definedName name="yy" localSheetId="0">#REF!</definedName>
    <definedName name="yy">#REF!</definedName>
    <definedName name="yyy" localSheetId="0" hidden="1">{#N/A,#N/A,TRUE,"Front";#N/A,#N/A,TRUE,"Simple Letter";#N/A,#N/A,TRUE,"Inside";#N/A,#N/A,TRUE,"Contents";#N/A,#N/A,TRUE,"Basis";#N/A,#N/A,TRUE,"Inclusions";#N/A,#N/A,TRUE,"Exclusions";#N/A,#N/A,TRUE,"Areas";#N/A,#N/A,TRUE,"Summary";#N/A,#N/A,TRUE,"Detail"}</definedName>
    <definedName name="yyy" hidden="1">{#N/A,#N/A,TRUE,"Front";#N/A,#N/A,TRUE,"Simple Letter";#N/A,#N/A,TRUE,"Inside";#N/A,#N/A,TRUE,"Contents";#N/A,#N/A,TRUE,"Basis";#N/A,#N/A,TRUE,"Inclusions";#N/A,#N/A,TRUE,"Exclusions";#N/A,#N/A,TRUE,"Areas";#N/A,#N/A,TRUE,"Summary";#N/A,#N/A,TRUE,"Detail"}</definedName>
    <definedName name="yyy_1" localSheetId="0" hidden="1">{#N/A,#N/A,TRUE,"Front";#N/A,#N/A,TRUE,"Simple Letter";#N/A,#N/A,TRUE,"Inside";#N/A,#N/A,TRUE,"Contents";#N/A,#N/A,TRUE,"Basis";#N/A,#N/A,TRUE,"Inclusions";#N/A,#N/A,TRUE,"Exclusions";#N/A,#N/A,TRUE,"Areas";#N/A,#N/A,TRUE,"Summary";#N/A,#N/A,TRUE,"Detail"}</definedName>
    <definedName name="yyy_1" hidden="1">{#N/A,#N/A,TRUE,"Front";#N/A,#N/A,TRUE,"Simple Letter";#N/A,#N/A,TRUE,"Inside";#N/A,#N/A,TRUE,"Contents";#N/A,#N/A,TRUE,"Basis";#N/A,#N/A,TRUE,"Inclusions";#N/A,#N/A,TRUE,"Exclusions";#N/A,#N/A,TRUE,"Areas";#N/A,#N/A,TRUE,"Summary";#N/A,#N/A,TRUE,"Detail"}</definedName>
    <definedName name="yyy_1_1" localSheetId="0" hidden="1">{#N/A,#N/A,TRUE,"Front";#N/A,#N/A,TRUE,"Simple Letter";#N/A,#N/A,TRUE,"Inside";#N/A,#N/A,TRUE,"Contents";#N/A,#N/A,TRUE,"Basis";#N/A,#N/A,TRUE,"Inclusions";#N/A,#N/A,TRUE,"Exclusions";#N/A,#N/A,TRUE,"Areas";#N/A,#N/A,TRUE,"Summary";#N/A,#N/A,TRUE,"Detail"}</definedName>
    <definedName name="yyy_1_1" hidden="1">{#N/A,#N/A,TRUE,"Front";#N/A,#N/A,TRUE,"Simple Letter";#N/A,#N/A,TRUE,"Inside";#N/A,#N/A,TRUE,"Contents";#N/A,#N/A,TRUE,"Basis";#N/A,#N/A,TRUE,"Inclusions";#N/A,#N/A,TRUE,"Exclusions";#N/A,#N/A,TRUE,"Areas";#N/A,#N/A,TRUE,"Summary";#N/A,#N/A,TRUE,"Detail"}</definedName>
    <definedName name="yyy_1_2" localSheetId="0" hidden="1">{#N/A,#N/A,TRUE,"Front";#N/A,#N/A,TRUE,"Simple Letter";#N/A,#N/A,TRUE,"Inside";#N/A,#N/A,TRUE,"Contents";#N/A,#N/A,TRUE,"Basis";#N/A,#N/A,TRUE,"Inclusions";#N/A,#N/A,TRUE,"Exclusions";#N/A,#N/A,TRUE,"Areas";#N/A,#N/A,TRUE,"Summary";#N/A,#N/A,TRUE,"Detail"}</definedName>
    <definedName name="yyy_1_2" hidden="1">{#N/A,#N/A,TRUE,"Front";#N/A,#N/A,TRUE,"Simple Letter";#N/A,#N/A,TRUE,"Inside";#N/A,#N/A,TRUE,"Contents";#N/A,#N/A,TRUE,"Basis";#N/A,#N/A,TRUE,"Inclusions";#N/A,#N/A,TRUE,"Exclusions";#N/A,#N/A,TRUE,"Areas";#N/A,#N/A,TRUE,"Summary";#N/A,#N/A,TRUE,"Detail"}</definedName>
    <definedName name="yyy_2" localSheetId="0" hidden="1">{#N/A,#N/A,TRUE,"Front";#N/A,#N/A,TRUE,"Simple Letter";#N/A,#N/A,TRUE,"Inside";#N/A,#N/A,TRUE,"Contents";#N/A,#N/A,TRUE,"Basis";#N/A,#N/A,TRUE,"Inclusions";#N/A,#N/A,TRUE,"Exclusions";#N/A,#N/A,TRUE,"Areas";#N/A,#N/A,TRUE,"Summary";#N/A,#N/A,TRUE,"Detail"}</definedName>
    <definedName name="yyy_2" hidden="1">{#N/A,#N/A,TRUE,"Front";#N/A,#N/A,TRUE,"Simple Letter";#N/A,#N/A,TRUE,"Inside";#N/A,#N/A,TRUE,"Contents";#N/A,#N/A,TRUE,"Basis";#N/A,#N/A,TRUE,"Inclusions";#N/A,#N/A,TRUE,"Exclusions";#N/A,#N/A,TRUE,"Areas";#N/A,#N/A,TRUE,"Summary";#N/A,#N/A,TRUE,"Detail"}</definedName>
    <definedName name="yyy_2_1" localSheetId="0" hidden="1">{#N/A,#N/A,TRUE,"Front";#N/A,#N/A,TRUE,"Simple Letter";#N/A,#N/A,TRUE,"Inside";#N/A,#N/A,TRUE,"Contents";#N/A,#N/A,TRUE,"Basis";#N/A,#N/A,TRUE,"Inclusions";#N/A,#N/A,TRUE,"Exclusions";#N/A,#N/A,TRUE,"Areas";#N/A,#N/A,TRUE,"Summary";#N/A,#N/A,TRUE,"Detail"}</definedName>
    <definedName name="yyy_2_1" hidden="1">{#N/A,#N/A,TRUE,"Front";#N/A,#N/A,TRUE,"Simple Letter";#N/A,#N/A,TRUE,"Inside";#N/A,#N/A,TRUE,"Contents";#N/A,#N/A,TRUE,"Basis";#N/A,#N/A,TRUE,"Inclusions";#N/A,#N/A,TRUE,"Exclusions";#N/A,#N/A,TRUE,"Areas";#N/A,#N/A,TRUE,"Summary";#N/A,#N/A,TRUE,"Detail"}</definedName>
    <definedName name="yyy_3" localSheetId="0" hidden="1">{#N/A,#N/A,TRUE,"Front";#N/A,#N/A,TRUE,"Simple Letter";#N/A,#N/A,TRUE,"Inside";#N/A,#N/A,TRUE,"Contents";#N/A,#N/A,TRUE,"Basis";#N/A,#N/A,TRUE,"Inclusions";#N/A,#N/A,TRUE,"Exclusions";#N/A,#N/A,TRUE,"Areas";#N/A,#N/A,TRUE,"Summary";#N/A,#N/A,TRUE,"Detail"}</definedName>
    <definedName name="yyy_3" hidden="1">{#N/A,#N/A,TRUE,"Front";#N/A,#N/A,TRUE,"Simple Letter";#N/A,#N/A,TRUE,"Inside";#N/A,#N/A,TRUE,"Contents";#N/A,#N/A,TRUE,"Basis";#N/A,#N/A,TRUE,"Inclusions";#N/A,#N/A,TRUE,"Exclusions";#N/A,#N/A,TRUE,"Areas";#N/A,#N/A,TRUE,"Summary";#N/A,#N/A,TRUE,"Detail"}</definedName>
    <definedName name="yyy_4" localSheetId="0" hidden="1">{#N/A,#N/A,TRUE,"Front";#N/A,#N/A,TRUE,"Simple Letter";#N/A,#N/A,TRUE,"Inside";#N/A,#N/A,TRUE,"Contents";#N/A,#N/A,TRUE,"Basis";#N/A,#N/A,TRUE,"Inclusions";#N/A,#N/A,TRUE,"Exclusions";#N/A,#N/A,TRUE,"Areas";#N/A,#N/A,TRUE,"Summary";#N/A,#N/A,TRUE,"Detail"}</definedName>
    <definedName name="yyy_4" hidden="1">{#N/A,#N/A,TRUE,"Front";#N/A,#N/A,TRUE,"Simple Letter";#N/A,#N/A,TRUE,"Inside";#N/A,#N/A,TRUE,"Contents";#N/A,#N/A,TRUE,"Basis";#N/A,#N/A,TRUE,"Inclusions";#N/A,#N/A,TRUE,"Exclusions";#N/A,#N/A,TRUE,"Areas";#N/A,#N/A,TRUE,"Summary";#N/A,#N/A,TRUE,"Detail"}</definedName>
    <definedName name="yyyy" localSheetId="0"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_1" localSheetId="0" hidden="1">{#N/A,#N/A,TRUE,"Front";#N/A,#N/A,TRUE,"Simple Letter";#N/A,#N/A,TRUE,"Inside";#N/A,#N/A,TRUE,"Contents";#N/A,#N/A,TRUE,"Basis";#N/A,#N/A,TRUE,"Inclusions";#N/A,#N/A,TRUE,"Exclusions";#N/A,#N/A,TRUE,"Areas";#N/A,#N/A,TRUE,"Summary";#N/A,#N/A,TRUE,"Detail"}</definedName>
    <definedName name="yyyy_1" hidden="1">{#N/A,#N/A,TRUE,"Front";#N/A,#N/A,TRUE,"Simple Letter";#N/A,#N/A,TRUE,"Inside";#N/A,#N/A,TRUE,"Contents";#N/A,#N/A,TRUE,"Basis";#N/A,#N/A,TRUE,"Inclusions";#N/A,#N/A,TRUE,"Exclusions";#N/A,#N/A,TRUE,"Areas";#N/A,#N/A,TRUE,"Summary";#N/A,#N/A,TRUE,"Detail"}</definedName>
    <definedName name="yyyy_1_1" localSheetId="0" hidden="1">{#N/A,#N/A,TRUE,"Front";#N/A,#N/A,TRUE,"Simple Letter";#N/A,#N/A,TRUE,"Inside";#N/A,#N/A,TRUE,"Contents";#N/A,#N/A,TRUE,"Basis";#N/A,#N/A,TRUE,"Inclusions";#N/A,#N/A,TRUE,"Exclusions";#N/A,#N/A,TRUE,"Areas";#N/A,#N/A,TRUE,"Summary";#N/A,#N/A,TRUE,"Detail"}</definedName>
    <definedName name="yyyy_1_1" hidden="1">{#N/A,#N/A,TRUE,"Front";#N/A,#N/A,TRUE,"Simple Letter";#N/A,#N/A,TRUE,"Inside";#N/A,#N/A,TRUE,"Contents";#N/A,#N/A,TRUE,"Basis";#N/A,#N/A,TRUE,"Inclusions";#N/A,#N/A,TRUE,"Exclusions";#N/A,#N/A,TRUE,"Areas";#N/A,#N/A,TRUE,"Summary";#N/A,#N/A,TRUE,"Detail"}</definedName>
    <definedName name="yyyy_1_2" localSheetId="0" hidden="1">{#N/A,#N/A,TRUE,"Front";#N/A,#N/A,TRUE,"Simple Letter";#N/A,#N/A,TRUE,"Inside";#N/A,#N/A,TRUE,"Contents";#N/A,#N/A,TRUE,"Basis";#N/A,#N/A,TRUE,"Inclusions";#N/A,#N/A,TRUE,"Exclusions";#N/A,#N/A,TRUE,"Areas";#N/A,#N/A,TRUE,"Summary";#N/A,#N/A,TRUE,"Detail"}</definedName>
    <definedName name="yyyy_1_2" hidden="1">{#N/A,#N/A,TRUE,"Front";#N/A,#N/A,TRUE,"Simple Letter";#N/A,#N/A,TRUE,"Inside";#N/A,#N/A,TRUE,"Contents";#N/A,#N/A,TRUE,"Basis";#N/A,#N/A,TRUE,"Inclusions";#N/A,#N/A,TRUE,"Exclusions";#N/A,#N/A,TRUE,"Areas";#N/A,#N/A,TRUE,"Summary";#N/A,#N/A,TRUE,"Detail"}</definedName>
    <definedName name="yyyy_2" localSheetId="0" hidden="1">{#N/A,#N/A,TRUE,"Front";#N/A,#N/A,TRUE,"Simple Letter";#N/A,#N/A,TRUE,"Inside";#N/A,#N/A,TRUE,"Contents";#N/A,#N/A,TRUE,"Basis";#N/A,#N/A,TRUE,"Inclusions";#N/A,#N/A,TRUE,"Exclusions";#N/A,#N/A,TRUE,"Areas";#N/A,#N/A,TRUE,"Summary";#N/A,#N/A,TRUE,"Detail"}</definedName>
    <definedName name="yyyy_2" hidden="1">{#N/A,#N/A,TRUE,"Front";#N/A,#N/A,TRUE,"Simple Letter";#N/A,#N/A,TRUE,"Inside";#N/A,#N/A,TRUE,"Contents";#N/A,#N/A,TRUE,"Basis";#N/A,#N/A,TRUE,"Inclusions";#N/A,#N/A,TRUE,"Exclusions";#N/A,#N/A,TRUE,"Areas";#N/A,#N/A,TRUE,"Summary";#N/A,#N/A,TRUE,"Detail"}</definedName>
    <definedName name="yyyy_2_1" localSheetId="0" hidden="1">{#N/A,#N/A,TRUE,"Front";#N/A,#N/A,TRUE,"Simple Letter";#N/A,#N/A,TRUE,"Inside";#N/A,#N/A,TRUE,"Contents";#N/A,#N/A,TRUE,"Basis";#N/A,#N/A,TRUE,"Inclusions";#N/A,#N/A,TRUE,"Exclusions";#N/A,#N/A,TRUE,"Areas";#N/A,#N/A,TRUE,"Summary";#N/A,#N/A,TRUE,"Detail"}</definedName>
    <definedName name="yyyy_2_1" hidden="1">{#N/A,#N/A,TRUE,"Front";#N/A,#N/A,TRUE,"Simple Letter";#N/A,#N/A,TRUE,"Inside";#N/A,#N/A,TRUE,"Contents";#N/A,#N/A,TRUE,"Basis";#N/A,#N/A,TRUE,"Inclusions";#N/A,#N/A,TRUE,"Exclusions";#N/A,#N/A,TRUE,"Areas";#N/A,#N/A,TRUE,"Summary";#N/A,#N/A,TRUE,"Detail"}</definedName>
    <definedName name="yyyy_3" localSheetId="0" hidden="1">{#N/A,#N/A,TRUE,"Front";#N/A,#N/A,TRUE,"Simple Letter";#N/A,#N/A,TRUE,"Inside";#N/A,#N/A,TRUE,"Contents";#N/A,#N/A,TRUE,"Basis";#N/A,#N/A,TRUE,"Inclusions";#N/A,#N/A,TRUE,"Exclusions";#N/A,#N/A,TRUE,"Areas";#N/A,#N/A,TRUE,"Summary";#N/A,#N/A,TRUE,"Detail"}</definedName>
    <definedName name="yyyy_3" hidden="1">{#N/A,#N/A,TRUE,"Front";#N/A,#N/A,TRUE,"Simple Letter";#N/A,#N/A,TRUE,"Inside";#N/A,#N/A,TRUE,"Contents";#N/A,#N/A,TRUE,"Basis";#N/A,#N/A,TRUE,"Inclusions";#N/A,#N/A,TRUE,"Exclusions";#N/A,#N/A,TRUE,"Areas";#N/A,#N/A,TRUE,"Summary";#N/A,#N/A,TRUE,"Detail"}</definedName>
    <definedName name="yyyy_4" localSheetId="0" hidden="1">{#N/A,#N/A,TRUE,"Front";#N/A,#N/A,TRUE,"Simple Letter";#N/A,#N/A,TRUE,"Inside";#N/A,#N/A,TRUE,"Contents";#N/A,#N/A,TRUE,"Basis";#N/A,#N/A,TRUE,"Inclusions";#N/A,#N/A,TRUE,"Exclusions";#N/A,#N/A,TRUE,"Areas";#N/A,#N/A,TRUE,"Summary";#N/A,#N/A,TRUE,"Detail"}</definedName>
    <definedName name="yyyy_4" hidden="1">{#N/A,#N/A,TRUE,"Front";#N/A,#N/A,TRUE,"Simple Letter";#N/A,#N/A,TRUE,"Inside";#N/A,#N/A,TRUE,"Contents";#N/A,#N/A,TRUE,"Basis";#N/A,#N/A,TRUE,"Inclusions";#N/A,#N/A,TRUE,"Exclusions";#N/A,#N/A,TRUE,"Areas";#N/A,#N/A,TRUE,"Summary";#N/A,#N/A,TRUE,"Detail"}</definedName>
    <definedName name="yyyyyyyyyy" localSheetId="0">#REF!</definedName>
    <definedName name="yyyyyyyyyy">#REF!</definedName>
    <definedName name="yyyyyyyyyyy" localSheetId="0">#REF!</definedName>
    <definedName name="yyyyyyyyyyy">#REF!</definedName>
    <definedName name="yyyyyyyyyyyyyyyy" localSheetId="0">#REF!</definedName>
    <definedName name="yyyyyyyyyyyyyyyy">#REF!</definedName>
    <definedName name="z" localSheetId="0">#REF!</definedName>
    <definedName name="z">#REF!</definedName>
    <definedName name="Z_01EEECA8_52E8_4BA6_B221_CB6D3C468C80_.wvu.Cols" localSheetId="0" hidden="1">#REF!</definedName>
    <definedName name="Z_01EEECA8_52E8_4BA6_B221_CB6D3C468C80_.wvu.Cols" hidden="1">#REF!</definedName>
    <definedName name="Z_01EEECA8_52E8_4BA6_B221_CB6D3C468C80_.wvu.FilterData" localSheetId="0" hidden="1">#REF!</definedName>
    <definedName name="Z_01EEECA8_52E8_4BA6_B221_CB6D3C468C80_.wvu.FilterData" hidden="1">#REF!</definedName>
    <definedName name="Z_0B3EF283_BAAE_40DA_B109_606B8002D5D4_.wvu.FilterData" localSheetId="0" hidden="1">#REF!</definedName>
    <definedName name="Z_0B3EF283_BAAE_40DA_B109_606B8002D5D4_.wvu.FilterData" hidden="1">#REF!</definedName>
    <definedName name="z_1" localSheetId="0" hidden="1">{"form-D1",#N/A,FALSE,"FORM-D1";"form-D1_amt",#N/A,FALSE,"FORM-D1"}</definedName>
    <definedName name="z_1" hidden="1">{"form-D1",#N/A,FALSE,"FORM-D1";"form-D1_amt",#N/A,FALSE,"FORM-D1"}</definedName>
    <definedName name="z_1_1" localSheetId="0" hidden="1">{"form-D1",#N/A,FALSE,"FORM-D1";"form-D1_amt",#N/A,FALSE,"FORM-D1"}</definedName>
    <definedName name="z_1_1" hidden="1">{"form-D1",#N/A,FALSE,"FORM-D1";"form-D1_amt",#N/A,FALSE,"FORM-D1"}</definedName>
    <definedName name="z_1_2" localSheetId="0" hidden="1">{"form-D1",#N/A,FALSE,"FORM-D1";"form-D1_amt",#N/A,FALSE,"FORM-D1"}</definedName>
    <definedName name="z_1_2" hidden="1">{"form-D1",#N/A,FALSE,"FORM-D1";"form-D1_amt",#N/A,FALSE,"FORM-D1"}</definedName>
    <definedName name="z_2" localSheetId="0" hidden="1">{"form-D1",#N/A,FALSE,"FORM-D1";"form-D1_amt",#N/A,FALSE,"FORM-D1"}</definedName>
    <definedName name="z_2" hidden="1">{"form-D1",#N/A,FALSE,"FORM-D1";"form-D1_amt",#N/A,FALSE,"FORM-D1"}</definedName>
    <definedName name="z_2_1" localSheetId="0" hidden="1">{"form-D1",#N/A,FALSE,"FORM-D1";"form-D1_amt",#N/A,FALSE,"FORM-D1"}</definedName>
    <definedName name="z_2_1" hidden="1">{"form-D1",#N/A,FALSE,"FORM-D1";"form-D1_amt",#N/A,FALSE,"FORM-D1"}</definedName>
    <definedName name="z_3" localSheetId="0" hidden="1">{"form-D1",#N/A,FALSE,"FORM-D1";"form-D1_amt",#N/A,FALSE,"FORM-D1"}</definedName>
    <definedName name="z_3" hidden="1">{"form-D1",#N/A,FALSE,"FORM-D1";"form-D1_amt",#N/A,FALSE,"FORM-D1"}</definedName>
    <definedName name="z_3_1" localSheetId="0" hidden="1">{"form-D1",#N/A,FALSE,"FORM-D1";"form-D1_amt",#N/A,FALSE,"FORM-D1"}</definedName>
    <definedName name="z_3_1" hidden="1">{"form-D1",#N/A,FALSE,"FORM-D1";"form-D1_amt",#N/A,FALSE,"FORM-D1"}</definedName>
    <definedName name="z_4" localSheetId="0" hidden="1">{"form-D1",#N/A,FALSE,"FORM-D1";"form-D1_amt",#N/A,FALSE,"FORM-D1"}</definedName>
    <definedName name="z_4" hidden="1">{"form-D1",#N/A,FALSE,"FORM-D1";"form-D1_amt",#N/A,FALSE,"FORM-D1"}</definedName>
    <definedName name="z_4_1" localSheetId="0" hidden="1">{"form-D1",#N/A,FALSE,"FORM-D1";"form-D1_amt",#N/A,FALSE,"FORM-D1"}</definedName>
    <definedName name="z_4_1" hidden="1">{"form-D1",#N/A,FALSE,"FORM-D1";"form-D1_amt",#N/A,FALSE,"FORM-D1"}</definedName>
    <definedName name="z_5" localSheetId="0" hidden="1">{"form-D1",#N/A,FALSE,"FORM-D1";"form-D1_amt",#N/A,FALSE,"FORM-D1"}</definedName>
    <definedName name="z_5" hidden="1">{"form-D1",#N/A,FALSE,"FORM-D1";"form-D1_amt",#N/A,FALSE,"FORM-D1"}</definedName>
    <definedName name="z_5_1" localSheetId="0" hidden="1">{"form-D1",#N/A,FALSE,"FORM-D1";"form-D1_amt",#N/A,FALSE,"FORM-D1"}</definedName>
    <definedName name="z_5_1" hidden="1">{"form-D1",#N/A,FALSE,"FORM-D1";"form-D1_amt",#N/A,FALSE,"FORM-D1"}</definedName>
    <definedName name="Z_67879F2D_A365_4C5F_ACA2_06A222DC585F_.wvu.FilterData" localSheetId="0" hidden="1">#REF!</definedName>
    <definedName name="Z_67879F2D_A365_4C5F_ACA2_06A222DC585F_.wvu.FilterData" hidden="1">#REF!</definedName>
    <definedName name="Z_6CDCF69B_5AF1_4147_8314_DDC51BBAE13A_.wvu.FilterData" localSheetId="0" hidden="1">#REF!</definedName>
    <definedName name="Z_6CDCF69B_5AF1_4147_8314_DDC51BBAE13A_.wvu.FilterData" hidden="1">#REF!</definedName>
    <definedName name="Z_8FCC9949_BB10_48DD_835F_9D6E68B3AE12_.wvu.PrintTitles" localSheetId="0" hidden="1">#REF!</definedName>
    <definedName name="Z_8FCC9949_BB10_48DD_835F_9D6E68B3AE12_.wvu.PrintTitles" hidden="1">#REF!</definedName>
    <definedName name="Z_97AF8B62_D04D_48F2_A853_93998C7922D6_.wvu.FilterData" localSheetId="0" hidden="1">#REF!</definedName>
    <definedName name="Z_97AF8B62_D04D_48F2_A853_93998C7922D6_.wvu.FilterData" hidden="1">#REF!</definedName>
    <definedName name="Z_9F278A40_BF82_4E3D_9E8B_F7A34E58042E_.wvu.FilterData" localSheetId="0" hidden="1">#REF!</definedName>
    <definedName name="Z_9F278A40_BF82_4E3D_9E8B_F7A34E58042E_.wvu.FilterData" hidden="1">#REF!</definedName>
    <definedName name="Z_EA424862_9DB5_4158_B57E_464B76E20666_.wvu.FilterData" localSheetId="0" hidden="1">#REF!</definedName>
    <definedName name="Z_EA424862_9DB5_4158_B57E_464B76E20666_.wvu.FilterData" hidden="1">#REF!</definedName>
    <definedName name="Z_F56F135F_44F3_478B_BCC3_5E739B702BEF_.wvu.Cols" localSheetId="0" hidden="1">#REF!</definedName>
    <definedName name="Z_F56F135F_44F3_478B_BCC3_5E739B702BEF_.wvu.Cols" hidden="1">#REF!</definedName>
    <definedName name="Z_F56F135F_44F3_478B_BCC3_5E739B702BEF_.wvu.FilterData" localSheetId="0" hidden="1">#REF!</definedName>
    <definedName name="Z_F56F135F_44F3_478B_BCC3_5E739B702BEF_.wvu.FilterData" hidden="1">#REF!</definedName>
    <definedName name="Z_F56F135F_44F3_478B_BCC3_5E739B702BEF_.wvu.PrintTitles" localSheetId="0" hidden="1">#REF!,#REF!</definedName>
    <definedName name="Z_F56F135F_44F3_478B_BCC3_5E739B702BEF_.wvu.PrintTitles" hidden="1">#REF!,#REF!</definedName>
    <definedName name="ZDCVDAF" localSheetId="0">#REF!</definedName>
    <definedName name="ZDCVDAF">#REF!</definedName>
    <definedName name="zero">0</definedName>
    <definedName name="zes" localSheetId="0">#REF!</definedName>
    <definedName name="zes">#REF!</definedName>
    <definedName name="zet0" localSheetId="0">#REF!</definedName>
    <definedName name="zet0">#REF!</definedName>
    <definedName name="zet75" localSheetId="0">#REF!</definedName>
    <definedName name="zet75">#REF!</definedName>
    <definedName name="Zip" localSheetId="0">#REF!</definedName>
    <definedName name="Zip">#REF!</definedName>
    <definedName name="zl" localSheetId="0">#REF!</definedName>
    <definedName name="zl">#REF!</definedName>
    <definedName name="zl___0" localSheetId="0">#REF!</definedName>
    <definedName name="zl___0">#REF!</definedName>
    <definedName name="zl___13" localSheetId="0">#REF!</definedName>
    <definedName name="zl___13">#REF!</definedName>
    <definedName name="zlpu" localSheetId="0">#REF!</definedName>
    <definedName name="zlpu">#REF!</definedName>
    <definedName name="zlpu___0" localSheetId="0">#REF!</definedName>
    <definedName name="zlpu___0">#REF!</definedName>
    <definedName name="zlpu___13" localSheetId="0">#REF!</definedName>
    <definedName name="zlpu___13">#REF!</definedName>
    <definedName name="zs" localSheetId="0">#REF!</definedName>
    <definedName name="zs">#REF!</definedName>
    <definedName name="zs___0" localSheetId="0">#REF!</definedName>
    <definedName name="zs___0">#REF!</definedName>
    <definedName name="zs___13" localSheetId="0">#REF!</definedName>
    <definedName name="zs___13">#REF!</definedName>
    <definedName name="zspu" localSheetId="0">#REF!</definedName>
    <definedName name="zspu">#REF!</definedName>
    <definedName name="zspu___0" localSheetId="0">#REF!</definedName>
    <definedName name="zspu___0">#REF!</definedName>
    <definedName name="zspu___13" localSheetId="0">#REF!</definedName>
    <definedName name="zspu___13">#REF!</definedName>
    <definedName name="ZSS" localSheetId="0">#REF!</definedName>
    <definedName name="ZSS">#REF!</definedName>
    <definedName name="ZSS___0" localSheetId="0">#REF!</definedName>
    <definedName name="ZSS___0">#REF!</definedName>
    <definedName name="ZSS___13" localSheetId="0">#REF!</definedName>
    <definedName name="ZSS___13">#REF!</definedName>
    <definedName name="ztpu" localSheetId="0">#REF!</definedName>
    <definedName name="ztpu">#REF!</definedName>
    <definedName name="ztpu___0" localSheetId="0">#REF!</definedName>
    <definedName name="ztpu___0">#REF!</definedName>
    <definedName name="ztpu___13" localSheetId="0">#REF!</definedName>
    <definedName name="ztpu___13">#REF!</definedName>
    <definedName name="ZXCADCAD" localSheetId="0">#REF!</definedName>
    <definedName name="ZXCADCAD">#REF!</definedName>
    <definedName name="ZXCADCDACE" localSheetId="0">#REF!</definedName>
    <definedName name="ZXCADCDACE">#REF!</definedName>
    <definedName name="zxgsdfg" localSheetId="0" hidden="1">{"'Bill No. 7'!$A$1:$G$32"}</definedName>
    <definedName name="zxgsdfg" hidden="1">{"'Bill No. 7'!$A$1:$G$32"}</definedName>
    <definedName name="ZY" localSheetId="0">#REF!</definedName>
    <definedName name="ZY">#REF!</definedName>
    <definedName name="ZY___0" localSheetId="0">#REF!</definedName>
    <definedName name="ZY___0">#REF!</definedName>
    <definedName name="ZY___13" localSheetId="0">#REF!</definedName>
    <definedName name="ZY___13">#REF!</definedName>
    <definedName name="zz" localSheetId="0">#REF!</definedName>
    <definedName name="zz">#REF!</definedName>
    <definedName name="zzx" localSheetId="0">#REF!</definedName>
    <definedName name="zzx">#REF!</definedName>
    <definedName name="zzzzzzzzzzzzzzzzzzzz" localSheetId="0">#REF!</definedName>
    <definedName name="zzzzzzzzzzzzzzzzzzzz">#REF!</definedName>
    <definedName name="전체" localSheetId="0">#REF!</definedName>
    <definedName name="전체">#REF!</definedName>
    <definedName name="掛率" localSheetId="0">#REF!</definedName>
    <definedName name="掛率">#REF!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4" i="9" l="1"/>
  <c r="C30" i="9"/>
  <c r="C29" i="9"/>
  <c r="H108" i="29"/>
  <c r="H86" i="27"/>
  <c r="H104" i="27"/>
  <c r="H109" i="29" s="1"/>
  <c r="H89" i="29"/>
  <c r="K59" i="27"/>
  <c r="H62" i="29"/>
  <c r="H59" i="27"/>
  <c r="G95" i="27"/>
  <c r="G358" i="3"/>
  <c r="I358" i="3" s="1"/>
  <c r="G320" i="3"/>
  <c r="I320" i="3" s="1"/>
  <c r="I250" i="3"/>
  <c r="I249" i="3"/>
  <c r="I243" i="3"/>
  <c r="I242" i="3"/>
  <c r="I223" i="3"/>
  <c r="I222" i="3"/>
  <c r="I211" i="3"/>
  <c r="I210" i="3"/>
  <c r="I183" i="3"/>
  <c r="I182" i="3"/>
  <c r="I176" i="3"/>
  <c r="I175" i="3"/>
  <c r="I161" i="3"/>
  <c r="I160" i="3"/>
  <c r="I148" i="3"/>
  <c r="I147" i="3"/>
  <c r="I62" i="3"/>
  <c r="I61" i="3"/>
  <c r="I55" i="3"/>
  <c r="I50" i="3"/>
  <c r="I11" i="3"/>
  <c r="I10" i="3"/>
  <c r="I8" i="3"/>
  <c r="E36" i="10"/>
  <c r="E32" i="10"/>
  <c r="E31" i="10"/>
  <c r="I125" i="3"/>
  <c r="I124" i="3"/>
  <c r="I121" i="3"/>
  <c r="I123" i="3"/>
  <c r="I450" i="3"/>
  <c r="I444" i="3"/>
  <c r="I443" i="3"/>
  <c r="I442" i="3"/>
  <c r="I440" i="3"/>
  <c r="I439" i="3"/>
  <c r="I438" i="3"/>
  <c r="I448" i="3"/>
  <c r="G344" i="3"/>
  <c r="I344" i="3" s="1"/>
  <c r="G306" i="3"/>
  <c r="I306" i="3" s="1"/>
  <c r="I359" i="3"/>
  <c r="I352" i="3"/>
  <c r="I350" i="3"/>
  <c r="I348" i="3"/>
  <c r="I345" i="3"/>
  <c r="G365" i="3"/>
  <c r="I365" i="3" s="1"/>
  <c r="G364" i="3"/>
  <c r="I364" i="3" s="1"/>
  <c r="G363" i="3"/>
  <c r="I363" i="3" s="1"/>
  <c r="G362" i="3"/>
  <c r="I362" i="3" s="1"/>
  <c r="G361" i="3"/>
  <c r="I361" i="3" s="1"/>
  <c r="G360" i="3"/>
  <c r="I360" i="3" s="1"/>
  <c r="G357" i="3"/>
  <c r="I357" i="3" s="1"/>
  <c r="G356" i="3"/>
  <c r="I356" i="3" s="1"/>
  <c r="G355" i="3"/>
  <c r="I355" i="3" s="1"/>
  <c r="G354" i="3"/>
  <c r="I354" i="3" s="1"/>
  <c r="G353" i="3"/>
  <c r="I353" i="3" s="1"/>
  <c r="G351" i="3"/>
  <c r="I351" i="3" s="1"/>
  <c r="G349" i="3"/>
  <c r="I349" i="3" s="1"/>
  <c r="G347" i="3"/>
  <c r="I347" i="3" s="1"/>
  <c r="G346" i="3"/>
  <c r="I346" i="3" s="1"/>
  <c r="G343" i="3"/>
  <c r="I343" i="3" s="1"/>
  <c r="G342" i="3"/>
  <c r="I342" i="3" s="1"/>
  <c r="G341" i="3"/>
  <c r="I341" i="3" s="1"/>
  <c r="G340" i="3"/>
  <c r="I340" i="3" s="1"/>
  <c r="G339" i="3"/>
  <c r="I339" i="3" s="1"/>
  <c r="G338" i="3"/>
  <c r="I338" i="3" s="1"/>
  <c r="G337" i="3"/>
  <c r="I337" i="3" s="1"/>
  <c r="G336" i="3"/>
  <c r="I336" i="3" s="1"/>
  <c r="G335" i="3"/>
  <c r="I335" i="3" s="1"/>
  <c r="G334" i="3"/>
  <c r="I334" i="3" s="1"/>
  <c r="G333" i="3"/>
  <c r="I333" i="3" s="1"/>
  <c r="G332" i="3"/>
  <c r="I332" i="3" s="1"/>
  <c r="G331" i="3"/>
  <c r="I331" i="3" s="1"/>
  <c r="G330" i="3"/>
  <c r="I330" i="3" s="1"/>
  <c r="G329" i="3"/>
  <c r="I329" i="3" s="1"/>
  <c r="I285" i="3"/>
  <c r="I279" i="3"/>
  <c r="I273" i="3"/>
  <c r="I266" i="3"/>
  <c r="I260" i="3"/>
  <c r="I253" i="3"/>
  <c r="I252" i="3"/>
  <c r="I251" i="3"/>
  <c r="I237" i="3"/>
  <c r="I230" i="3"/>
  <c r="I229" i="3"/>
  <c r="I228" i="3"/>
  <c r="I227" i="3"/>
  <c r="I226" i="3"/>
  <c r="I225" i="3"/>
  <c r="I224" i="3"/>
  <c r="I199" i="3"/>
  <c r="I193" i="3"/>
  <c r="I202" i="3"/>
  <c r="I204" i="3"/>
  <c r="I205" i="3"/>
  <c r="I203" i="3"/>
  <c r="I201" i="3"/>
  <c r="I200" i="3"/>
  <c r="I198" i="3"/>
  <c r="I186" i="3"/>
  <c r="I185" i="3"/>
  <c r="I184" i="3"/>
  <c r="I170" i="3"/>
  <c r="I163" i="3"/>
  <c r="I162" i="3"/>
  <c r="I158" i="3"/>
  <c r="I157" i="3"/>
  <c r="I155" i="3"/>
  <c r="I154" i="3"/>
  <c r="I153" i="3"/>
  <c r="I120" i="3"/>
  <c r="I122" i="3"/>
  <c r="I135" i="3"/>
  <c r="I134" i="3"/>
  <c r="I133" i="3"/>
  <c r="I132" i="3"/>
  <c r="I131" i="3"/>
  <c r="I130" i="3"/>
  <c r="I129" i="3"/>
  <c r="I128" i="3"/>
  <c r="I127" i="3"/>
  <c r="I126" i="3"/>
  <c r="I105" i="3"/>
  <c r="I104" i="3"/>
  <c r="I103" i="3"/>
  <c r="I102" i="3"/>
  <c r="I95" i="3"/>
  <c r="I93" i="3"/>
  <c r="I94" i="3"/>
  <c r="I92" i="3"/>
  <c r="H85" i="3"/>
  <c r="I85" i="3" s="1"/>
  <c r="I83" i="3"/>
  <c r="H84" i="3"/>
  <c r="I84" i="3" s="1"/>
  <c r="I82" i="3"/>
  <c r="I66" i="3"/>
  <c r="I65" i="3"/>
  <c r="I64" i="3"/>
  <c r="I49" i="3"/>
  <c r="I73" i="3"/>
  <c r="K101" i="29"/>
  <c r="K93" i="29"/>
  <c r="J87" i="29"/>
  <c r="J89" i="29" s="1"/>
  <c r="K72" i="29"/>
  <c r="K66" i="29"/>
  <c r="H24" i="29"/>
  <c r="J84" i="27"/>
  <c r="J86" i="27" s="1"/>
  <c r="G85" i="27"/>
  <c r="H9" i="29"/>
  <c r="H90" i="29" l="1"/>
  <c r="J90" i="29"/>
  <c r="H63" i="29"/>
  <c r="H27" i="29"/>
  <c r="I451" i="3"/>
  <c r="J32" i="10" s="1"/>
  <c r="L32" i="10" s="1"/>
  <c r="I445" i="3"/>
  <c r="J31" i="10" s="1"/>
  <c r="L31" i="10" s="1"/>
  <c r="K62" i="27"/>
  <c r="K68" i="27"/>
  <c r="K89" i="27"/>
  <c r="K97" i="27"/>
  <c r="J100" i="27"/>
  <c r="J99" i="27"/>
  <c r="J91" i="27"/>
  <c r="G82" i="27"/>
  <c r="G78" i="27"/>
  <c r="G76" i="27"/>
  <c r="G103" i="27"/>
  <c r="G104" i="27" s="1"/>
  <c r="G72" i="27"/>
  <c r="G66" i="27"/>
  <c r="I81" i="27"/>
  <c r="I77" i="27"/>
  <c r="I75" i="27"/>
  <c r="I102" i="27"/>
  <c r="I101" i="27"/>
  <c r="I93" i="27"/>
  <c r="I71" i="27"/>
  <c r="I70" i="27"/>
  <c r="I64" i="27"/>
  <c r="H23" i="27"/>
  <c r="H9" i="27"/>
  <c r="I43" i="3"/>
  <c r="I27" i="3"/>
  <c r="I36" i="3"/>
  <c r="I35" i="3"/>
  <c r="I34" i="3"/>
  <c r="I33" i="3"/>
  <c r="I32" i="3"/>
  <c r="I31" i="3"/>
  <c r="I30" i="3"/>
  <c r="I29" i="3"/>
  <c r="I28" i="3"/>
  <c r="G327" i="3"/>
  <c r="I327" i="3" s="1"/>
  <c r="G326" i="3"/>
  <c r="I326" i="3" s="1"/>
  <c r="G325" i="3"/>
  <c r="I325" i="3" s="1"/>
  <c r="G324" i="3"/>
  <c r="I324" i="3" s="1"/>
  <c r="G323" i="3"/>
  <c r="I323" i="3" s="1"/>
  <c r="G322" i="3"/>
  <c r="I322" i="3" s="1"/>
  <c r="G319" i="3"/>
  <c r="I319" i="3" s="1"/>
  <c r="G318" i="3"/>
  <c r="I318" i="3" s="1"/>
  <c r="G317" i="3"/>
  <c r="I317" i="3" s="1"/>
  <c r="G316" i="3"/>
  <c r="I316" i="3" s="1"/>
  <c r="G315" i="3"/>
  <c r="I315" i="3" s="1"/>
  <c r="G313" i="3"/>
  <c r="I313" i="3" s="1"/>
  <c r="G312" i="3"/>
  <c r="G311" i="3"/>
  <c r="I311" i="3" s="1"/>
  <c r="G310" i="3"/>
  <c r="I310" i="3" s="1"/>
  <c r="G309" i="3"/>
  <c r="I309" i="3" s="1"/>
  <c r="G308" i="3"/>
  <c r="I308" i="3" s="1"/>
  <c r="G305" i="3"/>
  <c r="I305" i="3" s="1"/>
  <c r="G304" i="3"/>
  <c r="I304" i="3" s="1"/>
  <c r="G303" i="3"/>
  <c r="I303" i="3" s="1"/>
  <c r="G302" i="3"/>
  <c r="I302" i="3" s="1"/>
  <c r="G301" i="3"/>
  <c r="I301" i="3" s="1"/>
  <c r="G300" i="3"/>
  <c r="I300" i="3" s="1"/>
  <c r="G299" i="3"/>
  <c r="I299" i="3" s="1"/>
  <c r="G298" i="3"/>
  <c r="I298" i="3" s="1"/>
  <c r="G297" i="3"/>
  <c r="I297" i="3" s="1"/>
  <c r="G296" i="3"/>
  <c r="I296" i="3" s="1"/>
  <c r="G295" i="3"/>
  <c r="I295" i="3" s="1"/>
  <c r="G294" i="3"/>
  <c r="I294" i="3" s="1"/>
  <c r="G293" i="3"/>
  <c r="I293" i="3" s="1"/>
  <c r="G292" i="3"/>
  <c r="I292" i="3" s="1"/>
  <c r="G291" i="3"/>
  <c r="I291" i="3" s="1"/>
  <c r="I428" i="3"/>
  <c r="I433" i="3"/>
  <c r="I432" i="3"/>
  <c r="I431" i="3"/>
  <c r="I430" i="3"/>
  <c r="I429" i="3"/>
  <c r="I427" i="3"/>
  <c r="I426" i="3"/>
  <c r="I425" i="3"/>
  <c r="I424" i="3"/>
  <c r="I423" i="3"/>
  <c r="I422" i="3"/>
  <c r="I421" i="3"/>
  <c r="I420" i="3"/>
  <c r="I419" i="3"/>
  <c r="I418" i="3"/>
  <c r="I417" i="3"/>
  <c r="I416" i="3"/>
  <c r="I382" i="3"/>
  <c r="I408" i="3"/>
  <c r="I411" i="3"/>
  <c r="I410" i="3"/>
  <c r="I409" i="3"/>
  <c r="I407" i="3"/>
  <c r="I406" i="3"/>
  <c r="I405" i="3"/>
  <c r="I404" i="3"/>
  <c r="I403" i="3"/>
  <c r="I402" i="3"/>
  <c r="I401" i="3"/>
  <c r="I400" i="3"/>
  <c r="I399" i="3"/>
  <c r="I398" i="3"/>
  <c r="I397" i="3"/>
  <c r="I396" i="3"/>
  <c r="I395" i="3"/>
  <c r="I394" i="3"/>
  <c r="I393" i="3"/>
  <c r="I389" i="3"/>
  <c r="I388" i="3"/>
  <c r="I387" i="3"/>
  <c r="I386" i="3"/>
  <c r="I385" i="3"/>
  <c r="I384" i="3"/>
  <c r="I383" i="3"/>
  <c r="I381" i="3"/>
  <c r="I380" i="3"/>
  <c r="I379" i="3"/>
  <c r="I378" i="3"/>
  <c r="I377" i="3"/>
  <c r="I376" i="3"/>
  <c r="I375" i="3"/>
  <c r="I374" i="3"/>
  <c r="I373" i="3"/>
  <c r="I372" i="3"/>
  <c r="I371" i="3"/>
  <c r="I47" i="3"/>
  <c r="I283" i="3"/>
  <c r="I277" i="3"/>
  <c r="I280" i="3" s="1"/>
  <c r="J23" i="10" s="1"/>
  <c r="I264" i="3"/>
  <c r="I267" i="3" s="1"/>
  <c r="J22" i="10" s="1"/>
  <c r="I271" i="3"/>
  <c r="I274" i="3" s="1"/>
  <c r="J14" i="10" s="1"/>
  <c r="I258" i="3"/>
  <c r="I261" i="3" s="1"/>
  <c r="J13" i="10" s="1"/>
  <c r="G88" i="29"/>
  <c r="G85" i="29"/>
  <c r="I84" i="29"/>
  <c r="G82" i="29"/>
  <c r="I81" i="29"/>
  <c r="G80" i="29"/>
  <c r="I79" i="29"/>
  <c r="G107" i="29"/>
  <c r="I106" i="29"/>
  <c r="I105" i="29"/>
  <c r="J104" i="29"/>
  <c r="J103" i="29"/>
  <c r="E102" i="29"/>
  <c r="K102" i="29" s="1"/>
  <c r="G99" i="29"/>
  <c r="E98" i="29"/>
  <c r="I98" i="29" s="1"/>
  <c r="I97" i="29"/>
  <c r="E96" i="29"/>
  <c r="J96" i="29" s="1"/>
  <c r="J95" i="29"/>
  <c r="J108" i="29" s="1"/>
  <c r="E94" i="29"/>
  <c r="K94" i="29" s="1"/>
  <c r="K108" i="29" s="1"/>
  <c r="G76" i="29"/>
  <c r="I75" i="29"/>
  <c r="I74" i="29"/>
  <c r="E73" i="29"/>
  <c r="K73" i="29" s="1"/>
  <c r="G70" i="29"/>
  <c r="E69" i="29"/>
  <c r="I69" i="29" s="1"/>
  <c r="I68" i="29"/>
  <c r="E67" i="29"/>
  <c r="K67" i="29" s="1"/>
  <c r="G26" i="29"/>
  <c r="G25" i="29"/>
  <c r="E23" i="29"/>
  <c r="I23" i="29" s="1"/>
  <c r="E22" i="29"/>
  <c r="I22" i="29" s="1"/>
  <c r="E19" i="29"/>
  <c r="J19" i="29" s="1"/>
  <c r="E18" i="29"/>
  <c r="I18" i="29" s="1"/>
  <c r="E17" i="29"/>
  <c r="I17" i="29" s="1"/>
  <c r="E16" i="29"/>
  <c r="I16" i="29" s="1"/>
  <c r="E15" i="29"/>
  <c r="I15" i="29" s="1"/>
  <c r="E14" i="29"/>
  <c r="J14" i="29" s="1"/>
  <c r="E11" i="29"/>
  <c r="G11" i="29" s="1"/>
  <c r="G10" i="29"/>
  <c r="E8" i="29"/>
  <c r="I8" i="29" s="1"/>
  <c r="I7" i="29"/>
  <c r="G61" i="29"/>
  <c r="G60" i="29"/>
  <c r="I59" i="29"/>
  <c r="J58" i="29"/>
  <c r="G56" i="29"/>
  <c r="G55" i="29"/>
  <c r="I54" i="29"/>
  <c r="J53" i="29"/>
  <c r="G50" i="29"/>
  <c r="G49" i="29"/>
  <c r="I48" i="29"/>
  <c r="J47" i="29"/>
  <c r="G45" i="29"/>
  <c r="G44" i="29"/>
  <c r="I43" i="29"/>
  <c r="J42" i="29"/>
  <c r="G40" i="29"/>
  <c r="G39" i="29"/>
  <c r="I38" i="29"/>
  <c r="J37" i="29"/>
  <c r="G35" i="29"/>
  <c r="G34" i="29"/>
  <c r="I33" i="29"/>
  <c r="J32" i="29"/>
  <c r="E98" i="27"/>
  <c r="K98" i="27" s="1"/>
  <c r="E94" i="27"/>
  <c r="I94" i="27" s="1"/>
  <c r="E92" i="27"/>
  <c r="J92" i="27" s="1"/>
  <c r="E90" i="27"/>
  <c r="K90" i="27" s="1"/>
  <c r="E69" i="27"/>
  <c r="K69" i="27" s="1"/>
  <c r="E65" i="27"/>
  <c r="I65" i="27" s="1"/>
  <c r="E63" i="27"/>
  <c r="K63" i="27" s="1"/>
  <c r="G25" i="27"/>
  <c r="G24" i="27"/>
  <c r="E22" i="27"/>
  <c r="I22" i="27" s="1"/>
  <c r="E21" i="27"/>
  <c r="I21" i="27" s="1"/>
  <c r="E18" i="27"/>
  <c r="I18" i="27" s="1"/>
  <c r="E17" i="27"/>
  <c r="I17" i="27" s="1"/>
  <c r="E16" i="27"/>
  <c r="E15" i="27"/>
  <c r="I15" i="27" s="1"/>
  <c r="E14" i="27"/>
  <c r="E11" i="27"/>
  <c r="G11" i="27" s="1"/>
  <c r="G10" i="27"/>
  <c r="E8" i="27"/>
  <c r="I8" i="27" s="1"/>
  <c r="I7" i="27"/>
  <c r="G58" i="27"/>
  <c r="G57" i="27"/>
  <c r="I56" i="27"/>
  <c r="J55" i="27"/>
  <c r="G53" i="27"/>
  <c r="G52" i="27"/>
  <c r="I51" i="27"/>
  <c r="J50" i="27"/>
  <c r="G48" i="27"/>
  <c r="G47" i="27"/>
  <c r="I46" i="27"/>
  <c r="J45" i="27"/>
  <c r="G44" i="27"/>
  <c r="G43" i="27"/>
  <c r="G42" i="27"/>
  <c r="I41" i="27"/>
  <c r="J40" i="27"/>
  <c r="G39" i="27"/>
  <c r="G38" i="27"/>
  <c r="G37" i="27"/>
  <c r="I36" i="27"/>
  <c r="J35" i="27"/>
  <c r="J34" i="27"/>
  <c r="I34" i="27"/>
  <c r="G33" i="27"/>
  <c r="G32" i="27"/>
  <c r="I31" i="27"/>
  <c r="J30" i="27"/>
  <c r="I108" i="29" l="1"/>
  <c r="I62" i="29"/>
  <c r="I286" i="3"/>
  <c r="J24" i="10" s="1"/>
  <c r="G26" i="27"/>
  <c r="G109" i="29"/>
  <c r="G89" i="29"/>
  <c r="J104" i="27"/>
  <c r="J109" i="29" s="1"/>
  <c r="I86" i="27"/>
  <c r="I104" i="27"/>
  <c r="I109" i="29" s="1"/>
  <c r="K104" i="27"/>
  <c r="K109" i="29" s="1"/>
  <c r="K86" i="27"/>
  <c r="G108" i="29"/>
  <c r="K89" i="29"/>
  <c r="J62" i="29"/>
  <c r="H26" i="27"/>
  <c r="H28" i="29" s="1"/>
  <c r="G86" i="27"/>
  <c r="G90" i="29" s="1"/>
  <c r="J59" i="27"/>
  <c r="I89" i="29"/>
  <c r="G62" i="29"/>
  <c r="I59" i="27"/>
  <c r="I27" i="29"/>
  <c r="G27" i="29"/>
  <c r="J27" i="29"/>
  <c r="I51" i="3"/>
  <c r="J29" i="10" s="1"/>
  <c r="I366" i="3"/>
  <c r="J36" i="10" s="1"/>
  <c r="L36" i="10" s="1"/>
  <c r="J14" i="27"/>
  <c r="I16" i="27"/>
  <c r="I26" i="27" s="1"/>
  <c r="I434" i="3"/>
  <c r="J27" i="10" s="1"/>
  <c r="I390" i="3"/>
  <c r="C413" i="3" s="1"/>
  <c r="I412" i="3"/>
  <c r="G413" i="3" s="1"/>
  <c r="G40" i="27"/>
  <c r="G28" i="29" l="1"/>
  <c r="I90" i="29"/>
  <c r="J63" i="29"/>
  <c r="H110" i="29"/>
  <c r="H112" i="29" s="1"/>
  <c r="H113" i="29" s="1"/>
  <c r="I28" i="29"/>
  <c r="K90" i="29"/>
  <c r="I63" i="29"/>
  <c r="G59" i="27"/>
  <c r="J26" i="27"/>
  <c r="J28" i="29" s="1"/>
  <c r="I413" i="3"/>
  <c r="J26" i="10" s="1"/>
  <c r="I110" i="29" l="1"/>
  <c r="K110" i="29"/>
  <c r="K112" i="29" s="1"/>
  <c r="K113" i="29" s="1"/>
  <c r="J110" i="29"/>
  <c r="J112" i="29" s="1"/>
  <c r="J113" i="29" s="1"/>
  <c r="I112" i="29"/>
  <c r="I113" i="29" s="1"/>
  <c r="G63" i="29"/>
  <c r="I246" i="3"/>
  <c r="I245" i="3"/>
  <c r="I244" i="3"/>
  <c r="I179" i="3"/>
  <c r="I178" i="3"/>
  <c r="I177" i="3"/>
  <c r="I235" i="3"/>
  <c r="I238" i="3" s="1"/>
  <c r="I219" i="3"/>
  <c r="I218" i="3"/>
  <c r="I217" i="3"/>
  <c r="I216" i="3"/>
  <c r="I214" i="3"/>
  <c r="I213" i="3"/>
  <c r="I212" i="3"/>
  <c r="I168" i="3"/>
  <c r="I171" i="3" s="1"/>
  <c r="I150" i="3"/>
  <c r="I149" i="3"/>
  <c r="I145" i="3"/>
  <c r="I144" i="3"/>
  <c r="I142" i="3"/>
  <c r="I141" i="3"/>
  <c r="I140" i="3"/>
  <c r="I196" i="3"/>
  <c r="I195" i="3"/>
  <c r="I194" i="3"/>
  <c r="I192" i="3"/>
  <c r="I191" i="3"/>
  <c r="H115" i="3"/>
  <c r="I115" i="3" s="1"/>
  <c r="I118" i="3"/>
  <c r="I117" i="3"/>
  <c r="I116" i="3"/>
  <c r="I114" i="3"/>
  <c r="I113" i="3"/>
  <c r="I112" i="3"/>
  <c r="I111" i="3"/>
  <c r="I110" i="3"/>
  <c r="I99" i="3"/>
  <c r="I90" i="3"/>
  <c r="I89" i="3"/>
  <c r="H100" i="3"/>
  <c r="I100" i="3" s="1"/>
  <c r="H79" i="3"/>
  <c r="I79" i="3" s="1"/>
  <c r="I78" i="3"/>
  <c r="I71" i="3"/>
  <c r="I74" i="3" s="1"/>
  <c r="G110" i="29" l="1"/>
  <c r="G112" i="29" s="1"/>
  <c r="G113" i="29" s="1"/>
  <c r="K114" i="29" s="1"/>
  <c r="J21" i="10" s="1"/>
  <c r="I254" i="3"/>
  <c r="I231" i="3"/>
  <c r="I206" i="3"/>
  <c r="J17" i="10" s="1"/>
  <c r="I187" i="3"/>
  <c r="I96" i="3"/>
  <c r="I86" i="3"/>
  <c r="I164" i="3"/>
  <c r="J19" i="10" s="1"/>
  <c r="I106" i="3"/>
  <c r="J39" i="10" s="1"/>
  <c r="I136" i="3"/>
  <c r="J16" i="10" s="1"/>
  <c r="I59" i="3"/>
  <c r="I58" i="3"/>
  <c r="I57" i="3"/>
  <c r="I54" i="3"/>
  <c r="I25" i="3"/>
  <c r="I24" i="3"/>
  <c r="I23" i="3"/>
  <c r="I22" i="3"/>
  <c r="I21" i="3"/>
  <c r="I20" i="3"/>
  <c r="I18" i="3"/>
  <c r="I17" i="3"/>
  <c r="I7" i="3"/>
  <c r="I16" i="3"/>
  <c r="I41" i="3"/>
  <c r="I44" i="3" s="1"/>
  <c r="J38" i="10" l="1"/>
  <c r="I67" i="3"/>
  <c r="J37" i="10" s="1"/>
  <c r="I37" i="3"/>
  <c r="J20" i="10" s="1"/>
  <c r="I12" i="3"/>
  <c r="J18" i="10" s="1"/>
  <c r="A67" i="9" l="1"/>
  <c r="A68" i="9" s="1"/>
  <c r="A69" i="9" s="1"/>
  <c r="A69" i="10"/>
  <c r="A70" i="10" s="1"/>
  <c r="A71" i="10" s="1"/>
  <c r="Q17" i="9"/>
  <c r="N24" i="26" l="1"/>
  <c r="C9" i="10" l="1"/>
  <c r="A2" i="10"/>
  <c r="L10" i="10"/>
  <c r="L11" i="10"/>
  <c r="L12" i="10"/>
  <c r="L13" i="10"/>
  <c r="L14" i="10"/>
  <c r="L15" i="10"/>
  <c r="L16" i="10"/>
  <c r="L17" i="10"/>
  <c r="L18" i="10"/>
  <c r="L19" i="10"/>
  <c r="L20" i="10"/>
  <c r="L22" i="10"/>
  <c r="L23" i="10"/>
  <c r="L24" i="10"/>
  <c r="L25" i="10"/>
  <c r="L26" i="10"/>
  <c r="L27" i="10"/>
  <c r="L28" i="10"/>
  <c r="L29" i="10"/>
  <c r="L30" i="10"/>
  <c r="L33" i="10"/>
  <c r="L34" i="10"/>
  <c r="L35"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8"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9" i="10"/>
  <c r="C10" i="10"/>
  <c r="C11" i="10"/>
  <c r="C12" i="10"/>
  <c r="C13" i="10"/>
  <c r="G11" i="9" s="1"/>
  <c r="H11" i="9" s="1"/>
  <c r="C14" i="10"/>
  <c r="C15" i="10"/>
  <c r="C16" i="10"/>
  <c r="C17" i="10"/>
  <c r="C18" i="10"/>
  <c r="C19" i="10"/>
  <c r="C20" i="10"/>
  <c r="C22" i="10"/>
  <c r="C23" i="10"/>
  <c r="C24" i="10"/>
  <c r="C25" i="10"/>
  <c r="G23" i="9" s="1"/>
  <c r="H23" i="9" s="1"/>
  <c r="C26" i="10"/>
  <c r="C27" i="10"/>
  <c r="C28" i="10"/>
  <c r="C29" i="10"/>
  <c r="G27" i="9" s="1"/>
  <c r="H27" i="9" s="1"/>
  <c r="C30" i="10"/>
  <c r="C31" i="10"/>
  <c r="C32" i="10"/>
  <c r="C33" i="10"/>
  <c r="C34" i="10"/>
  <c r="C35" i="10"/>
  <c r="C36" i="10"/>
  <c r="C37" i="10"/>
  <c r="C38" i="10"/>
  <c r="C39" i="10"/>
  <c r="C40" i="10"/>
  <c r="C41" i="10"/>
  <c r="G39" i="9" s="1"/>
  <c r="H39" i="9" s="1"/>
  <c r="C42" i="10"/>
  <c r="C43" i="10"/>
  <c r="C44" i="10"/>
  <c r="C45" i="10"/>
  <c r="G43" i="9" s="1"/>
  <c r="H43" i="9" s="1"/>
  <c r="C46" i="10"/>
  <c r="C47" i="10"/>
  <c r="C48" i="10"/>
  <c r="C49" i="10"/>
  <c r="C50" i="10"/>
  <c r="C51" i="10"/>
  <c r="C52" i="10"/>
  <c r="C53" i="10"/>
  <c r="G51" i="9" s="1"/>
  <c r="H51" i="9" s="1"/>
  <c r="C54" i="10"/>
  <c r="C55" i="10"/>
  <c r="C56" i="10"/>
  <c r="C57" i="10"/>
  <c r="G55" i="9" s="1"/>
  <c r="H55" i="9" s="1"/>
  <c r="C58" i="10"/>
  <c r="C59" i="10"/>
  <c r="C60" i="10"/>
  <c r="C61" i="10"/>
  <c r="G59" i="9" s="1"/>
  <c r="H59" i="9" s="1"/>
  <c r="C62" i="10"/>
  <c r="C8" i="10"/>
  <c r="I8" i="10"/>
  <c r="H3" i="10"/>
  <c r="B3" i="10"/>
  <c r="E3" i="10"/>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 i="9"/>
  <c r="F58" i="19"/>
  <c r="F57" i="19"/>
  <c r="F56" i="19"/>
  <c r="F55" i="19"/>
  <c r="F54" i="19"/>
  <c r="F53" i="19"/>
  <c r="F52" i="19"/>
  <c r="F51" i="19"/>
  <c r="F50" i="19"/>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I63" i="10" l="1"/>
  <c r="I64" i="10" s="1"/>
  <c r="I65" i="10" s="1"/>
  <c r="F59" i="19"/>
  <c r="G35" i="9"/>
  <c r="H35" i="9" s="1"/>
  <c r="L21" i="10"/>
  <c r="F61" i="10"/>
  <c r="F29" i="10"/>
  <c r="F61" i="9"/>
  <c r="F62" i="9" s="1"/>
  <c r="F63" i="9" s="1"/>
  <c r="F13" i="10"/>
  <c r="L9" i="10"/>
  <c r="C21" i="10"/>
  <c r="G19" i="9" s="1"/>
  <c r="F60" i="19"/>
  <c r="F61" i="19" s="1"/>
  <c r="F65" i="19" s="1"/>
  <c r="F66" i="19" s="1"/>
  <c r="F27" i="10"/>
  <c r="G25" i="9"/>
  <c r="H25" i="9" s="1"/>
  <c r="F58" i="10"/>
  <c r="G56" i="9"/>
  <c r="H56" i="9" s="1"/>
  <c r="F50" i="10"/>
  <c r="G48" i="9"/>
  <c r="H48" i="9" s="1"/>
  <c r="F42" i="10"/>
  <c r="G40" i="9"/>
  <c r="H40" i="9" s="1"/>
  <c r="F34" i="10"/>
  <c r="G32" i="9"/>
  <c r="H32" i="9" s="1"/>
  <c r="F26" i="10"/>
  <c r="G24" i="9"/>
  <c r="H24" i="9" s="1"/>
  <c r="F25" i="10"/>
  <c r="F35" i="10"/>
  <c r="G33" i="9"/>
  <c r="H33" i="9" s="1"/>
  <c r="L55" i="9"/>
  <c r="I55" i="9"/>
  <c r="F49" i="10"/>
  <c r="G47" i="9"/>
  <c r="H47" i="9" s="1"/>
  <c r="L39" i="9"/>
  <c r="I39" i="9"/>
  <c r="F33" i="10"/>
  <c r="G31" i="9"/>
  <c r="H31" i="9" s="1"/>
  <c r="I23" i="9"/>
  <c r="L23" i="9"/>
  <c r="F17" i="10"/>
  <c r="G15" i="9"/>
  <c r="H15" i="9" s="1"/>
  <c r="F32" i="10"/>
  <c r="G30" i="9"/>
  <c r="H30" i="9" s="1"/>
  <c r="F24" i="10"/>
  <c r="G22" i="9"/>
  <c r="H22" i="9" s="1"/>
  <c r="F16" i="10"/>
  <c r="G14" i="9"/>
  <c r="H14" i="9" s="1"/>
  <c r="F43" i="10"/>
  <c r="G41" i="9"/>
  <c r="H41" i="9" s="1"/>
  <c r="F48" i="10"/>
  <c r="G46" i="9"/>
  <c r="H46" i="9" s="1"/>
  <c r="F55" i="10"/>
  <c r="G53" i="9"/>
  <c r="H53" i="9" s="1"/>
  <c r="F47" i="10"/>
  <c r="G45" i="9"/>
  <c r="H45" i="9" s="1"/>
  <c r="F39" i="10"/>
  <c r="G37" i="9"/>
  <c r="H37" i="9" s="1"/>
  <c r="F31" i="10"/>
  <c r="G29" i="9"/>
  <c r="H29" i="9" s="1"/>
  <c r="F23" i="10"/>
  <c r="G21" i="9"/>
  <c r="H21" i="9" s="1"/>
  <c r="F57" i="10"/>
  <c r="F59" i="10"/>
  <c r="G57" i="9"/>
  <c r="H57" i="9" s="1"/>
  <c r="F40" i="10"/>
  <c r="G38" i="9"/>
  <c r="H38" i="9" s="1"/>
  <c r="F62" i="10"/>
  <c r="G60" i="9"/>
  <c r="H60" i="9" s="1"/>
  <c r="F54" i="10"/>
  <c r="G52" i="9"/>
  <c r="H52" i="9" s="1"/>
  <c r="F46" i="10"/>
  <c r="G44" i="9"/>
  <c r="H44" i="9" s="1"/>
  <c r="F38" i="10"/>
  <c r="G36" i="9"/>
  <c r="H36" i="9" s="1"/>
  <c r="F30" i="10"/>
  <c r="G28" i="9"/>
  <c r="H28" i="9" s="1"/>
  <c r="F22" i="10"/>
  <c r="G20" i="9"/>
  <c r="H20" i="9" s="1"/>
  <c r="F53" i="10"/>
  <c r="F51" i="10"/>
  <c r="G49" i="9"/>
  <c r="H49" i="9" s="1"/>
  <c r="I59" i="9"/>
  <c r="L59" i="9"/>
  <c r="I51" i="9"/>
  <c r="L51" i="9"/>
  <c r="I43" i="9"/>
  <c r="L43" i="9"/>
  <c r="I27" i="9"/>
  <c r="L27" i="9"/>
  <c r="L11" i="9"/>
  <c r="I11" i="9"/>
  <c r="F45" i="10"/>
  <c r="F19" i="10"/>
  <c r="G17" i="9"/>
  <c r="H17" i="9" s="1"/>
  <c r="F56" i="10"/>
  <c r="G54" i="9"/>
  <c r="H54" i="9" s="1"/>
  <c r="F60" i="10"/>
  <c r="G58" i="9"/>
  <c r="H58" i="9" s="1"/>
  <c r="F52" i="10"/>
  <c r="G50" i="9"/>
  <c r="H50" i="9" s="1"/>
  <c r="F44" i="10"/>
  <c r="G42" i="9"/>
  <c r="H42" i="9" s="1"/>
  <c r="F36" i="10"/>
  <c r="G34" i="9"/>
  <c r="H34" i="9" s="1"/>
  <c r="F28" i="10"/>
  <c r="G26" i="9"/>
  <c r="H26" i="9" s="1"/>
  <c r="F41" i="10"/>
  <c r="F15" i="10"/>
  <c r="G13" i="9"/>
  <c r="H13" i="9" s="1"/>
  <c r="F37" i="10"/>
  <c r="F20" i="10"/>
  <c r="G18" i="9"/>
  <c r="H18" i="9" s="1"/>
  <c r="F18" i="10"/>
  <c r="G16" i="9"/>
  <c r="H16" i="9" s="1"/>
  <c r="F14" i="10"/>
  <c r="G12" i="9"/>
  <c r="H12" i="9" s="1"/>
  <c r="F11" i="10"/>
  <c r="G9" i="9"/>
  <c r="H9" i="9" s="1"/>
  <c r="F12" i="10"/>
  <c r="G10" i="9"/>
  <c r="H10" i="9" s="1"/>
  <c r="F10" i="10"/>
  <c r="G8" i="9"/>
  <c r="H8" i="9" s="1"/>
  <c r="F9" i="10"/>
  <c r="G7" i="9"/>
  <c r="H7" i="9" s="1"/>
  <c r="F8" i="10"/>
  <c r="G6" i="9"/>
  <c r="H6" i="9" s="1"/>
  <c r="L35" i="9" l="1"/>
  <c r="I35" i="9"/>
  <c r="L63" i="10"/>
  <c r="L64" i="10" s="1"/>
  <c r="L65" i="10" s="1"/>
  <c r="L19" i="9"/>
  <c r="N19" i="9" s="1"/>
  <c r="H19" i="9"/>
  <c r="H61" i="9" s="1"/>
  <c r="F21" i="10"/>
  <c r="F63" i="10" s="1"/>
  <c r="F64" i="10" s="1"/>
  <c r="F65" i="10" s="1"/>
  <c r="I19" i="9"/>
  <c r="J19" i="9" s="1"/>
  <c r="M43" i="9"/>
  <c r="N43" i="9"/>
  <c r="I45" i="9"/>
  <c r="L45" i="9"/>
  <c r="L14" i="9"/>
  <c r="I14" i="9"/>
  <c r="M23" i="9"/>
  <c r="N23" i="9"/>
  <c r="J55" i="9"/>
  <c r="K55" i="9"/>
  <c r="I34" i="9"/>
  <c r="L34" i="9"/>
  <c r="I44" i="9"/>
  <c r="L44" i="9"/>
  <c r="L57" i="9"/>
  <c r="I57" i="9"/>
  <c r="L42" i="9"/>
  <c r="I42" i="9"/>
  <c r="I17" i="9"/>
  <c r="L17" i="9"/>
  <c r="J43" i="9"/>
  <c r="K43" i="9"/>
  <c r="L20" i="9"/>
  <c r="I20" i="9"/>
  <c r="I52" i="9"/>
  <c r="L52" i="9"/>
  <c r="J23" i="9"/>
  <c r="K23" i="9"/>
  <c r="M55" i="9"/>
  <c r="N55" i="9"/>
  <c r="I40" i="9"/>
  <c r="L40" i="9"/>
  <c r="L54" i="9"/>
  <c r="I54" i="9"/>
  <c r="M51" i="9"/>
  <c r="N51" i="9"/>
  <c r="L21" i="9"/>
  <c r="I21" i="9"/>
  <c r="I53" i="9"/>
  <c r="L53" i="9"/>
  <c r="I22" i="9"/>
  <c r="L22" i="9"/>
  <c r="I31" i="9"/>
  <c r="L31" i="9"/>
  <c r="L33" i="9"/>
  <c r="I33" i="9"/>
  <c r="L32" i="9"/>
  <c r="I32" i="9"/>
  <c r="L50" i="9"/>
  <c r="I50" i="9"/>
  <c r="J51" i="9"/>
  <c r="K51" i="9"/>
  <c r="I28" i="9"/>
  <c r="L28" i="9"/>
  <c r="I60" i="9"/>
  <c r="L60" i="9"/>
  <c r="I48" i="9"/>
  <c r="L48" i="9"/>
  <c r="L25" i="9"/>
  <c r="I25" i="9"/>
  <c r="J11" i="9"/>
  <c r="K11" i="9"/>
  <c r="M59" i="9"/>
  <c r="N59" i="9"/>
  <c r="L29" i="9"/>
  <c r="I29" i="9"/>
  <c r="L46" i="9"/>
  <c r="I46" i="9"/>
  <c r="I30" i="9"/>
  <c r="L30" i="9"/>
  <c r="J39" i="9"/>
  <c r="K39" i="9"/>
  <c r="J27" i="9"/>
  <c r="K27" i="9"/>
  <c r="L26" i="9"/>
  <c r="I26" i="9"/>
  <c r="L58" i="9"/>
  <c r="I58" i="9"/>
  <c r="M11" i="9"/>
  <c r="N11" i="9"/>
  <c r="J59" i="9"/>
  <c r="K59" i="9"/>
  <c r="I36" i="9"/>
  <c r="L36" i="9"/>
  <c r="L38" i="9"/>
  <c r="I38" i="9"/>
  <c r="M39" i="9"/>
  <c r="N39" i="9"/>
  <c r="I24" i="9"/>
  <c r="L24" i="9"/>
  <c r="I56" i="9"/>
  <c r="L56" i="9"/>
  <c r="M27" i="9"/>
  <c r="N27" i="9"/>
  <c r="L49" i="9"/>
  <c r="I49" i="9"/>
  <c r="I37" i="9"/>
  <c r="L37" i="9"/>
  <c r="L41" i="9"/>
  <c r="I41" i="9"/>
  <c r="L15" i="9"/>
  <c r="I15" i="9"/>
  <c r="L47" i="9"/>
  <c r="I47" i="9"/>
  <c r="I13" i="9"/>
  <c r="L13" i="9"/>
  <c r="J35" i="9"/>
  <c r="K35" i="9"/>
  <c r="M35" i="9"/>
  <c r="N35" i="9"/>
  <c r="I18" i="9"/>
  <c r="L18" i="9"/>
  <c r="I16" i="9"/>
  <c r="L16" i="9"/>
  <c r="L12" i="9"/>
  <c r="I12" i="9"/>
  <c r="L9" i="9"/>
  <c r="I9" i="9"/>
  <c r="L10" i="9"/>
  <c r="I10" i="9"/>
  <c r="L8" i="9"/>
  <c r="I8" i="9"/>
  <c r="L7" i="9"/>
  <c r="I7" i="9"/>
  <c r="L6" i="9"/>
  <c r="I6" i="9"/>
  <c r="H62" i="9" l="1"/>
  <c r="H63" i="9" s="1"/>
  <c r="M19" i="9"/>
  <c r="K19" i="9"/>
  <c r="M28" i="9"/>
  <c r="N28" i="9"/>
  <c r="J21" i="9"/>
  <c r="K21" i="9"/>
  <c r="M41" i="9"/>
  <c r="N41" i="9"/>
  <c r="M56" i="9"/>
  <c r="N56" i="9"/>
  <c r="M36" i="9"/>
  <c r="N36" i="9"/>
  <c r="J26" i="9"/>
  <c r="K26" i="9"/>
  <c r="J30" i="9"/>
  <c r="K30" i="9"/>
  <c r="J28" i="9"/>
  <c r="K28" i="9"/>
  <c r="M33" i="9"/>
  <c r="N33" i="9"/>
  <c r="M21" i="9"/>
  <c r="N21" i="9"/>
  <c r="M57" i="9"/>
  <c r="N57" i="9"/>
  <c r="M38" i="9"/>
  <c r="N38" i="9"/>
  <c r="M20" i="9"/>
  <c r="N20" i="9"/>
  <c r="M37" i="9"/>
  <c r="N37" i="9"/>
  <c r="J56" i="9"/>
  <c r="K56" i="9"/>
  <c r="J36" i="9"/>
  <c r="K36" i="9"/>
  <c r="M26" i="9"/>
  <c r="N26" i="9"/>
  <c r="J46" i="9"/>
  <c r="K46" i="9"/>
  <c r="J25" i="9"/>
  <c r="K25" i="9"/>
  <c r="M31" i="9"/>
  <c r="N31" i="9"/>
  <c r="M44" i="9"/>
  <c r="N44" i="9"/>
  <c r="J14" i="9"/>
  <c r="K14" i="9"/>
  <c r="M30" i="9"/>
  <c r="N30" i="9"/>
  <c r="J37" i="9"/>
  <c r="K37" i="9"/>
  <c r="M24" i="9"/>
  <c r="N24" i="9"/>
  <c r="M46" i="9"/>
  <c r="N46" i="9"/>
  <c r="M25" i="9"/>
  <c r="N25" i="9"/>
  <c r="J31" i="9"/>
  <c r="K31" i="9"/>
  <c r="M17" i="9"/>
  <c r="N17" i="9"/>
  <c r="J44" i="9"/>
  <c r="K44" i="9"/>
  <c r="M14" i="9"/>
  <c r="N14" i="9"/>
  <c r="J33" i="9"/>
  <c r="K33" i="9"/>
  <c r="J47" i="9"/>
  <c r="K47" i="9"/>
  <c r="J49" i="9"/>
  <c r="K49" i="9"/>
  <c r="J24" i="9"/>
  <c r="K24" i="9"/>
  <c r="J29" i="9"/>
  <c r="K29" i="9"/>
  <c r="M48" i="9"/>
  <c r="N48" i="9"/>
  <c r="J50" i="9"/>
  <c r="K50" i="9"/>
  <c r="M22" i="9"/>
  <c r="N22" i="9"/>
  <c r="J17" i="9"/>
  <c r="K17" i="9"/>
  <c r="M34" i="9"/>
  <c r="N34" i="9"/>
  <c r="M45" i="9"/>
  <c r="N45" i="9"/>
  <c r="M47" i="9"/>
  <c r="N47" i="9"/>
  <c r="M49" i="9"/>
  <c r="N49" i="9"/>
  <c r="M29" i="9"/>
  <c r="N29" i="9"/>
  <c r="J48" i="9"/>
  <c r="K48" i="9"/>
  <c r="M50" i="9"/>
  <c r="N50" i="9"/>
  <c r="J22" i="9"/>
  <c r="K22" i="9"/>
  <c r="J54" i="9"/>
  <c r="K54" i="9"/>
  <c r="M52" i="9"/>
  <c r="N52" i="9"/>
  <c r="J42" i="9"/>
  <c r="K42" i="9"/>
  <c r="J34" i="9"/>
  <c r="K34" i="9"/>
  <c r="J45" i="9"/>
  <c r="K45" i="9"/>
  <c r="J57" i="9"/>
  <c r="K57" i="9"/>
  <c r="J15" i="9"/>
  <c r="K15" i="9"/>
  <c r="M60" i="9"/>
  <c r="N60" i="9"/>
  <c r="J32" i="9"/>
  <c r="K32" i="9"/>
  <c r="M53" i="9"/>
  <c r="N53" i="9"/>
  <c r="M54" i="9"/>
  <c r="N54" i="9"/>
  <c r="J52" i="9"/>
  <c r="K52" i="9"/>
  <c r="M42" i="9"/>
  <c r="N42" i="9"/>
  <c r="J41" i="9"/>
  <c r="K41" i="9"/>
  <c r="M58" i="9"/>
  <c r="N58" i="9"/>
  <c r="J40" i="9"/>
  <c r="K40" i="9"/>
  <c r="M15" i="9"/>
  <c r="N15" i="9"/>
  <c r="J38" i="9"/>
  <c r="K38" i="9"/>
  <c r="J58" i="9"/>
  <c r="K58" i="9"/>
  <c r="J60" i="9"/>
  <c r="K60" i="9"/>
  <c r="M32" i="9"/>
  <c r="N32" i="9"/>
  <c r="J53" i="9"/>
  <c r="K53" i="9"/>
  <c r="M40" i="9"/>
  <c r="N40" i="9"/>
  <c r="J20" i="9"/>
  <c r="K20" i="9"/>
  <c r="M13" i="9"/>
  <c r="N13" i="9"/>
  <c r="J13" i="9"/>
  <c r="K13" i="9"/>
  <c r="M18" i="9"/>
  <c r="N18" i="9"/>
  <c r="J18" i="9"/>
  <c r="K18" i="9"/>
  <c r="M16" i="9"/>
  <c r="N16" i="9"/>
  <c r="J16" i="9"/>
  <c r="K16" i="9"/>
  <c r="M12" i="9"/>
  <c r="N12" i="9"/>
  <c r="J12" i="9"/>
  <c r="K12" i="9"/>
  <c r="J9" i="9"/>
  <c r="K9" i="9"/>
  <c r="M9" i="9"/>
  <c r="N9" i="9"/>
  <c r="J10" i="9"/>
  <c r="K10" i="9"/>
  <c r="M10" i="9"/>
  <c r="N10" i="9"/>
  <c r="M8" i="9"/>
  <c r="N8" i="9"/>
  <c r="J8" i="9"/>
  <c r="K8" i="9"/>
  <c r="J7" i="9"/>
  <c r="K7" i="9"/>
  <c r="M7" i="9"/>
  <c r="N7" i="9"/>
  <c r="M6" i="9"/>
  <c r="N6" i="9"/>
  <c r="K6" i="9"/>
  <c r="J6" i="9"/>
  <c r="K61" i="9" l="1"/>
  <c r="K62" i="9" s="1"/>
  <c r="K63" i="9" s="1"/>
  <c r="N61" i="9"/>
  <c r="N62" i="9" s="1"/>
  <c r="N63" i="9" s="1"/>
  <c r="A1" i="8"/>
</calcChain>
</file>

<file path=xl/sharedStrings.xml><?xml version="1.0" encoding="utf-8"?>
<sst xmlns="http://schemas.openxmlformats.org/spreadsheetml/2006/main" count="1717" uniqueCount="440">
  <si>
    <t>Item Description</t>
  </si>
  <si>
    <t>Quantity</t>
  </si>
  <si>
    <t>Units</t>
  </si>
  <si>
    <t>Amount</t>
  </si>
  <si>
    <t>CEMENT CONCRETE 1:5:10(one cement , five sand and ten aggregate)using 40mm gauge hard broken granite stone jelly for foundation including de-watering side shuttering , strutting, wherever necessary including curing etc., complete complying with standard specifications and as directed.</t>
  </si>
  <si>
    <t>QTL</t>
  </si>
  <si>
    <t>M3</t>
  </si>
  <si>
    <t>RM</t>
  </si>
  <si>
    <t>M2</t>
  </si>
  <si>
    <t>KG</t>
  </si>
  <si>
    <t>Sub Total =</t>
  </si>
  <si>
    <t>Description</t>
  </si>
  <si>
    <t>Balance</t>
  </si>
  <si>
    <t>Qty</t>
  </si>
  <si>
    <t>S.no</t>
  </si>
  <si>
    <t>No</t>
  </si>
  <si>
    <t>L</t>
  </si>
  <si>
    <t>B</t>
  </si>
  <si>
    <t>D</t>
  </si>
  <si>
    <t>Unit</t>
  </si>
  <si>
    <t>X</t>
  </si>
  <si>
    <t>-</t>
  </si>
  <si>
    <t>Qtl</t>
  </si>
  <si>
    <t>COMPARATIVE STATEMENT</t>
  </si>
  <si>
    <t>S. No</t>
  </si>
  <si>
    <t>Description of work</t>
  </si>
  <si>
    <t>Agreement Rate</t>
  </si>
  <si>
    <t>per</t>
  </si>
  <si>
    <t>As per Agreement</t>
  </si>
  <si>
    <t>As per Execution</t>
  </si>
  <si>
    <t>Excess</t>
  </si>
  <si>
    <t>DISCRIPTION OF WORK</t>
  </si>
  <si>
    <t>Total Qty Upto date</t>
  </si>
  <si>
    <t>Agt Rate</t>
  </si>
  <si>
    <t>Total Value Upto Date (In Rupees)</t>
  </si>
  <si>
    <t>Deduct Previous Bill Amount</t>
  </si>
  <si>
    <t>Since Last Measurements</t>
  </si>
  <si>
    <t>Agreement Qty</t>
  </si>
  <si>
    <t>M.Book/ Pg</t>
  </si>
  <si>
    <t>Ampount
(in Rupees)</t>
  </si>
  <si>
    <t>QTY</t>
  </si>
  <si>
    <t>Amount
(in Rupees)</t>
  </si>
  <si>
    <t>GST 18% =</t>
  </si>
  <si>
    <t>S.NO</t>
  </si>
  <si>
    <t>Date of Agt:</t>
  </si>
  <si>
    <t>Agt Period:</t>
  </si>
  <si>
    <t>DOC :</t>
  </si>
  <si>
    <t>Set No</t>
  </si>
  <si>
    <t>M.Book Page</t>
  </si>
  <si>
    <t>AE</t>
  </si>
  <si>
    <t>AEE</t>
  </si>
  <si>
    <t>LS Ist &amp; Part Bill</t>
  </si>
  <si>
    <t>C.E(R) No. 74 /2023-2024</t>
  </si>
  <si>
    <t>%</t>
  </si>
  <si>
    <t>#8mm</t>
  </si>
  <si>
    <t>#10mm</t>
  </si>
  <si>
    <t>#12mm</t>
  </si>
  <si>
    <t>No's</t>
  </si>
  <si>
    <t>Cutting Length</t>
  </si>
  <si>
    <t>#12mm main bar</t>
  </si>
  <si>
    <t>Total Weight in Qtl=</t>
  </si>
  <si>
    <t>Rate</t>
  </si>
  <si>
    <t>Construction of New Taluk operational godown of 2500M.T capacity in TNCSC campus at Survey No.2347/1 to an extent of 1.21.44 Hectare at Nelliyalam Village in Pandalur Taluk in Nilgiris District.</t>
  </si>
  <si>
    <t>BOQ</t>
  </si>
  <si>
    <t>S.No</t>
  </si>
  <si>
    <t>Clearing Scrub Jungle as directed by the departmental officers.</t>
  </si>
  <si>
    <t>EARTH WORK excavation for foundation in all classes of soils and subsoils to full depth, as may be directed except in hard rock, requiring blasting including initial leads and lifts and refilling the sides of foundation with excavated earth in 150mm layers well watered rammed and consolidated including depositing surplus earth with in the Godown or inside compound in places shown with initial leads and lifts, clearing, leveling site, shoring, strutting, baling of water wherever necessary etc.,
complete complying with standard specification and as directed.</t>
  </si>
  <si>
    <t>Refilling with excavated earth in  basement including watering, rammed and consolidated etc., complete complying with standard specifications and as directed.</t>
  </si>
  <si>
    <t>Supplying and filling in foundation with Gravel in layers of not exceeding 150mm thick well watered, rammed and consolidated including watering etc., complete complying with standard specification and as directed.</t>
  </si>
  <si>
    <t>Refilling with conveyed earth to a lead of 10KM  for filling in foundation and basement including watering, rammed and consolidated etc., complete and as directed by the departmental officers.</t>
  </si>
  <si>
    <t>Supplying and filling in basement with wetmix 250mm thick  in layers of not exceeding 250mm thick, well watered, rammed and  consolidated including machineries for hire and running  charges leader 5 Cum capacity, hire charges for tipper, water sprinkler,` vibratory roller all labour charges etc., complete complying with standard specification and as directed</t>
  </si>
  <si>
    <t>BRICK WORK in cement mortar 1:5(One cement ,Five sand)using best quality Country Bricks of size              8 ¾”x4 ¼” x2¼’’ for walls including cost of scaffolding curing ,finishing etc., complete complying with standard specifications and as directed.
In foundation and basement.</t>
  </si>
  <si>
    <t>In ground floor Upto 4.50M height above basement.</t>
  </si>
  <si>
    <t>Above 4.50M height above basement.</t>
  </si>
  <si>
    <t>Providing FORM WORK for centering the soffits of all reinforcement concrete work including strutting to the required (3 metre) height with mild-steel sheets of size 90cmx60cm 10 gauge stiffened with welded mild steel angles of size 25mmx25mmx3mm laid with country wood joist of average of size 10cmx6.50cm at about 90cm centres with casurina props of 13cm dia at 75cm centre to centre with all nails coir,wedges complete and removing the form work after necessary curing period as directed by the corporations officers. The rates should inclusives of cutting , bending, welding , charges of M.S sheets, M.S. angles etc., Complete
Column footing, Plinth beam, top tie beame</t>
  </si>
  <si>
    <t>Rectangular beams and floor slabs, tie beams, lintels, landing slab, loft etc.,</t>
  </si>
  <si>
    <t>Column, ratguard slab, curtain slab and sun shades etc.,</t>
  </si>
  <si>
    <t>Supplying, fabricating and placing in position MS/RTS grills for reinforcement for all R.C.C.works including cost of steel, labour for straightening, bending, cranking, tying grills with 18 gauge galvanized binding wire and placing grills in position complete complying with standard specification and as directed..</t>
  </si>
  <si>
    <t>Supplying and fixing (under lintel grove) cold rolled ROLLING SHUTTERS of
approved quality of 18 gauge 7.5 cm wide cold rolled lathe section in one piece interlocked together with specially designed pipe shaft with adequate number of high tensile steels wire springs of approved quality complete with brackets side guides and arrangements for inside and outside locking arrangements with push and pull operations and pulling back handle with all accessories without workmanship and the entire shutter painted with two coats of best quality anti-corrosive nut brown color paint over one coat of red oxide primer and clear opening of 1.8 M width 2.60 M</t>
  </si>
  <si>
    <t>NOS</t>
  </si>
  <si>
    <t>Supplying and fixing of Steel glazed AIR INLET WINDOWs of size 0.6m x 0.6m using extruded angles (Z-section) alround for frame with centre mullion (T-section) and shutter with the same Z-section properly fixed with hinges 2 nos. for each shutter. The panel of shutter fixed with G.I.  sheet of'18 gauge and necessary locking arrangements including weld mesh cover using weld mesh 25mm x 25mm x 10mm gauge and welded with iron square bars of 10mm size - 3nos. horizontally and 2nos. vertically welded together to form a grill and welding grill to the main frame with 4mm thick and 12mm wide MS flats. The rate is also inclusive of one coat of steel
primer and two coats of ANTI CORROSIVE METALLIC paint and quality, 2 nos.</t>
  </si>
  <si>
    <t>Supplying and fixing steel N-Type VENTILATOR of size 2.60m x 0.60m using
extruded angle (Z-section 25mmx25mmx3mm) for outer frames with center mullion (T-section)and with weld mesh of  25mmx25mm 10guage on all three sides ( 2 verticals 1 horizontal) and 10mm size MS square bars horizontally one at top and one at bottom welded to the frames with necessary MS flats of size 20mmx4mm thick</t>
  </si>
  <si>
    <t>Providing vacuum de watered controlled cement surfacing 100mm thick in required
slope and chamber confirming M20 grade with 20mm size stone aggregate cast in situ ,smooth finish and leveling with double framed screed vibrator ,excess water to be removed through vacuum pump with bottom and top filter mat duly sealing the edges all round including provisions of polythene sheet below the concrete layer before placing of concrete and finishing with paver floated and power trawler to obtain the hard surface including provision of expansion joints at 6mtr intervals across the platform by cutting 6mm wide and full depth of concrete by contractors</t>
  </si>
  <si>
    <t>PLASTERING with cement mortor 1:5 (one cement and five sand) 12mm thick including cost of scaffolding, finishing, curing etc., complete complying with standard specification and as directed.</t>
  </si>
  <si>
    <t>PLASTERING with the exposed RCC surface with C.M.1:3(one cement and three sand) 10mm thick including cost of scaffolding, finishing, curing etc., complete complying with standard Specification and as directed.</t>
  </si>
  <si>
    <t>Painting the walls with two coats of  exterior emulsion paint of first class approved quality and colour over a priming coat including thorough scrapping, clean removal of dirt, and including necessary plaster of paris putty, wherever required etc., complete complying with standard specification and as directed.</t>
  </si>
  <si>
    <t>Supplying, fabricating and fixing in position M.S.Channel 100x50x6mm at the edge of loading platform with M.S bolt of 16mm at the edge of loading platform with M.S bolt of 16mm at the edge of loading platform finishing in flush with the slab with C.M 1:3  complete including painting the exposed surface of MS channel with two coats of ANI Corrosive metalic net brown colour paint over one coat red oxide primer etc., complete.</t>
  </si>
  <si>
    <t>Supplying and fixing of Rotary Ventilators  over the  roof with necessary bolt and nut arrangement to withstand the wind velocity as specified by the departmental officers. (Size 600mm x 600mm)</t>
  </si>
  <si>
    <t>Supplying and laying of profiled colour galvalume sheet with combination 55A1:43
4Zn:1:6SI of TCT bent type 0.47mm thick and standard width of 1.06m with yield
strength of 550 MPA made from high tensile/ CR sheets of approved quality for
roofing with necessary fixing arrangements like 65m abd long hexagonal head screws
with EPDM rubber seal etc., complete complying with standard specification and as
directed by the departmental officer. (Test certificate for quality should be furnished
on receipt of material at site)</t>
  </si>
  <si>
    <t>Supplying and roofing with Galvalume sheet ridge pieces of size 1.00M x 0.7M, 0.47mm thick with necessary U or J bolt and nuts G.I washers etc., complete  For the above works skilled man power, necessary tools, equipments, power supply, water supply including transport, any other statuary approval required for the transporting the materials shall be duly obtained by the contractor. (Test certificate for quality should be furnished on receipt of material at site)</t>
  </si>
  <si>
    <t>Supplying  and fixing corrugated Poly Carbonate sheet of size 3mx1.06m of 3mm thick on the roof in-between the colour coated Galvalume sheets for proper lighting with necessary G.I screws and EPDM rubber washers, Complying with standard specification and as direct and specified by the departmental officers including cost of loading unloading and transportion charges etc., complete.</t>
  </si>
  <si>
    <t>Painting the walls with two coats of  oil bound distemper over one coat of  water based cement primer including cost of distemper, primer, cleaning,  scrabbing the walls, rendering the walls smooth with necessary putty, brushes, scaffolding arrangements, labour charges etc., complete, complying standard specification and as directed. ( The quality and colour of oil bound distemper should got approved by the Executive Engineer before use.)</t>
  </si>
  <si>
    <t>Supplying and fixing of 40 X 6mm G.I Flat over the galvalume sheet roofing which is placed on the top of Purlin in the longitudinal direction to avoid the lifting of roofing during heavy wind. The rate is inclusive of GI screws 75mm length with rubber and aluminium washer, drilling hole over GI Flat  to hold the sheet and purlin with necessary adhesive flashing tap directly over the galvalume sheet including labour charges for fixing, conveyance, loading, unloading and cutting etc. complete as directed by the departmental officers.</t>
  </si>
  <si>
    <t>Supplying fabricating, hoisting and erection of ROOF TRUSSES PURLINS AND
WIND BRACING with structural steel member like angle and channel iron and
M.S.plates for all truss, purlin members including all cutting drilling holes, and
welding and fixing of member with necessary bolts and nuts, of approved quality and
hoisting, aligning and placing the trusses in position etc., complete the trusses will be
manufactured as per the detailed plan. The rate should include the cost of painting
with one coat of red oxide primer with two coats of best quality of aluminium paint
over priming coat.</t>
  </si>
  <si>
    <t>Kg</t>
  </si>
  <si>
    <t>Reinforcement Cement Concrete 1:1 ½ :3 ( one cement, one and half sand, three aggregate)  using 20mm of hard broken granite stone for all RCC works using machine for mixing concrete excluding cost of centering, Strutting, shuttering, and fabrication of reinforcement and placing the grills in position etc., but including finishing  and curing etc., complete complying with standard specifications and as directed.
In foundation and basement</t>
  </si>
  <si>
    <t>Above 4.50M height from basement</t>
  </si>
  <si>
    <t>Supplying and filling in foundation, basement, etc., with filling crushed stone sand in layers of not more than 15cm thick well watered, rammed and consolidated etc., complete complying with standard specification and as directed by the departmental officers.</t>
  </si>
  <si>
    <t>Cement Concrete 1:2:4 ( one cement, two sand, four aggregate)  using 20mm of hard broken granite stone for all RCC works using machine for mixing concrete excluding cost of centering, Strutting, shuttering, and fabrication of reinforcement and placing the grills in position etc., but including finishing  and curing etc., complete complying with standard specifications and as directed.
In foundation basement</t>
  </si>
  <si>
    <t>In ground floor upto 4.50M height above basement</t>
  </si>
  <si>
    <t>Supplying and fixing in position of rain beating RCC Jolly, 5 cm thick in cement
concrete 1:2:4 using 20mm stone jelly, including cost and conveyance of all materials
labour charges for mixing, laying, casting, curing and fixing in position of jolly as
directed and cost of mould, fabrication of reinforcement, etc., complete.</t>
  </si>
  <si>
    <t>Supplying and fixing of UPVC ventilator                       (Up-plasticized poly vinyl choloride) louvered ventilators of form profile size outer frame 60x58 mm and shutter profile size 60 x78mm both profiles reinforced with GI 1mm 125 GSM and 100% corrosion free multi colored chamber section with wall thick of 2mm.  The EPDM rubber (Black colour ) covered with all the edges frame shutters.  The corners and joints to be welded and cleaned.  Radiation pin headed glass 4mm thick should be provided to the louvers. The Ventilator should be fixed to the wall with 100% packing with screws silicon packing round the frames.  The Ventilator should got approved
from Executive Engineer.</t>
  </si>
  <si>
    <t>Supplying and fixing M.S Grill to  special windows and ventilators etc using 20mmx6mm angle including cost of MS grill, one of red oxide and fixing in position etc. complete complying with Standard Specification and as directed.</t>
  </si>
  <si>
    <t>Fabricating, supplying and fixing in position of SOLID PVC DOORS with frames of sizes as per the specifications given below: PVC door frames made out of best quality PVC extruded section of 40mm * 58 mm * 2.50 mm +/- 0.3 mm thick, having multi chamber cross section and duly reinforced with steel to be mitre cut at the corners and welded including providing tie rod at the bottom and necessary weather seal etc., and PVC door shutters made out of extruded plastic section of 60 mm * 24 mm size in the configuration of an “A” section for shutter frames and multi-chamber hollow plastic section of 200 mm 200 mm1 mm (average thickness) with tongue and groove section
for panels etc., with necessary holdfasts, rubber beedings, furniture fittings, locking</t>
  </si>
  <si>
    <t>Supplying and fixing in position Indian Water Closet (Oriya type) of size 580 x 440mm white glazed earthern ware of approved quality and brand with "P" or "S" trap conforming to BIS with sand cushion and forming flooring alround the closet using 40mm broken brick jelly in lime concrete 1:2:5 (One lime, Two sand and Five brick jelly) 100mm thick and finishing the top to the required slope and including giving necessary connection to PVC pipes (including the cost of 110mm dia CI pipe for a length of 600mm) by dismantling brick masonry wall / reinforced cement concrete roof / floor slab and making good the dismantled portion to the original
condition with leakages etc., complete complying with standard specifications and as</t>
  </si>
  <si>
    <t>Paving  the flooring with Ceramic tiles of size 305x305x6mm of approved quality and colour over a base layer of C.M.1:3, 20mm thick in all floors used 0.20 kg / m2 including finishing the joints and pointing flush with even surfaces etc., complete complying with standard specifications and as directed.. (The tiles should be got approved by the Executive engineer before use on works).</t>
  </si>
  <si>
    <t>Dadooing the walls with glazed tiles of size 305mmx200mmx6mm of approved quality and colour over a base layer of C.M.1:2, 10mm and pointing the joints with white cement mixed with colouring pigment at the rate of 0.40 kg/sq.m neatly in all floors, curing etc., complete complying with standard specification and as directed by the departmental officers. (The tiles should be got approved by the Executive  engineer before use on works).</t>
  </si>
  <si>
    <t>Weathering course in brick jelly lime concrete using broken brick jelly of size 20mm uniform gauge in pure slaked lime (no sand to be used) to the proportion of brick jelly to lime being 32:12.5 by volume and laid over the RCC roof slab in a single layer of required slope and finished by beating the concrete with wooden beaters of approved pattern, keeping the surface constantly wet by sprinkling lime jaggery water, etc., complete as per standard specification and as directed by the departmental officers.</t>
  </si>
  <si>
    <t>Finishing the top of roof with one course of machine pressed tiles of size 23x23x2cm laid in cement mortar 1:2 (one of cement and two of sand)mixing with water proofing compound confirming to ISS at 2% weight of cement used and pointed with water proofing compound mixed with red oxide etc., complete complying with standard specification and as directed by the departmental officers.</t>
  </si>
  <si>
    <t>Painting  new iron work with two coats of synthetic enamel paint of approved quality and colour over one coat of primer in all floors.  The rate is inclusive of cost of all materials, labour charges, brushes and scaffolding charges etc. complete complying with standard specifications.  (The paint should be got approved by Executive Engineer  before use on works)</t>
  </si>
  <si>
    <t>Supply and fixing in position of best Indian make white / colour glazed eartherware
lipped mouth flat back urinal of best quality and approved make of size
430mmx260mmx350mm with GI Pipe, 32mm dia bell mouth PVC Connection and
waste pipe, 15mm dia GI Pipe of required length, 15mm dia GM Wheel valve, 15mm
dia brass nipple 2 Nos and fixing the urinals in position with necessary TW plugs,
Clamps, Screws etc., including dismantling masonry and redoing the same to the
original condition, etc., including painting the pipe with two coats of best quality
approved synthetic enamel paint over one coat of red oxide primer and checked
without any leakage etc., complete complying with standard specifications and as</t>
  </si>
  <si>
    <t>Supplying and fixing Brass Chromium platted Towel Rail 600mm Long and 20mm diameter with brackets of same materials including cost of teak wood plugs, CP Screws etc., complete complying with standard specification as directed by departmental officers.</t>
  </si>
  <si>
    <t>Construction of Manhole chamber of size 600mx600mm to a total height of 800mm ie., 200mm above ground level and 600mm below ground level with base concrete of
C.C 1:5:10  of 100mm thick over a sand cushion of 100mm thick the chamber should be constructed in brick masonry of 230mm thick in cement mortar with chamber burnt  bricks of size 9”x4 3/8” x2 ¾” the inner sides of chamber is plastered with cement mortar 1;3 20mm thick outer chamber to a depth of 300mm plastered with cement mortar 1:5 12mm thick, chamber is covered with SRF covere slab 100mm thick the rate including cost of all materials, labour charges etc., complete complying
with standard specification and as directed by the departmental officers.</t>
  </si>
  <si>
    <t>Supplying, and fixing  PVC pipes of  of 32mm dia of approved quality and variety conforming to pressure IS 4985. The rate is inclusive of  cost of pipe, all taxes, conveyance charges of materials and all other labour charges for fixing  the PVC  pipe as directed by the departmental officers  etc., complete complying with standard specifications. The PVC pipe should be got approved by the departmental officers before use on work.</t>
  </si>
  <si>
    <t>Supplying, and fixing  PVC pipes of  25mm dia of approved quality and variety conforming to pressure IS 4985. The rate is inclusive of  cost of pipe, all taxes, conveyance charges of materials and all other labour charges for fixing  the PVC  pipe as directed by the departmental officers  etc., complete complying with standard specifications. The PVC pipe should be got approved by the departmental officers before use on work</t>
  </si>
  <si>
    <t>Supplying, and fixing  PVC pipes of  110mm dia of approved quality and variety conforming to pressure IS 4985. The rate is inclusive of  cost of pipe, all taxes, conveyance charges of materials and all other labour charges for fixing  the PVC  pipe as directed by the departmental officers  etc., complete complying with standard specifications. The PVC pipe should be got approved by the departmental officers before use on work.</t>
  </si>
  <si>
    <t>Supplying and fixing in position of best Indian make PVC  Water Tank of 1000 litres capacity confirming to ISI standards as directed by the departmental officers including cost of material and conveyance charges of material to work site etc., complete complying with standard specifications.</t>
  </si>
  <si>
    <t>Supply and fixing in position wash hand basin with new one fixing in position best quality approved make white glazed earthenware wash hand basin of size 550x400mm with a pair of cast iron brackets, including cost of 15mm dia metre brass chromium plated pillar tap, 32mm dia metre G.M wheel valve 15mm dia brass nipple 15mm dia nylon connection etc., including fixing the wash hand basin in the wall in position with pair of CI brackets with teak wood plugs and screws and giving necessary water supply connection and painting the brackets with two coats of paint over a primary coat of anticorrosive paint including testing for leakage etc., complete
complying with standard specification.</t>
  </si>
  <si>
    <t>Supplying and fixing in position of best approved quality of  rain water down fall pipe of size 110mm dia having a pressure of 4Kg/sq.cm including cost of PVC bents, PVC shoe, cast iron gratings of required diameter and special clamps, brass screws nails etc., and fixing of cast iron gratings at junction of parapet and the junction of roof  slab including finishing neatly etc., complete complying with standard specification  as directed by the departmental officers.</t>
  </si>
  <si>
    <t>Supplying and fixing AC ventilating shaft of 110mm dia with 3 metre height including cost of of 110mm dia AC cylindrical cowl of best approved quality etc., complete complying with standard specification and as directed by the departmental officers.</t>
  </si>
  <si>
    <t>Grand Total =</t>
  </si>
  <si>
    <t>Basic</t>
  </si>
  <si>
    <t>Diff</t>
  </si>
  <si>
    <t>Pandalur</t>
  </si>
  <si>
    <t>AGT.No: 362/2023-2024</t>
  </si>
  <si>
    <t>12 Months</t>
  </si>
  <si>
    <t>Estimate Amount : 450 Lakhs</t>
  </si>
  <si>
    <t>Total</t>
  </si>
  <si>
    <t>1000MT</t>
  </si>
  <si>
    <t>Both side panel wall at bay</t>
  </si>
  <si>
    <t>Both side panel wall at  bay</t>
  </si>
  <si>
    <t>Deduct for rolling shutters</t>
  </si>
  <si>
    <t>Deduct for rolling shutters Cover portion</t>
  </si>
  <si>
    <t>Deduct for air inlet windows</t>
  </si>
  <si>
    <t>Deduct for air inlet windows lintel</t>
  </si>
  <si>
    <t>Add R.S Border</t>
  </si>
  <si>
    <t xml:space="preserve">Gable wall Bay          </t>
  </si>
  <si>
    <t>Deduct for Middle  Tie Beam</t>
  </si>
  <si>
    <t>Triangular portion in cable wall</t>
  </si>
  <si>
    <t>1/2x2X1</t>
  </si>
  <si>
    <t>Deduct top tie beam allround</t>
  </si>
  <si>
    <t>Deduct for ventilators</t>
  </si>
  <si>
    <t>Add top tie beam Panel</t>
  </si>
  <si>
    <t>Providing FORM WORK for centering the soffits of all reinforcement concrete work including strutting to the required (3 metre) height with mild steel sheets of size 90cm x60cm 10gauge stiffened with welded mild steel angles of size 25mm x 25mm x 3mm laid with coundry wood joist of average of size 10cm x 6.50cm at about 90cm centres with casurina props of 13cm dia at 75cm centre to centre with all nails coir,wedges complete and removing the form work after necessary curing period as directed by the corporations officers. The rates should inclusive of cutting, bending,welding charges of M.S.sheets, M.S.angles.</t>
  </si>
  <si>
    <t>Plinth Beam</t>
  </si>
  <si>
    <t>AIWindow Lintel bottom</t>
  </si>
  <si>
    <t xml:space="preserve">bottom of AIW  </t>
  </si>
  <si>
    <t>Sides of AIW</t>
  </si>
  <si>
    <t>End sides</t>
  </si>
  <si>
    <t>Curtain slab</t>
  </si>
  <si>
    <t>bottom of bend including curtain bend</t>
  </si>
  <si>
    <t>Bottom of lintel @ R.S portion</t>
  </si>
  <si>
    <t>Front side bend</t>
  </si>
  <si>
    <t>End side bend</t>
  </si>
  <si>
    <t xml:space="preserve">Top tie beam </t>
  </si>
  <si>
    <t>Ventilator top portion</t>
  </si>
  <si>
    <t>Add column side offset</t>
  </si>
  <si>
    <t>Add end column offset</t>
  </si>
  <si>
    <t xml:space="preserve">Add Slope tie for Anchorage the purlin </t>
  </si>
  <si>
    <t>Wall sides</t>
  </si>
  <si>
    <t>End Sides</t>
  </si>
  <si>
    <t>Binder wall sides</t>
  </si>
  <si>
    <t>Both side Gable wall column</t>
  </si>
  <si>
    <t>loading platform bottom</t>
  </si>
  <si>
    <t>5.85+4.85
 2</t>
  </si>
  <si>
    <t>Curtain slab inner side</t>
  </si>
  <si>
    <t>Curtain slab outer side</t>
  </si>
  <si>
    <t>Rat guard slab bottom panel wall</t>
  </si>
  <si>
    <t>both sides</t>
  </si>
  <si>
    <t>Rat guard slab vertical face</t>
  </si>
  <si>
    <t xml:space="preserve">Rat guard slab cable wall bottom </t>
  </si>
  <si>
    <t>Deduct loading platform portion bottom</t>
  </si>
  <si>
    <t>Deduct loading platform portion vertical face</t>
  </si>
  <si>
    <t>Add  for loading Platform</t>
  </si>
  <si>
    <t>( 5.85+4.85)/2</t>
  </si>
  <si>
    <t>(0.30+0.10)/2</t>
  </si>
  <si>
    <t>Rat guard slab for Panel wall sides</t>
  </si>
  <si>
    <t>Rat guard slab for Gable wall sides</t>
  </si>
  <si>
    <t>Both side panel wall at middle column</t>
  </si>
  <si>
    <t>Air inlet windows</t>
  </si>
  <si>
    <t>curtain slab for rolling shutter</t>
  </si>
  <si>
    <t>Curtain slab for bend</t>
  </si>
  <si>
    <t>Top tie beam allround</t>
  </si>
  <si>
    <t xml:space="preserve">Both side Gable wall column above tiebeam </t>
  </si>
  <si>
    <t>Rcc bed for purlin resting</t>
  </si>
  <si>
    <t>Binder wall</t>
  </si>
  <si>
    <t xml:space="preserve"> </t>
  </si>
  <si>
    <t>Supplying and fixing of UPVC ventilator  (Up-plasticized poly vinyl choloride) louvered ventilators of form profile size outer frame 60x58 mm and shutter profile size 60 x78mm both profiles reinforced with GI 1mm 125 GSM and 100% corrosion free multi colored chamber section with wall thick of 2mm.  The EPDM rubber (Black colour ) covered with all the edges frame shutters.  The corners and joints to be welded and cleaned.  Radiation pin headed glass 4mm thick should be provided to the louvers. The Ventilator should be fixed to the wall with 100% packing with screws silicon packing round the frames.  The Ventilator should got approved
from Executive Engineer.</t>
  </si>
  <si>
    <t>#16mm</t>
  </si>
  <si>
    <t>#20mm</t>
  </si>
  <si>
    <t>C1</t>
  </si>
  <si>
    <t>C2</t>
  </si>
  <si>
    <t>C3</t>
  </si>
  <si>
    <t>#16mm main bar</t>
  </si>
  <si>
    <t>#8mm stirupps</t>
  </si>
  <si>
    <t>#8mm distribution bar</t>
  </si>
  <si>
    <t xml:space="preserve">  R.DINESH KUMAR ASS.ENGINEER</t>
  </si>
  <si>
    <t>TO,</t>
  </si>
  <si>
    <t xml:space="preserve">       EXE.ENGINEER</t>
  </si>
  <si>
    <t xml:space="preserve">       TNCSC</t>
  </si>
  <si>
    <t xml:space="preserve">       GOPALAPURAM</t>
  </si>
  <si>
    <t xml:space="preserve">       CHENNAI</t>
  </si>
  <si>
    <t>Sir,</t>
  </si>
  <si>
    <t xml:space="preserve">     Sub:  </t>
  </si>
  <si>
    <t>Name of work</t>
  </si>
  <si>
    <t>Thanking you</t>
  </si>
  <si>
    <t xml:space="preserve">Encl: Bill form with M.Book  </t>
  </si>
  <si>
    <t>Yours Faithfully</t>
  </si>
  <si>
    <t>For Tamil Nadu Civil Supply Corporation</t>
  </si>
  <si>
    <t xml:space="preserve">           Asst.Engineer</t>
  </si>
  <si>
    <t>TNCSC Coimbatore</t>
  </si>
  <si>
    <t>Kindly forwarding the bill for payment to Executive Engineer  / Chennai</t>
  </si>
  <si>
    <t>Counter Signed</t>
  </si>
  <si>
    <t>JR/Senior Regional Manager</t>
  </si>
  <si>
    <t xml:space="preserve">     Ref:  LS / Agt.No.  362 /2023-24</t>
  </si>
  <si>
    <t xml:space="preserve">          I submit here with the L.S I &amp; Part Bill  for the following work for favour of taking further necessary action please.</t>
  </si>
  <si>
    <t>TNCSC Nilgiris</t>
  </si>
  <si>
    <t>EARTH WORK excavation for foundation in all classes of soils and subsoils to full depth, as may be directed except in hard rock, requiring blasting including initial leads and lifts and refilling the sides of foundation with excavated earth in 150mm layers well watered rammed and consolidated including depositing surplus earth with in the Godown or inside compound in places shown with initial leads and lifts, clearing, leveling site, shoring, strutting, baling of water wherever necessary etc., complete complying with standard specification and as directed.</t>
  </si>
  <si>
    <t>Name of Work :Construction of New Taluk operational godown of 2500M.T(1X1500MT, 1X1000MT) capacity in TNCSC campus at Survey No.2347/1 to an extent of 1.21.44 Hectare at Nelliyalam Village in Pandalur Taluk in Nilgiris District.</t>
  </si>
  <si>
    <t>Construction of New Taluk operational godown of 2500M.T (1X1500MT, 1X1000MT) capacity in TNCSC campus at Survey No.2347/1 to an extent of 1.21.44 Hectare at Nelliyalam Village in Pandalur Taluk in Nilgiris District.</t>
  </si>
  <si>
    <t>Name of the Contractor:-
M/s .Romaa Housing Pvt Ltd, Chennai.</t>
  </si>
  <si>
    <t>CERTIFICATES</t>
  </si>
  <si>
    <t xml:space="preserve">Certified that there is no recovery due from the contractor </t>
  </si>
  <si>
    <t>Certified that the contractor has engaged the Technical Assistant for supervising the work during execution.</t>
  </si>
  <si>
    <t>Certified that the contractor has utilized the cement,steel, of required quantity of good quality to this work.</t>
  </si>
  <si>
    <t>Asst Engineer</t>
  </si>
  <si>
    <t>Asst. Exe. Engineer</t>
  </si>
  <si>
    <t>Exe. Engineer</t>
  </si>
  <si>
    <t>TNCSC Chennai</t>
  </si>
  <si>
    <t>Date of commencement :   12 .09 .2024</t>
  </si>
  <si>
    <t>Agreement Period    :  12 months 
Probable Completion : 30.6.2024</t>
  </si>
  <si>
    <t>LS 2nd &amp; Part Bill</t>
  </si>
  <si>
    <t>RA - 02 Details</t>
  </si>
  <si>
    <t>For Plinth Beam and Loading Platform</t>
  </si>
  <si>
    <t>loading platform</t>
  </si>
  <si>
    <t>Reinforcement Cement Concrete 1:1 ½ :3 ( one cement, one and half sand, three aggregate)  using 20mm of hard broken granite stone for all RCC works using machine for mixing concrete excluding cost of centering, Strutting, shuttering, and fabrication of reinforcement and placing the grills in position etc., but including finishing  and curing etc., complete complying with standard specifications and as directed.
In ground floor Upto 4.50M height above basement.</t>
  </si>
  <si>
    <t>Deduct for loading platform portion</t>
  </si>
  <si>
    <t>For Column upto Roof Level</t>
  </si>
  <si>
    <t>Column</t>
  </si>
  <si>
    <t>Bothside panel wall Column alround</t>
  </si>
  <si>
    <t>BRICK WORK in cement mortar 1:5(One cement ,Five sand)using best quality Country Bricks of size  8 ¾”x4 ¼” x2¼’’ for walls including cost of scaffolding curing ,finishing etc., complete complying with standard specifications and as directed. In ground floor Upto 4.50M height above basement.</t>
  </si>
  <si>
    <t>BRICK WORK in cement mortar 1:5(One cement ,Five sand)using best quality Country Bricks of size  8 ¾”x4 ¼” x2¼’’ for walls including cost of scaffolding curing ,finishing etc., complete complying with standard specifications and as directed. In ground floor Above 4.50M height above basement.</t>
  </si>
  <si>
    <t>Cable wall at  bay</t>
  </si>
  <si>
    <t>AI Window Lintel, Rolling Shutter Beam, MTB</t>
  </si>
  <si>
    <t>Ventilator Beam, TTB</t>
  </si>
  <si>
    <t>Pandalur Steel - BBS RA02</t>
  </si>
  <si>
    <t>x</t>
  </si>
  <si>
    <t>PLINTH BEAM</t>
  </si>
  <si>
    <t>PB 01</t>
  </si>
  <si>
    <t>#12mm main bar TOP &amp; Bot</t>
  </si>
  <si>
    <t>#12mm main bar Lap</t>
  </si>
  <si>
    <t xml:space="preserve">#10mm Stirupps </t>
  </si>
  <si>
    <t>#8mm distribution  Lap bar</t>
  </si>
  <si>
    <t>PB 02 (Loading plot form)</t>
  </si>
  <si>
    <t>#16mm main bar Top&amp;Bot</t>
  </si>
  <si>
    <t>#12mm Stirupps</t>
  </si>
  <si>
    <t>#12mm distribution  Top</t>
  </si>
  <si>
    <t>#12mm distribution  Bot</t>
  </si>
  <si>
    <t>#12mm main bar Top&amp;Bot</t>
  </si>
  <si>
    <t>#10mm Stirupps</t>
  </si>
  <si>
    <t>#8mm distribution Lap</t>
  </si>
  <si>
    <t>GF Lintel Beam</t>
  </si>
  <si>
    <t>#20mm main bar Top&amp;Bot</t>
  </si>
  <si>
    <t>#20mm main bar Lap</t>
  </si>
  <si>
    <t xml:space="preserve">#12mm main bar </t>
  </si>
  <si>
    <t>#8mm Stirupps</t>
  </si>
  <si>
    <t>#20mm main bar Bot</t>
  </si>
  <si>
    <t>#16mm main bar Lap</t>
  </si>
  <si>
    <t>Cut Lintel beam</t>
  </si>
  <si>
    <t>#16mm channel Welding bar</t>
  </si>
  <si>
    <t>Open lintel</t>
  </si>
  <si>
    <t xml:space="preserve">#16mm main bar     </t>
  </si>
  <si>
    <t>Supplying ,fabricating and Fixing in position M.S.Channel 100 X 50X 6mm at the edge of loading platform with M.S bolt of 16mm dia of 45 cm long protection to the loading platform finishing in flush with the slab with C.M 1:3  complete including painting the exposed surface of MS channel with two coats of ANTI-CORROSIVE METALIC NUT BROWN COLOUR PAINT over one coat red oxide primer etc., complete.</t>
  </si>
  <si>
    <t xml:space="preserve">1000MT </t>
  </si>
  <si>
    <t>M.S Channel</t>
  </si>
  <si>
    <t>Add for air inlet windows Border alround</t>
  </si>
  <si>
    <t>Basement filling</t>
  </si>
  <si>
    <t>Cemet Concrete 1:5: 10 (one cement, five sand, ten aggregate) using 40mm gauge HBG stone jelly including cost of all materials and labour charges etc., complete.</t>
  </si>
  <si>
    <t>Basement flooring</t>
  </si>
  <si>
    <t xml:space="preserve">Supplying and fixing(under lintel grove) cold rolled ROLLING SHUTTERS of approved quality of 18 guage 7.5 cm wide cold  rolled lathe section in one piece inter-locked together with specially designed pipe shaft with adequated number of high tensils steel wire springs of approved quality complete with brackets side guides and arrangements for inside and outside locking arrangements with push and pull operations and pulling back handle with all accessories in best workmenship and the entire shutter painted with two coats of best quality anti-corrosive nut brown colour paint over one coat of red oxide primer and clear opening of 1.8M width 2.60M height. The rolling shutter shall be placed below the lintel and behind the RCC curtain slab of 7.5 cm thick and 45 cm depth.Each rolling shutter shall be provided with one pair of approved qualityof ball bearing complete. Rolling shutter should confirm to I.S.6248-1979 and should be got approved by the Executive Engineer before fixing </t>
  </si>
  <si>
    <t>At  panel wall</t>
  </si>
  <si>
    <t>Nos</t>
  </si>
  <si>
    <t>Supply and fixing of  Steel glazed AIR INLET WINDOWs of size 0.6m x .0.6m using extruded angles (Z-section) alround for frame with centre mullion (T-section) and shutter with the same Z-section properly fixed with hinges 2 nos. for each shutter. The glass panes 5.5mm thick wired glass fixed to shutters with teakwood fillets putty and necessary locking arrangements including weldmesh cover using weldmesh 25mm x 25mm x 10mm guage and welded with iron square bars of 10mm size - 3nos. horrizontally and 2nos. vertically welded together to form a grill and welding grill to the main  frame with 4mm thick and  12mm wide MS flats. The rate is also inclusive   of one coat of steel primer and two coats ANTI CORROSIVE METALIC NUT BROWN COLOUR PAINT and quality. The paint should  be got approved by the Executive Engineer before use on work 2 nos. 20cm long stays for shutters etc.,complete. The shutters should open inside.</t>
  </si>
  <si>
    <t>At both side panel wall</t>
  </si>
  <si>
    <t xml:space="preserve">Supplying and fixing steel glazed N type VENTILATOR of size 1.20m x 0.60m using extruded angle (Z-section) for  outer frames with centre mullion (J-section) and with weldmesh of 25mm x 25mm 10guage and 10mm size MS square bars horizontally one at top and one at bottom welded to the frames with necessary MS flats of size 20mm x 4mm thick and withnecessary shutters made up of the same J/Z-section pivoted  centrally so as to swing about, with necessary 5.5mm thick wired glass properly fixed with teakwood fillets Ms hold fast 20cm long and necessary ring  and nylon rope 5 metres length to operate the same from the floor. The rate shall be inclusive of one coat of steel red oxide primer and two coats of ANTI CORROSIVE METALIC NUT BROWN COLOUR PAINT and quality paint should be got approved by the Executive Engineer before use on works. </t>
  </si>
  <si>
    <t>Plastering with Cement mortor 1:5 (one cement,five sand) with  12 mm thick including cost of all materials,labour charges for finishing and curring  etc., complete</t>
  </si>
  <si>
    <t>INNER SIDE</t>
  </si>
  <si>
    <t xml:space="preserve">Both side panel wall </t>
  </si>
  <si>
    <t xml:space="preserve">Deduct for Rolling shutter </t>
  </si>
  <si>
    <t xml:space="preserve">Deduct for Air inlet window </t>
  </si>
  <si>
    <t xml:space="preserve">Deduct for ventilator </t>
  </si>
  <si>
    <t>Add AI window sides</t>
  </si>
  <si>
    <t>Add AI ventilator sides</t>
  </si>
  <si>
    <t>Add AI sides of curtain portion</t>
  </si>
  <si>
    <t>Bottom of Lintel @     R.Shutter</t>
  </si>
  <si>
    <t>Bottom of curtain portion</t>
  </si>
  <si>
    <t>Side of rolling shutter</t>
  </si>
  <si>
    <t xml:space="preserve">Both side Gable wall </t>
  </si>
  <si>
    <t>Gable wall triangular portion</t>
  </si>
  <si>
    <t xml:space="preserve"> 2 X 1/2</t>
  </si>
  <si>
    <t>Basement panelwall bothside</t>
  </si>
  <si>
    <t>Basement gablewall bothside</t>
  </si>
  <si>
    <t xml:space="preserve">Deduct for Panel Column </t>
  </si>
  <si>
    <t xml:space="preserve">Deduct for cable Column </t>
  </si>
  <si>
    <t>Deduct for  Lintel  beam</t>
  </si>
  <si>
    <t>Deduct for middle tie beam</t>
  </si>
  <si>
    <t>Deduct for top tie beam</t>
  </si>
  <si>
    <t>OUTER SIDE- Above basement</t>
  </si>
  <si>
    <t>Both side panel wall</t>
  </si>
  <si>
    <t>Add ventilator sides</t>
  </si>
  <si>
    <t>Add top of curtain Bend</t>
  </si>
  <si>
    <t>Add inner side of border  R.Shutter</t>
  </si>
  <si>
    <t>Bottom of curtain bend</t>
  </si>
  <si>
    <t>Add outside of border R.Shutter</t>
  </si>
  <si>
    <t>D/f  column at Panel</t>
  </si>
  <si>
    <t>D/f Gable  column</t>
  </si>
  <si>
    <t>Add AI window border</t>
  </si>
  <si>
    <t>Both side Gable wall Outer side Above basement</t>
  </si>
  <si>
    <t>Deduct for lintel  beam</t>
  </si>
  <si>
    <t>TOTAL PLASTERING AREA</t>
  </si>
  <si>
    <t>+</t>
  </si>
  <si>
    <t>=</t>
  </si>
  <si>
    <t xml:space="preserve">PLASTERING with the RCC surface C.M.1:3 (one cement and three sand) 10mm thick including scaffolding,finishing,curing etc., complying with standard specification and as directed. </t>
  </si>
  <si>
    <t>Panel  column face and sides</t>
  </si>
  <si>
    <t>Panel  column inner</t>
  </si>
  <si>
    <t xml:space="preserve">End Gabel Column face </t>
  </si>
  <si>
    <t>End Gabel Column inner</t>
  </si>
  <si>
    <t>Rat guard slab in panel wall bottom</t>
  </si>
  <si>
    <t>Face of R.G Slab</t>
  </si>
  <si>
    <t>Deduct for loading platform Face</t>
  </si>
  <si>
    <t>Top of R.G Slab</t>
  </si>
  <si>
    <t>Deduct for loading platform</t>
  </si>
  <si>
    <t>Lintel beam alround</t>
  </si>
  <si>
    <t>Middle tie beam alround</t>
  </si>
  <si>
    <t>Top tie beam alround</t>
  </si>
  <si>
    <t>Add for loading platform Top &amp; bottom</t>
  </si>
  <si>
    <t>Gable wall R.G. slab Top &amp; bottom</t>
  </si>
  <si>
    <t>Top and inner side of binder wall</t>
  </si>
  <si>
    <t>Plinth beam outer</t>
  </si>
  <si>
    <t>Add End sides</t>
  </si>
  <si>
    <t xml:space="preserve"> 2x2 X 1/2</t>
  </si>
  <si>
    <t>Supplying , fabricating, hoisting and errection of Steel  angles  for  TRUSSES  &amp;  PURLINS  including drilling holes and painting the purlins with two cot of anticorrosive paint of approved colour over one coat of red oxide primer. The required angle purline will be supplied departmentally and cost will be recovered at issue rate.</t>
  </si>
  <si>
    <t>Rafter (top) 65X65X6mm</t>
  </si>
  <si>
    <t>Botttom tie 65X65X6mm</t>
  </si>
  <si>
    <t>Vertical (King post) 50 x 50 x 6 mm</t>
  </si>
  <si>
    <t>Inclined Post 1</t>
  </si>
  <si>
    <t>Vertical Post 1</t>
  </si>
  <si>
    <t>Inclined Post 2</t>
  </si>
  <si>
    <t>Vertical Post 2</t>
  </si>
  <si>
    <t>Vertical Post 3</t>
  </si>
  <si>
    <t>Inclined Post 3</t>
  </si>
  <si>
    <t>Vertical Post 4</t>
  </si>
  <si>
    <t>Inclined Post 4</t>
  </si>
  <si>
    <t>Vertical Post 5</t>
  </si>
  <si>
    <t>Inclined Post 5</t>
  </si>
  <si>
    <t>Vertical Post 6</t>
  </si>
  <si>
    <t>Inclined Post 6</t>
  </si>
  <si>
    <t xml:space="preserve">Gusset Plate </t>
  </si>
  <si>
    <t>Centre (Top plate) 10mm</t>
  </si>
  <si>
    <t>Centre (Boottom plate) 10 mm</t>
  </si>
  <si>
    <t>Inbetween plate 10 mm</t>
  </si>
  <si>
    <t>4x1</t>
  </si>
  <si>
    <t>6x8</t>
  </si>
  <si>
    <t>Truss Top &amp; bottom plate 16mm</t>
  </si>
  <si>
    <t>Bolt</t>
  </si>
  <si>
    <t>Truss Boult &amp; Nuts 20mm</t>
  </si>
  <si>
    <t xml:space="preserve">Purlin channel </t>
  </si>
  <si>
    <t>Purlin 75x40x5mm</t>
  </si>
  <si>
    <t xml:space="preserve">Purlin clit </t>
  </si>
  <si>
    <t xml:space="preserve">Purlin Bolt </t>
  </si>
  <si>
    <t>Tie chennel  75x40x5mm</t>
  </si>
  <si>
    <t>Bracing 75x40x5mm</t>
  </si>
  <si>
    <t>Canopy Truss</t>
  </si>
  <si>
    <t xml:space="preserve">50x50x6mm Angle </t>
  </si>
  <si>
    <t>Vertical Post &amp; Struct Post (40x40x6mm)</t>
  </si>
  <si>
    <t xml:space="preserve">Wall plate 12mm </t>
  </si>
  <si>
    <t>Gusset Plate 8mm</t>
  </si>
  <si>
    <t>Boult 20mm</t>
  </si>
  <si>
    <t>Unit Wt</t>
  </si>
  <si>
    <t>1500MT</t>
  </si>
  <si>
    <t>5.85+4.85 2</t>
  </si>
  <si>
    <t xml:space="preserve">Rat guard slab Gable wall bottom </t>
  </si>
  <si>
    <t>Total Length</t>
  </si>
  <si>
    <t>Column upto Top Level</t>
  </si>
  <si>
    <t>Total Length =</t>
  </si>
  <si>
    <t>Total Weight in Kg =</t>
  </si>
  <si>
    <t>Unit Wt =</t>
  </si>
  <si>
    <t>Rolling Shutter Beam</t>
  </si>
  <si>
    <t>Top Tie Beam</t>
  </si>
  <si>
    <t xml:space="preserve">1500MT </t>
  </si>
  <si>
    <t>X 1.00</t>
  </si>
  <si>
    <t>Both side panel wall at middle bay</t>
  </si>
  <si>
    <t>Both side panel wall at end bay</t>
  </si>
  <si>
    <t>Deduct for lintel Beam</t>
  </si>
  <si>
    <t>Gable wall at bay</t>
  </si>
  <si>
    <t>AIWindow Lintel</t>
  </si>
  <si>
    <t xml:space="preserve">bottom of AIW </t>
  </si>
  <si>
    <t>Both side panel wall at middle</t>
  </si>
  <si>
    <t>Both side panel wall at ends</t>
  </si>
  <si>
    <t>Add top tie beam panel</t>
  </si>
  <si>
    <t>Cable wall at bay</t>
  </si>
  <si>
    <t xml:space="preserve">Add column side offset </t>
  </si>
  <si>
    <t>Ventilator at both side panel wall</t>
  </si>
  <si>
    <t>Vertical (King post)</t>
  </si>
  <si>
    <t>Inclined  Post 1</t>
  </si>
  <si>
    <t>Inclined  Post 2</t>
  </si>
  <si>
    <t>Inclined  Post 3</t>
  </si>
  <si>
    <t>Inclined  Post 4</t>
  </si>
  <si>
    <t>Inclined  Post 5</t>
  </si>
  <si>
    <t>Inclined  Post 6</t>
  </si>
  <si>
    <t>Centre (Top plate) 10 mm</t>
  </si>
  <si>
    <t>6x13</t>
  </si>
  <si>
    <t>Truss bottom plate 16mm</t>
  </si>
  <si>
    <t>Tie Runner 75x40x5mm</t>
  </si>
  <si>
    <t>At godown Roof</t>
  </si>
  <si>
    <t>At Loading platform road</t>
  </si>
  <si>
    <t>Supplying and Roofing of High Profile Galvolume sheet ridge pieces of  approved quality in size 2.40 m x 0.60 m  of 0.50mm tk with necessary U or J bolts and nuts GI washers etc., complete complying with standard specification.</t>
  </si>
  <si>
    <t>Rm</t>
  </si>
  <si>
    <t>Supplying and laying of profiled colour galvalume sheet with combination 55A1:43 4Zn:1:6SI of TCT bent type 0.47mm thick and standard width of 1.06m with yield strength of 550 MPA made from high tensile/ CR sheets of approved quality for roofing with necessary fixing arrangements like 65m abd long hexagonal head screws with EPDM rubber seal etc., complete complying with standard specification and as
directed by the departmental officer. (Test certificate for quality should be furnished
on receipt of material at site)</t>
  </si>
  <si>
    <t>D/F Poly corbonate sheet</t>
  </si>
  <si>
    <r>
      <t>M</t>
    </r>
    <r>
      <rPr>
        <b/>
        <vertAlign val="superscript"/>
        <sz val="12"/>
        <rFont val="Cambria"/>
        <family val="1"/>
      </rPr>
      <t>2</t>
    </r>
  </si>
  <si>
    <r>
      <t>M</t>
    </r>
    <r>
      <rPr>
        <b/>
        <vertAlign val="superscript"/>
        <sz val="12"/>
        <rFont val="Cambria"/>
        <family val="1"/>
      </rPr>
      <t>3</t>
    </r>
  </si>
  <si>
    <r>
      <t xml:space="preserve">supply and filling in basement with </t>
    </r>
    <r>
      <rPr>
        <b/>
        <sz val="12"/>
        <rFont val="Cambria"/>
        <family val="1"/>
      </rPr>
      <t>wet mix</t>
    </r>
    <r>
      <rPr>
        <sz val="12"/>
        <rFont val="Cambria"/>
        <family val="1"/>
      </rPr>
      <t xml:space="preserve"> 250mm thick in layers not execeding 250mm thick well watering ramming and consolidation including machenris for higher and running charges leader 5 cum capacity hire charges for tipper water springler vibtory roller etc complete and all labour charges as directed by the departmental officers. </t>
    </r>
  </si>
  <si>
    <t>Both side panel wall at middle bay above MTB</t>
  </si>
  <si>
    <t>Middle Tie Beam</t>
  </si>
  <si>
    <t>Cable Wall</t>
  </si>
  <si>
    <t xml:space="preserve">Panel Wall </t>
  </si>
  <si>
    <t>Plinth beam Panelwall</t>
  </si>
  <si>
    <t>Plinth beam Cablewall</t>
  </si>
  <si>
    <t>Wind Bracing 75x40x5mm</t>
  </si>
  <si>
    <t>6981ACE, 6979ACE, 58266CE</t>
  </si>
  <si>
    <t xml:space="preserve">   RC NO:- 1/AE/Nilgiris/Pandalur/BILL                                                          Dt:    </t>
  </si>
  <si>
    <r>
      <t xml:space="preserve"> TNCSC –Coimbatore Sub Division -  Nilgiris Region –</t>
    </r>
    <r>
      <rPr>
        <sz val="9"/>
        <color rgb="FF000000"/>
        <rFont val="Times New Roman"/>
        <family val="1"/>
      </rPr>
      <t xml:space="preserve"> </t>
    </r>
    <r>
      <rPr>
        <sz val="11"/>
        <color rgb="FF000000"/>
        <rFont val="Times New Roman"/>
        <family val="1"/>
      </rPr>
      <t>Construction of New Taluk operational godown of 2500M.T (1X1500MT, 1X1000MT) capacity in TNCSC campus at Survey No.2347/1 to an extent of 1.21.44 Hectare at Nelliyalam Village in Pandalur Taluk in Nilgiris District.</t>
    </r>
    <r>
      <rPr>
        <sz val="9"/>
        <color rgb="FF000000"/>
        <rFont val="Times New Roman"/>
        <family val="1"/>
      </rPr>
      <t xml:space="preserve"> </t>
    </r>
    <r>
      <rPr>
        <sz val="11"/>
        <color rgb="FF000000"/>
        <rFont val="Times New Roman"/>
        <family val="1"/>
      </rPr>
      <t>-  L.S II &amp; Part Bill  – Submitted Reg</t>
    </r>
  </si>
  <si>
    <t>6981ACE/1</t>
  </si>
  <si>
    <t>6981ACE/2</t>
  </si>
  <si>
    <t>6981ACE/3</t>
  </si>
  <si>
    <t>6981ACE/4</t>
  </si>
  <si>
    <t>6981ACE/5</t>
  </si>
  <si>
    <t>6981ACE/6</t>
  </si>
  <si>
    <t>Certified that the work is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</si>
</sst>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_(* #,##0.00_);_(* \(#,##0.00\);_(* &quot;-&quot;??_);_(@_)"/>
    <numFmt numFmtId="165" formatCode="&quot;Estimate Amount Rs.&quot;0.00&quot; Lakhs&quot;"/>
    <numFmt numFmtId="166" formatCode="&quot;Agt No.&quot;0\ &quot;/20&quot;00&quot;-20&quot;00"/>
    <numFmt numFmtId="167" formatCode="&quot;CE(R) No.&quot;0\ &quot;/20&quot;00&quot;-20&quot;00"/>
    <numFmt numFmtId="168" formatCode="0.000%"/>
    <numFmt numFmtId="169" formatCode="dd\.mm\.yyyy;@"/>
    <numFmt numFmtId="170" formatCode="0.00_)"/>
    <numFmt numFmtId="171" formatCode="0_)"/>
    <numFmt numFmtId="172" formatCode="&quot;DAY - &quot;\ 0"/>
    <numFmt numFmtId="173" formatCode="&quot;£&quot;#,##0.00;\-&quot;£&quot;#,##0.00"/>
    <numFmt numFmtId="174" formatCode="0.0"/>
    <numFmt numFmtId="175" formatCode="_ * #,##0.000_ ;_ * \-#,##0.000_ ;_ * &quot;-&quot;??_ ;_ @_ "/>
  </numFmts>
  <fonts count="39" x14ac:knownFonts="1">
    <font>
      <sz val="11"/>
      <color theme="1"/>
      <name val="Calibri"/>
      <family val="2"/>
      <scheme val="minor"/>
    </font>
    <font>
      <sz val="11"/>
      <color theme="1"/>
      <name val="Calibri"/>
      <family val="2"/>
      <scheme val="minor"/>
    </font>
    <font>
      <b/>
      <sz val="12"/>
      <name val="Calibri Light"/>
      <family val="1"/>
      <scheme val="major"/>
    </font>
    <font>
      <sz val="12"/>
      <name val="Calibri Light"/>
      <family val="1"/>
      <scheme val="major"/>
    </font>
    <font>
      <sz val="11"/>
      <color theme="1"/>
      <name val="Calibri"/>
      <family val="2"/>
      <charset val="1"/>
      <scheme val="minor"/>
    </font>
    <font>
      <b/>
      <sz val="12"/>
      <name val="Cambria"/>
      <family val="1"/>
    </font>
    <font>
      <sz val="12"/>
      <name val="Cambria"/>
      <family val="1"/>
    </font>
    <font>
      <sz val="10"/>
      <name val="Arial"/>
      <family val="2"/>
    </font>
    <font>
      <b/>
      <sz val="14"/>
      <color theme="1"/>
      <name val="Cambria"/>
      <family val="1"/>
    </font>
    <font>
      <sz val="14"/>
      <color theme="1"/>
      <name val="Cambria"/>
      <family val="1"/>
    </font>
    <font>
      <sz val="10"/>
      <color rgb="FF000000"/>
      <name val="Times New Roman"/>
      <family val="1"/>
    </font>
    <font>
      <sz val="10"/>
      <color rgb="FF000000"/>
      <name val="Times New Roman"/>
      <family val="1"/>
    </font>
    <font>
      <sz val="11"/>
      <color indexed="8"/>
      <name val="Calibri"/>
      <family val="2"/>
    </font>
    <font>
      <sz val="12"/>
      <name val="Arial"/>
      <family val="2"/>
    </font>
    <font>
      <sz val="12"/>
      <name val="Times New Roman"/>
      <family val="1"/>
    </font>
    <font>
      <sz val="12"/>
      <name val="Arial"/>
      <family val="2"/>
    </font>
    <font>
      <sz val="12"/>
      <color theme="1"/>
      <name val="Cambria"/>
      <family val="1"/>
    </font>
    <font>
      <b/>
      <sz val="12"/>
      <color theme="1"/>
      <name val="Cambria"/>
      <family val="1"/>
    </font>
    <font>
      <b/>
      <sz val="12"/>
      <color rgb="FF000000"/>
      <name val="Cambria"/>
      <family val="1"/>
    </font>
    <font>
      <sz val="11"/>
      <color rgb="FF000000"/>
      <name val="Calibri"/>
      <family val="2"/>
      <scheme val="minor"/>
    </font>
    <font>
      <b/>
      <sz val="12"/>
      <color indexed="8"/>
      <name val="Times New Roman"/>
      <family val="1"/>
    </font>
    <font>
      <sz val="10"/>
      <name val="Times New Roman"/>
      <family val="1"/>
    </font>
    <font>
      <b/>
      <sz val="12"/>
      <color rgb="FF000000"/>
      <name val="Times New Roman"/>
      <family val="1"/>
    </font>
    <font>
      <sz val="11"/>
      <color rgb="FF000000"/>
      <name val="Times New Roman"/>
      <family val="1"/>
    </font>
    <font>
      <sz val="12"/>
      <color rgb="FF000000"/>
      <name val="Times New Roman"/>
      <family val="1"/>
    </font>
    <font>
      <b/>
      <sz val="11"/>
      <color rgb="FF000000"/>
      <name val="Times New Roman"/>
      <family val="1"/>
    </font>
    <font>
      <sz val="9"/>
      <color rgb="FF000000"/>
      <name val="Times New Roman"/>
      <family val="1"/>
    </font>
    <font>
      <b/>
      <sz val="10"/>
      <name val="Times New Roman"/>
      <family val="1"/>
    </font>
    <font>
      <sz val="11"/>
      <color theme="1"/>
      <name val="Times New Roman"/>
      <family val="1"/>
    </font>
    <font>
      <b/>
      <sz val="12"/>
      <name val="Times New Roman"/>
      <family val="1"/>
    </font>
    <font>
      <sz val="11"/>
      <name val="Cambria"/>
      <family val="1"/>
    </font>
    <font>
      <sz val="11"/>
      <name val="Times New Roman"/>
      <family val="1"/>
    </font>
    <font>
      <b/>
      <sz val="11"/>
      <name val="Times New Roman"/>
      <family val="1"/>
    </font>
    <font>
      <b/>
      <sz val="12"/>
      <color rgb="FFC00000"/>
      <name val="Calibri Light"/>
      <family val="2"/>
      <scheme val="major"/>
    </font>
    <font>
      <b/>
      <vertAlign val="superscript"/>
      <sz val="12"/>
      <name val="Cambria"/>
      <family val="1"/>
    </font>
    <font>
      <sz val="12"/>
      <color indexed="8"/>
      <name val="Cambria"/>
      <family val="1"/>
    </font>
    <font>
      <u/>
      <sz val="12"/>
      <name val="Cambria"/>
      <family val="1"/>
    </font>
    <font>
      <b/>
      <sz val="12"/>
      <color rgb="FFC00000"/>
      <name val="Cambria"/>
      <family val="1"/>
    </font>
    <font>
      <sz val="12"/>
      <name val="Calibri Light"/>
      <family val="2"/>
      <scheme val="major"/>
    </font>
  </fonts>
  <fills count="5">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s>
  <borders count="2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5">
    <xf numFmtId="0" fontId="0" fillId="0" borderId="0"/>
    <xf numFmtId="164" fontId="1" fillId="0" borderId="0" applyFont="0" applyFill="0" applyBorder="0" applyAlignment="0" applyProtection="0"/>
    <xf numFmtId="0" fontId="4"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7" fillId="0" borderId="0"/>
    <xf numFmtId="164" fontId="10" fillId="0" borderId="0" applyFont="0" applyFill="0" applyBorder="0" applyAlignment="0" applyProtection="0"/>
    <xf numFmtId="0" fontId="11" fillId="0" borderId="0"/>
    <xf numFmtId="9" fontId="10" fillId="0" borderId="0" applyFont="0" applyFill="0" applyBorder="0" applyAlignment="0" applyProtection="0"/>
    <xf numFmtId="164" fontId="7" fillId="0" borderId="0" applyFont="0" applyFill="0" applyBorder="0" applyAlignment="0" applyProtection="0"/>
    <xf numFmtId="43" fontId="10"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1" fillId="0" borderId="0"/>
    <xf numFmtId="0" fontId="1" fillId="0" borderId="0"/>
    <xf numFmtId="9" fontId="12" fillId="0" borderId="0" applyFont="0" applyFill="0" applyBorder="0" applyAlignment="0" applyProtection="0"/>
    <xf numFmtId="9" fontId="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3" fillId="0" borderId="0"/>
    <xf numFmtId="0" fontId="15" fillId="0" borderId="0"/>
    <xf numFmtId="0" fontId="1" fillId="0" borderId="0"/>
    <xf numFmtId="0" fontId="13" fillId="0" borderId="0"/>
    <xf numFmtId="0" fontId="7" fillId="0" borderId="0"/>
    <xf numFmtId="0" fontId="19" fillId="0" borderId="0"/>
    <xf numFmtId="173" fontId="13" fillId="0" borderId="0"/>
  </cellStyleXfs>
  <cellXfs count="375">
    <xf numFmtId="0" fontId="0" fillId="0" borderId="0" xfId="0"/>
    <xf numFmtId="0" fontId="3" fillId="0" borderId="5" xfId="0" applyFont="1" applyBorder="1" applyAlignment="1">
      <alignment horizontal="center" vertical="center" wrapText="1"/>
    </xf>
    <xf numFmtId="0" fontId="6" fillId="0" borderId="0" xfId="3" applyFont="1" applyAlignment="1">
      <alignment horizontal="center" vertical="center"/>
    </xf>
    <xf numFmtId="0" fontId="6" fillId="0" borderId="0" xfId="3" applyFont="1" applyAlignment="1">
      <alignment horizontal="left" vertical="center"/>
    </xf>
    <xf numFmtId="0" fontId="5" fillId="0" borderId="0" xfId="3" applyFont="1" applyAlignment="1">
      <alignment horizontal="center" vertical="center"/>
    </xf>
    <xf numFmtId="0" fontId="6" fillId="0" borderId="0" xfId="3" applyFont="1" applyAlignment="1">
      <alignment horizontal="center" vertical="center" wrapText="1"/>
    </xf>
    <xf numFmtId="0" fontId="6" fillId="0" borderId="5" xfId="3" applyFont="1" applyBorder="1" applyAlignment="1">
      <alignment horizontal="center" vertical="center"/>
    </xf>
    <xf numFmtId="0" fontId="6" fillId="0" borderId="0" xfId="0" applyFont="1" applyAlignment="1">
      <alignment vertical="center"/>
    </xf>
    <xf numFmtId="0" fontId="5" fillId="0" borderId="0" xfId="0" applyFont="1" applyAlignment="1">
      <alignment horizontal="center" vertical="center"/>
    </xf>
    <xf numFmtId="0" fontId="5" fillId="0" borderId="0" xfId="0" applyFont="1" applyAlignment="1">
      <alignment vertical="center"/>
    </xf>
    <xf numFmtId="164" fontId="6" fillId="0" borderId="5" xfId="1" applyFont="1" applyBorder="1" applyAlignment="1">
      <alignment vertical="center"/>
    </xf>
    <xf numFmtId="164" fontId="5" fillId="0" borderId="5" xfId="1" applyFont="1" applyBorder="1" applyAlignment="1">
      <alignment vertical="center"/>
    </xf>
    <xf numFmtId="0" fontId="5" fillId="0" borderId="5" xfId="0" applyFont="1" applyBorder="1" applyAlignment="1">
      <alignment vertical="center"/>
    </xf>
    <xf numFmtId="0" fontId="6" fillId="0" borderId="5" xfId="0" applyFont="1" applyBorder="1" applyAlignment="1">
      <alignment vertical="center"/>
    </xf>
    <xf numFmtId="164" fontId="6" fillId="0" borderId="0" xfId="1" applyFont="1" applyAlignment="1">
      <alignment vertical="center"/>
    </xf>
    <xf numFmtId="164" fontId="5" fillId="0" borderId="0" xfId="1" applyFont="1" applyAlignment="1">
      <alignment horizontal="center" vertical="center"/>
    </xf>
    <xf numFmtId="164" fontId="5" fillId="0" borderId="0" xfId="1" applyFont="1" applyAlignment="1">
      <alignment vertical="center"/>
    </xf>
    <xf numFmtId="0" fontId="6" fillId="0" borderId="0" xfId="11" applyFont="1" applyAlignment="1">
      <alignment vertical="center" wrapText="1"/>
    </xf>
    <xf numFmtId="0" fontId="6" fillId="0" borderId="0" xfId="11" applyFont="1" applyAlignment="1">
      <alignment vertical="center"/>
    </xf>
    <xf numFmtId="0" fontId="5" fillId="0" borderId="0" xfId="11" applyFont="1" applyAlignment="1">
      <alignment horizontal="center" vertical="center" wrapText="1"/>
    </xf>
    <xf numFmtId="0" fontId="6" fillId="0" borderId="0" xfId="11" applyFont="1" applyAlignment="1">
      <alignment horizontal="right" vertical="center" indent="1"/>
    </xf>
    <xf numFmtId="0" fontId="6" fillId="0" borderId="0" xfId="11" applyFont="1" applyAlignment="1">
      <alignment horizontal="left" vertical="center"/>
    </xf>
    <xf numFmtId="4" fontId="6" fillId="0" borderId="0" xfId="11" applyNumberFormat="1" applyFont="1" applyAlignment="1">
      <alignment vertical="center"/>
    </xf>
    <xf numFmtId="2" fontId="6" fillId="0" borderId="0" xfId="11" applyNumberFormat="1" applyFont="1" applyAlignment="1">
      <alignment vertical="center"/>
    </xf>
    <xf numFmtId="0" fontId="5" fillId="0" borderId="5" xfId="11" applyFont="1" applyBorder="1" applyAlignment="1">
      <alignment horizontal="center" vertical="center" wrapText="1"/>
    </xf>
    <xf numFmtId="0" fontId="5" fillId="0" borderId="5" xfId="11" applyFont="1" applyBorder="1" applyAlignment="1">
      <alignment horizontal="center" vertical="center"/>
    </xf>
    <xf numFmtId="0" fontId="5" fillId="0" borderId="0" xfId="11" applyFont="1" applyAlignment="1">
      <alignment horizontal="center" vertical="center"/>
    </xf>
    <xf numFmtId="0" fontId="6" fillId="0" borderId="5" xfId="11" applyFont="1" applyBorder="1" applyAlignment="1">
      <alignment horizontal="center" vertical="center"/>
    </xf>
    <xf numFmtId="0" fontId="6" fillId="0" borderId="5" xfId="11" applyFont="1" applyBorder="1" applyAlignment="1">
      <alignment vertical="center" wrapText="1"/>
    </xf>
    <xf numFmtId="0" fontId="6" fillId="0" borderId="5" xfId="11" applyFont="1" applyBorder="1" applyAlignment="1">
      <alignment horizontal="center" vertical="center" wrapText="1"/>
    </xf>
    <xf numFmtId="0" fontId="6" fillId="0" borderId="5" xfId="11" applyFont="1" applyBorder="1" applyAlignment="1">
      <alignment vertical="center"/>
    </xf>
    <xf numFmtId="0" fontId="6" fillId="0" borderId="0" xfId="11" applyFont="1" applyAlignment="1">
      <alignment horizontal="center" vertical="center"/>
    </xf>
    <xf numFmtId="164" fontId="5" fillId="0" borderId="5" xfId="1" applyFont="1" applyBorder="1" applyAlignment="1">
      <alignment horizontal="center" vertical="center"/>
    </xf>
    <xf numFmtId="164" fontId="5" fillId="0" borderId="5" xfId="1" applyFont="1" applyBorder="1" applyAlignment="1">
      <alignment horizontal="center" vertical="center" wrapText="1"/>
    </xf>
    <xf numFmtId="164" fontId="6" fillId="0" borderId="5" xfId="1" applyFont="1" applyBorder="1" applyAlignment="1">
      <alignment horizontal="center" vertical="center"/>
    </xf>
    <xf numFmtId="164" fontId="6" fillId="0" borderId="0" xfId="1" applyFont="1" applyAlignment="1">
      <alignment horizontal="center" vertical="center"/>
    </xf>
    <xf numFmtId="0" fontId="8" fillId="0" borderId="0" xfId="0" applyFont="1"/>
    <xf numFmtId="0" fontId="9" fillId="2" borderId="5" xfId="0" applyFont="1" applyFill="1" applyBorder="1"/>
    <xf numFmtId="0" fontId="8" fillId="0" borderId="5" xfId="0" applyFont="1" applyBorder="1"/>
    <xf numFmtId="0" fontId="9" fillId="0" borderId="0" xfId="0" applyFont="1"/>
    <xf numFmtId="0" fontId="9" fillId="0" borderId="5" xfId="0" applyFont="1" applyBorder="1"/>
    <xf numFmtId="0" fontId="9" fillId="0" borderId="5" xfId="0" applyFont="1" applyBorder="1" applyAlignment="1">
      <alignment wrapText="1"/>
    </xf>
    <xf numFmtId="0" fontId="5" fillId="0" borderId="18" xfId="3" applyFont="1" applyBorder="1" applyAlignment="1">
      <alignment horizontal="left" vertical="center" wrapText="1"/>
    </xf>
    <xf numFmtId="0" fontId="5" fillId="0" borderId="0" xfId="3" applyFont="1" applyAlignment="1">
      <alignment horizontal="left" vertical="center"/>
    </xf>
    <xf numFmtId="0" fontId="5" fillId="0" borderId="4" xfId="3" applyFont="1" applyBorder="1" applyAlignment="1">
      <alignment horizontal="left" vertical="center" wrapText="1"/>
    </xf>
    <xf numFmtId="0" fontId="5" fillId="0" borderId="4" xfId="0" applyFont="1" applyBorder="1" applyAlignment="1">
      <alignment vertical="center"/>
    </xf>
    <xf numFmtId="0" fontId="5" fillId="0" borderId="6" xfId="0" applyFont="1" applyBorder="1" applyAlignment="1">
      <alignment vertical="center"/>
    </xf>
    <xf numFmtId="0" fontId="6" fillId="0" borderId="6" xfId="0" applyFont="1" applyBorder="1" applyAlignment="1">
      <alignment vertical="center"/>
    </xf>
    <xf numFmtId="0" fontId="6" fillId="0" borderId="4" xfId="0" applyFont="1" applyBorder="1" applyAlignment="1">
      <alignment vertical="center"/>
    </xf>
    <xf numFmtId="0" fontId="6" fillId="0" borderId="7" xfId="0" applyFont="1" applyBorder="1" applyAlignment="1">
      <alignment vertical="center"/>
    </xf>
    <xf numFmtId="164" fontId="6" fillId="0" borderId="8" xfId="1" applyFont="1" applyBorder="1" applyAlignment="1">
      <alignment vertical="center"/>
    </xf>
    <xf numFmtId="0" fontId="6" fillId="0" borderId="8" xfId="0" applyFont="1" applyBorder="1" applyAlignment="1">
      <alignment vertical="center"/>
    </xf>
    <xf numFmtId="0" fontId="6" fillId="0" borderId="9" xfId="0" applyFont="1" applyBorder="1" applyAlignment="1">
      <alignment vertical="center"/>
    </xf>
    <xf numFmtId="0" fontId="5" fillId="0" borderId="5" xfId="3"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xf>
    <xf numFmtId="0" fontId="2" fillId="0" borderId="5" xfId="13" applyFont="1" applyBorder="1" applyAlignment="1">
      <alignment horizontal="center" vertical="top" wrapText="1"/>
    </xf>
    <xf numFmtId="0" fontId="2" fillId="0" borderId="5" xfId="13" applyFont="1" applyBorder="1" applyAlignment="1">
      <alignment horizontal="center" vertical="center" wrapText="1"/>
    </xf>
    <xf numFmtId="0" fontId="3" fillId="0" borderId="5" xfId="13" applyFont="1" applyBorder="1" applyAlignment="1">
      <alignment horizontal="left" vertical="top" wrapText="1"/>
    </xf>
    <xf numFmtId="164" fontId="3" fillId="0" borderId="5" xfId="12" applyFont="1" applyFill="1" applyBorder="1" applyAlignment="1">
      <alignment horizontal="center" vertical="center" shrinkToFit="1"/>
    </xf>
    <xf numFmtId="0" fontId="3" fillId="0" borderId="5" xfId="13" applyFont="1" applyBorder="1" applyAlignment="1">
      <alignment horizontal="center" vertical="center" wrapText="1"/>
    </xf>
    <xf numFmtId="164" fontId="3" fillId="0" borderId="5" xfId="12" applyFont="1" applyFill="1" applyBorder="1" applyAlignment="1">
      <alignment horizontal="left" vertical="top" wrapText="1"/>
    </xf>
    <xf numFmtId="164" fontId="3" fillId="0" borderId="5" xfId="12" applyFont="1" applyFill="1" applyBorder="1" applyAlignment="1">
      <alignment horizontal="left" vertical="center" wrapText="1"/>
    </xf>
    <xf numFmtId="164" fontId="3" fillId="0" borderId="5" xfId="12" applyFont="1" applyFill="1" applyBorder="1" applyAlignment="1">
      <alignment horizontal="center" vertical="top" shrinkToFit="1"/>
    </xf>
    <xf numFmtId="164" fontId="3" fillId="0" borderId="5" xfId="12" applyFont="1" applyFill="1" applyBorder="1" applyAlignment="1">
      <alignment horizontal="left" vertical="center" indent="2" shrinkToFit="1"/>
    </xf>
    <xf numFmtId="164" fontId="3" fillId="0" borderId="5" xfId="12" applyFont="1" applyFill="1" applyBorder="1" applyAlignment="1">
      <alignment horizontal="left" vertical="center" indent="1" shrinkToFit="1"/>
    </xf>
    <xf numFmtId="164" fontId="3" fillId="0" borderId="5" xfId="12" applyFont="1" applyFill="1" applyBorder="1" applyAlignment="1">
      <alignment horizontal="left" vertical="top"/>
    </xf>
    <xf numFmtId="0" fontId="3" fillId="0" borderId="5" xfId="13" applyFont="1" applyBorder="1" applyAlignment="1">
      <alignment horizontal="center" vertical="center"/>
    </xf>
    <xf numFmtId="164" fontId="2" fillId="0" borderId="5" xfId="12" applyFont="1" applyFill="1" applyBorder="1" applyAlignment="1">
      <alignment horizontal="center" vertical="center"/>
    </xf>
    <xf numFmtId="168" fontId="2" fillId="0" borderId="5" xfId="14" applyNumberFormat="1" applyFont="1" applyFill="1" applyBorder="1" applyAlignment="1">
      <alignment horizontal="center" vertical="center"/>
    </xf>
    <xf numFmtId="0" fontId="3" fillId="0" borderId="5" xfId="13" applyFont="1" applyBorder="1" applyAlignment="1">
      <alignment horizontal="left" vertical="top"/>
    </xf>
    <xf numFmtId="0" fontId="3" fillId="0" borderId="5" xfId="0" applyFont="1" applyBorder="1" applyAlignment="1">
      <alignment horizontal="center" vertical="center"/>
    </xf>
    <xf numFmtId="164" fontId="3" fillId="0" borderId="4" xfId="12" applyFont="1" applyFill="1" applyBorder="1" applyAlignment="1">
      <alignment horizontal="center" shrinkToFit="1"/>
    </xf>
    <xf numFmtId="164" fontId="3" fillId="0" borderId="4" xfId="12" applyFont="1" applyFill="1" applyBorder="1" applyAlignment="1">
      <alignment horizontal="center"/>
    </xf>
    <xf numFmtId="0" fontId="6" fillId="0" borderId="4" xfId="3" applyFont="1" applyBorder="1" applyAlignment="1">
      <alignment horizontal="center" vertical="center"/>
    </xf>
    <xf numFmtId="0" fontId="6" fillId="0" borderId="7" xfId="3" applyFont="1" applyBorder="1" applyAlignment="1">
      <alignment horizontal="center" vertical="center"/>
    </xf>
    <xf numFmtId="164" fontId="6" fillId="0" borderId="8" xfId="1" applyFont="1" applyBorder="1" applyAlignment="1">
      <alignment horizontal="center" vertical="center"/>
    </xf>
    <xf numFmtId="0" fontId="6" fillId="0" borderId="8" xfId="3" applyFont="1" applyBorder="1" applyAlignment="1">
      <alignment horizontal="center" vertical="center"/>
    </xf>
    <xf numFmtId="164" fontId="6" fillId="0" borderId="5" xfId="0" applyNumberFormat="1" applyFont="1" applyBorder="1" applyAlignment="1">
      <alignment vertical="center"/>
    </xf>
    <xf numFmtId="164" fontId="3" fillId="0" borderId="6" xfId="12" applyFont="1" applyFill="1" applyBorder="1" applyAlignment="1">
      <alignment horizontal="center" vertical="center" shrinkToFit="1"/>
    </xf>
    <xf numFmtId="164" fontId="3" fillId="0" borderId="6" xfId="12" applyFont="1" applyFill="1" applyBorder="1" applyAlignment="1">
      <alignment horizontal="center" vertical="top" shrinkToFit="1"/>
    </xf>
    <xf numFmtId="164" fontId="3" fillId="0" borderId="6" xfId="12" applyFont="1" applyFill="1" applyBorder="1" applyAlignment="1">
      <alignment horizontal="left" vertical="center" indent="2" shrinkToFit="1"/>
    </xf>
    <xf numFmtId="164" fontId="3" fillId="0" borderId="6" xfId="12" applyFont="1" applyFill="1" applyBorder="1" applyAlignment="1">
      <alignment horizontal="left" vertical="center" indent="1" shrinkToFit="1"/>
    </xf>
    <xf numFmtId="164" fontId="3" fillId="0" borderId="6" xfId="12" applyFont="1" applyFill="1" applyBorder="1" applyAlignment="1">
      <alignment horizontal="left" vertical="top"/>
    </xf>
    <xf numFmtId="169" fontId="6" fillId="0" borderId="0" xfId="11" applyNumberFormat="1" applyFont="1" applyAlignment="1">
      <alignment horizontal="left" vertical="center" wrapText="1"/>
    </xf>
    <xf numFmtId="10" fontId="6" fillId="0" borderId="0" xfId="27" applyNumberFormat="1" applyFont="1" applyAlignment="1">
      <alignment vertical="center"/>
    </xf>
    <xf numFmtId="170" fontId="6" fillId="0" borderId="0" xfId="29" applyNumberFormat="1" applyFont="1"/>
    <xf numFmtId="171" fontId="6" fillId="0" borderId="5" xfId="28" applyNumberFormat="1" applyFont="1" applyBorder="1" applyAlignment="1">
      <alignment horizontal="center" vertical="center"/>
    </xf>
    <xf numFmtId="170" fontId="6" fillId="0" borderId="5" xfId="28" applyNumberFormat="1" applyFont="1" applyBorder="1" applyAlignment="1">
      <alignment horizontal="center" vertical="center"/>
    </xf>
    <xf numFmtId="43" fontId="6" fillId="0" borderId="5" xfId="4" applyFont="1" applyFill="1" applyBorder="1" applyAlignment="1">
      <alignment horizontal="right" vertical="center"/>
    </xf>
    <xf numFmtId="10" fontId="6" fillId="0" borderId="5" xfId="7" applyNumberFormat="1" applyFont="1" applyFill="1" applyBorder="1" applyAlignment="1">
      <alignment horizontal="right" vertical="center"/>
    </xf>
    <xf numFmtId="164" fontId="5" fillId="0" borderId="0" xfId="1" applyFont="1" applyBorder="1" applyAlignment="1">
      <alignment horizontal="left" vertical="center"/>
    </xf>
    <xf numFmtId="164" fontId="5" fillId="0" borderId="19" xfId="1" applyFont="1" applyBorder="1" applyAlignment="1">
      <alignment horizontal="left" vertical="center"/>
    </xf>
    <xf numFmtId="164" fontId="5" fillId="0" borderId="6" xfId="1" applyFont="1" applyBorder="1" applyAlignment="1">
      <alignment horizontal="center" vertical="center"/>
    </xf>
    <xf numFmtId="164" fontId="6" fillId="0" borderId="6" xfId="1" applyFont="1" applyBorder="1" applyAlignment="1">
      <alignment horizontal="center" vertical="center"/>
    </xf>
    <xf numFmtId="164" fontId="6" fillId="0" borderId="9" xfId="1" applyFont="1" applyBorder="1" applyAlignment="1">
      <alignment horizontal="center" vertical="center"/>
    </xf>
    <xf numFmtId="0" fontId="18" fillId="0" borderId="0" xfId="0" applyFont="1" applyAlignment="1">
      <alignment horizontal="center" vertical="center"/>
    </xf>
    <xf numFmtId="0" fontId="18" fillId="0" borderId="0" xfId="0" applyFont="1" applyAlignment="1">
      <alignment horizontal="left" vertical="center"/>
    </xf>
    <xf numFmtId="0" fontId="16" fillId="0" borderId="0" xfId="0" applyFont="1" applyAlignment="1">
      <alignment horizontal="center" vertical="center"/>
    </xf>
    <xf numFmtId="0" fontId="16" fillId="0" borderId="0" xfId="0" applyFont="1"/>
    <xf numFmtId="164" fontId="6" fillId="0" borderId="5" xfId="1" applyFont="1" applyFill="1" applyBorder="1" applyAlignment="1">
      <alignment horizontal="center" vertical="center"/>
    </xf>
    <xf numFmtId="170" fontId="6" fillId="0" borderId="5" xfId="28" applyNumberFormat="1" applyFont="1" applyBorder="1" applyAlignment="1">
      <alignment vertical="center" wrapText="1" readingOrder="1"/>
    </xf>
    <xf numFmtId="164" fontId="16" fillId="0" borderId="5" xfId="1" applyFont="1" applyBorder="1" applyAlignment="1">
      <alignment horizontal="center" vertical="center"/>
    </xf>
    <xf numFmtId="164" fontId="6" fillId="0" borderId="5" xfId="1" applyFont="1" applyFill="1" applyBorder="1" applyAlignment="1">
      <alignment horizontal="center" vertical="center" wrapText="1"/>
    </xf>
    <xf numFmtId="164" fontId="5" fillId="0" borderId="5" xfId="1" applyFont="1" applyFill="1" applyBorder="1" applyAlignment="1">
      <alignment horizontal="center" vertical="center"/>
    </xf>
    <xf numFmtId="172" fontId="17" fillId="2" borderId="5" xfId="0" applyNumberFormat="1" applyFont="1" applyFill="1" applyBorder="1" applyAlignment="1">
      <alignment horizontal="center" vertical="center"/>
    </xf>
    <xf numFmtId="0" fontId="9" fillId="0" borderId="5" xfId="0" applyFont="1" applyBorder="1" applyAlignment="1">
      <alignment horizontal="center" vertical="center"/>
    </xf>
    <xf numFmtId="0" fontId="7" fillId="0" borderId="15" xfId="19" applyBorder="1"/>
    <xf numFmtId="0" fontId="7" fillId="0" borderId="16" xfId="19" applyBorder="1" applyAlignment="1">
      <alignment horizontal="left" vertical="top"/>
    </xf>
    <xf numFmtId="0" fontId="7" fillId="0" borderId="17" xfId="19" applyBorder="1" applyAlignment="1">
      <alignment horizontal="left" vertical="top"/>
    </xf>
    <xf numFmtId="0" fontId="19" fillId="0" borderId="0" xfId="33"/>
    <xf numFmtId="0" fontId="7" fillId="0" borderId="18" xfId="19" applyBorder="1" applyAlignment="1">
      <alignment horizontal="left" vertical="top"/>
    </xf>
    <xf numFmtId="0" fontId="7" fillId="0" borderId="19" xfId="19" applyBorder="1" applyAlignment="1">
      <alignment horizontal="left" vertical="top"/>
    </xf>
    <xf numFmtId="0" fontId="20" fillId="0" borderId="18" xfId="19" applyFont="1" applyBorder="1" applyAlignment="1">
      <alignment horizontal="left" vertical="top"/>
    </xf>
    <xf numFmtId="0" fontId="21" fillId="0" borderId="19" xfId="19" applyFont="1" applyBorder="1" applyAlignment="1">
      <alignment horizontal="left" vertical="top"/>
    </xf>
    <xf numFmtId="0" fontId="22" fillId="0" borderId="18" xfId="19" applyFont="1" applyBorder="1" applyAlignment="1">
      <alignment horizontal="center" vertical="top"/>
    </xf>
    <xf numFmtId="0" fontId="24" fillId="0" borderId="19" xfId="19" applyFont="1" applyBorder="1" applyAlignment="1">
      <alignment vertical="top"/>
    </xf>
    <xf numFmtId="0" fontId="22" fillId="0" borderId="18" xfId="19" applyFont="1" applyBorder="1" applyAlignment="1">
      <alignment horizontal="left" vertical="top"/>
    </xf>
    <xf numFmtId="0" fontId="24" fillId="0" borderId="18" xfId="19" applyFont="1" applyBorder="1" applyAlignment="1">
      <alignment horizontal="left" vertical="top"/>
    </xf>
    <xf numFmtId="0" fontId="23" fillId="0" borderId="18" xfId="19" applyFont="1" applyBorder="1" applyAlignment="1">
      <alignment vertical="top" wrapText="1"/>
    </xf>
    <xf numFmtId="0" fontId="23" fillId="0" borderId="18" xfId="19" applyFont="1" applyBorder="1" applyAlignment="1">
      <alignment horizontal="left" vertical="top" indent="10"/>
    </xf>
    <xf numFmtId="0" fontId="24" fillId="0" borderId="18" xfId="19" applyFont="1" applyBorder="1" applyAlignment="1">
      <alignment horizontal="center" vertical="top"/>
    </xf>
    <xf numFmtId="0" fontId="21" fillId="0" borderId="18" xfId="19" applyFont="1" applyBorder="1" applyAlignment="1">
      <alignment horizontal="left" vertical="top"/>
    </xf>
    <xf numFmtId="0" fontId="22" fillId="0" borderId="4" xfId="19" applyFont="1" applyBorder="1" applyAlignment="1">
      <alignment horizontal="left" vertical="top"/>
    </xf>
    <xf numFmtId="0" fontId="27" fillId="0" borderId="4" xfId="19" applyFont="1" applyBorder="1" applyAlignment="1">
      <alignment horizontal="center" vertical="center"/>
    </xf>
    <xf numFmtId="0" fontId="26" fillId="0" borderId="18" xfId="19" applyFont="1" applyBorder="1" applyAlignment="1">
      <alignment vertical="top"/>
    </xf>
    <xf numFmtId="0" fontId="27" fillId="0" borderId="18" xfId="33" applyFont="1" applyBorder="1" applyAlignment="1">
      <alignment horizontal="left" vertical="top"/>
    </xf>
    <xf numFmtId="0" fontId="28" fillId="0" borderId="0" xfId="33" applyFont="1" applyAlignment="1">
      <alignment horizontal="left" vertical="top"/>
    </xf>
    <xf numFmtId="0" fontId="28" fillId="0" borderId="19" xfId="33" applyFont="1" applyBorder="1" applyAlignment="1">
      <alignment horizontal="left" vertical="top"/>
    </xf>
    <xf numFmtId="0" fontId="24" fillId="0" borderId="18" xfId="33" applyFont="1" applyBorder="1" applyAlignment="1">
      <alignment horizontal="left" vertical="top"/>
    </xf>
    <xf numFmtId="0" fontId="24" fillId="0" borderId="19" xfId="33" applyFont="1" applyBorder="1" applyAlignment="1">
      <alignment vertical="top"/>
    </xf>
    <xf numFmtId="0" fontId="24" fillId="0" borderId="21" xfId="19" applyFont="1" applyBorder="1" applyAlignment="1">
      <alignment horizontal="left" vertical="top"/>
    </xf>
    <xf numFmtId="0" fontId="21" fillId="0" borderId="22" xfId="19" applyFont="1" applyBorder="1" applyAlignment="1">
      <alignment horizontal="left" vertical="top"/>
    </xf>
    <xf numFmtId="0" fontId="21" fillId="0" borderId="23" xfId="19" applyFont="1" applyBorder="1" applyAlignment="1">
      <alignment horizontal="left" vertical="top"/>
    </xf>
    <xf numFmtId="0" fontId="14" fillId="0" borderId="0" xfId="0" applyFont="1" applyAlignment="1">
      <alignment vertical="center"/>
    </xf>
    <xf numFmtId="164" fontId="29" fillId="0" borderId="0" xfId="12" applyFont="1" applyBorder="1" applyAlignment="1">
      <alignment vertical="center"/>
    </xf>
    <xf numFmtId="164" fontId="14" fillId="0" borderId="0" xfId="12" applyFont="1" applyBorder="1" applyAlignment="1">
      <alignment vertical="center"/>
    </xf>
    <xf numFmtId="164" fontId="14" fillId="0" borderId="0" xfId="12" applyFont="1" applyAlignment="1">
      <alignment vertical="center"/>
    </xf>
    <xf numFmtId="0" fontId="30" fillId="0" borderId="0" xfId="0" applyFont="1" applyAlignment="1">
      <alignment vertical="center"/>
    </xf>
    <xf numFmtId="173" fontId="31" fillId="0" borderId="0" xfId="34" applyFont="1" applyAlignment="1">
      <alignment horizontal="center"/>
    </xf>
    <xf numFmtId="173" fontId="29" fillId="0" borderId="0" xfId="34" applyFont="1" applyAlignment="1">
      <alignment wrapText="1"/>
    </xf>
    <xf numFmtId="2" fontId="31" fillId="0" borderId="0" xfId="34" applyNumberFormat="1" applyFont="1" applyAlignment="1">
      <alignment vertical="center"/>
    </xf>
    <xf numFmtId="0" fontId="14" fillId="0" borderId="0" xfId="3" applyFont="1" applyAlignment="1">
      <alignment horizontal="center" vertical="center"/>
    </xf>
    <xf numFmtId="164" fontId="14" fillId="0" borderId="0" xfId="12" applyFont="1" applyAlignment="1">
      <alignment horizontal="center" vertical="center"/>
    </xf>
    <xf numFmtId="164" fontId="14" fillId="0" borderId="0" xfId="0" applyNumberFormat="1" applyFont="1" applyAlignment="1">
      <alignment vertical="center"/>
    </xf>
    <xf numFmtId="164" fontId="14" fillId="0" borderId="0" xfId="1" applyFont="1" applyFill="1" applyAlignment="1">
      <alignment vertical="center"/>
    </xf>
    <xf numFmtId="164" fontId="29" fillId="0" borderId="0" xfId="12" applyFont="1" applyFill="1" applyBorder="1" applyAlignment="1">
      <alignment vertical="center"/>
    </xf>
    <xf numFmtId="164" fontId="14" fillId="0" borderId="0" xfId="12" applyFont="1" applyFill="1" applyBorder="1" applyAlignment="1">
      <alignment vertical="center"/>
    </xf>
    <xf numFmtId="164" fontId="14" fillId="0" borderId="0" xfId="12" applyFont="1" applyFill="1" applyAlignment="1">
      <alignment vertical="center"/>
    </xf>
    <xf numFmtId="0" fontId="18" fillId="0" borderId="5" xfId="0" applyFont="1" applyBorder="1" applyAlignment="1">
      <alignment horizontal="center" vertical="center" wrapText="1"/>
    </xf>
    <xf numFmtId="0" fontId="16" fillId="0" borderId="5" xfId="0" applyFont="1" applyBorder="1" applyAlignment="1">
      <alignment wrapText="1"/>
    </xf>
    <xf numFmtId="43" fontId="8" fillId="0" borderId="5" xfId="4" applyFont="1" applyBorder="1" applyAlignment="1">
      <alignment horizontal="center" vertical="center"/>
    </xf>
    <xf numFmtId="43" fontId="9" fillId="0" borderId="5" xfId="4" applyFont="1" applyBorder="1" applyAlignment="1">
      <alignment horizontal="center" vertical="center"/>
    </xf>
    <xf numFmtId="43" fontId="9" fillId="0" borderId="5" xfId="4" applyFont="1" applyBorder="1" applyAlignment="1">
      <alignment vertical="center"/>
    </xf>
    <xf numFmtId="43" fontId="9" fillId="0" borderId="0" xfId="4" applyFont="1" applyBorder="1" applyAlignment="1">
      <alignment horizontal="center" vertical="center"/>
    </xf>
    <xf numFmtId="164" fontId="2" fillId="4" borderId="5" xfId="12" applyFont="1" applyFill="1" applyBorder="1" applyAlignment="1">
      <alignment horizontal="center" vertical="center" wrapText="1"/>
    </xf>
    <xf numFmtId="164" fontId="3" fillId="4" borderId="5" xfId="12" applyFont="1" applyFill="1" applyBorder="1" applyAlignment="1">
      <alignment horizontal="center" vertical="center" shrinkToFit="1"/>
    </xf>
    <xf numFmtId="164" fontId="3" fillId="4" borderId="5" xfId="12" applyFont="1" applyFill="1" applyBorder="1" applyAlignment="1">
      <alignment horizontal="center" vertical="center"/>
    </xf>
    <xf numFmtId="164" fontId="2" fillId="4" borderId="5" xfId="12" applyFont="1" applyFill="1" applyBorder="1" applyAlignment="1">
      <alignment horizontal="center" vertical="center"/>
    </xf>
    <xf numFmtId="164" fontId="3" fillId="0" borderId="5" xfId="12" applyFont="1" applyFill="1" applyBorder="1" applyAlignment="1">
      <alignment horizontal="center" vertical="center" wrapText="1"/>
    </xf>
    <xf numFmtId="0" fontId="3" fillId="0" borderId="0" xfId="13" applyFont="1" applyAlignment="1">
      <alignment horizontal="center" vertical="center"/>
    </xf>
    <xf numFmtId="164" fontId="2" fillId="0" borderId="5" xfId="12" applyFont="1" applyFill="1" applyBorder="1" applyAlignment="1">
      <alignment horizontal="center" vertical="center" wrapText="1"/>
    </xf>
    <xf numFmtId="164" fontId="2" fillId="0" borderId="5" xfId="12" applyFont="1" applyFill="1" applyBorder="1" applyAlignment="1">
      <alignment horizontal="center" vertical="center" shrinkToFit="1"/>
    </xf>
    <xf numFmtId="164" fontId="3" fillId="0" borderId="0" xfId="12" applyFont="1" applyFill="1" applyBorder="1" applyAlignment="1">
      <alignment horizontal="center" vertical="center"/>
    </xf>
    <xf numFmtId="164" fontId="3" fillId="0" borderId="5" xfId="12" applyFont="1" applyFill="1" applyBorder="1" applyAlignment="1">
      <alignment horizontal="center" vertical="center"/>
    </xf>
    <xf numFmtId="0" fontId="2" fillId="0" borderId="0" xfId="13" applyFont="1" applyAlignment="1">
      <alignment horizontal="center" vertical="center"/>
    </xf>
    <xf numFmtId="164" fontId="2" fillId="0" borderId="0" xfId="13" applyNumberFormat="1" applyFont="1" applyAlignment="1">
      <alignment horizontal="center" vertical="center"/>
    </xf>
    <xf numFmtId="164" fontId="18" fillId="0" borderId="5" xfId="1" applyFont="1" applyBorder="1" applyAlignment="1">
      <alignment horizontal="center" vertical="top"/>
    </xf>
    <xf numFmtId="164" fontId="18" fillId="2" borderId="5" xfId="1" applyFont="1" applyFill="1" applyBorder="1" applyAlignment="1">
      <alignment horizontal="center" vertical="top"/>
    </xf>
    <xf numFmtId="164" fontId="16" fillId="0" borderId="5" xfId="1" applyFont="1" applyBorder="1" applyAlignment="1">
      <alignment horizontal="center" vertical="top"/>
    </xf>
    <xf numFmtId="2" fontId="9" fillId="0" borderId="5" xfId="0" applyNumberFormat="1" applyFont="1" applyBorder="1"/>
    <xf numFmtId="43" fontId="8" fillId="3" borderId="5" xfId="4" applyFont="1" applyFill="1" applyBorder="1" applyAlignment="1">
      <alignment horizontal="center" vertical="center"/>
    </xf>
    <xf numFmtId="164" fontId="33" fillId="0" borderId="5" xfId="12" applyFont="1" applyFill="1" applyBorder="1" applyAlignment="1">
      <alignment horizontal="left" vertical="top" wrapText="1"/>
    </xf>
    <xf numFmtId="0" fontId="6" fillId="0" borderId="5" xfId="28" applyFont="1" applyBorder="1" applyAlignment="1">
      <alignment horizontal="left"/>
    </xf>
    <xf numFmtId="0" fontId="6" fillId="0" borderId="5" xfId="28" applyFont="1" applyBorder="1" applyAlignment="1">
      <alignment horizontal="center" vertical="center"/>
    </xf>
    <xf numFmtId="0" fontId="5" fillId="0" borderId="20" xfId="28" applyFont="1" applyBorder="1" applyAlignment="1">
      <alignment horizontal="center"/>
    </xf>
    <xf numFmtId="0" fontId="6" fillId="0" borderId="0" xfId="28" applyFont="1"/>
    <xf numFmtId="0" fontId="5" fillId="0" borderId="5" xfId="28" applyFont="1" applyBorder="1" applyAlignment="1">
      <alignment horizontal="left"/>
    </xf>
    <xf numFmtId="0" fontId="5" fillId="0" borderId="5" xfId="28" applyFont="1" applyBorder="1" applyAlignment="1">
      <alignment horizontal="left" vertical="center"/>
    </xf>
    <xf numFmtId="0" fontId="6" fillId="0" borderId="11" xfId="28" applyFont="1" applyBorder="1"/>
    <xf numFmtId="0" fontId="6" fillId="0" borderId="13" xfId="28" applyFont="1" applyBorder="1"/>
    <xf numFmtId="164" fontId="6" fillId="0" borderId="13" xfId="1" applyFont="1" applyBorder="1" applyAlignment="1"/>
    <xf numFmtId="164" fontId="6" fillId="0" borderId="14" xfId="1" applyFont="1" applyBorder="1" applyAlignment="1"/>
    <xf numFmtId="0" fontId="6" fillId="0" borderId="5" xfId="28" applyFont="1" applyBorder="1" applyAlignment="1">
      <alignment horizontal="left" vertical="top" wrapText="1"/>
    </xf>
    <xf numFmtId="0" fontId="6" fillId="0" borderId="5" xfId="28" applyFont="1" applyBorder="1" applyAlignment="1">
      <alignment horizontal="left" wrapText="1"/>
    </xf>
    <xf numFmtId="0" fontId="6" fillId="0" borderId="5" xfId="28" applyFont="1" applyBorder="1"/>
    <xf numFmtId="0" fontId="5" fillId="0" borderId="5" xfId="28" applyFont="1" applyBorder="1"/>
    <xf numFmtId="0" fontId="5" fillId="0" borderId="20" xfId="28" applyFont="1" applyBorder="1" applyAlignment="1">
      <alignment horizontal="center" vertical="top" wrapText="1"/>
    </xf>
    <xf numFmtId="171" fontId="6" fillId="0" borderId="0" xfId="28" applyNumberFormat="1" applyFont="1"/>
    <xf numFmtId="174" fontId="6" fillId="0" borderId="0" xfId="28" applyNumberFormat="1" applyFont="1"/>
    <xf numFmtId="0" fontId="5" fillId="0" borderId="5" xfId="28" applyFont="1" applyBorder="1" applyAlignment="1">
      <alignment horizontal="center" vertical="center"/>
    </xf>
    <xf numFmtId="0" fontId="6" fillId="0" borderId="20" xfId="28" applyFont="1" applyBorder="1" applyAlignment="1">
      <alignment horizontal="center"/>
    </xf>
    <xf numFmtId="0" fontId="6" fillId="0" borderId="5" xfId="28" applyFont="1" applyBorder="1" applyAlignment="1">
      <alignment vertical="top" wrapText="1"/>
    </xf>
    <xf numFmtId="0" fontId="5" fillId="0" borderId="5" xfId="28" applyFont="1" applyBorder="1" applyAlignment="1">
      <alignment vertical="center"/>
    </xf>
    <xf numFmtId="0" fontId="6" fillId="0" borderId="14" xfId="28" applyFont="1" applyBorder="1" applyAlignment="1">
      <alignment horizontal="left" vertical="top" wrapText="1"/>
    </xf>
    <xf numFmtId="0" fontId="5" fillId="0" borderId="5" xfId="28" applyFont="1" applyBorder="1" applyAlignment="1">
      <alignment horizontal="left" vertical="top" wrapText="1"/>
    </xf>
    <xf numFmtId="0" fontId="6" fillId="0" borderId="11" xfId="31" applyFont="1" applyBorder="1" applyAlignment="1">
      <alignment vertical="top" wrapText="1"/>
    </xf>
    <xf numFmtId="0" fontId="6" fillId="0" borderId="5" xfId="31" applyFont="1" applyBorder="1" applyAlignment="1">
      <alignment horizontal="center" vertical="center" wrapText="1"/>
    </xf>
    <xf numFmtId="164" fontId="6" fillId="0" borderId="5" xfId="1" applyFont="1" applyBorder="1" applyAlignment="1">
      <alignment horizontal="center" vertical="center" wrapText="1"/>
    </xf>
    <xf numFmtId="0" fontId="5" fillId="0" borderId="14" xfId="31" applyFont="1" applyBorder="1" applyAlignment="1">
      <alignment horizontal="left" vertical="top" wrapText="1"/>
    </xf>
    <xf numFmtId="0" fontId="6" fillId="0" borderId="0" xfId="32" applyFont="1"/>
    <xf numFmtId="0" fontId="6" fillId="0" borderId="5" xfId="31" applyFont="1" applyBorder="1" applyAlignment="1">
      <alignment vertical="center"/>
    </xf>
    <xf numFmtId="171" fontId="6" fillId="0" borderId="5" xfId="31" applyNumberFormat="1" applyFont="1" applyBorder="1" applyAlignment="1">
      <alignment horizontal="center" vertical="center"/>
    </xf>
    <xf numFmtId="0" fontId="6" fillId="0" borderId="5" xfId="31" applyFont="1" applyBorder="1"/>
    <xf numFmtId="0" fontId="6" fillId="0" borderId="5" xfId="31" applyFont="1" applyBorder="1" applyAlignment="1">
      <alignment horizontal="center" vertical="center"/>
    </xf>
    <xf numFmtId="170" fontId="6" fillId="0" borderId="5" xfId="31" applyNumberFormat="1" applyFont="1" applyBorder="1" applyAlignment="1">
      <alignment horizontal="center" vertical="center"/>
    </xf>
    <xf numFmtId="0" fontId="6" fillId="0" borderId="5" xfId="31" applyFont="1" applyBorder="1" applyAlignment="1">
      <alignment wrapText="1"/>
    </xf>
    <xf numFmtId="0" fontId="6" fillId="0" borderId="5" xfId="28" applyFont="1" applyBorder="1" applyAlignment="1">
      <alignment wrapText="1"/>
    </xf>
    <xf numFmtId="0" fontId="35" fillId="0" borderId="11" xfId="10" applyFont="1" applyBorder="1" applyAlignment="1">
      <alignment vertical="top" wrapText="1"/>
    </xf>
    <xf numFmtId="0" fontId="35" fillId="0" borderId="13" xfId="10" applyFont="1" applyBorder="1" applyAlignment="1">
      <alignment vertical="top" wrapText="1"/>
    </xf>
    <xf numFmtId="0" fontId="35" fillId="0" borderId="14" xfId="10" applyFont="1" applyBorder="1" applyAlignment="1">
      <alignment vertical="top" wrapText="1"/>
    </xf>
    <xf numFmtId="164" fontId="6" fillId="0" borderId="5" xfId="1" applyFont="1" applyBorder="1"/>
    <xf numFmtId="164" fontId="6" fillId="0" borderId="5" xfId="1" applyFont="1" applyBorder="1" applyAlignment="1">
      <alignment horizontal="center"/>
    </xf>
    <xf numFmtId="164" fontId="6" fillId="0" borderId="5" xfId="1" applyFont="1" applyBorder="1" applyAlignment="1">
      <alignment horizontal="center" wrapText="1"/>
    </xf>
    <xf numFmtId="164" fontId="36" fillId="0" borderId="5" xfId="1" applyFont="1" applyBorder="1" applyAlignment="1">
      <alignment horizontal="center"/>
    </xf>
    <xf numFmtId="164" fontId="36" fillId="0" borderId="5" xfId="1" applyFont="1" applyBorder="1" applyAlignment="1">
      <alignment horizontal="center" wrapText="1"/>
    </xf>
    <xf numFmtId="0" fontId="6" fillId="0" borderId="5" xfId="28" applyFont="1" applyBorder="1" applyAlignment="1">
      <alignment vertical="center"/>
    </xf>
    <xf numFmtId="0" fontId="6" fillId="0" borderId="5" xfId="28" applyFont="1" applyBorder="1" applyAlignment="1">
      <alignment vertical="center" wrapText="1"/>
    </xf>
    <xf numFmtId="0" fontId="6" fillId="0" borderId="5" xfId="28" applyFont="1" applyBorder="1" applyAlignment="1">
      <alignment horizontal="left" vertical="center"/>
    </xf>
    <xf numFmtId="164" fontId="6" fillId="0" borderId="14" xfId="1" applyFont="1" applyBorder="1"/>
    <xf numFmtId="164" fontId="6" fillId="0" borderId="5" xfId="1" applyFont="1" applyBorder="1" applyAlignment="1">
      <alignment horizontal="left" vertical="top" wrapText="1"/>
    </xf>
    <xf numFmtId="43" fontId="6" fillId="0" borderId="0" xfId="28" applyNumberFormat="1" applyFont="1"/>
    <xf numFmtId="43" fontId="6" fillId="0" borderId="0" xfId="32" applyNumberFormat="1" applyFont="1"/>
    <xf numFmtId="0" fontId="9" fillId="3" borderId="5" xfId="0" applyFont="1" applyFill="1" applyBorder="1" applyAlignment="1">
      <alignment horizontal="center" vertical="center"/>
    </xf>
    <xf numFmtId="0" fontId="9" fillId="3" borderId="5" xfId="0" applyFont="1" applyFill="1" applyBorder="1" applyAlignment="1">
      <alignment wrapText="1"/>
    </xf>
    <xf numFmtId="43" fontId="9" fillId="3" borderId="5" xfId="4" applyFont="1" applyFill="1" applyBorder="1" applyAlignment="1">
      <alignment horizontal="center" vertical="center"/>
    </xf>
    <xf numFmtId="43" fontId="9" fillId="3" borderId="5" xfId="4" applyFont="1" applyFill="1" applyBorder="1" applyAlignment="1">
      <alignment vertical="center"/>
    </xf>
    <xf numFmtId="0" fontId="9" fillId="3" borderId="0" xfId="0" applyFont="1" applyFill="1"/>
    <xf numFmtId="0" fontId="9" fillId="3" borderId="5" xfId="0" applyFont="1" applyFill="1" applyBorder="1"/>
    <xf numFmtId="175" fontId="8" fillId="0" borderId="5" xfId="4" applyNumberFormat="1" applyFont="1" applyBorder="1" applyAlignment="1">
      <alignment horizontal="center" vertical="center"/>
    </xf>
    <xf numFmtId="175" fontId="9" fillId="0" borderId="5" xfId="4" applyNumberFormat="1" applyFont="1" applyBorder="1" applyAlignment="1">
      <alignment horizontal="center" vertical="center"/>
    </xf>
    <xf numFmtId="0" fontId="7" fillId="0" borderId="0" xfId="19" applyAlignment="1">
      <alignment horizontal="left" vertical="top"/>
    </xf>
    <xf numFmtId="0" fontId="21" fillId="0" borderId="0" xfId="19" applyFont="1" applyAlignment="1">
      <alignment horizontal="left" vertical="top"/>
    </xf>
    <xf numFmtId="0" fontId="23" fillId="0" borderId="0" xfId="19" applyFont="1" applyAlignment="1">
      <alignment vertical="top"/>
    </xf>
    <xf numFmtId="0" fontId="24" fillId="0" borderId="0" xfId="19" applyFont="1" applyAlignment="1">
      <alignment horizontal="left" vertical="top"/>
    </xf>
    <xf numFmtId="0" fontId="26" fillId="0" borderId="0" xfId="19" applyFont="1" applyAlignment="1">
      <alignment vertical="top"/>
    </xf>
    <xf numFmtId="0" fontId="22" fillId="0" borderId="0" xfId="19" applyFont="1" applyAlignment="1">
      <alignment horizontal="center" vertical="top"/>
    </xf>
    <xf numFmtId="0" fontId="22" fillId="0" borderId="22" xfId="19" applyFont="1" applyBorder="1" applyAlignment="1">
      <alignment horizontal="center" vertical="top"/>
    </xf>
    <xf numFmtId="0" fontId="24" fillId="0" borderId="23" xfId="19" applyFont="1" applyBorder="1" applyAlignment="1">
      <alignment vertical="top"/>
    </xf>
    <xf numFmtId="164" fontId="37" fillId="0" borderId="5" xfId="1" applyFont="1" applyBorder="1" applyAlignment="1">
      <alignment horizontal="center" vertical="center"/>
    </xf>
    <xf numFmtId="164" fontId="38" fillId="0" borderId="5" xfId="12" applyFont="1" applyFill="1" applyBorder="1" applyAlignment="1">
      <alignment horizontal="left" vertical="top" wrapText="1"/>
    </xf>
    <xf numFmtId="0" fontId="22" fillId="0" borderId="0" xfId="19" applyFont="1" applyAlignment="1">
      <alignment horizontal="center" vertical="top"/>
    </xf>
    <xf numFmtId="0" fontId="20" fillId="0" borderId="18" xfId="19" applyFont="1" applyBorder="1" applyAlignment="1">
      <alignment horizontal="center" vertical="center" wrapText="1"/>
    </xf>
    <xf numFmtId="0" fontId="20" fillId="0" borderId="0" xfId="19" applyFont="1" applyAlignment="1">
      <alignment horizontal="center" vertical="center" wrapText="1"/>
    </xf>
    <xf numFmtId="0" fontId="22" fillId="0" borderId="18" xfId="19" applyFont="1" applyBorder="1" applyAlignment="1">
      <alignment horizontal="left"/>
    </xf>
    <xf numFmtId="0" fontId="22" fillId="0" borderId="0" xfId="19" applyFont="1" applyAlignment="1">
      <alignment horizontal="left"/>
    </xf>
    <xf numFmtId="0" fontId="25" fillId="0" borderId="18" xfId="19" applyFont="1" applyBorder="1" applyAlignment="1">
      <alignment horizontal="left"/>
    </xf>
    <xf numFmtId="0" fontId="25" fillId="0" borderId="0" xfId="19" applyFont="1" applyAlignment="1">
      <alignment horizontal="left"/>
    </xf>
    <xf numFmtId="0" fontId="23" fillId="0" borderId="0" xfId="19" applyFont="1" applyAlignment="1">
      <alignment horizontal="left" vertical="top" wrapText="1"/>
    </xf>
    <xf numFmtId="0" fontId="23" fillId="0" borderId="19" xfId="19" applyFont="1" applyBorder="1" applyAlignment="1">
      <alignment horizontal="left" vertical="top" wrapText="1"/>
    </xf>
    <xf numFmtId="0" fontId="23" fillId="0" borderId="18" xfId="19" applyFont="1" applyBorder="1" applyAlignment="1">
      <alignment horizontal="left" vertical="top"/>
    </xf>
    <xf numFmtId="0" fontId="23" fillId="0" borderId="0" xfId="19" applyFont="1" applyAlignment="1">
      <alignment horizontal="left" vertical="top"/>
    </xf>
    <xf numFmtId="0" fontId="23" fillId="0" borderId="19" xfId="19" applyFont="1" applyBorder="1" applyAlignment="1">
      <alignment horizontal="left" vertical="top"/>
    </xf>
    <xf numFmtId="0" fontId="24" fillId="0" borderId="18" xfId="19" applyFont="1" applyBorder="1" applyAlignment="1">
      <alignment horizontal="left" vertical="top" wrapText="1"/>
    </xf>
    <xf numFmtId="0" fontId="24" fillId="0" borderId="0" xfId="19" applyFont="1" applyAlignment="1">
      <alignment horizontal="left" vertical="top" wrapText="1"/>
    </xf>
    <xf numFmtId="0" fontId="24" fillId="0" borderId="19" xfId="19" applyFont="1" applyBorder="1" applyAlignment="1">
      <alignment horizontal="left" vertical="top" wrapText="1"/>
    </xf>
    <xf numFmtId="0" fontId="22" fillId="0" borderId="11" xfId="19" applyFont="1" applyBorder="1" applyAlignment="1">
      <alignment horizontal="center" vertical="top"/>
    </xf>
    <xf numFmtId="0" fontId="22" fillId="0" borderId="13" xfId="19" applyFont="1" applyBorder="1" applyAlignment="1">
      <alignment horizontal="center" vertical="top"/>
    </xf>
    <xf numFmtId="0" fontId="22" fillId="0" borderId="14" xfId="19" applyFont="1" applyBorder="1" applyAlignment="1">
      <alignment horizontal="center" vertical="top"/>
    </xf>
    <xf numFmtId="0" fontId="22" fillId="0" borderId="11" xfId="19" applyFont="1" applyBorder="1" applyAlignment="1">
      <alignment horizontal="center" vertical="center" wrapText="1"/>
    </xf>
    <xf numFmtId="0" fontId="22" fillId="0" borderId="13" xfId="19" applyFont="1" applyBorder="1" applyAlignment="1">
      <alignment horizontal="center" vertical="center" wrapText="1"/>
    </xf>
    <xf numFmtId="0" fontId="22" fillId="0" borderId="14" xfId="19" applyFont="1" applyBorder="1" applyAlignment="1">
      <alignment horizontal="center" vertical="center" wrapText="1"/>
    </xf>
    <xf numFmtId="0" fontId="24" fillId="0" borderId="0" xfId="19" applyFont="1" applyAlignment="1">
      <alignment horizontal="center" vertical="top"/>
    </xf>
    <xf numFmtId="0" fontId="23" fillId="0" borderId="21" xfId="19" applyFont="1" applyBorder="1" applyAlignment="1">
      <alignment horizontal="center" vertical="top" wrapText="1"/>
    </xf>
    <xf numFmtId="0" fontId="23" fillId="0" borderId="22" xfId="19" applyFont="1" applyBorder="1" applyAlignment="1">
      <alignment horizontal="center" vertical="top" wrapText="1"/>
    </xf>
    <xf numFmtId="0" fontId="22" fillId="0" borderId="0" xfId="33" applyFont="1" applyAlignment="1">
      <alignment horizontal="center" vertical="top"/>
    </xf>
    <xf numFmtId="0" fontId="22" fillId="0" borderId="18" xfId="33" applyFont="1" applyBorder="1" applyAlignment="1">
      <alignment horizontal="left" vertical="top"/>
    </xf>
    <xf numFmtId="0" fontId="22" fillId="0" borderId="0" xfId="33" applyFont="1" applyAlignment="1">
      <alignment horizontal="left" vertical="top"/>
    </xf>
    <xf numFmtId="0" fontId="2" fillId="0" borderId="5" xfId="13" applyFont="1" applyBorder="1" applyAlignment="1">
      <alignment horizontal="center" vertical="center" wrapText="1"/>
    </xf>
    <xf numFmtId="164" fontId="2" fillId="0" borderId="11" xfId="12" applyFont="1" applyFill="1" applyBorder="1" applyAlignment="1">
      <alignment horizontal="center" vertical="center" wrapText="1"/>
    </xf>
    <xf numFmtId="164" fontId="2" fillId="0" borderId="13" xfId="12" applyFont="1" applyFill="1" applyBorder="1" applyAlignment="1">
      <alignment horizontal="center" vertical="center" wrapText="1"/>
    </xf>
    <xf numFmtId="164" fontId="2" fillId="0" borderId="14" xfId="12" applyFont="1" applyFill="1" applyBorder="1" applyAlignment="1">
      <alignment horizontal="center" vertical="center" wrapText="1"/>
    </xf>
    <xf numFmtId="0" fontId="2" fillId="0" borderId="11" xfId="13" applyFont="1" applyBorder="1" applyAlignment="1">
      <alignment horizontal="center" vertical="center"/>
    </xf>
    <xf numFmtId="0" fontId="2" fillId="0" borderId="13" xfId="13" applyFont="1" applyBorder="1" applyAlignment="1">
      <alignment horizontal="center" vertical="center"/>
    </xf>
    <xf numFmtId="0" fontId="2" fillId="0" borderId="14" xfId="13" applyFont="1" applyBorder="1" applyAlignment="1">
      <alignment horizontal="center" vertical="center"/>
    </xf>
    <xf numFmtId="2" fontId="32" fillId="0" borderId="0" xfId="34" applyNumberFormat="1" applyFont="1" applyAlignment="1">
      <alignment horizontal="center" vertical="center"/>
    </xf>
    <xf numFmtId="0" fontId="2" fillId="0" borderId="5" xfId="0" applyFont="1" applyBorder="1" applyAlignment="1">
      <alignment horizontal="right" vertical="center"/>
    </xf>
    <xf numFmtId="0" fontId="2" fillId="0" borderId="8" xfId="0" applyFont="1" applyBorder="1" applyAlignment="1">
      <alignment horizontal="right" vertical="center"/>
    </xf>
    <xf numFmtId="167" fontId="5" fillId="0" borderId="0" xfId="3" applyNumberFormat="1" applyFont="1" applyAlignment="1">
      <alignment horizontal="center" vertical="center"/>
    </xf>
    <xf numFmtId="0" fontId="5" fillId="0" borderId="2" xfId="3" applyFont="1" applyBorder="1" applyAlignment="1">
      <alignment horizontal="center" vertical="center" wrapText="1"/>
    </xf>
    <xf numFmtId="0" fontId="5" fillId="0" borderId="2" xfId="3" applyFont="1" applyBorder="1" applyAlignment="1">
      <alignment horizontal="center" vertical="center"/>
    </xf>
    <xf numFmtId="0" fontId="5" fillId="0" borderId="3" xfId="3" applyFont="1" applyBorder="1" applyAlignment="1">
      <alignment horizontal="center" vertical="center"/>
    </xf>
    <xf numFmtId="0" fontId="5" fillId="0" borderId="15" xfId="3" applyFont="1" applyBorder="1" applyAlignment="1">
      <alignment horizontal="center" vertical="center" wrapText="1"/>
    </xf>
    <xf numFmtId="0" fontId="5" fillId="0" borderId="16" xfId="3" applyFont="1" applyBorder="1" applyAlignment="1">
      <alignment horizontal="center" vertical="center"/>
    </xf>
    <xf numFmtId="0" fontId="5" fillId="0" borderId="17" xfId="3" applyFont="1" applyBorder="1" applyAlignment="1">
      <alignment horizontal="center" vertical="center"/>
    </xf>
    <xf numFmtId="0" fontId="5" fillId="0" borderId="18" xfId="3" applyFont="1" applyBorder="1" applyAlignment="1">
      <alignment horizontal="center" vertical="center" wrapText="1"/>
    </xf>
    <xf numFmtId="0" fontId="5" fillId="0" borderId="0" xfId="3" applyFont="1" applyAlignment="1">
      <alignment horizontal="center" vertical="center"/>
    </xf>
    <xf numFmtId="0" fontId="5" fillId="0" borderId="19" xfId="3" applyFont="1" applyBorder="1" applyAlignment="1">
      <alignment horizontal="center" vertical="center"/>
    </xf>
    <xf numFmtId="165" fontId="5" fillId="0" borderId="0" xfId="3" applyNumberFormat="1" applyFont="1" applyAlignment="1">
      <alignment horizontal="left" vertical="center"/>
    </xf>
    <xf numFmtId="166" fontId="5" fillId="0" borderId="0" xfId="3" applyNumberFormat="1" applyFont="1" applyAlignment="1">
      <alignment horizontal="left" vertical="center"/>
    </xf>
    <xf numFmtId="0" fontId="5" fillId="0" borderId="1" xfId="3" applyFont="1" applyBorder="1" applyAlignment="1">
      <alignment horizontal="center" vertical="center" wrapText="1"/>
    </xf>
    <xf numFmtId="0" fontId="5" fillId="0" borderId="4" xfId="3" applyFont="1" applyBorder="1" applyAlignment="1">
      <alignment horizontal="center" vertical="center" wrapText="1"/>
    </xf>
    <xf numFmtId="0" fontId="5" fillId="0" borderId="5" xfId="3" applyFont="1" applyBorder="1" applyAlignment="1">
      <alignment horizontal="center" vertical="center" wrapText="1"/>
    </xf>
    <xf numFmtId="0" fontId="5" fillId="0" borderId="5" xfId="3" applyFont="1" applyBorder="1" applyAlignment="1">
      <alignment horizontal="center" vertical="center"/>
    </xf>
    <xf numFmtId="0" fontId="5" fillId="0" borderId="11" xfId="0" applyFont="1" applyBorder="1" applyAlignment="1">
      <alignment horizontal="center" vertical="center" wrapText="1"/>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0" xfId="0" applyFont="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165" fontId="5" fillId="0" borderId="5" xfId="3" applyNumberFormat="1" applyFont="1" applyBorder="1" applyAlignment="1">
      <alignment horizontal="left" vertical="center"/>
    </xf>
    <xf numFmtId="166" fontId="5" fillId="0" borderId="5" xfId="3" applyNumberFormat="1" applyFont="1" applyBorder="1" applyAlignment="1">
      <alignment horizontal="left" vertical="center"/>
    </xf>
    <xf numFmtId="167" fontId="5" fillId="0" borderId="5" xfId="3" applyNumberFormat="1" applyFont="1" applyBorder="1" applyAlignment="1">
      <alignment horizontal="left" vertical="center"/>
    </xf>
    <xf numFmtId="0" fontId="5" fillId="0" borderId="5" xfId="0" applyFont="1" applyBorder="1" applyAlignment="1">
      <alignment horizontal="left" vertical="center" wrapText="1"/>
    </xf>
    <xf numFmtId="0" fontId="5" fillId="0" borderId="5" xfId="0" applyFont="1" applyBorder="1" applyAlignment="1">
      <alignment horizontal="left"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wrapText="1"/>
    </xf>
    <xf numFmtId="0" fontId="5" fillId="0" borderId="0" xfId="11" applyFont="1" applyAlignment="1">
      <alignment horizontal="center" vertical="center" wrapText="1"/>
    </xf>
    <xf numFmtId="0" fontId="6" fillId="0" borderId="11" xfId="11" applyFont="1" applyBorder="1" applyAlignment="1">
      <alignment horizontal="center" vertical="center"/>
    </xf>
    <xf numFmtId="0" fontId="6" fillId="0" borderId="13" xfId="11" applyFont="1" applyBorder="1" applyAlignment="1">
      <alignment horizontal="center" vertical="center"/>
    </xf>
    <xf numFmtId="0" fontId="6" fillId="0" borderId="14" xfId="11" applyFont="1" applyBorder="1" applyAlignment="1">
      <alignment horizontal="center" vertical="center"/>
    </xf>
    <xf numFmtId="172" fontId="17" fillId="2" borderId="5" xfId="0" applyNumberFormat="1" applyFont="1" applyFill="1" applyBorder="1" applyAlignment="1">
      <alignment horizontal="center" vertical="center"/>
    </xf>
    <xf numFmtId="170" fontId="6" fillId="0" borderId="12" xfId="28" applyNumberFormat="1" applyFont="1" applyBorder="1" applyAlignment="1">
      <alignment horizontal="center" vertical="top"/>
    </xf>
    <xf numFmtId="170" fontId="6" fillId="0" borderId="20" xfId="28" applyNumberFormat="1" applyFont="1" applyBorder="1" applyAlignment="1">
      <alignment horizontal="center" vertical="top"/>
    </xf>
    <xf numFmtId="170" fontId="6" fillId="0" borderId="10" xfId="28" applyNumberFormat="1" applyFont="1" applyBorder="1" applyAlignment="1">
      <alignment horizontal="center" vertical="top"/>
    </xf>
    <xf numFmtId="0" fontId="5" fillId="0" borderId="11" xfId="28" applyFont="1" applyBorder="1" applyAlignment="1">
      <alignment horizontal="left"/>
    </xf>
    <xf numFmtId="0" fontId="5" fillId="0" borderId="13" xfId="28" applyFont="1" applyBorder="1" applyAlignment="1">
      <alignment horizontal="left"/>
    </xf>
    <xf numFmtId="0" fontId="5" fillId="0" borderId="14" xfId="28" applyFont="1" applyBorder="1" applyAlignment="1">
      <alignment horizontal="left"/>
    </xf>
    <xf numFmtId="0" fontId="6" fillId="0" borderId="5" xfId="28" applyFont="1" applyBorder="1" applyAlignment="1">
      <alignment horizontal="left" vertical="top" wrapText="1"/>
    </xf>
    <xf numFmtId="0" fontId="5" fillId="0" borderId="12" xfId="28" applyFont="1" applyBorder="1" applyAlignment="1">
      <alignment horizontal="center"/>
    </xf>
    <xf numFmtId="0" fontId="5" fillId="0" borderId="20" xfId="28" applyFont="1" applyBorder="1" applyAlignment="1">
      <alignment horizontal="center"/>
    </xf>
    <xf numFmtId="0" fontId="5" fillId="0" borderId="11" xfId="29" applyFont="1" applyBorder="1" applyAlignment="1">
      <alignment horizontal="right"/>
    </xf>
    <xf numFmtId="0" fontId="5" fillId="0" borderId="13" xfId="29" applyFont="1" applyBorder="1" applyAlignment="1">
      <alignment horizontal="right"/>
    </xf>
    <xf numFmtId="0" fontId="5" fillId="0" borderId="14" xfId="29" applyFont="1" applyBorder="1" applyAlignment="1">
      <alignment horizontal="right"/>
    </xf>
    <xf numFmtId="0" fontId="6" fillId="0" borderId="11" xfId="28" applyFont="1" applyBorder="1" applyAlignment="1">
      <alignment horizontal="left" vertical="top" wrapText="1"/>
    </xf>
    <xf numFmtId="0" fontId="6" fillId="0" borderId="13" xfId="28" applyFont="1" applyBorder="1" applyAlignment="1">
      <alignment horizontal="left" vertical="top" wrapText="1"/>
    </xf>
    <xf numFmtId="0" fontId="6" fillId="0" borderId="14" xfId="28" applyFont="1" applyBorder="1" applyAlignment="1">
      <alignment horizontal="left" vertical="top" wrapText="1"/>
    </xf>
    <xf numFmtId="0" fontId="5" fillId="0" borderId="12" xfId="28" applyFont="1" applyBorder="1" applyAlignment="1">
      <alignment horizontal="center" vertical="center"/>
    </xf>
    <xf numFmtId="0" fontId="5" fillId="0" borderId="20" xfId="28" applyFont="1" applyBorder="1" applyAlignment="1">
      <alignment horizontal="center" vertical="center"/>
    </xf>
    <xf numFmtId="164" fontId="16" fillId="0" borderId="12" xfId="1" applyFont="1" applyBorder="1" applyAlignment="1">
      <alignment horizontal="center" vertical="top"/>
    </xf>
    <xf numFmtId="164" fontId="16" fillId="0" borderId="20" xfId="1" applyFont="1" applyBorder="1" applyAlignment="1">
      <alignment horizontal="center" vertical="top"/>
    </xf>
    <xf numFmtId="164" fontId="16" fillId="0" borderId="10" xfId="1" applyFont="1" applyBorder="1" applyAlignment="1">
      <alignment horizontal="center" vertical="top"/>
    </xf>
    <xf numFmtId="0" fontId="16" fillId="0" borderId="11" xfId="0" applyFont="1" applyBorder="1" applyAlignment="1">
      <alignment horizontal="left" vertical="top" wrapText="1"/>
    </xf>
    <xf numFmtId="0" fontId="16" fillId="0" borderId="13" xfId="0" applyFont="1" applyBorder="1" applyAlignment="1">
      <alignment horizontal="left" vertical="top" wrapText="1"/>
    </xf>
    <xf numFmtId="0" fontId="16" fillId="0" borderId="14" xfId="0" applyFont="1" applyBorder="1" applyAlignment="1">
      <alignment horizontal="left" vertical="top" wrapText="1"/>
    </xf>
    <xf numFmtId="0" fontId="6" fillId="0" borderId="11" xfId="28" applyFont="1" applyBorder="1" applyAlignment="1">
      <alignment horizontal="left"/>
    </xf>
    <xf numFmtId="0" fontId="6" fillId="0" borderId="13" xfId="28" applyFont="1" applyBorder="1" applyAlignment="1">
      <alignment horizontal="left"/>
    </xf>
    <xf numFmtId="0" fontId="6" fillId="0" borderId="14" xfId="28" applyFont="1" applyBorder="1" applyAlignment="1">
      <alignment horizontal="left"/>
    </xf>
    <xf numFmtId="164" fontId="6" fillId="0" borderId="12" xfId="1" applyFont="1" applyFill="1" applyBorder="1" applyAlignment="1" applyProtection="1">
      <alignment horizontal="center" vertical="top"/>
    </xf>
    <xf numFmtId="164" fontId="6" fillId="0" borderId="20" xfId="1" applyFont="1" applyFill="1" applyBorder="1" applyAlignment="1" applyProtection="1">
      <alignment horizontal="center" vertical="top"/>
    </xf>
    <xf numFmtId="164" fontId="6" fillId="0" borderId="10" xfId="1" applyFont="1" applyFill="1" applyBorder="1" applyAlignment="1" applyProtection="1">
      <alignment horizontal="center" vertical="top"/>
    </xf>
    <xf numFmtId="170" fontId="6" fillId="0" borderId="11" xfId="28" applyNumberFormat="1" applyFont="1" applyBorder="1" applyAlignment="1">
      <alignment horizontal="left" vertical="center" wrapText="1"/>
    </xf>
    <xf numFmtId="170" fontId="6" fillId="0" borderId="13" xfId="28" applyNumberFormat="1" applyFont="1" applyBorder="1" applyAlignment="1">
      <alignment horizontal="left" vertical="center" wrapText="1"/>
    </xf>
    <xf numFmtId="170" fontId="6" fillId="0" borderId="14" xfId="28" applyNumberFormat="1" applyFont="1" applyBorder="1" applyAlignment="1">
      <alignment horizontal="left" vertical="center" wrapText="1"/>
    </xf>
    <xf numFmtId="170" fontId="5" fillId="0" borderId="11" xfId="29" applyNumberFormat="1" applyFont="1" applyBorder="1" applyAlignment="1">
      <alignment horizontal="right"/>
    </xf>
    <xf numFmtId="170" fontId="5" fillId="0" borderId="13" xfId="29" applyNumberFormat="1" applyFont="1" applyBorder="1" applyAlignment="1">
      <alignment horizontal="right"/>
    </xf>
    <xf numFmtId="170" fontId="5" fillId="0" borderId="14" xfId="29" applyNumberFormat="1" applyFont="1" applyBorder="1" applyAlignment="1">
      <alignment horizontal="right"/>
    </xf>
    <xf numFmtId="0" fontId="18" fillId="0" borderId="5" xfId="0" applyFont="1" applyBorder="1" applyAlignment="1">
      <alignment horizontal="center" vertical="center"/>
    </xf>
    <xf numFmtId="164" fontId="18" fillId="0" borderId="5" xfId="1" applyFont="1" applyBorder="1" applyAlignment="1">
      <alignment horizontal="center" vertical="center"/>
    </xf>
    <xf numFmtId="164" fontId="5" fillId="0" borderId="5" xfId="1" applyFont="1" applyBorder="1" applyAlignment="1">
      <alignment horizontal="center" vertical="center"/>
    </xf>
    <xf numFmtId="164" fontId="6" fillId="0" borderId="12" xfId="28" applyNumberFormat="1" applyFont="1" applyBorder="1" applyAlignment="1">
      <alignment horizontal="center" vertical="top"/>
    </xf>
    <xf numFmtId="164" fontId="6" fillId="0" borderId="20" xfId="28" applyNumberFormat="1" applyFont="1" applyBorder="1" applyAlignment="1">
      <alignment horizontal="center" vertical="top"/>
    </xf>
    <xf numFmtId="164" fontId="6" fillId="0" borderId="10" xfId="28" applyNumberFormat="1" applyFont="1" applyBorder="1" applyAlignment="1">
      <alignment horizontal="center" vertical="top"/>
    </xf>
    <xf numFmtId="171" fontId="6" fillId="0" borderId="5" xfId="28" applyNumberFormat="1" applyFont="1" applyBorder="1" applyAlignment="1">
      <alignment horizontal="center" vertical="center"/>
    </xf>
    <xf numFmtId="0" fontId="5" fillId="0" borderId="10" xfId="28" applyFont="1" applyBorder="1" applyAlignment="1">
      <alignment horizontal="center"/>
    </xf>
    <xf numFmtId="170" fontId="6" fillId="0" borderId="5" xfId="28" applyNumberFormat="1" applyFont="1" applyBorder="1" applyAlignment="1">
      <alignment horizontal="left" vertical="top" wrapText="1"/>
    </xf>
    <xf numFmtId="164" fontId="6" fillId="0" borderId="5" xfId="1" applyFont="1" applyBorder="1" applyAlignment="1">
      <alignment horizontal="center" vertical="center" wrapText="1"/>
    </xf>
    <xf numFmtId="164" fontId="6" fillId="0" borderId="5" xfId="1" applyFont="1" applyBorder="1" applyAlignment="1">
      <alignment horizontal="center" vertical="center"/>
    </xf>
    <xf numFmtId="0" fontId="5" fillId="0" borderId="12" xfId="31" applyFont="1" applyBorder="1" applyAlignment="1">
      <alignment horizontal="center" vertical="center"/>
    </xf>
    <xf numFmtId="0" fontId="5" fillId="0" borderId="20" xfId="31" applyFont="1" applyBorder="1" applyAlignment="1">
      <alignment horizontal="center" vertical="center"/>
    </xf>
    <xf numFmtId="0" fontId="5" fillId="0" borderId="11" xfId="31" applyFont="1" applyBorder="1" applyAlignment="1">
      <alignment horizontal="left"/>
    </xf>
    <xf numFmtId="0" fontId="5" fillId="0" borderId="13" xfId="31" applyFont="1" applyBorder="1" applyAlignment="1">
      <alignment horizontal="left"/>
    </xf>
    <xf numFmtId="0" fontId="5" fillId="0" borderId="14" xfId="31" applyFont="1" applyBorder="1" applyAlignment="1">
      <alignment horizontal="left"/>
    </xf>
    <xf numFmtId="43" fontId="8" fillId="0" borderId="5" xfId="4" applyFont="1" applyBorder="1" applyAlignment="1">
      <alignment horizontal="center" vertical="center"/>
    </xf>
    <xf numFmtId="0" fontId="8" fillId="0" borderId="11" xfId="0" applyFont="1" applyBorder="1" applyAlignment="1">
      <alignment horizontal="center" vertical="center"/>
    </xf>
    <xf numFmtId="0" fontId="8" fillId="0" borderId="13" xfId="0" applyFont="1" applyBorder="1" applyAlignment="1">
      <alignment horizontal="center" vertical="center"/>
    </xf>
    <xf numFmtId="0" fontId="8" fillId="0" borderId="5" xfId="0" applyFont="1" applyBorder="1" applyAlignment="1">
      <alignment horizontal="center" vertical="center"/>
    </xf>
    <xf numFmtId="43" fontId="8" fillId="0" borderId="5" xfId="4" applyFont="1" applyBorder="1" applyAlignment="1">
      <alignment horizontal="center" vertical="center" wrapText="1"/>
    </xf>
    <xf numFmtId="0" fontId="8" fillId="0" borderId="5" xfId="0" applyFont="1" applyBorder="1" applyAlignment="1">
      <alignment horizontal="right"/>
    </xf>
  </cellXfs>
  <cellStyles count="35">
    <cellStyle name="Comma" xfId="1" builtinId="3"/>
    <cellStyle name="Comma 13" xfId="15" xr:uid="{00000000-0005-0000-0000-000001000000}"/>
    <cellStyle name="Comma 17 2" xfId="16" xr:uid="{00000000-0005-0000-0000-000002000000}"/>
    <cellStyle name="Comma 2" xfId="4" xr:uid="{00000000-0005-0000-0000-000003000000}"/>
    <cellStyle name="Comma 2 2 14" xfId="17" xr:uid="{00000000-0005-0000-0000-000004000000}"/>
    <cellStyle name="Comma 3" xfId="9" xr:uid="{00000000-0005-0000-0000-000005000000}"/>
    <cellStyle name="Comma 4" xfId="6" xr:uid="{00000000-0005-0000-0000-000006000000}"/>
    <cellStyle name="Comma 4 3" xfId="18" xr:uid="{00000000-0005-0000-0000-000007000000}"/>
    <cellStyle name="Comma 5" xfId="12" xr:uid="{00000000-0005-0000-0000-000008000000}"/>
    <cellStyle name="Normal" xfId="0" builtinId="0"/>
    <cellStyle name="Normal - Style1" xfId="11" xr:uid="{00000000-0005-0000-0000-00000A000000}"/>
    <cellStyle name="Normal 13 3 2" xfId="30" xr:uid="{00000000-0005-0000-0000-00000B000000}"/>
    <cellStyle name="Normal 2" xfId="13" xr:uid="{00000000-0005-0000-0000-00000C000000}"/>
    <cellStyle name="Normal 2 2 2 12" xfId="19" xr:uid="{00000000-0005-0000-0000-00000D000000}"/>
    <cellStyle name="Normal 2 3" xfId="10" xr:uid="{00000000-0005-0000-0000-00000E000000}"/>
    <cellStyle name="Normal 25" xfId="29" xr:uid="{00000000-0005-0000-0000-00000F000000}"/>
    <cellStyle name="Normal 3" xfId="3" xr:uid="{00000000-0005-0000-0000-000010000000}"/>
    <cellStyle name="Normal 4" xfId="8" xr:uid="{00000000-0005-0000-0000-000011000000}"/>
    <cellStyle name="Normal 4 2 25" xfId="28" xr:uid="{00000000-0005-0000-0000-000012000000}"/>
    <cellStyle name="Normal 4 2 25 2" xfId="31" xr:uid="{00000000-0005-0000-0000-000013000000}"/>
    <cellStyle name="Normal 4 2 3" xfId="20" xr:uid="{00000000-0005-0000-0000-000014000000}"/>
    <cellStyle name="Normal 5" xfId="5" xr:uid="{00000000-0005-0000-0000-000015000000}"/>
    <cellStyle name="Normal 6" xfId="34" xr:uid="{00000000-0005-0000-0000-000016000000}"/>
    <cellStyle name="Normal 62 2" xfId="32" xr:uid="{00000000-0005-0000-0000-000017000000}"/>
    <cellStyle name="Normal 62 2 2" xfId="33" xr:uid="{00000000-0005-0000-0000-000018000000}"/>
    <cellStyle name="Normal 8 4" xfId="2" xr:uid="{00000000-0005-0000-0000-000019000000}"/>
    <cellStyle name="Normal 9" xfId="21" xr:uid="{00000000-0005-0000-0000-00001A000000}"/>
    <cellStyle name="Normal 9 2" xfId="22" xr:uid="{00000000-0005-0000-0000-00001B000000}"/>
    <cellStyle name="Percent" xfId="27" builtinId="5"/>
    <cellStyle name="Percent 2" xfId="7" xr:uid="{00000000-0005-0000-0000-00001D000000}"/>
    <cellStyle name="Percent 2 2" xfId="23" xr:uid="{00000000-0005-0000-0000-00001E000000}"/>
    <cellStyle name="Percent 2 2 2" xfId="24" xr:uid="{00000000-0005-0000-0000-00001F000000}"/>
    <cellStyle name="Percent 3" xfId="14" xr:uid="{00000000-0005-0000-0000-000020000000}"/>
    <cellStyle name="Percent 5" xfId="25" xr:uid="{00000000-0005-0000-0000-000021000000}"/>
    <cellStyle name="Percent 5 2" xfId="26" xr:uid="{00000000-0005-0000-0000-00002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55571</xdr:colOff>
      <xdr:row>1</xdr:row>
      <xdr:rowOff>93312</xdr:rowOff>
    </xdr:from>
    <xdr:to>
      <xdr:col>9</xdr:col>
      <xdr:colOff>495276</xdr:colOff>
      <xdr:row>10</xdr:row>
      <xdr:rowOff>338090</xdr:rowOff>
    </xdr:to>
    <xdr:pic>
      <xdr:nvPicPr>
        <xdr:cNvPr id="2" name="Picture 1">
          <a:extLst>
            <a:ext uri="{FF2B5EF4-FFF2-40B4-BE49-F238E27FC236}">
              <a16:creationId xmlns:a16="http://schemas.microsoft.com/office/drawing/2014/main" id="{9528528E-7B09-48BF-BB11-AC608F6645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571" y="275875"/>
          <a:ext cx="6265830" cy="18957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406400</xdr:colOff>
      <xdr:row>15</xdr:row>
      <xdr:rowOff>228600</xdr:rowOff>
    </xdr:from>
    <xdr:to>
      <xdr:col>5</xdr:col>
      <xdr:colOff>723900</xdr:colOff>
      <xdr:row>15</xdr:row>
      <xdr:rowOff>228600</xdr:rowOff>
    </xdr:to>
    <xdr:cxnSp macro="">
      <xdr:nvCxnSpPr>
        <xdr:cNvPr id="2" name="Straight Connector 3">
          <a:extLst>
            <a:ext uri="{FF2B5EF4-FFF2-40B4-BE49-F238E27FC236}">
              <a16:creationId xmlns:a16="http://schemas.microsoft.com/office/drawing/2014/main" id="{73BA50DC-5DEE-4559-92EA-8456A0797496}"/>
            </a:ext>
          </a:extLst>
        </xdr:cNvPr>
        <xdr:cNvCxnSpPr>
          <a:cxnSpLocks noChangeShapeType="1"/>
        </xdr:cNvCxnSpPr>
      </xdr:nvCxnSpPr>
      <xdr:spPr bwMode="auto">
        <a:xfrm flipV="1">
          <a:off x="3898900" y="31692850"/>
          <a:ext cx="730250"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xdr:col>
      <xdr:colOff>241300</xdr:colOff>
      <xdr:row>427</xdr:row>
      <xdr:rowOff>196850</xdr:rowOff>
    </xdr:from>
    <xdr:to>
      <xdr:col>6</xdr:col>
      <xdr:colOff>241300</xdr:colOff>
      <xdr:row>427</xdr:row>
      <xdr:rowOff>196850</xdr:rowOff>
    </xdr:to>
    <xdr:cxnSp macro="">
      <xdr:nvCxnSpPr>
        <xdr:cNvPr id="3" name="Straight Connector 4">
          <a:extLst>
            <a:ext uri="{FF2B5EF4-FFF2-40B4-BE49-F238E27FC236}">
              <a16:creationId xmlns:a16="http://schemas.microsoft.com/office/drawing/2014/main" id="{280A812D-C504-463B-89BB-A8F7FCC271E6}"/>
            </a:ext>
          </a:extLst>
        </xdr:cNvPr>
        <xdr:cNvCxnSpPr>
          <a:cxnSpLocks noChangeShapeType="1"/>
        </xdr:cNvCxnSpPr>
      </xdr:nvCxnSpPr>
      <xdr:spPr bwMode="auto">
        <a:xfrm flipV="1">
          <a:off x="4146550" y="61810900"/>
          <a:ext cx="831850"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xdr:col>
      <xdr:colOff>12700</xdr:colOff>
      <xdr:row>26</xdr:row>
      <xdr:rowOff>222250</xdr:rowOff>
    </xdr:from>
    <xdr:to>
      <xdr:col>5</xdr:col>
      <xdr:colOff>685800</xdr:colOff>
      <xdr:row>26</xdr:row>
      <xdr:rowOff>222250</xdr:rowOff>
    </xdr:to>
    <xdr:cxnSp macro="">
      <xdr:nvCxnSpPr>
        <xdr:cNvPr id="4" name="Straight Connector 2">
          <a:extLst>
            <a:ext uri="{FF2B5EF4-FFF2-40B4-BE49-F238E27FC236}">
              <a16:creationId xmlns:a16="http://schemas.microsoft.com/office/drawing/2014/main" id="{1B689883-731D-4080-84F4-8823840DA8E9}"/>
            </a:ext>
          </a:extLst>
        </xdr:cNvPr>
        <xdr:cNvCxnSpPr>
          <a:cxnSpLocks noChangeShapeType="1"/>
        </xdr:cNvCxnSpPr>
      </xdr:nvCxnSpPr>
      <xdr:spPr bwMode="auto">
        <a:xfrm flipV="1">
          <a:off x="3721100" y="40220900"/>
          <a:ext cx="673100"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ugu/Desktop/Sub%20Control%20room%20bill/office/Buildings/2017-18/Schedlue-2017-18/RMSA-NABARD-26-04-2017/Schedule/Final-Schedule/Nagoor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ugu/Desktop/Sub%20Control%20room%20bill/Nagai/Agriculture/Agri%20Estimate%20New/Nagai/corrected%2002.11.15/agri%20nagapattinam2.11.15/Agri-NEW-NAGAI%20(Autosave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ugu/Desktop/Sub%20Control%20room%20bill/nagoor%20Correcte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dmin/Downloads/Office%20and%20Gangmenshed%20final%202023/sample/Chennai%20estimates/nagoor%20Correcte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ugu/Desktop/Sub%20Control%20room%20bill/Nagai/RMSA/RMSA%20Corrected%20New/Corrected%20on%2015.12.2015/Nagavelu%20AEE/Nagai/Stadium/stadiaum%20new%2016.04.20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uildings-pc\d\ELANCHIMANDRA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endrive%2024.11.18/Esitimate%20Gaja%20TNJ/Documents%20and%20Settings/sakthi/Desktop/kishor%20on%20lc%2037/cd%20details/FILES/pcc-ret-seismic-lc-37-P1-Rev1(15.10.0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Downloads/Office%20and%20Gangmenshed%20final%202023/sample/Chennai%20estimates/arthi-saf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sugu/Desktop/Sub%20Control%20room%20bill/Nagai/BITEs/Amma/TCIL/550k-rate%20lis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admin/Downloads/Office%20and%20Gangmenshed%20final%202023/sample/Chennai%20estimates/Nagai/BITEs/Amma/TCIL/550k-rate%20list.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KK/LC-151/Est-151/Steel-151/slab-rein-151-sq.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sakthi/Desktop/kishor%20on%20lc%2037/cd%20details/FILES/pcc-ret-seismic-lc-37-P1-Rev1(15.10.0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sugu/Desktop/Sub%20Control%20room%20bill/Amma/TCIL/550k-rate%20li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admin/Downloads/Office%20and%20Gangmenshed%20final%202023/sample/Chennai%20estimates/Amma/TCIL/550k-rate%20lis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endrive%2024.11.18/Esitimate%20Gaja%20TNJ/Files/Selvam,%20Contractor/2013/Civil%20supply/Dedsign%20(AE%20Ground%20water)Thangachiammapatti/ESTIMATE%20TOOL%202006-200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sugu/Desktop/Sub%20Control%20room%20bill/Users/Admin/AppData/Local/Temp/Rar$DIa0.823/TABUK/TABUK_Site_diar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KOLANTHASAMY/Desktop/Down%20loaded%20Model%20Est%2011-12/PD%20shop/Sens/Ist%20&amp;%20%20AGAMT%20-%20Works/Neww/Periya--50132.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sugu/Desktop/Sub%20Control%20room%20bill/Aall-WR-Works/JEDDAH/Rate-Lis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sugu/Desktop/Sub%20Control%20room%20bill/A-Ulundurpet-Sec/Bill%202010-2011/Court-Kki/Bill%20I&amp;Par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admin/Downloads/Office%20and%20Gangmenshed%20final%202023/sample/Chennai%20estimates/A-Ulundurpet-Sec/Bill%202010-2011/Court-Kki/Bill%20I&amp;Pa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ITEMS-RATE"/>
      <sheetName val="LEAD"/>
      <sheetName val="DATA"/>
      <sheetName val="SPECN"/>
      <sheetName val="Single line ABS"/>
      <sheetName val="ALU.door "/>
      <sheetName val="steel door "/>
      <sheetName val="Abstract"/>
      <sheetName val="G Abstract"/>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ode-main"/>
      <sheetName val="Data 1"/>
      <sheetName val="Abstarct"/>
      <sheetName val="Agri office"/>
      <sheetName val="Godown"/>
      <sheetName val="Security room"/>
      <sheetName val="WS &amp; SA"/>
      <sheetName val="Compound Wall"/>
      <sheetName val="General Compare Qty "/>
      <sheetName val="SPECN"/>
      <sheetName val="GA"/>
      <sheetName val="Qty.Abs"/>
      <sheetName val="ALL ITEMS-RATE"/>
      <sheetName val="DATA"/>
      <sheetName val="LEAD"/>
      <sheetName val="ALU.door DATA "/>
      <sheetName val="steel door DATA "/>
      <sheetName val="Single line A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Agreed rates"/>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Agreed rates"/>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ITEMS-RATE"/>
      <sheetName val="LEAD"/>
      <sheetName val="DETAILED ESTIMATE "/>
      <sheetName val="ws"/>
      <sheetName val="sanitary"/>
      <sheetName val="Borewell"/>
      <sheetName val="QTY ABSTRACT"/>
      <sheetName val="SPECN"/>
      <sheetName val="DATA"/>
      <sheetName val="LS PROVISIONS"/>
      <sheetName val="Single line ABS"/>
      <sheetName val="ALU.door "/>
      <sheetName val="steel door DATA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nitary"/>
      <sheetName val="LEAD"/>
      <sheetName val="water supply"/>
      <sheetName val="Sheet6"/>
      <sheetName val="Sheet5"/>
      <sheetName val="Sheet17"/>
      <sheetName val="Sheet16"/>
      <sheetName val="Sheet15"/>
      <sheetName val="Sheet13"/>
      <sheetName val="Sheet12"/>
      <sheetName val="Kohila"/>
      <sheetName val="N0 II"/>
      <sheetName val="Sheet11"/>
      <sheetName val="Sheet10"/>
      <sheetName val="Sheet9"/>
      <sheetName val="Sheet8"/>
      <sheetName val="Sheet7"/>
      <sheetName val="Sheet2"/>
      <sheetName val="Sheet4"/>
      <sheetName val="Sheet3"/>
      <sheetName val="Sheet1"/>
      <sheetName val="Sheet14"/>
      <sheetName val="Stage"/>
      <sheetName val="Data"/>
      <sheetName val="D , W &amp; V"/>
      <sheetName val="Rate"/>
      <sheetName val="G.I.special"/>
      <sheetName val="Qty.Abst"/>
      <sheetName val="Detail"/>
      <sheetName val="Abstract"/>
      <sheetName val="PVC SPCIAL"/>
      <sheetName val="Assumed Local Rate"/>
      <sheetName val="Agreed rates"/>
      <sheetName val="DsnConce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W-ch112-142"/>
      <sheetName val="RW-seis112-142"/>
      <sheetName val="Sheet1"/>
      <sheetName val="ST-O"/>
      <sheetName val="CG -St"/>
    </sheetNames>
    <sheetDataSet>
      <sheetData sheetId="0" refreshError="1"/>
      <sheetData sheetId="1" refreshError="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vement"/>
      <sheetName val="stromdrain"/>
      <sheetName val="Total-Abstract"/>
      <sheetName val="op ward"/>
      <sheetName val="post ope"/>
      <sheetName val="ambulance (2)"/>
      <sheetName val="OHT"/>
      <sheetName val="sanitary"/>
      <sheetName val="compound wall"/>
      <sheetName val="cc road"/>
      <sheetName val="qty abs"/>
      <sheetName val="abstract"/>
      <sheetName val="ch-qty"/>
      <sheetName val="Data GI spl 1"/>
      <sheetName val="Data GI spl 2 (2)"/>
      <sheetName val="data"/>
      <sheetName val="Lead statement"/>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greed rates"/>
      <sheetName val="Sheet1"/>
      <sheetName val="Steel"/>
      <sheetName val="ALL ITEMS-RATE"/>
      <sheetName val="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greed rates"/>
      <sheetName val="Sheet1"/>
      <sheetName val="Steel"/>
      <sheetName val="ALL ITEMS-RATE"/>
      <sheetName val="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
      <sheetName val="ST-I"/>
      <sheetName val="CG -St"/>
      <sheetName val="INN-CB"/>
      <sheetName val="slab-st"/>
      <sheetName val="mesh"/>
      <sheetName val="abs"/>
      <sheetName val="Sheet1"/>
    </sheetNames>
    <sheetDataSet>
      <sheetData sheetId="0">
        <row r="1">
          <cell r="AC1">
            <v>14960</v>
          </cell>
        </row>
        <row r="4">
          <cell r="AC4">
            <v>325</v>
          </cell>
        </row>
      </sheetData>
      <sheetData sheetId="1"/>
      <sheetData sheetId="2">
        <row r="1">
          <cell r="AC1">
            <v>8500</v>
          </cell>
          <cell r="AE1">
            <v>2650</v>
          </cell>
        </row>
      </sheetData>
      <sheetData sheetId="3"/>
      <sheetData sheetId="4"/>
      <sheetData sheetId="5"/>
      <sheetData sheetId="6"/>
      <sheetData sheetId="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W-ch112-142"/>
      <sheetName val="RW-seis112-142"/>
      <sheetName val="Sheet1"/>
      <sheetName val="ST-O"/>
      <sheetName val="CG -St"/>
    </sheetNames>
    <sheetDataSet>
      <sheetData sheetId="0" refreshError="1">
        <row r="5">
          <cell r="I5">
            <v>0.5</v>
          </cell>
        </row>
      </sheetData>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greed rates"/>
      <sheetName val="Sheet1"/>
    </sheetNames>
    <sheetDataSet>
      <sheetData sheetId="0" refreshError="1"/>
      <sheetData sheetId="1" refreshError="1">
        <row r="2">
          <cell r="A2">
            <v>1001</v>
          </cell>
          <cell r="B2" t="str">
            <v>BREAKING &amp; REINST., CL."A" ROAD SURF.</v>
          </cell>
          <cell r="C2" t="str">
            <v>Mtr</v>
          </cell>
          <cell r="D2">
            <v>75</v>
          </cell>
        </row>
        <row r="3">
          <cell r="A3">
            <v>1002</v>
          </cell>
          <cell r="B3" t="str">
            <v>BREAKING &amp; REINST., CL."B" ROAD SURF.</v>
          </cell>
          <cell r="C3" t="str">
            <v>Mtr</v>
          </cell>
          <cell r="D3">
            <v>56</v>
          </cell>
        </row>
        <row r="4">
          <cell r="A4">
            <v>1003</v>
          </cell>
          <cell r="B4" t="str">
            <v>BREAKING &amp; REINST., CL."C" ROAD SURF.</v>
          </cell>
          <cell r="C4" t="str">
            <v>Mtr</v>
          </cell>
          <cell r="D4">
            <v>49</v>
          </cell>
        </row>
        <row r="5">
          <cell r="A5">
            <v>1004</v>
          </cell>
          <cell r="B5" t="str">
            <v>MARBLE TILE BREAKING &amp; REINSTATEM</v>
          </cell>
          <cell r="C5" t="str">
            <v>Sqm</v>
          </cell>
          <cell r="D5">
            <v>200</v>
          </cell>
        </row>
        <row r="6">
          <cell r="A6">
            <v>1006</v>
          </cell>
          <cell r="B6" t="str">
            <v>BREAKING &amp; REINST., TILED FOOTWAY</v>
          </cell>
          <cell r="C6" t="str">
            <v>Mtr</v>
          </cell>
          <cell r="D6">
            <v>45</v>
          </cell>
        </row>
        <row r="7">
          <cell r="A7">
            <v>1007</v>
          </cell>
          <cell r="B7" t="str">
            <v>BREAKING &amp; REINST., ASPH. &amp;/OR CONCR. FTW.</v>
          </cell>
          <cell r="C7" t="str">
            <v>Mtr</v>
          </cell>
          <cell r="D7">
            <v>41</v>
          </cell>
        </row>
        <row r="8">
          <cell r="A8">
            <v>1008</v>
          </cell>
          <cell r="B8" t="str">
            <v xml:space="preserve">REINSTATEMENT IN ROAD - ADDITIONAL AREA </v>
          </cell>
          <cell r="C8" t="str">
            <v>Sq-m</v>
          </cell>
          <cell r="D8">
            <v>366</v>
          </cell>
        </row>
        <row r="9">
          <cell r="A9">
            <v>1009</v>
          </cell>
          <cell r="B9" t="str">
            <v xml:space="preserve">REINSTATEMENT IN FOOTWAY - ADDITIONAL AREA </v>
          </cell>
          <cell r="C9" t="str">
            <v>Cu-m</v>
          </cell>
          <cell r="D9">
            <v>244</v>
          </cell>
        </row>
        <row r="10">
          <cell r="A10">
            <v>1011</v>
          </cell>
          <cell r="B10" t="str">
            <v>LEAN MIX CONCRETE BACKFILL</v>
          </cell>
          <cell r="C10" t="str">
            <v>Cu-m</v>
          </cell>
          <cell r="D10">
            <v>289</v>
          </cell>
        </row>
        <row r="11">
          <cell r="A11">
            <v>1012</v>
          </cell>
          <cell r="B11" t="str">
            <v xml:space="preserve"> IN-SITU CONCRETE STRUCTURES</v>
          </cell>
          <cell r="C11" t="str">
            <v>Cu-m</v>
          </cell>
          <cell r="D11">
            <v>319</v>
          </cell>
        </row>
        <row r="12">
          <cell r="A12">
            <v>1013</v>
          </cell>
          <cell r="B12" t="str">
            <v xml:space="preserve"> IN-SITU REINFORCED CONCRETE STRUCTURES</v>
          </cell>
          <cell r="C12" t="str">
            <v>Cu-m</v>
          </cell>
          <cell r="D12">
            <v>675</v>
          </cell>
        </row>
        <row r="13">
          <cell r="A13">
            <v>1016</v>
          </cell>
          <cell r="B13" t="str">
            <v>3M MILLING AND PAVING</v>
          </cell>
          <cell r="C13" t="str">
            <v>Sq-m</v>
          </cell>
          <cell r="D13">
            <v>45</v>
          </cell>
        </row>
        <row r="14">
          <cell r="A14">
            <v>1021</v>
          </cell>
          <cell r="B14" t="str">
            <v>CONCRETE PROTECTION SLAB - NOT REINF.</v>
          </cell>
          <cell r="C14" t="str">
            <v>Sq-m</v>
          </cell>
          <cell r="D14">
            <v>41</v>
          </cell>
        </row>
        <row r="15">
          <cell r="A15">
            <v>1022</v>
          </cell>
          <cell r="B15" t="str">
            <v>CONCRETE PROTECTION SLAB -  STEEL REINF.</v>
          </cell>
          <cell r="C15" t="str">
            <v>Sq-m</v>
          </cell>
          <cell r="D15">
            <v>60</v>
          </cell>
        </row>
        <row r="16">
          <cell r="A16">
            <v>1030</v>
          </cell>
          <cell r="B16" t="str">
            <v>EXTRA DEPTH IN SOIL</v>
          </cell>
          <cell r="C16" t="str">
            <v>Cu-m</v>
          </cell>
          <cell r="D16">
            <v>60</v>
          </cell>
        </row>
        <row r="17">
          <cell r="A17">
            <v>1031</v>
          </cell>
          <cell r="B17" t="str">
            <v>BREAKING OF ROCK</v>
          </cell>
          <cell r="C17" t="str">
            <v>Cu-m</v>
          </cell>
          <cell r="D17">
            <v>113</v>
          </cell>
        </row>
        <row r="18">
          <cell r="A18">
            <v>1041</v>
          </cell>
          <cell r="B18" t="str">
            <v>THRUST BORING, 100mm dia.  STEEL PIPE</v>
          </cell>
          <cell r="C18" t="str">
            <v>Mtr</v>
          </cell>
          <cell r="D18">
            <v>750</v>
          </cell>
        </row>
        <row r="19">
          <cell r="A19">
            <v>1042</v>
          </cell>
          <cell r="B19" t="str">
            <v>THRUST BORING, 300mm dia.  - 4  DUCTS</v>
          </cell>
          <cell r="C19" t="str">
            <v>Mtr</v>
          </cell>
          <cell r="D19">
            <v>1688</v>
          </cell>
        </row>
        <row r="20">
          <cell r="A20">
            <v>1043</v>
          </cell>
          <cell r="B20" t="str">
            <v>THRUST BORING, 400mm dia.  - 8  DUCTS</v>
          </cell>
          <cell r="C20" t="str">
            <v>Mtr</v>
          </cell>
          <cell r="D20">
            <v>2438</v>
          </cell>
        </row>
        <row r="21">
          <cell r="A21">
            <v>1044</v>
          </cell>
          <cell r="B21" t="str">
            <v>THRUST BORING, 500mm dia.  -12 DUCTS</v>
          </cell>
          <cell r="C21" t="str">
            <v>Mtr</v>
          </cell>
          <cell r="D21">
            <v>2625</v>
          </cell>
        </row>
        <row r="22">
          <cell r="A22">
            <v>1045</v>
          </cell>
          <cell r="B22" t="str">
            <v>THRUST BORING, 600mm dia.  -16 DUCTS</v>
          </cell>
          <cell r="C22" t="str">
            <v>Mtr</v>
          </cell>
          <cell r="D22">
            <v>3188</v>
          </cell>
        </row>
        <row r="23">
          <cell r="A23">
            <v>1051</v>
          </cell>
          <cell r="B23" t="str">
            <v>DIRECTIONAL DRILL-100mm HDPE</v>
          </cell>
          <cell r="C23" t="str">
            <v>Mtr</v>
          </cell>
          <cell r="D23">
            <v>938</v>
          </cell>
        </row>
        <row r="24">
          <cell r="A24">
            <v>1052</v>
          </cell>
          <cell r="B24" t="str">
            <v xml:space="preserve">DIRECTIONAL DRILL-300mm HDPE </v>
          </cell>
          <cell r="C24" t="str">
            <v>Mtr</v>
          </cell>
          <cell r="D24">
            <v>1688</v>
          </cell>
        </row>
        <row r="25">
          <cell r="A25">
            <v>1053</v>
          </cell>
          <cell r="B25" t="str">
            <v>DIRECTIONAL DRILL-400mm HDPE</v>
          </cell>
          <cell r="C25" t="str">
            <v>Mtr</v>
          </cell>
          <cell r="D25">
            <v>2625</v>
          </cell>
        </row>
        <row r="26">
          <cell r="A26">
            <v>1054</v>
          </cell>
          <cell r="B26" t="str">
            <v>DIRECTIONAL DRILL-500mm HDPE</v>
          </cell>
          <cell r="C26" t="str">
            <v>Mtr</v>
          </cell>
          <cell r="D26">
            <v>2925</v>
          </cell>
        </row>
        <row r="27">
          <cell r="A27">
            <v>1055</v>
          </cell>
          <cell r="B27" t="str">
            <v>DIRECTIONAL DRILL-600mm HDPE</v>
          </cell>
          <cell r="C27" t="str">
            <v>Mtr</v>
          </cell>
          <cell r="D27">
            <v>3375</v>
          </cell>
        </row>
        <row r="28">
          <cell r="A28">
            <v>1060</v>
          </cell>
          <cell r="B28" t="str">
            <v>REMOVING DEBRIS AND SPOIL HEAPS</v>
          </cell>
          <cell r="C28" t="str">
            <v>Cu-m</v>
          </cell>
          <cell r="D28">
            <v>15</v>
          </cell>
        </row>
        <row r="29">
          <cell r="A29">
            <v>1061</v>
          </cell>
          <cell r="B29" t="str">
            <v xml:space="preserve">REMOVING ROCK DEBRIS </v>
          </cell>
          <cell r="C29" t="str">
            <v>Cu-m</v>
          </cell>
          <cell r="D29">
            <v>41</v>
          </cell>
        </row>
        <row r="30">
          <cell r="A30">
            <v>1081</v>
          </cell>
          <cell r="B30" t="str">
            <v>SETTING UP AND OPERATING WELL POINT  SYSTEMS</v>
          </cell>
          <cell r="C30" t="str">
            <v>Day</v>
          </cell>
          <cell r="D30">
            <v>3750</v>
          </cell>
        </row>
        <row r="31">
          <cell r="A31">
            <v>1091</v>
          </cell>
          <cell r="B31" t="str">
            <v>EROSION DAM ON DIRECT BURIED CABLE</v>
          </cell>
          <cell r="C31" t="str">
            <v>Each</v>
          </cell>
          <cell r="D31">
            <v>450</v>
          </cell>
        </row>
        <row r="32">
          <cell r="A32">
            <v>1092</v>
          </cell>
          <cell r="B32" t="str">
            <v>E.DAM ON 2 WAY CONDUIT INST.IN SAND</v>
          </cell>
          <cell r="C32" t="str">
            <v>Each</v>
          </cell>
          <cell r="D32">
            <v>488</v>
          </cell>
        </row>
        <row r="33">
          <cell r="A33">
            <v>1094</v>
          </cell>
          <cell r="B33" t="str">
            <v>E.DAM ON 4 WAY CONDUIT INST.IN SAND</v>
          </cell>
          <cell r="C33" t="str">
            <v>Each</v>
          </cell>
          <cell r="D33">
            <v>525</v>
          </cell>
        </row>
        <row r="34">
          <cell r="A34">
            <v>1096</v>
          </cell>
          <cell r="B34" t="str">
            <v>E.DAM ON 6 WAY CONDUIT INST.IN SAND</v>
          </cell>
          <cell r="C34" t="str">
            <v>Each</v>
          </cell>
          <cell r="D34">
            <v>600</v>
          </cell>
        </row>
        <row r="35">
          <cell r="A35">
            <v>1098</v>
          </cell>
          <cell r="B35" t="str">
            <v>E.DAM ON 8 WAY CONDUIT INST.IN SAND</v>
          </cell>
          <cell r="C35" t="str">
            <v>Each</v>
          </cell>
          <cell r="D35">
            <v>619</v>
          </cell>
        </row>
        <row r="36">
          <cell r="A36">
            <v>1111</v>
          </cell>
          <cell r="B36" t="str">
            <v>BREAKING UP BRICK WALLS</v>
          </cell>
          <cell r="C36" t="str">
            <v>Cu-m</v>
          </cell>
          <cell r="D36">
            <v>75</v>
          </cell>
        </row>
        <row r="37">
          <cell r="A37">
            <v>1112</v>
          </cell>
          <cell r="B37" t="str">
            <v>BREAKING UP CONCRETE WALLS</v>
          </cell>
          <cell r="C37" t="str">
            <v>Cu-m</v>
          </cell>
          <cell r="D37">
            <v>176</v>
          </cell>
        </row>
        <row r="38">
          <cell r="A38">
            <v>1113</v>
          </cell>
          <cell r="B38" t="str">
            <v>BREAKING UP REINF. CONCRETE WALLS</v>
          </cell>
          <cell r="C38" t="str">
            <v>Cu-m</v>
          </cell>
          <cell r="D38">
            <v>300</v>
          </cell>
        </row>
        <row r="39">
          <cell r="A39">
            <v>1121</v>
          </cell>
          <cell r="B39" t="str">
            <v>PIT RUN GRAVEL</v>
          </cell>
          <cell r="C39" t="str">
            <v>CUM</v>
          </cell>
          <cell r="D39">
            <v>20</v>
          </cell>
        </row>
        <row r="40">
          <cell r="A40">
            <v>1122</v>
          </cell>
          <cell r="B40" t="str">
            <v>SUBASE</v>
          </cell>
          <cell r="C40" t="str">
            <v>CUM</v>
          </cell>
          <cell r="D40">
            <v>35</v>
          </cell>
        </row>
        <row r="41">
          <cell r="A41">
            <v>1123</v>
          </cell>
          <cell r="B41" t="str">
            <v>CRUSH STONES</v>
          </cell>
          <cell r="C41" t="str">
            <v>CUM</v>
          </cell>
          <cell r="D41">
            <v>25</v>
          </cell>
        </row>
        <row r="42">
          <cell r="A42">
            <v>1124</v>
          </cell>
          <cell r="B42" t="str">
            <v>CONCRETE</v>
          </cell>
          <cell r="C42" t="str">
            <v>CUM</v>
          </cell>
          <cell r="D42">
            <v>180</v>
          </cell>
        </row>
        <row r="43">
          <cell r="A43">
            <v>1202</v>
          </cell>
          <cell r="B43" t="str">
            <v xml:space="preserve">2 - WAY PVC DUCT IN CONCRETE    </v>
          </cell>
          <cell r="C43" t="str">
            <v>Mtr</v>
          </cell>
          <cell r="D43">
            <v>86</v>
          </cell>
        </row>
        <row r="44">
          <cell r="A44" t="str">
            <v>1202A</v>
          </cell>
          <cell r="B44" t="str">
            <v xml:space="preserve">3 - WAY PVC DUCT IN CONCRETE    </v>
          </cell>
          <cell r="C44" t="str">
            <v>Mtr</v>
          </cell>
          <cell r="D44">
            <v>101</v>
          </cell>
        </row>
        <row r="45">
          <cell r="A45">
            <v>1204</v>
          </cell>
          <cell r="B45" t="str">
            <v xml:space="preserve">4 - WAY PVC DUCT IN CONCRETE    </v>
          </cell>
          <cell r="C45" t="str">
            <v>Mtr</v>
          </cell>
          <cell r="D45">
            <v>101</v>
          </cell>
        </row>
        <row r="46">
          <cell r="A46" t="str">
            <v>1204A</v>
          </cell>
          <cell r="B46" t="str">
            <v xml:space="preserve">5 - WAY PVC DUCT IN CONCRETE    </v>
          </cell>
          <cell r="C46" t="str">
            <v>Mtr</v>
          </cell>
          <cell r="D46">
            <v>131</v>
          </cell>
        </row>
        <row r="47">
          <cell r="A47">
            <v>1206</v>
          </cell>
          <cell r="B47" t="str">
            <v xml:space="preserve">6 - WAY PVC DUCT IN CONCRETE    </v>
          </cell>
          <cell r="C47" t="str">
            <v>Mtr</v>
          </cell>
          <cell r="D47">
            <v>125</v>
          </cell>
        </row>
        <row r="48">
          <cell r="A48" t="str">
            <v>1206A</v>
          </cell>
          <cell r="B48" t="str">
            <v xml:space="preserve">6 - WAY PVC DUCT IN CONCRETE    </v>
          </cell>
          <cell r="C48" t="str">
            <v>Mtr</v>
          </cell>
          <cell r="D48">
            <v>170</v>
          </cell>
        </row>
        <row r="49">
          <cell r="A49">
            <v>1208</v>
          </cell>
          <cell r="B49" t="str">
            <v xml:space="preserve">8 - WAY PVC DUCT IN CONCRETE    </v>
          </cell>
          <cell r="C49" t="str">
            <v>Mtr</v>
          </cell>
          <cell r="D49">
            <v>158</v>
          </cell>
        </row>
        <row r="50">
          <cell r="A50" t="str">
            <v>1208A</v>
          </cell>
          <cell r="B50" t="str">
            <v xml:space="preserve">9 - WAY PVC DUCT IN CONCRETE    </v>
          </cell>
          <cell r="C50" t="str">
            <v>Mtr</v>
          </cell>
          <cell r="D50">
            <v>218</v>
          </cell>
        </row>
        <row r="51">
          <cell r="A51">
            <v>1210</v>
          </cell>
          <cell r="B51" t="str">
            <v>10 WAY PVC DUCT IN CONCRETE</v>
          </cell>
          <cell r="C51" t="str">
            <v>M</v>
          </cell>
          <cell r="D51">
            <v>190</v>
          </cell>
        </row>
        <row r="52">
          <cell r="A52" t="str">
            <v>1210A</v>
          </cell>
          <cell r="B52" t="str">
            <v>11 WAY PVC DUCT IN CONCRETE</v>
          </cell>
          <cell r="C52" t="str">
            <v>M</v>
          </cell>
          <cell r="D52">
            <v>265</v>
          </cell>
        </row>
        <row r="53">
          <cell r="A53">
            <v>1212</v>
          </cell>
          <cell r="B53" t="str">
            <v xml:space="preserve">12 - WAY PVC DUCT IN CONCRETE    </v>
          </cell>
          <cell r="C53" t="str">
            <v>Mtr</v>
          </cell>
          <cell r="D53">
            <v>225</v>
          </cell>
        </row>
        <row r="54">
          <cell r="A54">
            <v>1216</v>
          </cell>
          <cell r="B54" t="str">
            <v xml:space="preserve">16 - WAY PVC DUCT IN CONCRETE    </v>
          </cell>
          <cell r="C54" t="str">
            <v>Mtr</v>
          </cell>
          <cell r="D54">
            <v>281</v>
          </cell>
        </row>
        <row r="55">
          <cell r="A55">
            <v>1220</v>
          </cell>
          <cell r="B55" t="str">
            <v xml:space="preserve">20 - WAY PVC DUCT IN CONCRETE    </v>
          </cell>
          <cell r="C55" t="str">
            <v>Mtr</v>
          </cell>
          <cell r="D55">
            <v>338</v>
          </cell>
        </row>
        <row r="56">
          <cell r="A56">
            <v>1224</v>
          </cell>
          <cell r="B56" t="str">
            <v xml:space="preserve">24 - WAY PVC DUCT IN CONCRETE    </v>
          </cell>
          <cell r="C56" t="str">
            <v>Mtr</v>
          </cell>
          <cell r="D56">
            <v>394</v>
          </cell>
        </row>
        <row r="57">
          <cell r="A57">
            <v>1228</v>
          </cell>
          <cell r="B57" t="str">
            <v xml:space="preserve">28 - WAY PVC DUCT IN CONCRETE    </v>
          </cell>
          <cell r="C57" t="str">
            <v>Mtr</v>
          </cell>
          <cell r="D57">
            <v>450</v>
          </cell>
        </row>
        <row r="58">
          <cell r="A58">
            <v>1232</v>
          </cell>
          <cell r="B58" t="str">
            <v xml:space="preserve">32 - WAY PVC DUCT IN CONCRETE    </v>
          </cell>
          <cell r="C58" t="str">
            <v>Mtr</v>
          </cell>
          <cell r="D58">
            <v>506</v>
          </cell>
        </row>
        <row r="59">
          <cell r="A59">
            <v>1236</v>
          </cell>
          <cell r="B59" t="str">
            <v xml:space="preserve">36 - WAY PVC DUCT IN CONCRETE    </v>
          </cell>
          <cell r="C59" t="str">
            <v>Mtr</v>
          </cell>
          <cell r="D59">
            <v>544</v>
          </cell>
        </row>
        <row r="60">
          <cell r="A60">
            <v>1240</v>
          </cell>
          <cell r="B60" t="str">
            <v xml:space="preserve">40 - WAY PVC DUCT IN CONCRETE    </v>
          </cell>
          <cell r="C60" t="str">
            <v>Mtr</v>
          </cell>
          <cell r="D60">
            <v>619</v>
          </cell>
        </row>
        <row r="61">
          <cell r="A61">
            <v>1244</v>
          </cell>
          <cell r="B61" t="str">
            <v xml:space="preserve">44 - WAY PVC DUCT IN CONCRETE    </v>
          </cell>
          <cell r="C61" t="str">
            <v>Mtr</v>
          </cell>
          <cell r="D61">
            <v>675</v>
          </cell>
        </row>
        <row r="62">
          <cell r="A62">
            <v>1248</v>
          </cell>
          <cell r="B62" t="str">
            <v xml:space="preserve">48 - WAY PVC DUCT IN CONCRETE    </v>
          </cell>
          <cell r="C62" t="str">
            <v>Mtr</v>
          </cell>
          <cell r="D62">
            <v>731</v>
          </cell>
        </row>
        <row r="63">
          <cell r="A63">
            <v>1281</v>
          </cell>
          <cell r="B63" t="str">
            <v>CONDUIT SYST.ENCASE IN REINF.CONCR.</v>
          </cell>
          <cell r="C63" t="str">
            <v>Sq.m.</v>
          </cell>
          <cell r="D63">
            <v>56</v>
          </cell>
        </row>
        <row r="64">
          <cell r="A64">
            <v>1291</v>
          </cell>
          <cell r="B64" t="str">
            <v>STEEL PIPE IN CONCRETE</v>
          </cell>
          <cell r="C64" t="str">
            <v>Mtr</v>
          </cell>
          <cell r="D64">
            <v>38</v>
          </cell>
        </row>
        <row r="65">
          <cell r="A65">
            <v>1302</v>
          </cell>
          <cell r="B65" t="str">
            <v xml:space="preserve">2    WAY PVC DUCT IN SAND </v>
          </cell>
          <cell r="C65" t="str">
            <v>Mtr</v>
          </cell>
          <cell r="D65">
            <v>56</v>
          </cell>
        </row>
        <row r="66">
          <cell r="A66">
            <v>1304</v>
          </cell>
          <cell r="B66" t="str">
            <v>4    WAY PVC DUCT IN SAND</v>
          </cell>
          <cell r="C66" t="str">
            <v>Mtr</v>
          </cell>
          <cell r="D66">
            <v>75</v>
          </cell>
        </row>
        <row r="67">
          <cell r="A67">
            <v>1306</v>
          </cell>
          <cell r="B67" t="str">
            <v>6    WAY PVC DUCT IN SAND</v>
          </cell>
          <cell r="C67" t="str">
            <v>Mtr</v>
          </cell>
          <cell r="D67">
            <v>86</v>
          </cell>
        </row>
        <row r="68">
          <cell r="A68">
            <v>1308</v>
          </cell>
          <cell r="B68" t="str">
            <v>8    WAY PVC DUCT IN SAND</v>
          </cell>
          <cell r="C68" t="str">
            <v>Mtr</v>
          </cell>
          <cell r="D68">
            <v>116</v>
          </cell>
        </row>
        <row r="69">
          <cell r="A69">
            <v>1312</v>
          </cell>
          <cell r="B69" t="str">
            <v>12  WAY PVC DUCT IN SAND</v>
          </cell>
          <cell r="C69" t="str">
            <v>Mtr</v>
          </cell>
          <cell r="D69">
            <v>161</v>
          </cell>
        </row>
        <row r="70">
          <cell r="A70">
            <v>1401</v>
          </cell>
          <cell r="B70" t="str">
            <v>INST.  MANHOLE,  TYPE  "A"</v>
          </cell>
          <cell r="C70" t="str">
            <v>Each</v>
          </cell>
          <cell r="D70">
            <v>5438</v>
          </cell>
        </row>
        <row r="71">
          <cell r="A71" t="str">
            <v>1401A</v>
          </cell>
          <cell r="B71" t="str">
            <v>INST.  MANHOLE,  TYPE  "A"</v>
          </cell>
          <cell r="C71" t="str">
            <v>Each</v>
          </cell>
          <cell r="D71">
            <v>12900</v>
          </cell>
        </row>
        <row r="72">
          <cell r="A72">
            <v>1402</v>
          </cell>
          <cell r="B72" t="str">
            <v>INST.  MANHOLE,  TYPE  "B"</v>
          </cell>
          <cell r="C72" t="str">
            <v>Each</v>
          </cell>
          <cell r="D72">
            <v>6375</v>
          </cell>
        </row>
        <row r="73">
          <cell r="A73" t="str">
            <v>1402A</v>
          </cell>
          <cell r="B73" t="str">
            <v>INST.  MANHOLE,  TYPE  "B"</v>
          </cell>
          <cell r="C73" t="str">
            <v>Each</v>
          </cell>
          <cell r="D73">
            <v>17100</v>
          </cell>
        </row>
        <row r="74">
          <cell r="A74">
            <v>1403</v>
          </cell>
          <cell r="B74" t="str">
            <v>INST.  MANHOLE,  TYPE  "C"</v>
          </cell>
          <cell r="C74" t="str">
            <v>Each</v>
          </cell>
          <cell r="D74">
            <v>7500</v>
          </cell>
        </row>
        <row r="75">
          <cell r="A75">
            <v>1404</v>
          </cell>
          <cell r="B75" t="str">
            <v>INST.  MANHOLE,  TYPE  "D"</v>
          </cell>
          <cell r="C75" t="str">
            <v>Each</v>
          </cell>
          <cell r="D75">
            <v>8438</v>
          </cell>
        </row>
        <row r="76">
          <cell r="A76">
            <v>1412</v>
          </cell>
          <cell r="B76" t="str">
            <v>INST. HANDHOLE, 2 COVER</v>
          </cell>
          <cell r="C76" t="str">
            <v>Each</v>
          </cell>
          <cell r="D76">
            <v>1219</v>
          </cell>
        </row>
        <row r="77">
          <cell r="A77">
            <v>1413</v>
          </cell>
          <cell r="B77" t="str">
            <v>INST. HANDHOLE, 3 COVER</v>
          </cell>
          <cell r="C77" t="str">
            <v>Each</v>
          </cell>
          <cell r="D77">
            <v>1410</v>
          </cell>
        </row>
        <row r="78">
          <cell r="A78">
            <v>1414</v>
          </cell>
          <cell r="B78" t="str">
            <v>INST. HANDHOLE, 4 COVER</v>
          </cell>
          <cell r="C78" t="str">
            <v>Each</v>
          </cell>
          <cell r="D78">
            <v>1763</v>
          </cell>
        </row>
        <row r="79">
          <cell r="A79">
            <v>1415</v>
          </cell>
          <cell r="B79" t="str">
            <v>INST. PREFORM. HANDHOLE, 1.5 X 1.0 M</v>
          </cell>
          <cell r="C79" t="str">
            <v>Each</v>
          </cell>
          <cell r="D79">
            <v>3300</v>
          </cell>
        </row>
        <row r="80">
          <cell r="A80">
            <v>1416</v>
          </cell>
          <cell r="B80" t="str">
            <v>INST. PREFORM. HANDHOLE, 1.2 X 0.6 M</v>
          </cell>
          <cell r="C80" t="str">
            <v>Each</v>
          </cell>
          <cell r="D80">
            <v>2831</v>
          </cell>
        </row>
        <row r="81">
          <cell r="A81">
            <v>1421</v>
          </cell>
          <cell r="B81" t="str">
            <v>CONSTR., IN-SITU BUILT MANHOLE,  "A"</v>
          </cell>
          <cell r="C81" t="str">
            <v>Each</v>
          </cell>
          <cell r="D81">
            <v>15000</v>
          </cell>
        </row>
        <row r="82">
          <cell r="A82">
            <v>1422</v>
          </cell>
          <cell r="B82" t="str">
            <v>CONSTR., IN-SITU BUILT MANHOLE,  "B"</v>
          </cell>
          <cell r="C82" t="str">
            <v>Each</v>
          </cell>
          <cell r="D82">
            <v>18750</v>
          </cell>
        </row>
        <row r="83">
          <cell r="A83">
            <v>1423</v>
          </cell>
          <cell r="B83" t="str">
            <v>CONSTR., IN-SITU BUILT MANHOLE,  "C"</v>
          </cell>
          <cell r="C83" t="str">
            <v>Each</v>
          </cell>
          <cell r="D83">
            <v>21750</v>
          </cell>
        </row>
        <row r="84">
          <cell r="A84">
            <v>1424</v>
          </cell>
          <cell r="B84" t="str">
            <v>CONSTR., IN-SITU BUILT MANHOLE,  "D"</v>
          </cell>
          <cell r="C84" t="str">
            <v>Each</v>
          </cell>
          <cell r="D84">
            <v>28500</v>
          </cell>
        </row>
        <row r="85">
          <cell r="A85">
            <v>1451</v>
          </cell>
          <cell r="B85" t="str">
            <v>IN-SITU CONSTR. REPLACE.MANHOLE "A"</v>
          </cell>
          <cell r="C85" t="str">
            <v>Each</v>
          </cell>
          <cell r="D85">
            <v>18563</v>
          </cell>
        </row>
        <row r="86">
          <cell r="A86">
            <v>1452</v>
          </cell>
          <cell r="B86" t="str">
            <v>IN-SITU CONSTR. REPLACE.MANHOLE "B"</v>
          </cell>
          <cell r="C86" t="str">
            <v>Each</v>
          </cell>
          <cell r="D86">
            <v>22114</v>
          </cell>
        </row>
        <row r="87">
          <cell r="A87">
            <v>1453</v>
          </cell>
          <cell r="B87" t="str">
            <v>IN-SITU CONSTR. REPLACE.MANHOLE "C"</v>
          </cell>
          <cell r="C87" t="str">
            <v>Each</v>
          </cell>
          <cell r="D87">
            <v>25088</v>
          </cell>
        </row>
        <row r="88">
          <cell r="A88">
            <v>1454</v>
          </cell>
          <cell r="B88" t="str">
            <v>IN-SITU CONSTR. REPLACE.MANHOLE "D"</v>
          </cell>
          <cell r="C88" t="str">
            <v>Each</v>
          </cell>
          <cell r="D88">
            <v>31763</v>
          </cell>
        </row>
        <row r="89">
          <cell r="A89">
            <v>1480</v>
          </cell>
          <cell r="B89" t="str">
            <v>MAKING NEW DUCT ENTRIES TO MH &amp; HH</v>
          </cell>
          <cell r="C89" t="str">
            <v>Each</v>
          </cell>
          <cell r="D89">
            <v>316</v>
          </cell>
        </row>
        <row r="90">
          <cell r="A90">
            <v>1501</v>
          </cell>
          <cell r="B90" t="str">
            <v>CABLE BOX BRIDGE CROSSING, 80x80mm</v>
          </cell>
          <cell r="C90" t="str">
            <v>Mtr</v>
          </cell>
          <cell r="D90">
            <v>173</v>
          </cell>
        </row>
        <row r="91">
          <cell r="A91">
            <v>1502</v>
          </cell>
          <cell r="B91" t="str">
            <v>CABLE BOX BRIDGE CROSSING, 120x120mm</v>
          </cell>
          <cell r="C91" t="str">
            <v>Mtr</v>
          </cell>
          <cell r="D91">
            <v>188</v>
          </cell>
        </row>
        <row r="92">
          <cell r="A92">
            <v>1512</v>
          </cell>
          <cell r="B92" t="str">
            <v>2 WAY STEEL PIPE BRIDGE CROSSING</v>
          </cell>
          <cell r="C92" t="str">
            <v>Mtr</v>
          </cell>
          <cell r="D92">
            <v>225</v>
          </cell>
        </row>
        <row r="93">
          <cell r="A93">
            <v>1514</v>
          </cell>
          <cell r="B93" t="str">
            <v>4 WAY STEEL PIPE BRIDGE CROSSING</v>
          </cell>
          <cell r="C93" t="str">
            <v>Mtr</v>
          </cell>
          <cell r="D93">
            <v>368</v>
          </cell>
        </row>
        <row r="94">
          <cell r="A94">
            <v>1516</v>
          </cell>
          <cell r="B94" t="str">
            <v>6 WAY STEEL PIPE BRIDGE CROSSING</v>
          </cell>
          <cell r="C94" t="str">
            <v>Mtr</v>
          </cell>
          <cell r="D94">
            <v>446</v>
          </cell>
        </row>
        <row r="95">
          <cell r="A95">
            <v>1522</v>
          </cell>
          <cell r="B95" t="str">
            <v>2 WAY EPOXY  PIPE BRIDGE CROSSING</v>
          </cell>
          <cell r="C95" t="str">
            <v>Mtr</v>
          </cell>
          <cell r="D95">
            <v>225</v>
          </cell>
        </row>
        <row r="96">
          <cell r="A96">
            <v>1524</v>
          </cell>
          <cell r="B96" t="str">
            <v>4 WAY EPOXY  PIPE BRIDGE CROSSING</v>
          </cell>
          <cell r="C96" t="str">
            <v>Mtr</v>
          </cell>
          <cell r="D96">
            <v>413</v>
          </cell>
        </row>
        <row r="97">
          <cell r="A97">
            <v>1526</v>
          </cell>
          <cell r="B97" t="str">
            <v>6 WAY EPOXY  PIPE BRIDGE CROSSING</v>
          </cell>
          <cell r="C97" t="str">
            <v>Mtr</v>
          </cell>
          <cell r="D97">
            <v>566</v>
          </cell>
        </row>
        <row r="98">
          <cell r="A98">
            <v>1532</v>
          </cell>
          <cell r="B98" t="str">
            <v>2 WAY  PVC, PIPE BRIDGE CROSSING</v>
          </cell>
          <cell r="C98" t="str">
            <v>Mtr</v>
          </cell>
          <cell r="D98">
            <v>206</v>
          </cell>
        </row>
        <row r="99">
          <cell r="A99">
            <v>1534</v>
          </cell>
          <cell r="B99" t="str">
            <v>4 WAY  PVC, PIPE BRIDGE CROSSING</v>
          </cell>
          <cell r="C99" t="str">
            <v>Mtr</v>
          </cell>
          <cell r="D99">
            <v>344</v>
          </cell>
        </row>
        <row r="100">
          <cell r="A100">
            <v>1536</v>
          </cell>
          <cell r="B100" t="str">
            <v>6 WAY  PVC, PIPE BRIDGE CROSSING</v>
          </cell>
          <cell r="C100" t="str">
            <v>Mtr</v>
          </cell>
          <cell r="D100">
            <v>473</v>
          </cell>
        </row>
        <row r="101">
          <cell r="A101">
            <v>1561</v>
          </cell>
          <cell r="B101" t="str">
            <v>SUPPLY CONCRETE &amp; INSTALL 300 pair  CABINET BASE</v>
          </cell>
          <cell r="C101" t="str">
            <v>Each</v>
          </cell>
          <cell r="D101">
            <v>938</v>
          </cell>
        </row>
        <row r="102">
          <cell r="A102">
            <v>1562</v>
          </cell>
          <cell r="B102" t="str">
            <v>SUPPLY CONCRETE &amp; INSTALL 900 pair  CABINET BASE</v>
          </cell>
          <cell r="C102" t="str">
            <v>Each</v>
          </cell>
          <cell r="D102">
            <v>1125</v>
          </cell>
        </row>
        <row r="103">
          <cell r="A103">
            <v>1563</v>
          </cell>
          <cell r="B103" t="str">
            <v>SUPPLY CONCRETE &amp; INSTALL 1200 pair  CABINET BASE</v>
          </cell>
          <cell r="C103" t="str">
            <v>Each</v>
          </cell>
          <cell r="D103">
            <v>1313</v>
          </cell>
        </row>
        <row r="104">
          <cell r="A104">
            <v>1564</v>
          </cell>
          <cell r="B104" t="str">
            <v>SUPPLY CONCRETE &amp; INSTALL 1800 pair  CABINET BASE</v>
          </cell>
          <cell r="C104" t="str">
            <v>Each</v>
          </cell>
          <cell r="D104">
            <v>2404</v>
          </cell>
        </row>
        <row r="105">
          <cell r="A105">
            <v>1565</v>
          </cell>
          <cell r="B105" t="str">
            <v>SUPPLY CONCRETE &amp; INSTALL 2700 pair  CABINET BASE</v>
          </cell>
          <cell r="C105" t="str">
            <v>Each</v>
          </cell>
          <cell r="D105">
            <v>2820</v>
          </cell>
        </row>
        <row r="106">
          <cell r="A106">
            <v>1581</v>
          </cell>
          <cell r="B106" t="str">
            <v>SUPPL. &amp; INST. PROTECTION POST  150mm</v>
          </cell>
          <cell r="C106" t="str">
            <v>Each</v>
          </cell>
          <cell r="D106">
            <v>281</v>
          </cell>
        </row>
        <row r="107">
          <cell r="A107">
            <v>1583</v>
          </cell>
          <cell r="B107" t="str">
            <v>SUPPL. &amp; INST. PROTECTION POST  300mm</v>
          </cell>
          <cell r="C107" t="str">
            <v>Each</v>
          </cell>
          <cell r="D107">
            <v>356</v>
          </cell>
        </row>
        <row r="108">
          <cell r="A108">
            <v>1701</v>
          </cell>
          <cell r="B108" t="str">
            <v>WALL FIXED HORIZONTAL JOINTING RACK</v>
          </cell>
          <cell r="C108" t="str">
            <v>Mtr</v>
          </cell>
          <cell r="D108">
            <v>167</v>
          </cell>
        </row>
        <row r="109">
          <cell r="A109">
            <v>1702</v>
          </cell>
          <cell r="B109" t="str">
            <v>WALL FIXED VERTICAL JOINTING RACK</v>
          </cell>
          <cell r="C109" t="str">
            <v>Mtr</v>
          </cell>
          <cell r="D109">
            <v>155</v>
          </cell>
        </row>
        <row r="110">
          <cell r="A110">
            <v>1703</v>
          </cell>
          <cell r="B110" t="str">
            <v>FLOOR/CEILING FIXED HORIZ. JOINTING. RACK</v>
          </cell>
          <cell r="C110" t="str">
            <v>Mtr</v>
          </cell>
          <cell r="D110">
            <v>221</v>
          </cell>
        </row>
        <row r="111">
          <cell r="A111">
            <v>1704</v>
          </cell>
          <cell r="B111" t="str">
            <v>FLOOR/CEILING FIXED VERT. JOINTING. RACK</v>
          </cell>
          <cell r="C111" t="str">
            <v>Mtr</v>
          </cell>
          <cell r="D111">
            <v>206</v>
          </cell>
        </row>
        <row r="112">
          <cell r="A112">
            <v>1711</v>
          </cell>
          <cell r="B112" t="str">
            <v>FL./WALL FX. OUTD. CABLE SUPP. LADDERS</v>
          </cell>
          <cell r="C112" t="str">
            <v>Mtr</v>
          </cell>
          <cell r="D112">
            <v>200</v>
          </cell>
        </row>
        <row r="113">
          <cell r="A113">
            <v>1721</v>
          </cell>
          <cell r="B113" t="str">
            <v>HOR/VERT  INDOOR CABLE LADDER OR TRAY</v>
          </cell>
          <cell r="C113" t="str">
            <v>Mtr</v>
          </cell>
          <cell r="D113">
            <v>188</v>
          </cell>
        </row>
        <row r="114">
          <cell r="A114">
            <v>1731</v>
          </cell>
          <cell r="B114" t="str">
            <v>WALL FIXED CABLE BRACKET - 1000mm</v>
          </cell>
          <cell r="C114" t="str">
            <v>Each</v>
          </cell>
          <cell r="D114">
            <v>79</v>
          </cell>
        </row>
        <row r="115">
          <cell r="A115">
            <v>1732</v>
          </cell>
          <cell r="B115" t="str">
            <v>WALL FIXED CABLE BRACKET - 1500mm</v>
          </cell>
          <cell r="C115" t="str">
            <v>Each</v>
          </cell>
          <cell r="D115">
            <v>79</v>
          </cell>
        </row>
        <row r="116">
          <cell r="A116">
            <v>1733</v>
          </cell>
          <cell r="B116" t="str">
            <v>WALL FIXED CABLE BRACKET - 1800mm</v>
          </cell>
          <cell r="C116" t="str">
            <v>Each</v>
          </cell>
          <cell r="D116">
            <v>79</v>
          </cell>
        </row>
        <row r="117">
          <cell r="A117">
            <v>1734</v>
          </cell>
          <cell r="B117" t="str">
            <v>WALL FIXED CABLE BRACKET - 2300mm</v>
          </cell>
          <cell r="C117" t="str">
            <v>Each</v>
          </cell>
          <cell r="D117">
            <v>79</v>
          </cell>
        </row>
        <row r="118">
          <cell r="A118">
            <v>1741</v>
          </cell>
          <cell r="B118" t="str">
            <v>STANDARD CABLE BEARER - 250mm</v>
          </cell>
          <cell r="C118" t="str">
            <v>Each</v>
          </cell>
          <cell r="D118">
            <v>45</v>
          </cell>
        </row>
        <row r="119">
          <cell r="A119">
            <v>1742</v>
          </cell>
          <cell r="B119" t="str">
            <v>STANDARD CABLE BEARER - 350mm</v>
          </cell>
          <cell r="C119" t="str">
            <v>Each</v>
          </cell>
          <cell r="D119">
            <v>45</v>
          </cell>
        </row>
        <row r="120">
          <cell r="A120">
            <v>1743</v>
          </cell>
          <cell r="B120" t="str">
            <v>STANDARD CABLE BEARER - 500mm</v>
          </cell>
          <cell r="C120" t="str">
            <v>Each</v>
          </cell>
          <cell r="D120">
            <v>45</v>
          </cell>
        </row>
        <row r="121">
          <cell r="A121">
            <v>1750</v>
          </cell>
          <cell r="B121" t="str">
            <v>STANDARD MDF EXTENSION</v>
          </cell>
          <cell r="C121" t="str">
            <v>Each</v>
          </cell>
          <cell r="D121">
            <v>2813</v>
          </cell>
        </row>
        <row r="122">
          <cell r="A122">
            <v>1761</v>
          </cell>
          <cell r="B122" t="str">
            <v>CABLE ACCESS HOLE TO MDF</v>
          </cell>
          <cell r="C122" t="str">
            <v>Each</v>
          </cell>
          <cell r="D122">
            <v>319</v>
          </cell>
        </row>
        <row r="123">
          <cell r="A123">
            <v>1762</v>
          </cell>
          <cell r="B123" t="str">
            <v>CUT.ACCESS HOLE THRU BLOCK WALL</v>
          </cell>
          <cell r="C123" t="str">
            <v>100cm2</v>
          </cell>
          <cell r="D123">
            <v>206</v>
          </cell>
        </row>
        <row r="124">
          <cell r="A124">
            <v>1763</v>
          </cell>
          <cell r="B124" t="str">
            <v>CUT CABLE ACCESS HOLE THRU CONCRE.WALL</v>
          </cell>
          <cell r="C124" t="str">
            <v>100cm2</v>
          </cell>
          <cell r="D124">
            <v>281</v>
          </cell>
        </row>
        <row r="125">
          <cell r="A125">
            <v>1771</v>
          </cell>
          <cell r="B125" t="str">
            <v>MAKING NEW DUCT ENTRIES TO CABLE.VAULT</v>
          </cell>
          <cell r="C125" t="str">
            <v>Mtr</v>
          </cell>
          <cell r="D125">
            <v>281</v>
          </cell>
        </row>
        <row r="126">
          <cell r="A126">
            <v>1801</v>
          </cell>
          <cell r="B126" t="str">
            <v>INST.  STEEL POLE,   8 m.</v>
          </cell>
          <cell r="C126" t="str">
            <v>Each</v>
          </cell>
          <cell r="D126">
            <v>581</v>
          </cell>
        </row>
        <row r="127">
          <cell r="A127">
            <v>1802</v>
          </cell>
          <cell r="B127" t="str">
            <v>INST.  STEEL POLE,   9 m.</v>
          </cell>
          <cell r="C127" t="str">
            <v>Each</v>
          </cell>
          <cell r="D127">
            <v>596</v>
          </cell>
        </row>
        <row r="128">
          <cell r="A128">
            <v>1803</v>
          </cell>
          <cell r="B128" t="str">
            <v>INST.  STEEL POLE, 10 m.</v>
          </cell>
          <cell r="C128" t="str">
            <v>Each</v>
          </cell>
          <cell r="D128">
            <v>611</v>
          </cell>
        </row>
        <row r="129">
          <cell r="A129">
            <v>1806</v>
          </cell>
          <cell r="B129" t="str">
            <v>INST.  WOOD POLE,  8 m.</v>
          </cell>
          <cell r="C129" t="str">
            <v>Each</v>
          </cell>
          <cell r="D129">
            <v>424</v>
          </cell>
        </row>
        <row r="130">
          <cell r="A130">
            <v>1807</v>
          </cell>
          <cell r="B130" t="str">
            <v>INST.  WOOD POLE,  9 m.</v>
          </cell>
          <cell r="C130" t="str">
            <v>Each</v>
          </cell>
          <cell r="D130">
            <v>294</v>
          </cell>
        </row>
        <row r="131">
          <cell r="A131">
            <v>1808</v>
          </cell>
          <cell r="B131" t="str">
            <v>INST.  WOOD POLE, 10 m.</v>
          </cell>
          <cell r="C131" t="str">
            <v>Each</v>
          </cell>
          <cell r="D131">
            <v>330</v>
          </cell>
        </row>
        <row r="132">
          <cell r="A132">
            <v>1811</v>
          </cell>
          <cell r="B132" t="str">
            <v>INST. 7/2.0mm STAY WIRE</v>
          </cell>
          <cell r="C132" t="str">
            <v>Each</v>
          </cell>
          <cell r="D132">
            <v>319</v>
          </cell>
        </row>
        <row r="133">
          <cell r="A133">
            <v>1812</v>
          </cell>
          <cell r="B133" t="str">
            <v>INST. 7/3.0mm STAY WIRE</v>
          </cell>
          <cell r="C133" t="str">
            <v>Each</v>
          </cell>
          <cell r="D133">
            <v>375</v>
          </cell>
        </row>
        <row r="134">
          <cell r="A134">
            <v>1821</v>
          </cell>
          <cell r="B134" t="str">
            <v>INST.7/2.0mm  POLE TO POLE STAY  WIRE</v>
          </cell>
          <cell r="C134" t="str">
            <v>Each</v>
          </cell>
          <cell r="D134">
            <v>304</v>
          </cell>
        </row>
        <row r="135">
          <cell r="A135">
            <v>1822</v>
          </cell>
          <cell r="B135" t="str">
            <v>INST.7/3.0mm  POLE TO POLE STAY  WIRE</v>
          </cell>
          <cell r="C135" t="str">
            <v>Each</v>
          </cell>
          <cell r="D135">
            <v>321</v>
          </cell>
        </row>
        <row r="136">
          <cell r="A136">
            <v>1831</v>
          </cell>
          <cell r="B136" t="str">
            <v>INST.   8 M. STEEL STRUT.</v>
          </cell>
          <cell r="C136" t="str">
            <v>Each</v>
          </cell>
          <cell r="D136">
            <v>373</v>
          </cell>
        </row>
        <row r="137">
          <cell r="A137">
            <v>1832</v>
          </cell>
          <cell r="B137" t="str">
            <v>INST.   9 M. STEEL STRUT.</v>
          </cell>
          <cell r="C137" t="str">
            <v>Each</v>
          </cell>
          <cell r="D137">
            <v>398</v>
          </cell>
        </row>
        <row r="138">
          <cell r="A138">
            <v>1833</v>
          </cell>
          <cell r="B138" t="str">
            <v>INST. 10 M. STEEL STRUT.</v>
          </cell>
          <cell r="C138" t="str">
            <v>Each</v>
          </cell>
          <cell r="D138">
            <v>428</v>
          </cell>
        </row>
        <row r="139">
          <cell r="A139">
            <v>1836</v>
          </cell>
          <cell r="B139" t="str">
            <v>INST.   8 M. WOOD STRUT.</v>
          </cell>
          <cell r="C139" t="str">
            <v>Each</v>
          </cell>
          <cell r="D139">
            <v>321</v>
          </cell>
        </row>
        <row r="140">
          <cell r="A140">
            <v>1837</v>
          </cell>
          <cell r="B140" t="str">
            <v>INST.   9 M. WOOD STRUT.</v>
          </cell>
          <cell r="C140" t="str">
            <v>Each</v>
          </cell>
          <cell r="D140">
            <v>351</v>
          </cell>
        </row>
        <row r="141">
          <cell r="A141">
            <v>1838</v>
          </cell>
          <cell r="B141" t="str">
            <v>INST. 10 M. WOOD STRUT.</v>
          </cell>
          <cell r="C141" t="str">
            <v>Each</v>
          </cell>
          <cell r="D141">
            <v>409</v>
          </cell>
        </row>
        <row r="142">
          <cell r="A142">
            <v>1851</v>
          </cell>
          <cell r="B142" t="str">
            <v>SUPPL. &amp; INST.  EARTH. SYST.  STEEL POLE</v>
          </cell>
          <cell r="C142" t="str">
            <v>Each</v>
          </cell>
          <cell r="D142">
            <v>375</v>
          </cell>
        </row>
        <row r="143">
          <cell r="A143">
            <v>1852</v>
          </cell>
          <cell r="B143" t="str">
            <v>SUPPL.&amp; INSTAL EARTH SYST.WOODPOLE</v>
          </cell>
          <cell r="C143" t="str">
            <v>Each</v>
          </cell>
          <cell r="D143">
            <v>244</v>
          </cell>
        </row>
        <row r="144">
          <cell r="A144">
            <v>2001</v>
          </cell>
          <cell r="B144" t="str">
            <v>CABLE TRENCH,    500 mm COVER</v>
          </cell>
          <cell r="C144" t="str">
            <v>Mtr</v>
          </cell>
          <cell r="D144">
            <v>21</v>
          </cell>
        </row>
        <row r="145">
          <cell r="A145">
            <v>2003</v>
          </cell>
          <cell r="B145" t="str">
            <v>CABLE TRENCH,    720 mm COVER</v>
          </cell>
          <cell r="C145" t="str">
            <v>Mtr</v>
          </cell>
          <cell r="D145">
            <v>24</v>
          </cell>
        </row>
        <row r="146">
          <cell r="A146">
            <v>2004</v>
          </cell>
          <cell r="B146" t="str">
            <v>CABLE TRENCH,  1000 mm COVER</v>
          </cell>
          <cell r="C146" t="str">
            <v>Mtr</v>
          </cell>
          <cell r="D146">
            <v>30</v>
          </cell>
        </row>
        <row r="147">
          <cell r="A147">
            <v>2006</v>
          </cell>
          <cell r="B147" t="str">
            <v>CABLE TRENCH,  1200 mm COVER</v>
          </cell>
          <cell r="C147" t="str">
            <v>Mtr</v>
          </cell>
          <cell r="D147">
            <v>35</v>
          </cell>
        </row>
        <row r="148">
          <cell r="A148">
            <v>2011</v>
          </cell>
          <cell r="B148" t="str">
            <v>TRENCH O. EXIST. ROUTE DEPTH TO 600mm</v>
          </cell>
          <cell r="C148" t="str">
            <v>Mtr</v>
          </cell>
          <cell r="D148">
            <v>26</v>
          </cell>
        </row>
        <row r="149">
          <cell r="A149">
            <v>2012</v>
          </cell>
          <cell r="B149" t="str">
            <v>TRENCH O. EXIST. ROUTE  &gt; 600mm-800mm</v>
          </cell>
          <cell r="C149" t="str">
            <v>Mtr</v>
          </cell>
          <cell r="D149">
            <v>32</v>
          </cell>
        </row>
        <row r="150">
          <cell r="A150">
            <v>2013</v>
          </cell>
          <cell r="B150" t="str">
            <v>TRENCH O. EXIST. ROUTE  &gt; 800mm-1000mm</v>
          </cell>
          <cell r="C150" t="str">
            <v>Mtr</v>
          </cell>
          <cell r="D150">
            <v>37</v>
          </cell>
        </row>
        <row r="151">
          <cell r="A151">
            <v>2014</v>
          </cell>
          <cell r="B151" t="str">
            <v>TRENCH O. EXIST. ROUTE  &gt; 1000mm-1200mm</v>
          </cell>
          <cell r="C151" t="str">
            <v>Mtr</v>
          </cell>
          <cell r="D151">
            <v>45</v>
          </cell>
        </row>
        <row r="152">
          <cell r="A152">
            <v>2017</v>
          </cell>
          <cell r="B152" t="str">
            <v>EXCVN.JOINT PIT OVER EXIST.CABLE</v>
          </cell>
          <cell r="C152" t="str">
            <v>Each</v>
          </cell>
          <cell r="D152">
            <v>225</v>
          </cell>
        </row>
        <row r="153">
          <cell r="A153">
            <v>2018</v>
          </cell>
          <cell r="B153" t="str">
            <v>Locate &amp; Install BSW</v>
          </cell>
          <cell r="C153" t="str">
            <v>Each</v>
          </cell>
          <cell r="D153">
            <v>250</v>
          </cell>
        </row>
        <row r="154">
          <cell r="A154">
            <v>2101</v>
          </cell>
          <cell r="B154" t="str">
            <v>INST. DIRECT BURIED CABLE  GROUP  1</v>
          </cell>
          <cell r="C154" t="str">
            <v>Mtr</v>
          </cell>
          <cell r="D154">
            <v>2</v>
          </cell>
        </row>
        <row r="155">
          <cell r="A155">
            <v>2102</v>
          </cell>
          <cell r="B155" t="str">
            <v>INST. DIRECT BURIED CABLE  GROUP  2</v>
          </cell>
          <cell r="C155" t="str">
            <v>Mtr</v>
          </cell>
          <cell r="D155">
            <v>2</v>
          </cell>
        </row>
        <row r="156">
          <cell r="A156">
            <v>2103</v>
          </cell>
          <cell r="B156" t="str">
            <v>INST. DIRECT BURIED CABLE  GROUP  3</v>
          </cell>
          <cell r="C156" t="str">
            <v>Mtr</v>
          </cell>
          <cell r="D156">
            <v>2</v>
          </cell>
        </row>
        <row r="157">
          <cell r="A157">
            <v>2104</v>
          </cell>
          <cell r="B157" t="str">
            <v>INST. DIRECT BURIED CABLE  GROUP  4</v>
          </cell>
          <cell r="C157" t="str">
            <v>Mtr</v>
          </cell>
          <cell r="D157">
            <v>3</v>
          </cell>
        </row>
        <row r="158">
          <cell r="A158">
            <v>2105</v>
          </cell>
          <cell r="B158" t="str">
            <v>INST. DIRECT BURIED CABLE  GROUP  5</v>
          </cell>
          <cell r="C158" t="str">
            <v>Mtr</v>
          </cell>
          <cell r="D158">
            <v>4</v>
          </cell>
        </row>
        <row r="159">
          <cell r="A159">
            <v>2106</v>
          </cell>
          <cell r="B159" t="str">
            <v>INST. DIRECT BURIED CABLE  GROUP  6</v>
          </cell>
          <cell r="C159" t="str">
            <v>Mtr</v>
          </cell>
          <cell r="D159">
            <v>4</v>
          </cell>
        </row>
        <row r="160">
          <cell r="A160">
            <v>2109</v>
          </cell>
          <cell r="B160" t="str">
            <v>INST. BURIED   SERVICE  WIRE IN OPEN TRENCH</v>
          </cell>
          <cell r="C160" t="str">
            <v>Mtr</v>
          </cell>
          <cell r="D160">
            <v>1</v>
          </cell>
        </row>
        <row r="161">
          <cell r="A161">
            <v>2111</v>
          </cell>
          <cell r="B161" t="str">
            <v>INST. CABLE TRENCH OPENED BY OTHERS</v>
          </cell>
          <cell r="C161" t="str">
            <v>Mtr</v>
          </cell>
          <cell r="D161">
            <v>5</v>
          </cell>
        </row>
        <row r="162">
          <cell r="A162">
            <v>2121</v>
          </cell>
          <cell r="B162" t="str">
            <v>INST. LIGHTN. PROT. WIRE, IN OPEN TRENCH</v>
          </cell>
          <cell r="C162" t="str">
            <v>Mtr</v>
          </cell>
          <cell r="D162">
            <v>9</v>
          </cell>
        </row>
        <row r="163">
          <cell r="A163">
            <v>2131</v>
          </cell>
          <cell r="B163" t="str">
            <v>INST.OPTICAL FIBRE CABLE GRP.1-3</v>
          </cell>
          <cell r="C163" t="str">
            <v>Mtr</v>
          </cell>
          <cell r="D163">
            <v>6</v>
          </cell>
        </row>
        <row r="164">
          <cell r="A164">
            <v>2151</v>
          </cell>
          <cell r="B164" t="str">
            <v>INST. 110mm PVC PIPE IN OPEN TRENCH</v>
          </cell>
          <cell r="C164" t="str">
            <v>Mtr</v>
          </cell>
          <cell r="D164">
            <v>5</v>
          </cell>
        </row>
        <row r="165">
          <cell r="A165">
            <v>2152</v>
          </cell>
          <cell r="B165" t="str">
            <v>INST. 100mm FRE. PIPE IN OPEN TRENCH</v>
          </cell>
          <cell r="C165" t="str">
            <v>Mtr</v>
          </cell>
          <cell r="D165">
            <v>5</v>
          </cell>
        </row>
        <row r="166">
          <cell r="A166">
            <v>2153</v>
          </cell>
          <cell r="B166" t="str">
            <v>INST. 100mm STEEL PIPE IN OPEN TRENCH</v>
          </cell>
          <cell r="C166" t="str">
            <v>Mtr</v>
          </cell>
          <cell r="D166">
            <v>5</v>
          </cell>
        </row>
        <row r="167">
          <cell r="A167">
            <v>2154</v>
          </cell>
          <cell r="B167" t="str">
            <v>INST. 50mm PE. PIPE IN OPEN TRENCH</v>
          </cell>
          <cell r="C167" t="str">
            <v>Mtr</v>
          </cell>
          <cell r="D167">
            <v>3</v>
          </cell>
        </row>
        <row r="168">
          <cell r="A168">
            <v>2231</v>
          </cell>
          <cell r="B168" t="str">
            <v>SUPP.&amp; INSTAL CONCRETE MARKER POST</v>
          </cell>
          <cell r="C168" t="str">
            <v>Each</v>
          </cell>
          <cell r="D168">
            <v>263</v>
          </cell>
        </row>
        <row r="169">
          <cell r="A169">
            <v>2232</v>
          </cell>
          <cell r="B169" t="str">
            <v>SUPP.&amp; INSTAL "T" RAIL MARKER POST</v>
          </cell>
          <cell r="C169" t="str">
            <v>Each</v>
          </cell>
          <cell r="D169">
            <v>188</v>
          </cell>
        </row>
        <row r="170">
          <cell r="A170">
            <v>2233</v>
          </cell>
          <cell r="B170" t="str">
            <v>SUPP.&amp; INSTAL FLEXIBLE MARKER POST</v>
          </cell>
          <cell r="C170" t="str">
            <v>Each</v>
          </cell>
          <cell r="D170">
            <v>300</v>
          </cell>
        </row>
        <row r="171">
          <cell r="A171">
            <v>2311</v>
          </cell>
          <cell r="B171" t="str">
            <v>INST. CABLE  IN  EMPTY DUCT,  GROUP  1</v>
          </cell>
          <cell r="C171" t="str">
            <v>Mtr</v>
          </cell>
          <cell r="D171">
            <v>4</v>
          </cell>
        </row>
        <row r="172">
          <cell r="A172">
            <v>2312</v>
          </cell>
          <cell r="B172" t="str">
            <v>INST. CABLE  IN  EMPTY DUCT,  GROUP  2</v>
          </cell>
          <cell r="C172" t="str">
            <v>Mtr</v>
          </cell>
          <cell r="D172">
            <v>4</v>
          </cell>
        </row>
        <row r="173">
          <cell r="A173">
            <v>2313</v>
          </cell>
          <cell r="B173" t="str">
            <v>INST. CABLE  IN  EMPTY DUCT,  GROUP  3</v>
          </cell>
          <cell r="C173" t="str">
            <v>Mtr</v>
          </cell>
          <cell r="D173">
            <v>5</v>
          </cell>
        </row>
        <row r="174">
          <cell r="A174">
            <v>2314</v>
          </cell>
          <cell r="B174" t="str">
            <v>INST. CABLE  IN  EMPTY DUCT,  GROUP  4</v>
          </cell>
          <cell r="C174" t="str">
            <v>Mtr</v>
          </cell>
          <cell r="D174">
            <v>6</v>
          </cell>
        </row>
        <row r="175">
          <cell r="A175">
            <v>2315</v>
          </cell>
          <cell r="B175" t="str">
            <v>INST. CABLE  IN  EMPTY DUCT,  GROUP  5</v>
          </cell>
          <cell r="C175" t="str">
            <v>Mtr</v>
          </cell>
          <cell r="D175">
            <v>8</v>
          </cell>
        </row>
        <row r="176">
          <cell r="A176">
            <v>2319</v>
          </cell>
          <cell r="B176" t="str">
            <v>INST. BSW CABLE IN  EMPTY DUCT</v>
          </cell>
          <cell r="C176" t="str">
            <v>Mtr</v>
          </cell>
          <cell r="D176">
            <v>3</v>
          </cell>
        </row>
        <row r="177">
          <cell r="A177">
            <v>2320</v>
          </cell>
          <cell r="B177" t="str">
            <v>INST OF DROP WIRE ON THE WALL</v>
          </cell>
          <cell r="C177" t="str">
            <v>M</v>
          </cell>
          <cell r="D177">
            <v>3</v>
          </cell>
        </row>
        <row r="178">
          <cell r="A178">
            <v>2331</v>
          </cell>
          <cell r="B178" t="str">
            <v>INST. CABLE GROUP 1  IN OCCUPIED DUCT</v>
          </cell>
          <cell r="C178" t="str">
            <v>Mtr</v>
          </cell>
          <cell r="D178">
            <v>6</v>
          </cell>
        </row>
        <row r="179">
          <cell r="A179">
            <v>2332</v>
          </cell>
          <cell r="B179" t="str">
            <v>INST. CABLE GROUP 2  IN OCCUPIED DUCT</v>
          </cell>
          <cell r="C179" t="str">
            <v>Mtr</v>
          </cell>
          <cell r="D179">
            <v>7</v>
          </cell>
        </row>
        <row r="180">
          <cell r="A180">
            <v>2333</v>
          </cell>
          <cell r="B180" t="str">
            <v>INST. CABLE GROUP 3  IN OCCUPIED DUCT</v>
          </cell>
          <cell r="C180" t="str">
            <v>Mtr</v>
          </cell>
          <cell r="D180">
            <v>8</v>
          </cell>
        </row>
        <row r="181">
          <cell r="A181">
            <v>2334</v>
          </cell>
          <cell r="B181" t="str">
            <v>INST. CABLE GROUP 4  IN OCCUPIED DUCT</v>
          </cell>
          <cell r="C181" t="str">
            <v>Mtr</v>
          </cell>
          <cell r="D181">
            <v>9</v>
          </cell>
        </row>
        <row r="182">
          <cell r="A182">
            <v>2335</v>
          </cell>
          <cell r="B182" t="str">
            <v>INST. CABLE GROUP 5  IN OCCUPIED DUCT</v>
          </cell>
          <cell r="C182" t="str">
            <v>Mtr</v>
          </cell>
          <cell r="D182">
            <v>10</v>
          </cell>
        </row>
        <row r="183">
          <cell r="A183">
            <v>2339</v>
          </cell>
          <cell r="B183" t="str">
            <v>INST. ONE BSW CABLE IN OCCUPIED DUCT</v>
          </cell>
          <cell r="C183" t="str">
            <v>Mtr</v>
          </cell>
          <cell r="D183">
            <v>4</v>
          </cell>
        </row>
        <row r="184">
          <cell r="A184">
            <v>2341</v>
          </cell>
          <cell r="B184" t="str">
            <v>INST. O.F.CABLE GRP.1-3 IN EMPTY DUCT</v>
          </cell>
          <cell r="C184" t="str">
            <v>Mtr</v>
          </cell>
          <cell r="D184">
            <v>6</v>
          </cell>
        </row>
        <row r="185">
          <cell r="A185">
            <v>2361</v>
          </cell>
          <cell r="B185" t="str">
            <v>INST. O.F.CABLE GRP.1-3 IN OCCUPIED DUCT</v>
          </cell>
          <cell r="C185" t="str">
            <v>Mtr</v>
          </cell>
          <cell r="D185">
            <v>6</v>
          </cell>
        </row>
        <row r="186">
          <cell r="A186">
            <v>2371</v>
          </cell>
          <cell r="B186" t="str">
            <v>INST.O.F.CABLE IN SUB-DUCT</v>
          </cell>
          <cell r="C186" t="str">
            <v>Mtr</v>
          </cell>
          <cell r="D186">
            <v>8</v>
          </cell>
        </row>
        <row r="187">
          <cell r="A187">
            <v>2372</v>
          </cell>
          <cell r="B187" t="str">
            <v>INST.O.F.CABLE IN 50 mm PE PIPE</v>
          </cell>
          <cell r="C187" t="str">
            <v>Mtr</v>
          </cell>
          <cell r="D187">
            <v>7</v>
          </cell>
        </row>
        <row r="188">
          <cell r="A188">
            <v>2381</v>
          </cell>
          <cell r="B188" t="str">
            <v>INST. 3 SUB-DUCTS IN EMPTY DUCT</v>
          </cell>
          <cell r="C188" t="str">
            <v>Mtr</v>
          </cell>
          <cell r="D188">
            <v>9</v>
          </cell>
        </row>
        <row r="189">
          <cell r="A189">
            <v>2382</v>
          </cell>
          <cell r="B189" t="str">
            <v>INST. 4 SUB-DUCTS IN EMPTY DUCT</v>
          </cell>
          <cell r="C189" t="str">
            <v>Mtr</v>
          </cell>
          <cell r="D189">
            <v>11</v>
          </cell>
        </row>
        <row r="190">
          <cell r="A190">
            <v>2391</v>
          </cell>
          <cell r="B190" t="str">
            <v>INST. 1 SUB-DUCT IN OCCUP. DUCT</v>
          </cell>
          <cell r="C190" t="str">
            <v>Mtr</v>
          </cell>
          <cell r="D190">
            <v>10</v>
          </cell>
        </row>
        <row r="191">
          <cell r="A191">
            <v>2401</v>
          </cell>
          <cell r="B191" t="str">
            <v>INSTALL  AERIAL  CABLE  GROUP 1 ON POLE</v>
          </cell>
          <cell r="C191" t="str">
            <v>Mtr</v>
          </cell>
          <cell r="D191">
            <v>19</v>
          </cell>
        </row>
        <row r="192">
          <cell r="A192">
            <v>2402</v>
          </cell>
          <cell r="B192" t="str">
            <v>INSTALL  AERIAL  CABLE  GROUP 2 ON POLE</v>
          </cell>
          <cell r="C192" t="str">
            <v>Mtr</v>
          </cell>
          <cell r="D192">
            <v>20</v>
          </cell>
        </row>
        <row r="193">
          <cell r="A193">
            <v>2403</v>
          </cell>
          <cell r="B193" t="str">
            <v>INSTALL  AERIAL  CABLE  GROUP 3 ON POLE</v>
          </cell>
          <cell r="C193" t="str">
            <v>Mtr</v>
          </cell>
          <cell r="D193">
            <v>24</v>
          </cell>
        </row>
        <row r="194">
          <cell r="A194">
            <v>2411</v>
          </cell>
          <cell r="B194" t="str">
            <v>INST. O.F. AERIAL CABLE GRP.1-3 ON Pole</v>
          </cell>
          <cell r="C194" t="str">
            <v>Mtr</v>
          </cell>
          <cell r="D194">
            <v>26</v>
          </cell>
        </row>
        <row r="195">
          <cell r="A195">
            <v>2461</v>
          </cell>
          <cell r="B195" t="str">
            <v>INSTALL AERIAL CABLE GROUPS  1-3</v>
          </cell>
          <cell r="C195" t="str">
            <v>Mtr</v>
          </cell>
          <cell r="D195">
            <v>13</v>
          </cell>
        </row>
        <row r="196">
          <cell r="A196">
            <v>2469</v>
          </cell>
          <cell r="B196" t="str">
            <v>INSTALL AERIAL O.F.  CABLE   GROUPS 1-3</v>
          </cell>
          <cell r="C196" t="str">
            <v>Mtr</v>
          </cell>
          <cell r="D196">
            <v>17</v>
          </cell>
        </row>
        <row r="197">
          <cell r="A197">
            <v>2471</v>
          </cell>
          <cell r="B197" t="str">
            <v>INSTALL NON-AERIAL CABLE GRP.1-3 ON WALL</v>
          </cell>
          <cell r="C197" t="str">
            <v>Mtr</v>
          </cell>
          <cell r="D197">
            <v>10</v>
          </cell>
        </row>
        <row r="198">
          <cell r="A198">
            <v>2472</v>
          </cell>
          <cell r="B198" t="str">
            <v>INSTALL NON-AERIAL CABLE GRP.4-5 ON WALL</v>
          </cell>
          <cell r="C198" t="str">
            <v>Mtr</v>
          </cell>
          <cell r="D198">
            <v>12</v>
          </cell>
        </row>
        <row r="199">
          <cell r="A199">
            <v>2473</v>
          </cell>
          <cell r="B199" t="str">
            <v>INSTALL NON-AERIAL CABLE GRP.6 ON WALL</v>
          </cell>
          <cell r="C199" t="str">
            <v>Mtr</v>
          </cell>
          <cell r="D199">
            <v>13</v>
          </cell>
        </row>
        <row r="200">
          <cell r="A200">
            <v>2479</v>
          </cell>
          <cell r="B200" t="str">
            <v>INSTALL NON-AERIAL O.F. CABLE GRP.1-3</v>
          </cell>
          <cell r="C200" t="str">
            <v>Mtr</v>
          </cell>
          <cell r="D200">
            <v>15</v>
          </cell>
        </row>
        <row r="201">
          <cell r="A201">
            <v>2501</v>
          </cell>
          <cell r="B201" t="str">
            <v>INSTALL PIPES AND PROTECTION IN WADIS</v>
          </cell>
          <cell r="C201" t="str">
            <v>Mtr</v>
          </cell>
          <cell r="D201">
            <v>675</v>
          </cell>
        </row>
        <row r="202">
          <cell r="A202">
            <v>3001</v>
          </cell>
          <cell r="B202" t="str">
            <v>JOINTING PAIRS NOT IN SERVICE</v>
          </cell>
          <cell r="C202" t="str">
            <v>Pair</v>
          </cell>
          <cell r="D202">
            <v>2</v>
          </cell>
        </row>
        <row r="203">
          <cell r="A203">
            <v>3020</v>
          </cell>
          <cell r="B203" t="str">
            <v xml:space="preserve">CUT OVER PAIRS IN SERVICE (WORKING) </v>
          </cell>
          <cell r="C203" t="str">
            <v>Pair</v>
          </cell>
          <cell r="D203">
            <v>23</v>
          </cell>
        </row>
        <row r="204">
          <cell r="A204">
            <v>3021</v>
          </cell>
          <cell r="B204" t="str">
            <v xml:space="preserve">CUT OVER PAIRS NOT IN SERVICE (NON WORKING) </v>
          </cell>
          <cell r="C204" t="str">
            <v>Pair</v>
          </cell>
          <cell r="D204">
            <v>17</v>
          </cell>
        </row>
        <row r="205">
          <cell r="A205">
            <v>3111</v>
          </cell>
          <cell r="B205" t="str">
            <v>JT.ENCL.(MANHOLE),CABLE, SIZE GROUP 1 &amp; 2</v>
          </cell>
          <cell r="C205" t="str">
            <v>Each</v>
          </cell>
          <cell r="D205">
            <v>206</v>
          </cell>
        </row>
        <row r="206">
          <cell r="A206" t="str">
            <v>3111 A</v>
          </cell>
          <cell r="B206" t="str">
            <v>JT.ENC. (MANHOLE), CABLE SIZE GR,  1</v>
          </cell>
          <cell r="C206" t="str">
            <v>Each</v>
          </cell>
          <cell r="D206">
            <v>600</v>
          </cell>
        </row>
        <row r="207">
          <cell r="A207" t="str">
            <v>3111 B</v>
          </cell>
          <cell r="B207" t="str">
            <v xml:space="preserve"> JT.ENC. (MANHOLE), CABLE SIZE GR, 1 &amp; 2</v>
          </cell>
          <cell r="C207" t="str">
            <v>Each</v>
          </cell>
          <cell r="D207">
            <v>650</v>
          </cell>
        </row>
        <row r="208">
          <cell r="A208">
            <v>3112</v>
          </cell>
          <cell r="B208" t="str">
            <v>JT.ENCL.(MANHOLE),CABLE, SIZE GROUP 3</v>
          </cell>
          <cell r="C208" t="str">
            <v>Each</v>
          </cell>
          <cell r="D208">
            <v>214</v>
          </cell>
        </row>
        <row r="209">
          <cell r="A209" t="str">
            <v>3112 A</v>
          </cell>
          <cell r="B209" t="str">
            <v>JT.ENC. (MANHOLE), CABLE SIZE GR, 3</v>
          </cell>
          <cell r="C209" t="str">
            <v>Each</v>
          </cell>
          <cell r="D209">
            <v>900</v>
          </cell>
        </row>
        <row r="210">
          <cell r="A210" t="str">
            <v>3112 B</v>
          </cell>
          <cell r="B210" t="str">
            <v>JT.ENC. (MANHOLE), CABLE SIZE GR, 3</v>
          </cell>
          <cell r="C210" t="str">
            <v>Each</v>
          </cell>
          <cell r="D210">
            <v>1000</v>
          </cell>
        </row>
        <row r="211">
          <cell r="A211">
            <v>3113</v>
          </cell>
          <cell r="B211" t="str">
            <v>JT.ENCL.(MANHOLE),CABLE, SIZE GROUP 4</v>
          </cell>
          <cell r="C211" t="str">
            <v>Each</v>
          </cell>
          <cell r="D211">
            <v>221</v>
          </cell>
        </row>
        <row r="212">
          <cell r="A212" t="str">
            <v>3113 A</v>
          </cell>
          <cell r="B212" t="str">
            <v>A JT.ENC. (MANHOLE), CABLE SIZE GR, 4</v>
          </cell>
          <cell r="C212" t="str">
            <v>Each</v>
          </cell>
          <cell r="D212">
            <v>1100</v>
          </cell>
        </row>
        <row r="213">
          <cell r="A213" t="str">
            <v>3113 B</v>
          </cell>
          <cell r="B213" t="str">
            <v>JT.ENC. (MANHOLE), CABLE SIZE GR, 4</v>
          </cell>
          <cell r="C213" t="str">
            <v>Each</v>
          </cell>
          <cell r="D213">
            <v>1200</v>
          </cell>
        </row>
        <row r="214">
          <cell r="A214">
            <v>3114</v>
          </cell>
          <cell r="B214" t="str">
            <v>JT.ENCL.(MANHOLE),CABLE, SIZE GROUP 5</v>
          </cell>
          <cell r="C214" t="str">
            <v>Each</v>
          </cell>
          <cell r="D214">
            <v>233</v>
          </cell>
        </row>
        <row r="215">
          <cell r="A215" t="str">
            <v>3114 A</v>
          </cell>
          <cell r="B215" t="str">
            <v>JT.ENC. (MANHOLE), CABLE SIZE GR, 5</v>
          </cell>
          <cell r="C215" t="str">
            <v>Each</v>
          </cell>
          <cell r="D215">
            <v>1600</v>
          </cell>
        </row>
        <row r="216">
          <cell r="A216" t="str">
            <v>3114 B</v>
          </cell>
          <cell r="B216" t="str">
            <v>JT.ENC. (MANHOLE), CABLE SIZE GR, 5</v>
          </cell>
          <cell r="C216" t="str">
            <v>Each</v>
          </cell>
          <cell r="D216">
            <v>1600</v>
          </cell>
        </row>
        <row r="217">
          <cell r="A217">
            <v>3121</v>
          </cell>
          <cell r="B217" t="str">
            <v>JT. ENC. (DB), CABLE, SIZE GROUP 1 &amp; 2</v>
          </cell>
          <cell r="C217" t="str">
            <v>Each</v>
          </cell>
          <cell r="D217">
            <v>206</v>
          </cell>
        </row>
        <row r="218">
          <cell r="A218">
            <v>3122</v>
          </cell>
          <cell r="B218" t="str">
            <v>JT. ENC. (DB), CABLE, SIZE GROUP 3</v>
          </cell>
          <cell r="C218" t="str">
            <v>Each</v>
          </cell>
          <cell r="D218">
            <v>214</v>
          </cell>
        </row>
        <row r="219">
          <cell r="A219">
            <v>3123</v>
          </cell>
          <cell r="B219" t="str">
            <v>JT. ENC. (DB), CABLE, SIZE GROUP 4</v>
          </cell>
          <cell r="C219" t="str">
            <v>Each</v>
          </cell>
          <cell r="D219">
            <v>221</v>
          </cell>
        </row>
        <row r="220">
          <cell r="A220">
            <v>3124</v>
          </cell>
          <cell r="B220" t="str">
            <v>JT. ENC. (DB), CABLE, SIZE GROUP 5</v>
          </cell>
          <cell r="C220" t="str">
            <v>Each</v>
          </cell>
          <cell r="D220">
            <v>233</v>
          </cell>
        </row>
        <row r="221">
          <cell r="A221">
            <v>3125</v>
          </cell>
          <cell r="B221" t="str">
            <v>JT. ENC. (DB), CABLE, SIZE GROUP 6</v>
          </cell>
          <cell r="C221" t="str">
            <v>Each</v>
          </cell>
          <cell r="D221">
            <v>233</v>
          </cell>
        </row>
        <row r="222">
          <cell r="A222">
            <v>3126</v>
          </cell>
          <cell r="B222" t="str">
            <v>JT.ENC CAB SIZE GRP 1&amp; 2 (BEHIND-U GURD)</v>
          </cell>
          <cell r="C222" t="str">
            <v>Each</v>
          </cell>
          <cell r="D222">
            <v>200</v>
          </cell>
        </row>
        <row r="223">
          <cell r="A223">
            <v>3130</v>
          </cell>
          <cell r="B223" t="str">
            <v>COPPER CABLE JOINT - ADDITIONAL CABLE END</v>
          </cell>
          <cell r="C223" t="str">
            <v>Each</v>
          </cell>
          <cell r="D223">
            <v>38</v>
          </cell>
        </row>
        <row r="224">
          <cell r="A224">
            <v>3196</v>
          </cell>
          <cell r="B224" t="str">
            <v>JT.ENCL. CABLE SIZE GROUP 1</v>
          </cell>
          <cell r="C224" t="str">
            <v>Each</v>
          </cell>
          <cell r="D224">
            <v>169</v>
          </cell>
        </row>
        <row r="225">
          <cell r="A225">
            <v>3197</v>
          </cell>
          <cell r="B225" t="str">
            <v>JT.ENCL. CABLE SIZE GROUP 2</v>
          </cell>
          <cell r="C225" t="str">
            <v>Each</v>
          </cell>
          <cell r="D225">
            <v>169</v>
          </cell>
        </row>
        <row r="226">
          <cell r="A226">
            <v>3198</v>
          </cell>
          <cell r="B226" t="str">
            <v>JT.ENCL. CABLE SIZE GROUP 3</v>
          </cell>
          <cell r="C226" t="str">
            <v>Each</v>
          </cell>
          <cell r="D226">
            <v>282</v>
          </cell>
        </row>
        <row r="227">
          <cell r="A227">
            <v>3199</v>
          </cell>
          <cell r="B227" t="str">
            <v>JT.ENCL. CABLE SIZE GROUP 4</v>
          </cell>
          <cell r="C227" t="str">
            <v>Each</v>
          </cell>
          <cell r="D227">
            <v>300</v>
          </cell>
        </row>
        <row r="228">
          <cell r="A228">
            <v>3201</v>
          </cell>
          <cell r="B228" t="str">
            <v>COMPLETING STEEL  ARMRD. JT. ENCL. C.GR.1</v>
          </cell>
          <cell r="C228" t="str">
            <v>Each</v>
          </cell>
          <cell r="D228">
            <v>319</v>
          </cell>
        </row>
        <row r="229">
          <cell r="A229">
            <v>3202</v>
          </cell>
          <cell r="B229" t="str">
            <v>COMPLETING STEEL  ARMRD. JT. ENCL. C.GR.2</v>
          </cell>
          <cell r="C229" t="str">
            <v>Each</v>
          </cell>
          <cell r="D229">
            <v>338</v>
          </cell>
        </row>
        <row r="230">
          <cell r="A230">
            <v>3203</v>
          </cell>
          <cell r="B230" t="str">
            <v>COMPLETING STEEL  ARMRD. JT. ENCL. C.GR.3</v>
          </cell>
          <cell r="C230" t="str">
            <v>Each</v>
          </cell>
          <cell r="D230">
            <v>356</v>
          </cell>
        </row>
        <row r="231">
          <cell r="A231">
            <v>3204</v>
          </cell>
          <cell r="B231" t="str">
            <v>COMPLETING STEEL  ARMRD. JT. ENCL. C.GR.4</v>
          </cell>
          <cell r="C231" t="str">
            <v>Each</v>
          </cell>
          <cell r="D231">
            <v>375</v>
          </cell>
        </row>
        <row r="232">
          <cell r="A232">
            <v>3205</v>
          </cell>
          <cell r="B232" t="str">
            <v>COMPLETING STEEL  ARMRD. JT. ENCL. C.GR.5</v>
          </cell>
          <cell r="C232" t="str">
            <v>Each</v>
          </cell>
          <cell r="D232">
            <v>394</v>
          </cell>
        </row>
        <row r="233">
          <cell r="A233">
            <v>3206</v>
          </cell>
          <cell r="B233" t="str">
            <v>COMPLETING STEEL  ARMRD. JT. ENCL. C.GR.6</v>
          </cell>
          <cell r="C233" t="str">
            <v>Each</v>
          </cell>
          <cell r="D233">
            <v>413</v>
          </cell>
        </row>
        <row r="234">
          <cell r="A234">
            <v>3231</v>
          </cell>
          <cell r="B234" t="str">
            <v>OPEN/RECLOSE JT. (M/H)  CABLE  GR.1&amp;2</v>
          </cell>
          <cell r="C234" t="str">
            <v>Each</v>
          </cell>
          <cell r="D234">
            <v>263</v>
          </cell>
        </row>
        <row r="235">
          <cell r="A235">
            <v>3232</v>
          </cell>
          <cell r="B235" t="str">
            <v>OPEN/RECLOSE JT. (M/H)  CABLE  GR.3</v>
          </cell>
          <cell r="C235" t="str">
            <v>Each</v>
          </cell>
          <cell r="D235">
            <v>274</v>
          </cell>
        </row>
        <row r="236">
          <cell r="A236">
            <v>3233</v>
          </cell>
          <cell r="B236" t="str">
            <v>OPEN/RECLOSE JT. (M/H)  CABLE  GR.4</v>
          </cell>
          <cell r="C236" t="str">
            <v>Each</v>
          </cell>
          <cell r="D236">
            <v>285</v>
          </cell>
        </row>
        <row r="237">
          <cell r="A237">
            <v>3234</v>
          </cell>
          <cell r="B237" t="str">
            <v>OPEN/RECLOSE JT. (M/H)  CABLE  GR.5</v>
          </cell>
          <cell r="C237" t="str">
            <v>Each</v>
          </cell>
          <cell r="D237">
            <v>296</v>
          </cell>
        </row>
        <row r="238">
          <cell r="A238">
            <v>3241</v>
          </cell>
          <cell r="B238" t="str">
            <v>OPEN/RECLOSE JT. (D/B)  CABLE GR.1&amp;2</v>
          </cell>
          <cell r="C238" t="str">
            <v>Each</v>
          </cell>
          <cell r="D238">
            <v>263</v>
          </cell>
        </row>
        <row r="239">
          <cell r="A239">
            <v>3242</v>
          </cell>
          <cell r="B239" t="str">
            <v>OPEN/RECLOSE JT. (D/B)  CABLE GR.3</v>
          </cell>
          <cell r="C239" t="str">
            <v>Each</v>
          </cell>
          <cell r="D239">
            <v>270</v>
          </cell>
        </row>
        <row r="240">
          <cell r="A240">
            <v>3243</v>
          </cell>
          <cell r="B240" t="str">
            <v>OPEN/RECLOSE JT. (D/B)  CABLE GR.4</v>
          </cell>
          <cell r="C240" t="str">
            <v>Each</v>
          </cell>
          <cell r="D240">
            <v>285</v>
          </cell>
        </row>
        <row r="241">
          <cell r="A241">
            <v>3244</v>
          </cell>
          <cell r="B241" t="str">
            <v>OPEN/RECLOSE JT. (D/B)  CABLE GR.5</v>
          </cell>
          <cell r="C241" t="str">
            <v>Each</v>
          </cell>
          <cell r="D241">
            <v>296</v>
          </cell>
        </row>
        <row r="242">
          <cell r="A242">
            <v>3245</v>
          </cell>
          <cell r="B242" t="str">
            <v>OPEN/RECLOSE JT. (D/B)  CABLE GR.6</v>
          </cell>
          <cell r="C242" t="str">
            <v>Each</v>
          </cell>
          <cell r="D242">
            <v>308</v>
          </cell>
        </row>
        <row r="243">
          <cell r="A243">
            <v>3301</v>
          </cell>
          <cell r="B243" t="str">
            <v>RECORD UPDATE AND VERIFICATION</v>
          </cell>
          <cell r="C243" t="str">
            <v>PAIR</v>
          </cell>
          <cell r="D243">
            <v>4</v>
          </cell>
        </row>
        <row r="244">
          <cell r="A244">
            <v>3311</v>
          </cell>
          <cell r="B244" t="str">
            <v>PREPARING CUTSHEET</v>
          </cell>
          <cell r="C244" t="str">
            <v>PAIR</v>
          </cell>
          <cell r="D244">
            <v>3</v>
          </cell>
        </row>
        <row r="245">
          <cell r="A245">
            <v>3421</v>
          </cell>
          <cell r="B245" t="str">
            <v>JOINT UP TO 10 FIBRE CABLE IN MANHOLE</v>
          </cell>
          <cell r="C245" t="str">
            <v>Each</v>
          </cell>
          <cell r="D245">
            <v>375</v>
          </cell>
        </row>
        <row r="246">
          <cell r="A246">
            <v>3422</v>
          </cell>
          <cell r="B246" t="str">
            <v>JOINT. 11-20 FIBRE CABLE IN MANHOLE</v>
          </cell>
          <cell r="C246" t="str">
            <v>Each</v>
          </cell>
          <cell r="D246">
            <v>38</v>
          </cell>
        </row>
        <row r="247">
          <cell r="A247">
            <v>3461</v>
          </cell>
          <cell r="B247" t="str">
            <v>JOINT UP TO 10 FIBER CABLE, (DB)</v>
          </cell>
          <cell r="C247" t="str">
            <v>Each</v>
          </cell>
          <cell r="D247">
            <v>356</v>
          </cell>
        </row>
        <row r="248">
          <cell r="A248">
            <v>3462</v>
          </cell>
          <cell r="B248" t="str">
            <v>JOINT, 11-20 FIBER CABLE (DB)</v>
          </cell>
          <cell r="C248" t="str">
            <v>Each</v>
          </cell>
          <cell r="D248">
            <v>38</v>
          </cell>
        </row>
        <row r="249">
          <cell r="A249">
            <v>3491</v>
          </cell>
          <cell r="B249" t="str">
            <v>JT. AERIAL O.F. CABLE,  UPTO 10 FIBRE</v>
          </cell>
          <cell r="C249" t="str">
            <v>Each</v>
          </cell>
          <cell r="D249">
            <v>338</v>
          </cell>
        </row>
        <row r="250">
          <cell r="A250">
            <v>3492</v>
          </cell>
          <cell r="B250" t="str">
            <v>JT. AERIAL O.F. CABLE,    11-20 FIBRE</v>
          </cell>
          <cell r="C250" t="str">
            <v>Each</v>
          </cell>
          <cell r="D250">
            <v>38</v>
          </cell>
        </row>
        <row r="251">
          <cell r="A251">
            <v>3499</v>
          </cell>
          <cell r="B251" t="str">
            <v>O/RECLOSE JT. IN O.F. CABLE  10/125</v>
          </cell>
          <cell r="C251" t="str">
            <v>Each</v>
          </cell>
          <cell r="D251">
            <v>188</v>
          </cell>
        </row>
        <row r="252">
          <cell r="A252">
            <v>3511</v>
          </cell>
          <cell r="B252" t="str">
            <v>INST.LINE SIDE IDC TERMINAL BLOCK IN MDF, 100 PR</v>
          </cell>
          <cell r="C252" t="str">
            <v>Each</v>
          </cell>
          <cell r="D252">
            <v>169</v>
          </cell>
        </row>
        <row r="253">
          <cell r="A253">
            <v>3512</v>
          </cell>
          <cell r="B253" t="str">
            <v>INST.LINE SIDE  IDC TERMINAL BLOCK IN MDF, 200 PR</v>
          </cell>
          <cell r="C253" t="str">
            <v>Each</v>
          </cell>
          <cell r="D253">
            <v>188</v>
          </cell>
        </row>
        <row r="254">
          <cell r="A254">
            <v>3521</v>
          </cell>
          <cell r="B254" t="str">
            <v>TERMINATE CABLE  IDC BLOCK  IN MDF</v>
          </cell>
          <cell r="C254" t="str">
            <v>Pair</v>
          </cell>
          <cell r="D254">
            <v>2</v>
          </cell>
        </row>
        <row r="255">
          <cell r="A255">
            <v>3522</v>
          </cell>
          <cell r="B255" t="str">
            <v>PROVIDE MDF TO IDF JUMPERS - IDC TYPE</v>
          </cell>
          <cell r="C255" t="str">
            <v>Each</v>
          </cell>
          <cell r="D255">
            <v>21</v>
          </cell>
        </row>
        <row r="256">
          <cell r="A256">
            <v>3526</v>
          </cell>
          <cell r="B256" t="str">
            <v>SUPPLY AND INSTALL JUMPERS ON MDF - IDC TYPE</v>
          </cell>
          <cell r="C256" t="str">
            <v>Each</v>
          </cell>
          <cell r="D256">
            <v>21</v>
          </cell>
        </row>
        <row r="257">
          <cell r="A257">
            <v>3531</v>
          </cell>
          <cell r="B257" t="str">
            <v>CABLE VAULT TERM. JOINT  GR.  2</v>
          </cell>
          <cell r="C257" t="str">
            <v>Each</v>
          </cell>
          <cell r="D257">
            <v>300</v>
          </cell>
        </row>
        <row r="258">
          <cell r="A258">
            <v>3532</v>
          </cell>
          <cell r="B258" t="str">
            <v>CABLE VAULT TERM. JOINT  GR.  3</v>
          </cell>
          <cell r="C258" t="str">
            <v>Each</v>
          </cell>
          <cell r="D258">
            <v>338</v>
          </cell>
        </row>
        <row r="259">
          <cell r="A259">
            <v>3533</v>
          </cell>
          <cell r="B259" t="str">
            <v>CABLE VAULT TERM. JOINT  GR.  4</v>
          </cell>
          <cell r="C259" t="str">
            <v>Each</v>
          </cell>
          <cell r="D259">
            <v>375</v>
          </cell>
        </row>
        <row r="260">
          <cell r="A260">
            <v>3534</v>
          </cell>
          <cell r="B260" t="str">
            <v>CABLE VAULT TERM. JOINT  GR.  5</v>
          </cell>
          <cell r="C260" t="str">
            <v>Each</v>
          </cell>
          <cell r="D260">
            <v>413</v>
          </cell>
        </row>
        <row r="261">
          <cell r="A261">
            <v>3535</v>
          </cell>
          <cell r="B261" t="str">
            <v>CABLE VAULT TERM. JOINT  GR.  6</v>
          </cell>
          <cell r="C261" t="str">
            <v>Each</v>
          </cell>
          <cell r="D261">
            <v>450</v>
          </cell>
        </row>
        <row r="262">
          <cell r="A262">
            <v>3611</v>
          </cell>
          <cell r="B262" t="str">
            <v xml:space="preserve"> INSTALL 900 PR. OUTDOOR CAB.</v>
          </cell>
          <cell r="C262" t="str">
            <v>Each</v>
          </cell>
          <cell r="D262">
            <v>375</v>
          </cell>
        </row>
        <row r="263">
          <cell r="A263">
            <v>3612</v>
          </cell>
          <cell r="B263" t="str">
            <v xml:space="preserve"> INSTALL 1200 PR. OUTDOOR CAB.</v>
          </cell>
          <cell r="C263" t="str">
            <v>Each</v>
          </cell>
          <cell r="D263">
            <v>375</v>
          </cell>
        </row>
        <row r="264">
          <cell r="A264">
            <v>3613</v>
          </cell>
          <cell r="B264" t="str">
            <v xml:space="preserve"> INSTALL 1800 PR. OUTDOOR CAB.</v>
          </cell>
          <cell r="C264" t="str">
            <v>Each</v>
          </cell>
          <cell r="D264">
            <v>375</v>
          </cell>
        </row>
        <row r="265">
          <cell r="A265">
            <v>3614</v>
          </cell>
          <cell r="B265" t="str">
            <v xml:space="preserve"> INSTALL 2700 PR. OUTDOOR CAB.</v>
          </cell>
          <cell r="C265" t="str">
            <v>Each</v>
          </cell>
          <cell r="D265">
            <v>375</v>
          </cell>
        </row>
        <row r="266">
          <cell r="A266">
            <v>3621</v>
          </cell>
          <cell r="B266" t="str">
            <v>INSTALLATION OF 300 PR. INDOOR CABINET</v>
          </cell>
          <cell r="C266" t="str">
            <v>Each</v>
          </cell>
          <cell r="D266">
            <v>525</v>
          </cell>
        </row>
        <row r="267">
          <cell r="A267">
            <v>3622</v>
          </cell>
          <cell r="B267" t="str">
            <v>INSTALLATION OF 900 PAIR INDOOR  CABINET</v>
          </cell>
          <cell r="C267" t="str">
            <v>Each</v>
          </cell>
          <cell r="D267">
            <v>750</v>
          </cell>
        </row>
        <row r="268">
          <cell r="A268">
            <v>3623</v>
          </cell>
          <cell r="B268" t="str">
            <v>INSTALLATION OF 1200 PAIR INDOOR  CABINET</v>
          </cell>
          <cell r="C268" t="str">
            <v>Each</v>
          </cell>
          <cell r="D268">
            <v>938</v>
          </cell>
        </row>
        <row r="269">
          <cell r="A269">
            <v>3631</v>
          </cell>
          <cell r="B269" t="str">
            <v>INST. DUCT  CABLE IN CABINET</v>
          </cell>
          <cell r="C269" t="str">
            <v>Set</v>
          </cell>
          <cell r="D269">
            <v>338</v>
          </cell>
        </row>
        <row r="270">
          <cell r="A270">
            <v>3632</v>
          </cell>
          <cell r="B270" t="str">
            <v>INST. BURIED  CABLE IN CABINET</v>
          </cell>
          <cell r="C270" t="str">
            <v>Set</v>
          </cell>
          <cell r="D270">
            <v>375</v>
          </cell>
        </row>
        <row r="271">
          <cell r="A271">
            <v>3634</v>
          </cell>
          <cell r="B271" t="str">
            <v>TERMINATING CABLE PAIRS IN CABINET - IDC</v>
          </cell>
          <cell r="C271" t="str">
            <v>10 pair</v>
          </cell>
          <cell r="D271">
            <v>23</v>
          </cell>
        </row>
        <row r="272">
          <cell r="A272">
            <v>3640</v>
          </cell>
          <cell r="B272" t="str">
            <v>INST OF TERMINAL BLOCK (ANY SIZE)</v>
          </cell>
          <cell r="C272" t="str">
            <v>Each</v>
          </cell>
          <cell r="D272">
            <v>75</v>
          </cell>
        </row>
        <row r="273">
          <cell r="A273">
            <v>3641</v>
          </cell>
          <cell r="B273" t="str">
            <v>SUPPLY &amp; INSTALL CABINET JUMPER - IDC</v>
          </cell>
          <cell r="C273" t="str">
            <v>Each</v>
          </cell>
          <cell r="D273">
            <v>8</v>
          </cell>
        </row>
        <row r="274">
          <cell r="A274">
            <v>3642</v>
          </cell>
          <cell r="B274" t="str">
            <v>SUPPLY&amp;INST.BACK MOUNT FRAME IN EX. CAB. f. 100 p</v>
          </cell>
          <cell r="C274" t="str">
            <v>Each</v>
          </cell>
          <cell r="D274">
            <v>75</v>
          </cell>
        </row>
        <row r="275">
          <cell r="A275">
            <v>3650</v>
          </cell>
          <cell r="B275" t="str">
            <v>PROVIDE CABINET TEE'D JUMPERS - IDC TYPE</v>
          </cell>
          <cell r="C275" t="str">
            <v>Each</v>
          </cell>
          <cell r="D275">
            <v>19</v>
          </cell>
        </row>
        <row r="276">
          <cell r="A276">
            <v>3661</v>
          </cell>
          <cell r="B276" t="str">
            <v>INSTALL COPPER CABLE INTO PG CABINET</v>
          </cell>
          <cell r="C276" t="str">
            <v>Each</v>
          </cell>
          <cell r="D276">
            <v>248</v>
          </cell>
        </row>
        <row r="277">
          <cell r="A277">
            <v>3662</v>
          </cell>
          <cell r="B277" t="str">
            <v>TERMINATE COPPER CABLE IN PG CABINET</v>
          </cell>
          <cell r="C277" t="str">
            <v>Each</v>
          </cell>
          <cell r="D277">
            <v>2</v>
          </cell>
        </row>
        <row r="278">
          <cell r="A278">
            <v>3664</v>
          </cell>
          <cell r="B278" t="str">
            <v>INSTALL FOC IN FIBER CABINET UP TO 10 FIBERS</v>
          </cell>
          <cell r="C278" t="str">
            <v>Each</v>
          </cell>
          <cell r="D278">
            <v>375</v>
          </cell>
        </row>
        <row r="279">
          <cell r="A279">
            <v>3665</v>
          </cell>
          <cell r="B279" t="str">
            <v>INSTALL FOC IN FIBER CABINET 11-20 FIBERS</v>
          </cell>
          <cell r="C279" t="str">
            <v>Each</v>
          </cell>
          <cell r="D279">
            <v>38</v>
          </cell>
        </row>
        <row r="280">
          <cell r="A280">
            <v>3711</v>
          </cell>
          <cell r="B280" t="str">
            <v>INST.  10 PR. INDOOR DP</v>
          </cell>
          <cell r="C280" t="str">
            <v>Each</v>
          </cell>
          <cell r="D280">
            <v>188</v>
          </cell>
        </row>
        <row r="281">
          <cell r="A281">
            <v>3712</v>
          </cell>
          <cell r="B281" t="str">
            <v>INST.  20 PR. INDOOR DP</v>
          </cell>
          <cell r="C281" t="str">
            <v>Each</v>
          </cell>
          <cell r="D281">
            <v>188</v>
          </cell>
        </row>
        <row r="282">
          <cell r="A282">
            <v>3713</v>
          </cell>
          <cell r="B282" t="str">
            <v>INST.  30 PR. INDOOR DP</v>
          </cell>
          <cell r="C282" t="str">
            <v>Each</v>
          </cell>
          <cell r="D282">
            <v>188</v>
          </cell>
        </row>
        <row r="283">
          <cell r="A283">
            <v>3714</v>
          </cell>
          <cell r="B283" t="str">
            <v>INST.  50 PR. INDOOR DP</v>
          </cell>
          <cell r="C283" t="str">
            <v>Each</v>
          </cell>
          <cell r="D283">
            <v>188</v>
          </cell>
        </row>
        <row r="284">
          <cell r="A284">
            <v>3715</v>
          </cell>
          <cell r="B284" t="str">
            <v xml:space="preserve">INST.OF ADD. 10 PR BESIDE EXISTING </v>
          </cell>
          <cell r="C284" t="str">
            <v>10P</v>
          </cell>
          <cell r="D284">
            <v>150</v>
          </cell>
        </row>
        <row r="285">
          <cell r="A285">
            <v>3721</v>
          </cell>
          <cell r="B285" t="str">
            <v>INSTALL 10 PAIR POLE DP</v>
          </cell>
          <cell r="C285" t="str">
            <v>Each</v>
          </cell>
          <cell r="D285">
            <v>150</v>
          </cell>
        </row>
        <row r="286">
          <cell r="A286">
            <v>3722</v>
          </cell>
          <cell r="B286" t="str">
            <v>INSTALL 20 PAIR POLE DP</v>
          </cell>
          <cell r="C286" t="str">
            <v>Each</v>
          </cell>
          <cell r="D286">
            <v>150</v>
          </cell>
        </row>
        <row r="287">
          <cell r="A287">
            <v>3731</v>
          </cell>
          <cell r="B287" t="str">
            <v>INSTALL 10 PAIR WALL  DP</v>
          </cell>
          <cell r="C287" t="str">
            <v>Each</v>
          </cell>
          <cell r="D287">
            <v>150</v>
          </cell>
        </row>
        <row r="288">
          <cell r="A288">
            <v>3732</v>
          </cell>
          <cell r="B288" t="str">
            <v>INSTALL 20 PAIR WALL  DP</v>
          </cell>
          <cell r="C288" t="str">
            <v>Each</v>
          </cell>
          <cell r="D288">
            <v>150</v>
          </cell>
        </row>
        <row r="289">
          <cell r="A289">
            <v>3733</v>
          </cell>
          <cell r="B289" t="str">
            <v>INSTALL 30 PAIR WALL  DP</v>
          </cell>
          <cell r="C289" t="str">
            <v>Each</v>
          </cell>
          <cell r="D289">
            <v>150</v>
          </cell>
        </row>
        <row r="290">
          <cell r="A290">
            <v>3734</v>
          </cell>
          <cell r="B290" t="str">
            <v xml:space="preserve">INST.OF ADD. 10 PR BESIDE EXISTING </v>
          </cell>
          <cell r="C290" t="str">
            <v>10P</v>
          </cell>
          <cell r="D290">
            <v>180</v>
          </cell>
        </row>
        <row r="291">
          <cell r="A291">
            <v>3741</v>
          </cell>
          <cell r="B291" t="str">
            <v>INST. OF PILLAR WITHOUT BLOCK</v>
          </cell>
          <cell r="C291" t="str">
            <v>Each</v>
          </cell>
          <cell r="D291">
            <v>188</v>
          </cell>
        </row>
        <row r="292">
          <cell r="A292">
            <v>3742</v>
          </cell>
          <cell r="B292" t="str">
            <v>INST. OF PILLAR WITH ONE 10 PR. DP BLOCK</v>
          </cell>
          <cell r="C292" t="str">
            <v>Each</v>
          </cell>
          <cell r="D292">
            <v>244</v>
          </cell>
        </row>
        <row r="293">
          <cell r="A293">
            <v>3743</v>
          </cell>
          <cell r="B293" t="str">
            <v>INST. OF PILLAR WITH TWO 10 PR. DP BLOCK</v>
          </cell>
          <cell r="C293" t="str">
            <v>Each</v>
          </cell>
          <cell r="D293">
            <v>281</v>
          </cell>
        </row>
        <row r="294">
          <cell r="A294">
            <v>3744</v>
          </cell>
          <cell r="B294" t="str">
            <v>INST. OF PILLAR WITH THREE 10 PR. DP BLOCK</v>
          </cell>
          <cell r="C294" t="str">
            <v>Each</v>
          </cell>
          <cell r="D294">
            <v>300</v>
          </cell>
        </row>
        <row r="295">
          <cell r="A295">
            <v>3761</v>
          </cell>
          <cell r="B295" t="str">
            <v>INST. OF ONE 10 PR. BLOCK IN EXISTING PILLAR</v>
          </cell>
          <cell r="C295" t="str">
            <v>Each</v>
          </cell>
          <cell r="D295">
            <v>38</v>
          </cell>
        </row>
        <row r="296">
          <cell r="A296">
            <v>3771</v>
          </cell>
          <cell r="B296" t="str">
            <v>INST. OVERVOLTAGE PROT. IN NEW DP</v>
          </cell>
          <cell r="C296" t="str">
            <v>Each</v>
          </cell>
          <cell r="D296">
            <v>15</v>
          </cell>
        </row>
        <row r="297">
          <cell r="A297">
            <v>3772</v>
          </cell>
          <cell r="B297" t="str">
            <v>INST. OVERVOLTAGE PORT. IN EXIST. DP</v>
          </cell>
          <cell r="C297" t="str">
            <v>Each</v>
          </cell>
          <cell r="D297">
            <v>15</v>
          </cell>
        </row>
        <row r="298">
          <cell r="A298">
            <v>3775</v>
          </cell>
          <cell r="B298" t="str">
            <v>SUPP. &amp; INSTALL OF GUARD TO PILLAR DP</v>
          </cell>
          <cell r="C298" t="str">
            <v>Each</v>
          </cell>
          <cell r="D298">
            <v>244</v>
          </cell>
        </row>
        <row r="299">
          <cell r="A299">
            <v>3781</v>
          </cell>
          <cell r="B299" t="str">
            <v>INSTALL ONE BSW  AT ONE LOCATION</v>
          </cell>
          <cell r="C299" t="str">
            <v>Each</v>
          </cell>
          <cell r="D299">
            <v>45</v>
          </cell>
        </row>
        <row r="300">
          <cell r="A300">
            <v>3782</v>
          </cell>
          <cell r="B300" t="str">
            <v xml:space="preserve">INSTALL TWO BSW  AT ONE LOCATION </v>
          </cell>
          <cell r="C300" t="str">
            <v>Each</v>
          </cell>
          <cell r="D300">
            <v>45</v>
          </cell>
        </row>
        <row r="301">
          <cell r="A301">
            <v>3783</v>
          </cell>
          <cell r="B301" t="str">
            <v>INST. ONE 4 PAIR SUBS TERM BOX (STB) AT ONE LOC.</v>
          </cell>
          <cell r="C301" t="str">
            <v>Each</v>
          </cell>
          <cell r="D301">
            <v>26</v>
          </cell>
        </row>
        <row r="302">
          <cell r="A302">
            <v>3784</v>
          </cell>
          <cell r="B302" t="str">
            <v>INST. OVERVOLTAGE PROTE.AT ONE STB</v>
          </cell>
          <cell r="C302" t="str">
            <v>Each</v>
          </cell>
          <cell r="D302">
            <v>13</v>
          </cell>
        </row>
        <row r="303">
          <cell r="A303">
            <v>3789</v>
          </cell>
          <cell r="B303" t="str">
            <v>INSTALL 10 PR.TERM.BOX</v>
          </cell>
          <cell r="C303" t="str">
            <v>Each</v>
          </cell>
          <cell r="D303">
            <v>38</v>
          </cell>
        </row>
        <row r="304">
          <cell r="A304">
            <v>3901</v>
          </cell>
          <cell r="B304" t="str">
            <v>INST.UP TO 10 O.F.TERMINATION IN BLDGS.</v>
          </cell>
          <cell r="C304" t="str">
            <v>Each</v>
          </cell>
          <cell r="D304">
            <v>1500</v>
          </cell>
        </row>
        <row r="305">
          <cell r="A305">
            <v>3902</v>
          </cell>
          <cell r="B305" t="str">
            <v>INST.11-20, O.F. TERMINATION IN BLDGS.</v>
          </cell>
          <cell r="C305" t="str">
            <v>Each</v>
          </cell>
          <cell r="D305">
            <v>38</v>
          </cell>
        </row>
        <row r="306">
          <cell r="A306">
            <v>4301</v>
          </cell>
          <cell r="B306" t="str">
            <v>INST &amp; SUPPLY PRESSURE FEED IN MH</v>
          </cell>
          <cell r="C306" t="str">
            <v>Each</v>
          </cell>
          <cell r="D306">
            <v>1000</v>
          </cell>
        </row>
        <row r="307">
          <cell r="A307">
            <v>4311</v>
          </cell>
          <cell r="B307" t="str">
            <v>INST &amp; SUPPLY PRESSURE MANIFOLD IN MH</v>
          </cell>
          <cell r="C307" t="str">
            <v>Each</v>
          </cell>
          <cell r="D307">
            <v>1100</v>
          </cell>
        </row>
        <row r="308">
          <cell r="A308">
            <v>4321</v>
          </cell>
          <cell r="B308" t="str">
            <v>INST &amp; SUPPLY PRESSURE TRANSDUCER IN MH</v>
          </cell>
          <cell r="C308" t="str">
            <v>Each</v>
          </cell>
          <cell r="D308">
            <v>1000</v>
          </cell>
        </row>
        <row r="309">
          <cell r="A309">
            <v>4331</v>
          </cell>
          <cell r="B309" t="str">
            <v>INST &amp; SUPPLY PRESSURE TRANSDUCER IN CAB</v>
          </cell>
          <cell r="C309" t="str">
            <v>Each</v>
          </cell>
          <cell r="D309">
            <v>500</v>
          </cell>
        </row>
        <row r="310">
          <cell r="A310">
            <v>4401</v>
          </cell>
          <cell r="B310" t="str">
            <v>INST PRESSURE PLUG IN CABLE GROUP 1-2</v>
          </cell>
          <cell r="C310" t="str">
            <v>Each</v>
          </cell>
          <cell r="D310">
            <v>300</v>
          </cell>
        </row>
        <row r="311">
          <cell r="A311">
            <v>4402</v>
          </cell>
          <cell r="B311" t="str">
            <v>INST PRESSURE PLUG IN CABLE GROUP 3-5</v>
          </cell>
          <cell r="C311" t="str">
            <v>Each</v>
          </cell>
          <cell r="D311">
            <v>400</v>
          </cell>
        </row>
        <row r="312">
          <cell r="A312">
            <v>4403</v>
          </cell>
          <cell r="B312" t="str">
            <v>PROV TEMP PRESSURE BUFERING IN MH/HH</v>
          </cell>
          <cell r="C312" t="str">
            <v>Each</v>
          </cell>
          <cell r="D312">
            <v>200</v>
          </cell>
        </row>
        <row r="313">
          <cell r="A313">
            <v>4501</v>
          </cell>
          <cell r="B313" t="str">
            <v>COMM.OF NEW GAS PRESSURE SYSTEM</v>
          </cell>
          <cell r="C313" t="str">
            <v>KM</v>
          </cell>
          <cell r="D313">
            <v>2</v>
          </cell>
        </row>
        <row r="314">
          <cell r="A314">
            <v>4502</v>
          </cell>
          <cell r="B314" t="str">
            <v>COMM.OF EXTENSION TO GAS PRESSURE SYSTEM</v>
          </cell>
          <cell r="C314" t="str">
            <v>KM</v>
          </cell>
          <cell r="D314">
            <v>1</v>
          </cell>
        </row>
        <row r="315">
          <cell r="A315">
            <v>5101</v>
          </cell>
          <cell r="B315" t="str">
            <v>REHABILITATION OF MH TYPE A</v>
          </cell>
          <cell r="C315" t="str">
            <v>Each</v>
          </cell>
          <cell r="D315">
            <v>650</v>
          </cell>
        </row>
        <row r="316">
          <cell r="A316">
            <v>5102</v>
          </cell>
          <cell r="B316" t="str">
            <v>REHABILITATION OF MH TYPE B, (B-1)</v>
          </cell>
          <cell r="C316" t="str">
            <v>Each</v>
          </cell>
          <cell r="D316">
            <v>700</v>
          </cell>
        </row>
        <row r="317">
          <cell r="A317">
            <v>5103</v>
          </cell>
          <cell r="B317" t="str">
            <v>REHABILITATION OF MH TYPE C, (B-2)</v>
          </cell>
          <cell r="C317" t="str">
            <v>Each</v>
          </cell>
          <cell r="D317">
            <v>800</v>
          </cell>
        </row>
        <row r="318">
          <cell r="A318">
            <v>5104</v>
          </cell>
          <cell r="B318" t="str">
            <v>REHABILITATION OF MH TYPE D, (C)</v>
          </cell>
          <cell r="C318" t="str">
            <v>Each</v>
          </cell>
          <cell r="D318">
            <v>900</v>
          </cell>
        </row>
        <row r="319">
          <cell r="A319">
            <v>5118</v>
          </cell>
          <cell r="B319" t="str">
            <v>SUPPLY AND INSTALL OF MH FURNITURE</v>
          </cell>
          <cell r="C319" t="str">
            <v>eaMH</v>
          </cell>
          <cell r="D319">
            <v>300</v>
          </cell>
        </row>
        <row r="320">
          <cell r="A320">
            <v>5119</v>
          </cell>
          <cell r="B320" t="str">
            <v>SUPPLY AND INSTALL OF HH FURNITURE</v>
          </cell>
          <cell r="C320" t="str">
            <v>eaMH</v>
          </cell>
          <cell r="D320">
            <v>250</v>
          </cell>
        </row>
        <row r="321">
          <cell r="A321">
            <v>5121</v>
          </cell>
          <cell r="B321" t="str">
            <v>RAISE/LOWER MH ENTRANCE W/O THE SUPP OF FRAME AND COVER</v>
          </cell>
          <cell r="C321" t="str">
            <v>Each</v>
          </cell>
          <cell r="D321">
            <v>1100</v>
          </cell>
        </row>
        <row r="322">
          <cell r="A322">
            <v>5126</v>
          </cell>
          <cell r="B322" t="str">
            <v>REPLACING MH ENTRANCE COVER</v>
          </cell>
          <cell r="C322" t="str">
            <v>Each</v>
          </cell>
          <cell r="D322">
            <v>650</v>
          </cell>
        </row>
        <row r="323">
          <cell r="A323">
            <v>5127</v>
          </cell>
          <cell r="B323" t="str">
            <v>REPLACING HH ENTRANCE COVER</v>
          </cell>
          <cell r="C323" t="str">
            <v>Each</v>
          </cell>
          <cell r="D323">
            <v>800</v>
          </cell>
        </row>
        <row r="324">
          <cell r="A324">
            <v>5132</v>
          </cell>
          <cell r="B324" t="str">
            <v>REHABAILTATION OF CAB CASE</v>
          </cell>
          <cell r="C324" t="str">
            <v>Each</v>
          </cell>
          <cell r="D324">
            <v>3000</v>
          </cell>
        </row>
        <row r="325">
          <cell r="A325">
            <v>5133</v>
          </cell>
          <cell r="B325" t="str">
            <v>REHABAILTATION OF CAB PROT POST</v>
          </cell>
          <cell r="C325" t="str">
            <v>Each</v>
          </cell>
          <cell r="D325">
            <v>250</v>
          </cell>
        </row>
        <row r="326">
          <cell r="A326">
            <v>5151</v>
          </cell>
          <cell r="B326" t="str">
            <v>PILLAR DP WITH JOINT</v>
          </cell>
          <cell r="C326" t="str">
            <v>Each</v>
          </cell>
          <cell r="D326">
            <v>300</v>
          </cell>
        </row>
        <row r="327">
          <cell r="A327">
            <v>5152</v>
          </cell>
          <cell r="B327" t="str">
            <v>PILLAR DP WITHOUT JOINT</v>
          </cell>
          <cell r="C327" t="str">
            <v>Each</v>
          </cell>
          <cell r="D327">
            <v>200</v>
          </cell>
        </row>
        <row r="328">
          <cell r="A328">
            <v>5201</v>
          </cell>
          <cell r="B328" t="str">
            <v>TESTING EXIST. EMPTY DUCT</v>
          </cell>
          <cell r="C328" t="str">
            <v>m.pipe</v>
          </cell>
          <cell r="D328">
            <v>4</v>
          </cell>
        </row>
        <row r="329">
          <cell r="A329">
            <v>5202</v>
          </cell>
          <cell r="B329" t="str">
            <v>TESTING EXIST. OCCUPIED DUCT</v>
          </cell>
          <cell r="C329" t="str">
            <v>m.pipe</v>
          </cell>
          <cell r="D329">
            <v>5</v>
          </cell>
        </row>
        <row r="330">
          <cell r="A330">
            <v>5210</v>
          </cell>
          <cell r="B330" t="str">
            <v>REP. EX.    EMP/OCC. DUCT ENC. IN CONCR.</v>
          </cell>
          <cell r="C330" t="str">
            <v>Each</v>
          </cell>
          <cell r="D330">
            <v>1125</v>
          </cell>
        </row>
        <row r="331">
          <cell r="A331">
            <v>5211</v>
          </cell>
          <cell r="B331" t="str">
            <v>REP. ADD. EMP/OCC. DUCT ENC. IN CONCR.</v>
          </cell>
          <cell r="C331" t="str">
            <v>Each</v>
          </cell>
          <cell r="D331">
            <v>300</v>
          </cell>
        </row>
        <row r="332">
          <cell r="A332">
            <v>5212</v>
          </cell>
          <cell r="B332" t="str">
            <v>REP. EX.    EMP/OCC. DUCT ENC. IN SAND</v>
          </cell>
          <cell r="C332" t="str">
            <v>Each</v>
          </cell>
          <cell r="D332">
            <v>750</v>
          </cell>
        </row>
        <row r="333">
          <cell r="A333">
            <v>5213</v>
          </cell>
          <cell r="B333" t="str">
            <v>REP. ADD. EMP/OCC. DUCT ENC. IN SAND</v>
          </cell>
          <cell r="C333" t="str">
            <v>Each</v>
          </cell>
          <cell r="D333">
            <v>300</v>
          </cell>
        </row>
        <row r="334">
          <cell r="A334">
            <v>5221</v>
          </cell>
          <cell r="B334" t="str">
            <v>IN-SUIT REPAIR OF DAMAGE CAB SHELL</v>
          </cell>
          <cell r="C334" t="str">
            <v>100Sq</v>
          </cell>
          <cell r="D334">
            <v>400</v>
          </cell>
        </row>
        <row r="335">
          <cell r="A335">
            <v>5222</v>
          </cell>
          <cell r="B335" t="str">
            <v>REOLACE OF DAMAGED CAB SHELL</v>
          </cell>
          <cell r="C335" t="str">
            <v>Each</v>
          </cell>
          <cell r="D335">
            <v>1400</v>
          </cell>
        </row>
        <row r="336">
          <cell r="A336">
            <v>5223</v>
          </cell>
          <cell r="B336" t="str">
            <v>REPLACE OF SEVERE DAMAGE CAB</v>
          </cell>
          <cell r="C336" t="str">
            <v>Each</v>
          </cell>
          <cell r="D336">
            <v>5000</v>
          </cell>
        </row>
        <row r="337">
          <cell r="A337">
            <v>5225</v>
          </cell>
          <cell r="B337" t="str">
            <v>IN-SITU REPAIR OF DAMAGED DP PEDESTAL HOUSING</v>
          </cell>
          <cell r="C337" t="str">
            <v>Each</v>
          </cell>
          <cell r="D337">
            <v>150</v>
          </cell>
        </row>
        <row r="338">
          <cell r="A338">
            <v>5226</v>
          </cell>
          <cell r="B338" t="str">
            <v>REPLACE OF DAMAGED DP PEDESTAL HOUSING</v>
          </cell>
          <cell r="C338" t="str">
            <v>Each</v>
          </cell>
          <cell r="D338">
            <v>200</v>
          </cell>
        </row>
        <row r="339">
          <cell r="A339">
            <v>5227</v>
          </cell>
          <cell r="B339" t="str">
            <v>REPLACE OF SEVERELY DAMAGE DP PED HOUSING</v>
          </cell>
          <cell r="C339" t="str">
            <v>Each</v>
          </cell>
          <cell r="D339">
            <v>400</v>
          </cell>
        </row>
        <row r="340">
          <cell r="A340">
            <v>5301</v>
          </cell>
          <cell r="B340" t="str">
            <v>TRACE AND EXPOSE MH OR HH</v>
          </cell>
          <cell r="C340" t="str">
            <v>Each</v>
          </cell>
          <cell r="D340">
            <v>200</v>
          </cell>
        </row>
        <row r="341">
          <cell r="A341">
            <v>5302</v>
          </cell>
          <cell r="B341" t="str">
            <v>TRACE EXISTING DUCT ROUTE</v>
          </cell>
          <cell r="C341" t="str">
            <v>Each</v>
          </cell>
          <cell r="D341">
            <v>5</v>
          </cell>
        </row>
        <row r="342">
          <cell r="A342">
            <v>5303</v>
          </cell>
          <cell r="B342" t="str">
            <v>TRACE EXISTING DIRECT BURIED TEL CABLE</v>
          </cell>
          <cell r="C342" t="str">
            <v>Each</v>
          </cell>
          <cell r="D342">
            <v>250</v>
          </cell>
        </row>
        <row r="343">
          <cell r="A343">
            <v>5304</v>
          </cell>
          <cell r="B343" t="str">
            <v>REPLACE CABLE ROUTE CONC MARKER POST</v>
          </cell>
          <cell r="C343" t="str">
            <v>Each</v>
          </cell>
          <cell r="D343">
            <v>150</v>
          </cell>
        </row>
        <row r="344">
          <cell r="A344">
            <v>5305</v>
          </cell>
          <cell r="B344" t="str">
            <v>REPLACE CABLE ROUTE CONC FLEX MARKER POST</v>
          </cell>
          <cell r="C344" t="str">
            <v>Each</v>
          </cell>
          <cell r="D344">
            <v>100</v>
          </cell>
        </row>
        <row r="345">
          <cell r="A345">
            <v>5311</v>
          </cell>
          <cell r="B345" t="str">
            <v>IDENTIFY CABLE AND JOINTS</v>
          </cell>
          <cell r="C345" t="str">
            <v>Each</v>
          </cell>
          <cell r="D345">
            <v>300</v>
          </cell>
        </row>
        <row r="346">
          <cell r="A346">
            <v>5312</v>
          </cell>
          <cell r="B346" t="str">
            <v>INST.MH IDENTIFICATION PLATE (EXIST MH)</v>
          </cell>
          <cell r="C346" t="str">
            <v>Each</v>
          </cell>
          <cell r="D346">
            <v>20</v>
          </cell>
        </row>
        <row r="347">
          <cell r="A347">
            <v>5313</v>
          </cell>
          <cell r="B347" t="str">
            <v>MARK EXISTING CABINET</v>
          </cell>
          <cell r="C347" t="str">
            <v>Each</v>
          </cell>
          <cell r="D347">
            <v>20</v>
          </cell>
        </row>
        <row r="348">
          <cell r="A348">
            <v>5314</v>
          </cell>
          <cell r="B348" t="str">
            <v>MARK EXISTING DISTRIBUTATION POINT</v>
          </cell>
          <cell r="C348" t="str">
            <v>Each</v>
          </cell>
          <cell r="D348">
            <v>20</v>
          </cell>
        </row>
        <row r="349">
          <cell r="A349">
            <v>5315</v>
          </cell>
          <cell r="B349" t="str">
            <v>MARK EXISTING SUBSCRIBERS TERMINATION</v>
          </cell>
          <cell r="C349" t="str">
            <v>Each</v>
          </cell>
          <cell r="D349">
            <v>20</v>
          </cell>
        </row>
        <row r="350">
          <cell r="A350">
            <v>5316</v>
          </cell>
          <cell r="B350" t="str">
            <v>Marking Exist. Subscriber Termination</v>
          </cell>
          <cell r="C350" t="str">
            <v>each</v>
          </cell>
          <cell r="D350">
            <v>20</v>
          </cell>
        </row>
        <row r="351">
          <cell r="A351">
            <v>5411</v>
          </cell>
          <cell r="B351" t="str">
            <v>TESTS OF CONTINUITY OF WIRES</v>
          </cell>
          <cell r="C351" t="str">
            <v>Pair</v>
          </cell>
          <cell r="D351">
            <v>6</v>
          </cell>
        </row>
        <row r="352">
          <cell r="A352">
            <v>5412</v>
          </cell>
          <cell r="B352" t="str">
            <v>TESTS OF DC RESIST. LOOP &amp; UNBALANCE</v>
          </cell>
          <cell r="C352" t="str">
            <v>Pair</v>
          </cell>
          <cell r="D352">
            <v>9</v>
          </cell>
        </row>
        <row r="353">
          <cell r="A353">
            <v>5413</v>
          </cell>
          <cell r="B353" t="str">
            <v>TESTS OF INSULATION RESISTANCE</v>
          </cell>
          <cell r="C353" t="str">
            <v>Pair</v>
          </cell>
          <cell r="D353">
            <v>8</v>
          </cell>
        </row>
        <row r="354">
          <cell r="A354">
            <v>5421</v>
          </cell>
          <cell r="B354" t="str">
            <v>ATTENUATION AT SINGLE FREQUENCY</v>
          </cell>
          <cell r="C354" t="str">
            <v>Each</v>
          </cell>
          <cell r="D354">
            <v>188</v>
          </cell>
        </row>
        <row r="355">
          <cell r="A355">
            <v>5422</v>
          </cell>
          <cell r="B355" t="str">
            <v>ADD. ATTENUATION AT SINGLE FREQ.TESTS</v>
          </cell>
          <cell r="C355" t="str">
            <v>Pair</v>
          </cell>
          <cell r="D355">
            <v>8</v>
          </cell>
        </row>
        <row r="356">
          <cell r="A356">
            <v>5423</v>
          </cell>
          <cell r="B356" t="str">
            <v>ATTEN. MEASURE. VF SPECTRUM ONE PAIR</v>
          </cell>
          <cell r="C356" t="str">
            <v>Each</v>
          </cell>
          <cell r="D356">
            <v>188</v>
          </cell>
        </row>
        <row r="357">
          <cell r="A357">
            <v>5424</v>
          </cell>
          <cell r="B357" t="str">
            <v>ADD. ATTEN. MEASR. OVER VF SPECTRUM</v>
          </cell>
          <cell r="C357" t="str">
            <v>Pair</v>
          </cell>
          <cell r="D357">
            <v>8</v>
          </cell>
        </row>
        <row r="358">
          <cell r="A358">
            <v>5425</v>
          </cell>
          <cell r="B358" t="str">
            <v>STRUCRL. RETURN LOSS  MEASURMENTS</v>
          </cell>
          <cell r="C358" t="str">
            <v>Each</v>
          </cell>
          <cell r="D358">
            <v>188</v>
          </cell>
        </row>
        <row r="359">
          <cell r="A359">
            <v>5473</v>
          </cell>
          <cell r="B359" t="str">
            <v>OPTICAL ATTENUATION TESTS</v>
          </cell>
          <cell r="C359" t="str">
            <v>Each</v>
          </cell>
          <cell r="D359">
            <v>169</v>
          </cell>
        </row>
        <row r="360">
          <cell r="A360">
            <v>5474</v>
          </cell>
          <cell r="B360" t="str">
            <v>ADD. OPTICAL ATTENUATION TESTS</v>
          </cell>
          <cell r="C360" t="str">
            <v>Each</v>
          </cell>
          <cell r="D360">
            <v>56</v>
          </cell>
        </row>
        <row r="361">
          <cell r="A361">
            <v>5601</v>
          </cell>
          <cell r="B361" t="str">
            <v>REPOSITION 10/20 PAIR PILLER DP</v>
          </cell>
          <cell r="C361" t="str">
            <v>Each</v>
          </cell>
          <cell r="D361">
            <v>700</v>
          </cell>
        </row>
        <row r="362">
          <cell r="A362">
            <v>5602</v>
          </cell>
          <cell r="B362" t="str">
            <v>JOINTING BSW CABLE, 2 PAIR BSW</v>
          </cell>
          <cell r="C362" t="str">
            <v>Each</v>
          </cell>
          <cell r="D362">
            <v>85</v>
          </cell>
        </row>
        <row r="363">
          <cell r="A363">
            <v>5603</v>
          </cell>
          <cell r="B363" t="str">
            <v>JOINTING BSW CABLE, 4 PAIR BSW</v>
          </cell>
          <cell r="C363" t="str">
            <v>Each</v>
          </cell>
          <cell r="D363">
            <v>85</v>
          </cell>
        </row>
        <row r="364">
          <cell r="A364">
            <v>5802</v>
          </cell>
          <cell r="B364" t="str">
            <v>RECOVERY OF INDOOR CABINET</v>
          </cell>
          <cell r="C364" t="str">
            <v>Each</v>
          </cell>
          <cell r="D364">
            <v>900</v>
          </cell>
        </row>
        <row r="365">
          <cell r="A365">
            <v>5803</v>
          </cell>
          <cell r="B365" t="str">
            <v>RECOVERY OF PED HOUSING FOR DP</v>
          </cell>
          <cell r="C365" t="str">
            <v>Each</v>
          </cell>
          <cell r="D365">
            <v>350</v>
          </cell>
        </row>
        <row r="366">
          <cell r="A366">
            <v>5804</v>
          </cell>
          <cell r="B366" t="str">
            <v>RECOVERY OF 10 PAIR WALL DP</v>
          </cell>
          <cell r="C366" t="str">
            <v>Each</v>
          </cell>
          <cell r="D366">
            <v>150</v>
          </cell>
        </row>
        <row r="367">
          <cell r="A367">
            <v>5805</v>
          </cell>
          <cell r="B367" t="str">
            <v>RECOVERY OF INDOOR DP (ALL SIZE)</v>
          </cell>
          <cell r="C367" t="str">
            <v>Each</v>
          </cell>
          <cell r="D367">
            <v>150</v>
          </cell>
        </row>
        <row r="368">
          <cell r="A368">
            <v>5811</v>
          </cell>
          <cell r="B368" t="str">
            <v>RECOVERY OF DUCT INST COPPER CAB GR 1&amp;2</v>
          </cell>
          <cell r="C368" t="str">
            <v xml:space="preserve">M </v>
          </cell>
          <cell r="D368">
            <v>4</v>
          </cell>
        </row>
        <row r="369">
          <cell r="A369">
            <v>5812</v>
          </cell>
          <cell r="B369" t="str">
            <v>RECOVERY OF DUCT INST COPPER CAB GR 3-6</v>
          </cell>
          <cell r="C369" t="str">
            <v>M</v>
          </cell>
          <cell r="D369">
            <v>5</v>
          </cell>
        </row>
        <row r="370">
          <cell r="A370">
            <v>5816</v>
          </cell>
          <cell r="B370" t="str">
            <v>RECOVERY OF DUCT INSTALLED AIR PIPE</v>
          </cell>
          <cell r="C370" t="str">
            <v>M</v>
          </cell>
          <cell r="D370">
            <v>6</v>
          </cell>
        </row>
        <row r="371">
          <cell r="A371">
            <v>5826</v>
          </cell>
          <cell r="B371" t="str">
            <v>RECOVERY OF OPTICAL FIBRE CABLE GR 1-3</v>
          </cell>
          <cell r="C371" t="str">
            <v>M</v>
          </cell>
          <cell r="D371">
            <v>3</v>
          </cell>
        </row>
        <row r="372">
          <cell r="A372">
            <v>6000.0001000000002</v>
          </cell>
          <cell r="B372" t="str">
            <v>BURIED SERVICE WIRE - 2 PAIR /0.5 mm</v>
          </cell>
          <cell r="C372" t="str">
            <v>km.</v>
          </cell>
          <cell r="D372">
            <v>0</v>
          </cell>
        </row>
        <row r="373">
          <cell r="A373">
            <v>6000.0002000000004</v>
          </cell>
          <cell r="B373" t="str">
            <v>AERIAL DROP WIRE - 1 PAIR /0.8 mm</v>
          </cell>
          <cell r="C373" t="str">
            <v>100m</v>
          </cell>
          <cell r="D373">
            <v>0</v>
          </cell>
        </row>
        <row r="374">
          <cell r="A374">
            <v>6000.0002999999997</v>
          </cell>
          <cell r="B374" t="str">
            <v>INDOOR WIRE - TYPE 'A' - 1 PAIR /0.65 mm</v>
          </cell>
          <cell r="C374" t="str">
            <v>100m</v>
          </cell>
          <cell r="D374">
            <v>0</v>
          </cell>
        </row>
        <row r="375">
          <cell r="A375">
            <v>6000.0003999999999</v>
          </cell>
          <cell r="B375" t="str">
            <v>INDOOR WIRE - TYPE 'B' - 2 PAIR /0.65 mm</v>
          </cell>
          <cell r="C375" t="str">
            <v>100m</v>
          </cell>
          <cell r="D375">
            <v>0</v>
          </cell>
        </row>
        <row r="376">
          <cell r="A376">
            <v>6000.0005000000001</v>
          </cell>
          <cell r="B376" t="str">
            <v>AERIAL DROP WIRE - 2 PAIR/0.5</v>
          </cell>
          <cell r="C376" t="str">
            <v>100m</v>
          </cell>
          <cell r="D376">
            <v>0</v>
          </cell>
        </row>
        <row r="377">
          <cell r="A377">
            <v>6000.0011000000004</v>
          </cell>
          <cell r="B377" t="str">
            <v>JUMPER WIRE - 1 PAIR/0.6mm OUTD. CABINET</v>
          </cell>
          <cell r="C377" t="str">
            <v>100m</v>
          </cell>
          <cell r="D377">
            <v>0</v>
          </cell>
        </row>
        <row r="378">
          <cell r="A378">
            <v>6000.0011999999997</v>
          </cell>
          <cell r="B378" t="str">
            <v>JUMPER WIRE - 1 PAIR/0.6 FOR IDC CABINET BLOCKS</v>
          </cell>
          <cell r="C378" t="str">
            <v>100m</v>
          </cell>
          <cell r="D378">
            <v>0</v>
          </cell>
        </row>
        <row r="379">
          <cell r="A379">
            <v>6000.0020999999997</v>
          </cell>
          <cell r="B379" t="str">
            <v>JUMPER WIRE - 1 PAIR/0.6mm ICD ON MDF/IDF</v>
          </cell>
          <cell r="C379" t="str">
            <v>100m</v>
          </cell>
          <cell r="D379">
            <v>0</v>
          </cell>
        </row>
        <row r="380">
          <cell r="A380">
            <v>6215.01</v>
          </cell>
          <cell r="B380" t="str">
            <v xml:space="preserve">  100 PAIRS/0.5mm.     CONDUCT.  EES   </v>
          </cell>
          <cell r="C380" t="str">
            <v xml:space="preserve"> km.</v>
          </cell>
          <cell r="D380">
            <v>0</v>
          </cell>
        </row>
        <row r="381">
          <cell r="A381">
            <v>6215.02</v>
          </cell>
          <cell r="B381" t="str">
            <v xml:space="preserve">  200 PAIRS/0.5mm.     CONDUCT.  EES   </v>
          </cell>
          <cell r="C381" t="str">
            <v xml:space="preserve"> km.</v>
          </cell>
          <cell r="D381">
            <v>0</v>
          </cell>
        </row>
        <row r="382">
          <cell r="A382">
            <v>6215.03</v>
          </cell>
          <cell r="B382" t="str">
            <v xml:space="preserve">  300 PAIRS/0.5mm.     CONDUCT.  EES   </v>
          </cell>
          <cell r="C382" t="str">
            <v xml:space="preserve"> km.</v>
          </cell>
          <cell r="D382">
            <v>0</v>
          </cell>
        </row>
        <row r="383">
          <cell r="A383">
            <v>6215.04</v>
          </cell>
          <cell r="B383" t="str">
            <v xml:space="preserve">  400 PAIRS/0.5mm.     CONDUCT.  EES   </v>
          </cell>
          <cell r="C383" t="str">
            <v xml:space="preserve"> km.</v>
          </cell>
          <cell r="D383">
            <v>0</v>
          </cell>
        </row>
        <row r="384">
          <cell r="A384">
            <v>6254.0050000000001</v>
          </cell>
          <cell r="B384" t="str">
            <v xml:space="preserve">    50 PAIRS/0.4mm      CONDUCT.  EEMS</v>
          </cell>
          <cell r="C384" t="str">
            <v>km.</v>
          </cell>
          <cell r="D384">
            <v>0</v>
          </cell>
        </row>
        <row r="385">
          <cell r="A385">
            <v>6254.01</v>
          </cell>
          <cell r="B385" t="str">
            <v xml:space="preserve">  100 PAIRS/0.4mm      CONDUCT.  EEMS</v>
          </cell>
          <cell r="C385" t="str">
            <v>km.</v>
          </cell>
          <cell r="D385">
            <v>0</v>
          </cell>
        </row>
        <row r="386">
          <cell r="A386">
            <v>6254.0150000000003</v>
          </cell>
          <cell r="B386" t="str">
            <v xml:space="preserve">  150 PAIRS/0.4mm      CONDUCT.  EEMS</v>
          </cell>
          <cell r="C386" t="str">
            <v>km.</v>
          </cell>
          <cell r="D386">
            <v>0</v>
          </cell>
        </row>
        <row r="387">
          <cell r="A387">
            <v>6254.02</v>
          </cell>
          <cell r="B387" t="str">
            <v xml:space="preserve">  200 PAIRS/0.4mm      CONDUCT.  EEMS</v>
          </cell>
          <cell r="C387" t="str">
            <v>km.</v>
          </cell>
          <cell r="D387">
            <v>0</v>
          </cell>
        </row>
        <row r="388">
          <cell r="A388">
            <v>6255.0050000000001</v>
          </cell>
          <cell r="B388" t="str">
            <v xml:space="preserve">    50 PAIRS/0.5mm      CONDUCT.  EEMS</v>
          </cell>
          <cell r="C388" t="str">
            <v>km.</v>
          </cell>
          <cell r="D388">
            <v>0</v>
          </cell>
        </row>
        <row r="389">
          <cell r="A389">
            <v>6255.01</v>
          </cell>
          <cell r="B389" t="str">
            <v xml:space="preserve">  100 PAIRS/0.5mm      CONDUCT.  EEMS</v>
          </cell>
          <cell r="C389" t="str">
            <v>km.</v>
          </cell>
          <cell r="D389">
            <v>0</v>
          </cell>
        </row>
        <row r="390">
          <cell r="A390">
            <v>6255.0150000000003</v>
          </cell>
          <cell r="B390" t="str">
            <v xml:space="preserve">  150 PAIRS/0.5mm      CONDUCT.  EEMS</v>
          </cell>
          <cell r="C390" t="str">
            <v>km.</v>
          </cell>
          <cell r="D390">
            <v>0</v>
          </cell>
        </row>
        <row r="391">
          <cell r="A391">
            <v>6255.02</v>
          </cell>
          <cell r="B391" t="str">
            <v xml:space="preserve">  200 PAIRS/0.5mm      CONDUCT.  EEMS</v>
          </cell>
          <cell r="C391" t="str">
            <v>km.</v>
          </cell>
          <cell r="D391">
            <v>0</v>
          </cell>
        </row>
        <row r="392">
          <cell r="A392">
            <v>6265.0050000000001</v>
          </cell>
          <cell r="B392" t="str">
            <v xml:space="preserve">    50 PAIRS/0.65mm    CONDUCT.  EEMS</v>
          </cell>
          <cell r="C392" t="str">
            <v>km.</v>
          </cell>
          <cell r="D392">
            <v>0</v>
          </cell>
        </row>
        <row r="393">
          <cell r="A393">
            <v>6265.01</v>
          </cell>
          <cell r="B393" t="str">
            <v xml:space="preserve">  100 PAIRS/0.65mm    CONDUCT.  EEMS</v>
          </cell>
          <cell r="C393" t="str">
            <v>km.</v>
          </cell>
          <cell r="D393">
            <v>0</v>
          </cell>
        </row>
        <row r="394">
          <cell r="A394">
            <v>6265.0150000000003</v>
          </cell>
          <cell r="B394" t="str">
            <v xml:space="preserve">  150 PAIRS/0.65mm    CONDUCT.  EEMS</v>
          </cell>
          <cell r="C394" t="str">
            <v>km.</v>
          </cell>
          <cell r="D394">
            <v>0</v>
          </cell>
        </row>
        <row r="395">
          <cell r="A395">
            <v>6265.02</v>
          </cell>
          <cell r="B395" t="str">
            <v xml:space="preserve">  200 PAIRS/0.65mm    CONDUCT.  EEMS</v>
          </cell>
          <cell r="C395" t="str">
            <v>km.</v>
          </cell>
          <cell r="D395">
            <v>0</v>
          </cell>
        </row>
        <row r="396">
          <cell r="A396">
            <v>6314.03</v>
          </cell>
          <cell r="B396" t="str">
            <v xml:space="preserve">  300 PAIRS/0.4 mm    CONDUCTORS  CES</v>
          </cell>
          <cell r="C396" t="str">
            <v>km.</v>
          </cell>
          <cell r="D396">
            <v>0</v>
          </cell>
        </row>
        <row r="397">
          <cell r="A397">
            <v>6314.06</v>
          </cell>
          <cell r="B397" t="str">
            <v xml:space="preserve">  600 PAIRS/0.4 mm    CONDUCTORS  CES</v>
          </cell>
          <cell r="C397" t="str">
            <v>km.</v>
          </cell>
          <cell r="D397">
            <v>0</v>
          </cell>
        </row>
        <row r="398">
          <cell r="A398">
            <v>6314.09</v>
          </cell>
          <cell r="B398" t="str">
            <v xml:space="preserve">  900 PAIRS/0.4 mm    CONDUCTORS  CES</v>
          </cell>
          <cell r="C398" t="str">
            <v>km.</v>
          </cell>
          <cell r="D398">
            <v>0</v>
          </cell>
        </row>
        <row r="399">
          <cell r="A399">
            <v>6314.12</v>
          </cell>
          <cell r="B399" t="str">
            <v>1200 PAIRS/0.4 mm    CONDUCTORS  CES</v>
          </cell>
          <cell r="C399" t="str">
            <v>km.</v>
          </cell>
          <cell r="D399">
            <v>0</v>
          </cell>
        </row>
        <row r="400">
          <cell r="A400">
            <v>6314.15</v>
          </cell>
          <cell r="B400" t="str">
            <v>1500 PAIRS/0.4 mm    CONDUCTORS  CES</v>
          </cell>
          <cell r="C400" t="str">
            <v>km.</v>
          </cell>
          <cell r="D400">
            <v>0</v>
          </cell>
        </row>
        <row r="401">
          <cell r="A401">
            <v>6314.18</v>
          </cell>
          <cell r="B401" t="str">
            <v>1800 PAIRS/0.4 mm    CONDUCTORS  CES</v>
          </cell>
          <cell r="C401" t="str">
            <v>km.</v>
          </cell>
          <cell r="D401">
            <v>0</v>
          </cell>
        </row>
        <row r="402">
          <cell r="A402">
            <v>6314.21</v>
          </cell>
          <cell r="B402" t="str">
            <v>2100 PAIRS/0.4 mm    CONDUCTORS  CES</v>
          </cell>
          <cell r="C402" t="str">
            <v>km.</v>
          </cell>
          <cell r="D402">
            <v>0</v>
          </cell>
        </row>
        <row r="403">
          <cell r="A403">
            <v>6314.24</v>
          </cell>
          <cell r="B403" t="str">
            <v>2400 PAIRS/0.4 mm    CONDUCTORS  CES</v>
          </cell>
          <cell r="C403" t="str">
            <v>km.</v>
          </cell>
          <cell r="D403">
            <v>0</v>
          </cell>
        </row>
        <row r="404">
          <cell r="A404">
            <v>6315.03</v>
          </cell>
          <cell r="B404" t="str">
            <v xml:space="preserve">  300 PAIRS/0.5 mm    CONDUCTORS  CES</v>
          </cell>
          <cell r="C404" t="str">
            <v>km.</v>
          </cell>
          <cell r="D404">
            <v>0</v>
          </cell>
        </row>
        <row r="405">
          <cell r="A405">
            <v>6315.06</v>
          </cell>
          <cell r="B405" t="str">
            <v xml:space="preserve">  600 PAIRS/0.5 mm    CONDUCTORS  CES</v>
          </cell>
          <cell r="C405" t="str">
            <v>km.</v>
          </cell>
          <cell r="D405">
            <v>0</v>
          </cell>
        </row>
        <row r="406">
          <cell r="A406">
            <v>6315.09</v>
          </cell>
          <cell r="B406" t="str">
            <v xml:space="preserve">  900 PAIRS/0.5 mm    CONDUCTORS  CES</v>
          </cell>
          <cell r="C406" t="str">
            <v>km.</v>
          </cell>
          <cell r="D406">
            <v>0</v>
          </cell>
        </row>
        <row r="407">
          <cell r="A407">
            <v>6315.12</v>
          </cell>
          <cell r="B407" t="str">
            <v>1200 PAIRS/0.5 mm    CONDUCTORS  CES</v>
          </cell>
          <cell r="C407" t="str">
            <v>km.</v>
          </cell>
          <cell r="D407">
            <v>0</v>
          </cell>
        </row>
        <row r="408">
          <cell r="A408">
            <v>6315.15</v>
          </cell>
          <cell r="B408" t="str">
            <v>1500 PAIRS/0.5 mm    CONDUCTORS  CES</v>
          </cell>
          <cell r="C408" t="str">
            <v>km.</v>
          </cell>
          <cell r="D408">
            <v>0</v>
          </cell>
        </row>
        <row r="409">
          <cell r="A409">
            <v>6315.18</v>
          </cell>
          <cell r="B409" t="str">
            <v>1800 PAIRS/0.5 mm    CONDUCTORS  CES</v>
          </cell>
          <cell r="C409" t="str">
            <v>km.</v>
          </cell>
          <cell r="D409">
            <v>0</v>
          </cell>
        </row>
        <row r="410">
          <cell r="A410">
            <v>6316.03</v>
          </cell>
          <cell r="B410" t="str">
            <v xml:space="preserve">  300 PAIRS/0.65 mm  CONDUCTORS  CES</v>
          </cell>
          <cell r="C410" t="str">
            <v>km.</v>
          </cell>
          <cell r="D410">
            <v>0</v>
          </cell>
        </row>
        <row r="411">
          <cell r="A411">
            <v>6316.06</v>
          </cell>
          <cell r="B411" t="str">
            <v xml:space="preserve">  600 PAIRS/0.65 mm  CONDUCTORS  CES</v>
          </cell>
          <cell r="C411" t="str">
            <v>km.</v>
          </cell>
          <cell r="D411">
            <v>0</v>
          </cell>
        </row>
        <row r="412">
          <cell r="A412">
            <v>6316.09</v>
          </cell>
          <cell r="B412" t="str">
            <v xml:space="preserve">  900 PAIRS/0.65 mm  CONDUCTORS  CES</v>
          </cell>
          <cell r="C412" t="str">
            <v>km.</v>
          </cell>
          <cell r="D412">
            <v>0</v>
          </cell>
        </row>
        <row r="413">
          <cell r="A413">
            <v>6316.12</v>
          </cell>
          <cell r="B413" t="str">
            <v>1200 PAIRS/0.65 mm  CONDUCTORS  CES</v>
          </cell>
          <cell r="C413" t="str">
            <v>km.</v>
          </cell>
          <cell r="D413">
            <v>0</v>
          </cell>
        </row>
        <row r="414">
          <cell r="A414">
            <v>6319.01</v>
          </cell>
          <cell r="B414" t="str">
            <v xml:space="preserve">  100 PAIRS/0.9 mm    CONDUCTORS  CES </v>
          </cell>
          <cell r="C414" t="str">
            <v>km.</v>
          </cell>
          <cell r="D414">
            <v>0</v>
          </cell>
        </row>
        <row r="415">
          <cell r="A415">
            <v>6319.03</v>
          </cell>
          <cell r="B415" t="str">
            <v xml:space="preserve">  300 PAIRS/0.9 mm    CONDUCTORS  CES </v>
          </cell>
          <cell r="C415" t="str">
            <v>km.</v>
          </cell>
          <cell r="D415">
            <v>0</v>
          </cell>
        </row>
        <row r="416">
          <cell r="A416">
            <v>6475.0010000000002</v>
          </cell>
          <cell r="B416" t="str">
            <v xml:space="preserve">   10 PAIRS/0.5 mm     CONDUCT.  VRB</v>
          </cell>
          <cell r="C416" t="str">
            <v>km.</v>
          </cell>
          <cell r="D416">
            <v>0</v>
          </cell>
        </row>
        <row r="417">
          <cell r="A417">
            <v>6475.0020000000004</v>
          </cell>
          <cell r="B417" t="str">
            <v xml:space="preserve">   20 PAIRS/0.5 mm     CONDUCT.  VRB</v>
          </cell>
          <cell r="C417" t="str">
            <v>km.</v>
          </cell>
          <cell r="D417">
            <v>0</v>
          </cell>
        </row>
        <row r="418">
          <cell r="A418">
            <v>6475.0029999999997</v>
          </cell>
          <cell r="B418" t="str">
            <v xml:space="preserve">   30 PAIRS/0.5 mm     CONDUCT.  VRB</v>
          </cell>
          <cell r="C418" t="str">
            <v>km.</v>
          </cell>
          <cell r="D418">
            <v>0</v>
          </cell>
        </row>
        <row r="419">
          <cell r="A419">
            <v>6475.0050000000001</v>
          </cell>
          <cell r="B419" t="str">
            <v xml:space="preserve">   50 PAIRS/0.5 mm     CONDUCT.  VRB</v>
          </cell>
          <cell r="C419" t="str">
            <v>km.</v>
          </cell>
          <cell r="D419">
            <v>0</v>
          </cell>
        </row>
        <row r="420">
          <cell r="A420">
            <v>6475.01</v>
          </cell>
          <cell r="B420" t="str">
            <v xml:space="preserve"> 100 PAIRS/0.5 mm     CONDUCT.  VRB</v>
          </cell>
          <cell r="C420" t="str">
            <v>km.</v>
          </cell>
          <cell r="D420">
            <v>0</v>
          </cell>
        </row>
        <row r="421">
          <cell r="A421">
            <v>6475.0150000000003</v>
          </cell>
          <cell r="B421" t="str">
            <v xml:space="preserve"> 150 PAIRS/0.5 mm     CONDUCT.  VRB</v>
          </cell>
          <cell r="C421" t="str">
            <v>km.</v>
          </cell>
          <cell r="D421">
            <v>0</v>
          </cell>
        </row>
        <row r="422">
          <cell r="A422">
            <v>6475.02</v>
          </cell>
          <cell r="B422" t="str">
            <v xml:space="preserve"> 200 PAIRS/0.5 mm     CONDUCT.  VRB</v>
          </cell>
          <cell r="C422" t="str">
            <v>km.</v>
          </cell>
          <cell r="D422">
            <v>0</v>
          </cell>
        </row>
        <row r="423">
          <cell r="A423">
            <v>6475.03</v>
          </cell>
          <cell r="B423" t="str">
            <v xml:space="preserve"> 300 PAIRS/0.5 mm     CONDUCT.  VRB</v>
          </cell>
          <cell r="C423" t="str">
            <v>km.</v>
          </cell>
          <cell r="D423">
            <v>0</v>
          </cell>
        </row>
        <row r="424">
          <cell r="A424">
            <v>6714.0020000000004</v>
          </cell>
          <cell r="B424" t="str">
            <v xml:space="preserve">   20 PAIRS/0.4mm.     CONDUCT.  CEF     </v>
          </cell>
          <cell r="C424" t="str">
            <v xml:space="preserve"> km.</v>
          </cell>
          <cell r="D424">
            <v>0</v>
          </cell>
        </row>
        <row r="425">
          <cell r="A425">
            <v>6714.0050000000001</v>
          </cell>
          <cell r="B425" t="str">
            <v xml:space="preserve">   50 PAIRS/0.4mm.     CONDUCT.  CEF     </v>
          </cell>
          <cell r="C425" t="str">
            <v xml:space="preserve"> km.</v>
          </cell>
          <cell r="D425">
            <v>0</v>
          </cell>
        </row>
        <row r="426">
          <cell r="A426">
            <v>6714.01</v>
          </cell>
          <cell r="B426" t="str">
            <v xml:space="preserve"> 100 PAIRS/0.4mm.     CONDUCT.  CEF     </v>
          </cell>
          <cell r="C426" t="str">
            <v xml:space="preserve"> km.</v>
          </cell>
          <cell r="D426">
            <v>0</v>
          </cell>
        </row>
        <row r="427">
          <cell r="A427">
            <v>6714.02</v>
          </cell>
          <cell r="B427" t="str">
            <v xml:space="preserve"> 200 PAIRS/0.4mm.     CONDUCT.  CEF     </v>
          </cell>
          <cell r="C427" t="str">
            <v xml:space="preserve"> km.</v>
          </cell>
          <cell r="D427">
            <v>0</v>
          </cell>
        </row>
        <row r="428">
          <cell r="A428">
            <v>6714.03</v>
          </cell>
          <cell r="B428" t="str">
            <v xml:space="preserve"> 300 PAIRS/0.4mm.     CONDUCT.  CEF     </v>
          </cell>
          <cell r="C428" t="str">
            <v xml:space="preserve"> km.</v>
          </cell>
          <cell r="D428">
            <v>0</v>
          </cell>
        </row>
        <row r="429">
          <cell r="A429">
            <v>6714.06</v>
          </cell>
          <cell r="B429" t="str">
            <v xml:space="preserve"> 600 PAIRS/0.4mm.     CONDUCT.  CEF     </v>
          </cell>
          <cell r="C429" t="str">
            <v xml:space="preserve"> km.</v>
          </cell>
          <cell r="D429">
            <v>0</v>
          </cell>
        </row>
        <row r="430">
          <cell r="A430">
            <v>6714.09</v>
          </cell>
          <cell r="B430" t="str">
            <v xml:space="preserve"> 900 PAIRS/0.4mm.     CONDUCT.  CEF     </v>
          </cell>
          <cell r="C430" t="str">
            <v xml:space="preserve"> km.</v>
          </cell>
          <cell r="D430">
            <v>0</v>
          </cell>
        </row>
        <row r="431">
          <cell r="A431">
            <v>6714.12</v>
          </cell>
          <cell r="B431" t="str">
            <v xml:space="preserve">1200 PAIRS/0.4mm.    CONDUCT.  CEF     </v>
          </cell>
          <cell r="C431" t="str">
            <v xml:space="preserve"> km.</v>
          </cell>
          <cell r="D431">
            <v>0</v>
          </cell>
        </row>
        <row r="432">
          <cell r="A432">
            <v>6714.15</v>
          </cell>
          <cell r="B432" t="str">
            <v xml:space="preserve">1500  PAIRS/0.4mm.   CONDUCT.  CEF     </v>
          </cell>
          <cell r="C432" t="str">
            <v xml:space="preserve"> km.</v>
          </cell>
          <cell r="D432">
            <v>0</v>
          </cell>
        </row>
        <row r="433">
          <cell r="A433">
            <v>6714.18</v>
          </cell>
          <cell r="B433" t="str">
            <v xml:space="preserve">1800  PAIRS/0.4mm.   CONDUCT.  CEF     </v>
          </cell>
          <cell r="C433" t="str">
            <v xml:space="preserve"> km.</v>
          </cell>
          <cell r="D433">
            <v>0</v>
          </cell>
        </row>
        <row r="434">
          <cell r="A434">
            <v>6715.0010000000002</v>
          </cell>
          <cell r="B434" t="str">
            <v xml:space="preserve">   10 PAIRS/0.5mm.     CONDUCT.  CEF     </v>
          </cell>
          <cell r="C434" t="str">
            <v xml:space="preserve"> km.</v>
          </cell>
          <cell r="D434">
            <v>0</v>
          </cell>
        </row>
        <row r="435">
          <cell r="A435">
            <v>6715.0020000000004</v>
          </cell>
          <cell r="B435" t="str">
            <v xml:space="preserve">   20 PAIRS/0.5mm.     CONDUCT.  CEF     </v>
          </cell>
          <cell r="C435" t="str">
            <v xml:space="preserve"> km.</v>
          </cell>
          <cell r="D435">
            <v>0</v>
          </cell>
        </row>
        <row r="436">
          <cell r="A436">
            <v>6715.0050000000001</v>
          </cell>
          <cell r="B436" t="str">
            <v xml:space="preserve">   50 PAIRS/0.5mm.     CONDUCT.  CEF     </v>
          </cell>
          <cell r="C436" t="str">
            <v xml:space="preserve"> km.</v>
          </cell>
          <cell r="D436">
            <v>0</v>
          </cell>
        </row>
        <row r="437">
          <cell r="A437">
            <v>6715.01</v>
          </cell>
          <cell r="B437" t="str">
            <v xml:space="preserve"> 100 PAIRS/0.5mm.     CONDUCT.  CEF     </v>
          </cell>
          <cell r="C437" t="str">
            <v xml:space="preserve"> km.</v>
          </cell>
          <cell r="D437">
            <v>0</v>
          </cell>
        </row>
        <row r="438">
          <cell r="A438">
            <v>6715.02</v>
          </cell>
          <cell r="B438" t="str">
            <v xml:space="preserve"> 200 PAIRS/0.5mm.     CONDUCT.  CEF     </v>
          </cell>
          <cell r="C438" t="str">
            <v xml:space="preserve"> km.</v>
          </cell>
          <cell r="D438">
            <v>0</v>
          </cell>
        </row>
        <row r="439">
          <cell r="A439">
            <v>6715.03</v>
          </cell>
          <cell r="B439" t="str">
            <v xml:space="preserve"> 300 PAIRS/0.5mm.     CONDUCT.  CEF     </v>
          </cell>
          <cell r="C439" t="str">
            <v xml:space="preserve"> km.</v>
          </cell>
          <cell r="D439">
            <v>0</v>
          </cell>
        </row>
        <row r="440">
          <cell r="A440">
            <v>6715.06</v>
          </cell>
          <cell r="B440" t="str">
            <v xml:space="preserve"> 600 PAIRS/0.5mm.     CONDUCT.  CEF     </v>
          </cell>
          <cell r="C440" t="str">
            <v xml:space="preserve"> km.</v>
          </cell>
          <cell r="D440">
            <v>0</v>
          </cell>
        </row>
        <row r="441">
          <cell r="A441">
            <v>6715.09</v>
          </cell>
          <cell r="B441" t="str">
            <v xml:space="preserve"> 900 PAIRS/0.5mm.     CONDUCT.  CEF     </v>
          </cell>
          <cell r="C441" t="str">
            <v xml:space="preserve"> km.</v>
          </cell>
          <cell r="D441">
            <v>0</v>
          </cell>
        </row>
        <row r="442">
          <cell r="A442">
            <v>6715.12</v>
          </cell>
          <cell r="B442" t="str">
            <v xml:space="preserve">1200 PAIRS/0.5mm.    CONDUCT.  CEF     </v>
          </cell>
          <cell r="C442" t="str">
            <v xml:space="preserve"> km.</v>
          </cell>
          <cell r="D442">
            <v>0</v>
          </cell>
        </row>
        <row r="443">
          <cell r="A443">
            <v>6716.0020000000004</v>
          </cell>
          <cell r="B443" t="str">
            <v xml:space="preserve">   20 PAIRS/0.65mm.   CONDUCT.  CEF     </v>
          </cell>
          <cell r="C443" t="str">
            <v xml:space="preserve"> km.</v>
          </cell>
          <cell r="D443">
            <v>0</v>
          </cell>
        </row>
        <row r="444">
          <cell r="A444">
            <v>6716.0050000000001</v>
          </cell>
          <cell r="B444" t="str">
            <v xml:space="preserve">   50 PAIRS/0.65mm.   CONDUCT.  CEF     </v>
          </cell>
          <cell r="C444" t="str">
            <v xml:space="preserve"> km.</v>
          </cell>
          <cell r="D444">
            <v>0</v>
          </cell>
        </row>
        <row r="445">
          <cell r="A445">
            <v>6716.01</v>
          </cell>
          <cell r="B445" t="str">
            <v xml:space="preserve"> 100 PAIRS/0.65mm.   CONDUCT.  CEF     </v>
          </cell>
          <cell r="C445" t="str">
            <v xml:space="preserve"> km.</v>
          </cell>
          <cell r="D445">
            <v>0</v>
          </cell>
        </row>
        <row r="446">
          <cell r="A446">
            <v>6716.02</v>
          </cell>
          <cell r="B446" t="str">
            <v xml:space="preserve"> 200 PAIRS/0.65mm.   CONDUCT.  CEF     </v>
          </cell>
          <cell r="C446" t="str">
            <v xml:space="preserve"> km.</v>
          </cell>
          <cell r="D446">
            <v>0</v>
          </cell>
        </row>
        <row r="447">
          <cell r="A447">
            <v>6716.03</v>
          </cell>
          <cell r="B447" t="str">
            <v xml:space="preserve"> 300 PAIRS/0.65mm.   CONDUCT.  CEF     </v>
          </cell>
          <cell r="C447" t="str">
            <v xml:space="preserve"> km.</v>
          </cell>
          <cell r="D447">
            <v>0</v>
          </cell>
        </row>
        <row r="448">
          <cell r="A448">
            <v>6716.06</v>
          </cell>
          <cell r="B448" t="str">
            <v xml:space="preserve"> 600 PAIRS/0.65mm.   CONDUCT.  CEF     </v>
          </cell>
          <cell r="C448" t="str">
            <v xml:space="preserve"> km.</v>
          </cell>
          <cell r="D448">
            <v>0</v>
          </cell>
        </row>
        <row r="449">
          <cell r="A449">
            <v>6719.0020000000004</v>
          </cell>
          <cell r="B449" t="str">
            <v xml:space="preserve">   20 PAIRS/0.9mm.     CONDUCT.  CEF     </v>
          </cell>
          <cell r="C449" t="str">
            <v xml:space="preserve"> km.</v>
          </cell>
          <cell r="D449">
            <v>0</v>
          </cell>
        </row>
        <row r="450">
          <cell r="A450">
            <v>6719.0050000000001</v>
          </cell>
          <cell r="B450" t="str">
            <v xml:space="preserve">   50 PAIRS/0.9mm.     CONDUCT.  CEF     </v>
          </cell>
          <cell r="C450" t="str">
            <v xml:space="preserve"> km.</v>
          </cell>
          <cell r="D450">
            <v>0</v>
          </cell>
        </row>
        <row r="451">
          <cell r="A451">
            <v>6719.01</v>
          </cell>
          <cell r="B451" t="str">
            <v xml:space="preserve"> 100 PAIRS/0.9mm.     CONDUCT.  CEF     </v>
          </cell>
          <cell r="C451" t="str">
            <v xml:space="preserve"> km.</v>
          </cell>
          <cell r="D451">
            <v>0</v>
          </cell>
        </row>
        <row r="452">
          <cell r="A452">
            <v>6719.0150000000003</v>
          </cell>
          <cell r="B452" t="str">
            <v xml:space="preserve"> 150 PAIRS/0.9mm.     CONDUCT.  CEF     </v>
          </cell>
          <cell r="C452" t="str">
            <v xml:space="preserve"> km.</v>
          </cell>
          <cell r="D452">
            <v>0</v>
          </cell>
        </row>
        <row r="453">
          <cell r="A453">
            <v>6719.02</v>
          </cell>
          <cell r="B453" t="str">
            <v xml:space="preserve"> 200 PAIRS/0.9mm.     CONDUCT.  CEF     </v>
          </cell>
          <cell r="C453" t="str">
            <v xml:space="preserve"> km.</v>
          </cell>
          <cell r="D453">
            <v>0</v>
          </cell>
        </row>
        <row r="454">
          <cell r="A454">
            <v>6719.03</v>
          </cell>
          <cell r="B454" t="str">
            <v xml:space="preserve"> 300 PAIRS/0.9mm.     CONDUCT.  CEF     </v>
          </cell>
          <cell r="C454" t="str">
            <v xml:space="preserve"> km.</v>
          </cell>
          <cell r="D454">
            <v>0</v>
          </cell>
        </row>
        <row r="455">
          <cell r="A455">
            <v>6724.0020000000004</v>
          </cell>
          <cell r="B455" t="str">
            <v xml:space="preserve">   20 PAIRS/0.4mm.    CONDUCT.  CEFE     </v>
          </cell>
          <cell r="C455" t="str">
            <v xml:space="preserve"> km.</v>
          </cell>
          <cell r="D455">
            <v>0</v>
          </cell>
        </row>
        <row r="456">
          <cell r="A456">
            <v>6724.0050000000001</v>
          </cell>
          <cell r="B456" t="str">
            <v xml:space="preserve">   50 PAIRS/0.4mm.    CONDUCT.  CEFE     </v>
          </cell>
          <cell r="C456" t="str">
            <v xml:space="preserve"> km.</v>
          </cell>
          <cell r="D456">
            <v>0</v>
          </cell>
        </row>
        <row r="457">
          <cell r="A457">
            <v>6724.01</v>
          </cell>
          <cell r="B457" t="str">
            <v xml:space="preserve"> 100 PAIRS/0.4mm.    CONDUCT.  CEFE     </v>
          </cell>
          <cell r="C457" t="str">
            <v xml:space="preserve"> km.</v>
          </cell>
          <cell r="D457">
            <v>0</v>
          </cell>
        </row>
        <row r="458">
          <cell r="A458">
            <v>6724.02</v>
          </cell>
          <cell r="B458" t="str">
            <v xml:space="preserve"> 200 PAIRS/0.4mm.    CONDUCT.  CEFE     </v>
          </cell>
          <cell r="C458" t="str">
            <v xml:space="preserve"> km.</v>
          </cell>
          <cell r="D458">
            <v>0</v>
          </cell>
        </row>
        <row r="459">
          <cell r="A459">
            <v>6724.03</v>
          </cell>
          <cell r="B459" t="str">
            <v xml:space="preserve"> 300 PAIRS/0.4mm.    CONDUCT.  CEFE     </v>
          </cell>
          <cell r="C459" t="str">
            <v xml:space="preserve"> km.</v>
          </cell>
          <cell r="D459">
            <v>0</v>
          </cell>
        </row>
        <row r="460">
          <cell r="A460">
            <v>6724.06</v>
          </cell>
          <cell r="B460" t="str">
            <v xml:space="preserve"> 600 PAIRS/0.4mm.    CONDUCT.  CEFE     </v>
          </cell>
          <cell r="C460" t="str">
            <v xml:space="preserve"> km.</v>
          </cell>
          <cell r="D460">
            <v>0</v>
          </cell>
        </row>
        <row r="461">
          <cell r="A461">
            <v>6724.09</v>
          </cell>
          <cell r="B461" t="str">
            <v xml:space="preserve"> 900 PAIRS/0.4mm.    CONDUCT.  CEFE     </v>
          </cell>
          <cell r="C461" t="str">
            <v xml:space="preserve"> km.</v>
          </cell>
          <cell r="D461">
            <v>0</v>
          </cell>
        </row>
        <row r="462">
          <cell r="A462">
            <v>6724.12</v>
          </cell>
          <cell r="B462" t="str">
            <v xml:space="preserve">1200 PAIRS/0.4mm.   CONDUCT.  CEFE     </v>
          </cell>
          <cell r="C462" t="str">
            <v xml:space="preserve"> km.</v>
          </cell>
          <cell r="D462">
            <v>0</v>
          </cell>
        </row>
        <row r="463">
          <cell r="A463">
            <v>6724.15</v>
          </cell>
          <cell r="B463" t="str">
            <v xml:space="preserve">1500  PAIRS/0.4mm.  CONDUCT.  CEFE     </v>
          </cell>
          <cell r="C463" t="str">
            <v xml:space="preserve"> km.</v>
          </cell>
          <cell r="D463">
            <v>0</v>
          </cell>
        </row>
        <row r="464">
          <cell r="A464">
            <v>6724.18</v>
          </cell>
          <cell r="B464" t="str">
            <v xml:space="preserve">1800  PAIRS/0.4mm.  CONDUCT.  CEFE     </v>
          </cell>
          <cell r="C464" t="str">
            <v xml:space="preserve"> km.</v>
          </cell>
          <cell r="D464">
            <v>0</v>
          </cell>
        </row>
        <row r="465">
          <cell r="A465">
            <v>6725.0010000000002</v>
          </cell>
          <cell r="B465" t="str">
            <v xml:space="preserve">   10 PAIRS/0.5mm.    CONDUCT.  CEFE     </v>
          </cell>
          <cell r="C465" t="str">
            <v xml:space="preserve"> km.</v>
          </cell>
          <cell r="D465">
            <v>0</v>
          </cell>
        </row>
        <row r="466">
          <cell r="A466">
            <v>6725.0020000000004</v>
          </cell>
          <cell r="B466" t="str">
            <v xml:space="preserve">   20 PAIRS/0.5mm.    CONDUCT.  CEFE     </v>
          </cell>
          <cell r="C466" t="str">
            <v xml:space="preserve"> km.</v>
          </cell>
          <cell r="D466">
            <v>0</v>
          </cell>
        </row>
        <row r="467">
          <cell r="A467">
            <v>6725.0050000000001</v>
          </cell>
          <cell r="B467" t="str">
            <v xml:space="preserve">   50 PAIRS/0.5mm.    CONDUCT.  CEFE     </v>
          </cell>
          <cell r="C467" t="str">
            <v xml:space="preserve"> km.</v>
          </cell>
          <cell r="D467">
            <v>0</v>
          </cell>
        </row>
        <row r="468">
          <cell r="A468">
            <v>6725.01</v>
          </cell>
          <cell r="B468" t="str">
            <v xml:space="preserve"> 100 PAIRS/0.5mm.    CONDUCT.  CEFE     </v>
          </cell>
          <cell r="C468" t="str">
            <v xml:space="preserve"> km.</v>
          </cell>
          <cell r="D468">
            <v>0</v>
          </cell>
        </row>
        <row r="469">
          <cell r="A469">
            <v>6725.02</v>
          </cell>
          <cell r="B469" t="str">
            <v xml:space="preserve"> 200 PAIRS/0.5mm.    CONDUCT.  CEFE     </v>
          </cell>
          <cell r="C469" t="str">
            <v xml:space="preserve"> km.</v>
          </cell>
          <cell r="D469">
            <v>0</v>
          </cell>
        </row>
        <row r="470">
          <cell r="A470">
            <v>6725.03</v>
          </cell>
          <cell r="B470" t="str">
            <v xml:space="preserve"> 300 PAIRS/0.5mm.    CONDUCT.  CEFE     </v>
          </cell>
          <cell r="C470" t="str">
            <v xml:space="preserve"> km.</v>
          </cell>
          <cell r="D470">
            <v>0</v>
          </cell>
        </row>
        <row r="471">
          <cell r="A471">
            <v>6725.06</v>
          </cell>
          <cell r="B471" t="str">
            <v xml:space="preserve"> 600 PAIRS/0.5mm.    CONDUCT.  CEFE     </v>
          </cell>
          <cell r="C471" t="str">
            <v xml:space="preserve"> km.</v>
          </cell>
          <cell r="D471">
            <v>0</v>
          </cell>
        </row>
        <row r="472">
          <cell r="A472">
            <v>6725.09</v>
          </cell>
          <cell r="B472" t="str">
            <v xml:space="preserve"> 900 PAIRS/0.5mm.    CONDUCT.  CEFE     </v>
          </cell>
          <cell r="C472" t="str">
            <v xml:space="preserve"> km.</v>
          </cell>
          <cell r="D472">
            <v>0</v>
          </cell>
        </row>
        <row r="473">
          <cell r="A473">
            <v>6725.12</v>
          </cell>
          <cell r="B473" t="str">
            <v xml:space="preserve">1200 PAIRS/0.5mm.   CONDUCT.  CEFE     </v>
          </cell>
          <cell r="C473" t="str">
            <v xml:space="preserve"> km.</v>
          </cell>
          <cell r="D473">
            <v>0</v>
          </cell>
        </row>
        <row r="474">
          <cell r="A474">
            <v>6726.0020000000004</v>
          </cell>
          <cell r="B474" t="str">
            <v xml:space="preserve">   20 PAIRS/0.65mm.  CONDUCT.  CEFE     </v>
          </cell>
          <cell r="C474" t="str">
            <v xml:space="preserve"> km.</v>
          </cell>
          <cell r="D474">
            <v>0</v>
          </cell>
        </row>
        <row r="475">
          <cell r="A475">
            <v>6726.0050000000001</v>
          </cell>
          <cell r="B475" t="str">
            <v xml:space="preserve">   50 PAIRS/0.65mm.  CONDUCT.  CEFE     </v>
          </cell>
          <cell r="C475" t="str">
            <v xml:space="preserve"> km.</v>
          </cell>
          <cell r="D475">
            <v>0</v>
          </cell>
        </row>
        <row r="476">
          <cell r="A476">
            <v>6726.01</v>
          </cell>
          <cell r="B476" t="str">
            <v xml:space="preserve"> 100 PAIRS/0.65mm.  CONDUCT.  CEFE     </v>
          </cell>
          <cell r="C476" t="str">
            <v xml:space="preserve"> km.</v>
          </cell>
          <cell r="D476">
            <v>0</v>
          </cell>
        </row>
        <row r="477">
          <cell r="A477">
            <v>6726.02</v>
          </cell>
          <cell r="B477" t="str">
            <v xml:space="preserve"> 200 PAIRS/0.65mm.  CONDUCT.  CEFE     </v>
          </cell>
          <cell r="C477" t="str">
            <v xml:space="preserve"> km.</v>
          </cell>
          <cell r="D477">
            <v>0</v>
          </cell>
        </row>
        <row r="478">
          <cell r="A478">
            <v>6726.03</v>
          </cell>
          <cell r="B478" t="str">
            <v xml:space="preserve"> 300 PAIRS/0.65mm.  CONDUCT.  CEFE     </v>
          </cell>
          <cell r="C478" t="str">
            <v xml:space="preserve"> km.</v>
          </cell>
          <cell r="D478">
            <v>0</v>
          </cell>
        </row>
        <row r="479">
          <cell r="A479">
            <v>6726.06</v>
          </cell>
          <cell r="B479" t="str">
            <v xml:space="preserve"> 600 PAIRS/0.65mm.  CONDUCT.  CEFE     </v>
          </cell>
          <cell r="C479" t="str">
            <v xml:space="preserve"> km.</v>
          </cell>
          <cell r="D479">
            <v>0</v>
          </cell>
        </row>
        <row r="480">
          <cell r="A480">
            <v>6729.0020000000004</v>
          </cell>
          <cell r="B480" t="str">
            <v xml:space="preserve">   20 PAIRS/0.9mm.    CONDUCT.  CEFE     </v>
          </cell>
          <cell r="C480" t="str">
            <v xml:space="preserve"> km.</v>
          </cell>
          <cell r="D480">
            <v>0</v>
          </cell>
        </row>
        <row r="481">
          <cell r="A481">
            <v>6729.0050000000001</v>
          </cell>
          <cell r="B481" t="str">
            <v xml:space="preserve">   50 PAIRS/0.9mm.    CONDUCT.  CEFE     </v>
          </cell>
          <cell r="C481" t="str">
            <v xml:space="preserve"> km.</v>
          </cell>
          <cell r="D481">
            <v>0</v>
          </cell>
        </row>
        <row r="482">
          <cell r="A482">
            <v>6729.01</v>
          </cell>
          <cell r="B482" t="str">
            <v xml:space="preserve"> 100 PAIRS/0.9mm.    CONDUCT.  CEFE     </v>
          </cell>
          <cell r="C482" t="str">
            <v xml:space="preserve"> km.</v>
          </cell>
          <cell r="D482">
            <v>0</v>
          </cell>
        </row>
        <row r="483">
          <cell r="A483">
            <v>6729.0150000000003</v>
          </cell>
          <cell r="B483" t="str">
            <v xml:space="preserve"> 150 PAIRS/0.9mm.    CONDUCT.  CEFE     </v>
          </cell>
          <cell r="C483" t="str">
            <v xml:space="preserve"> km.</v>
          </cell>
          <cell r="D483">
            <v>0</v>
          </cell>
        </row>
        <row r="484">
          <cell r="A484">
            <v>6729.02</v>
          </cell>
          <cell r="B484" t="str">
            <v xml:space="preserve"> 200 PAIRS/0.9mm.    CONDUCT.  CEFE     </v>
          </cell>
          <cell r="C484" t="str">
            <v xml:space="preserve"> km.</v>
          </cell>
          <cell r="D484">
            <v>0</v>
          </cell>
        </row>
        <row r="485">
          <cell r="A485">
            <v>6729.03</v>
          </cell>
          <cell r="B485" t="str">
            <v xml:space="preserve"> 300 PAIRS/0.9mm.    CONDUCT.  CEFE     </v>
          </cell>
          <cell r="C485" t="str">
            <v xml:space="preserve"> km.</v>
          </cell>
          <cell r="D485">
            <v>0</v>
          </cell>
        </row>
        <row r="486">
          <cell r="A486">
            <v>6744.0020000000004</v>
          </cell>
          <cell r="B486" t="str">
            <v xml:space="preserve">   20 PAIRS/0.4mm.    CONDUCT.  CEFW     </v>
          </cell>
          <cell r="C486" t="str">
            <v xml:space="preserve"> km.</v>
          </cell>
          <cell r="D486">
            <v>0</v>
          </cell>
        </row>
        <row r="487">
          <cell r="A487">
            <v>6744.0050000000001</v>
          </cell>
          <cell r="B487" t="str">
            <v xml:space="preserve">   50 PAIRS/0.4mm.    CONDUCT.  CEFW     </v>
          </cell>
          <cell r="C487" t="str">
            <v xml:space="preserve"> km.</v>
          </cell>
          <cell r="D487">
            <v>0</v>
          </cell>
        </row>
        <row r="488">
          <cell r="A488">
            <v>6744.01</v>
          </cell>
          <cell r="B488" t="str">
            <v xml:space="preserve"> 100 PAIRS/0.4mm.    CONDUCT.  CEFW     </v>
          </cell>
          <cell r="C488" t="str">
            <v xml:space="preserve"> km.</v>
          </cell>
          <cell r="D488">
            <v>0</v>
          </cell>
        </row>
        <row r="489">
          <cell r="A489">
            <v>6744.02</v>
          </cell>
          <cell r="B489" t="str">
            <v xml:space="preserve"> 200 PAIRS/0.4mm.    CONDUCT.  CEFW     </v>
          </cell>
          <cell r="C489" t="str">
            <v xml:space="preserve"> km.</v>
          </cell>
          <cell r="D489">
            <v>0</v>
          </cell>
        </row>
        <row r="490">
          <cell r="A490">
            <v>6744.03</v>
          </cell>
          <cell r="B490" t="str">
            <v xml:space="preserve"> 300 PAIRS/0.4mm.    CONDUCT.  CEFW     </v>
          </cell>
          <cell r="C490" t="str">
            <v xml:space="preserve"> km.</v>
          </cell>
          <cell r="D490">
            <v>0</v>
          </cell>
        </row>
        <row r="491">
          <cell r="A491">
            <v>6744.06</v>
          </cell>
          <cell r="B491" t="str">
            <v xml:space="preserve"> 600 PAIRS/0.4mm.    CONDUCT.  CEFW     </v>
          </cell>
          <cell r="C491" t="str">
            <v xml:space="preserve"> km.</v>
          </cell>
          <cell r="D491">
            <v>0</v>
          </cell>
        </row>
        <row r="492">
          <cell r="A492">
            <v>6744.09</v>
          </cell>
          <cell r="B492" t="str">
            <v xml:space="preserve"> 900 PAIRS/0.4mm.    CONDUCT.  CEFW     </v>
          </cell>
          <cell r="C492" t="str">
            <v xml:space="preserve"> km.</v>
          </cell>
          <cell r="D492">
            <v>0</v>
          </cell>
        </row>
        <row r="493">
          <cell r="A493">
            <v>6744.12</v>
          </cell>
          <cell r="B493" t="str">
            <v xml:space="preserve">1200 PAIRS/0.4mm.   CONDUCT.  CEFW     </v>
          </cell>
          <cell r="C493" t="str">
            <v xml:space="preserve"> km.</v>
          </cell>
          <cell r="D493">
            <v>0</v>
          </cell>
        </row>
        <row r="494">
          <cell r="A494">
            <v>6744.15</v>
          </cell>
          <cell r="B494" t="str">
            <v xml:space="preserve">1500  PAIRS/0.4mm.  CONDUCT.  CEFW     </v>
          </cell>
          <cell r="C494" t="str">
            <v xml:space="preserve"> km.</v>
          </cell>
          <cell r="D494">
            <v>0</v>
          </cell>
        </row>
        <row r="495">
          <cell r="A495">
            <v>6744.18</v>
          </cell>
          <cell r="B495" t="str">
            <v xml:space="preserve">1800  PAIRS/0.4mm.  CONDUCT.  CEFW     </v>
          </cell>
          <cell r="C495" t="str">
            <v xml:space="preserve"> km.</v>
          </cell>
          <cell r="D495">
            <v>0</v>
          </cell>
        </row>
        <row r="496">
          <cell r="A496">
            <v>6745.0010000000002</v>
          </cell>
          <cell r="B496" t="str">
            <v xml:space="preserve">   10 PAIRS/0.5mm.    CONDUCT.  CEFW     </v>
          </cell>
          <cell r="C496" t="str">
            <v xml:space="preserve"> km.</v>
          </cell>
          <cell r="D496">
            <v>0</v>
          </cell>
        </row>
        <row r="497">
          <cell r="A497">
            <v>6745.0020000000004</v>
          </cell>
          <cell r="B497" t="str">
            <v xml:space="preserve">   20 PAIRS/0.5mm.    CONDUCT.  CEFW     </v>
          </cell>
          <cell r="C497" t="str">
            <v xml:space="preserve"> km.</v>
          </cell>
          <cell r="D497">
            <v>0</v>
          </cell>
        </row>
        <row r="498">
          <cell r="A498">
            <v>6745.0050000000001</v>
          </cell>
          <cell r="B498" t="str">
            <v xml:space="preserve">   50 PAIRS/0.5mm.    CONDUCT.  CEFW     </v>
          </cell>
          <cell r="C498" t="str">
            <v xml:space="preserve"> km.</v>
          </cell>
          <cell r="D498">
            <v>0</v>
          </cell>
        </row>
        <row r="499">
          <cell r="A499">
            <v>6745.01</v>
          </cell>
          <cell r="B499" t="str">
            <v xml:space="preserve"> 100 PAIRS/0.5mm.    CONDUCT.  CEFW     </v>
          </cell>
          <cell r="C499" t="str">
            <v xml:space="preserve"> km.</v>
          </cell>
          <cell r="D499">
            <v>0</v>
          </cell>
        </row>
        <row r="500">
          <cell r="A500">
            <v>6745.02</v>
          </cell>
          <cell r="B500" t="str">
            <v xml:space="preserve"> 200 PAIRS/0.5mm.    CONDUCT.  CEFW     </v>
          </cell>
          <cell r="C500" t="str">
            <v xml:space="preserve"> km.</v>
          </cell>
          <cell r="D500">
            <v>0</v>
          </cell>
        </row>
        <row r="501">
          <cell r="A501">
            <v>6745.03</v>
          </cell>
          <cell r="B501" t="str">
            <v xml:space="preserve"> 300 PAIRS/0.5mm.    CONDUCT.  CEFW     </v>
          </cell>
          <cell r="C501" t="str">
            <v xml:space="preserve"> km.</v>
          </cell>
          <cell r="D501">
            <v>0</v>
          </cell>
        </row>
        <row r="502">
          <cell r="A502">
            <v>6745.06</v>
          </cell>
          <cell r="B502" t="str">
            <v xml:space="preserve"> 600 PAIRS/0.5mm.    CONDUCT.  CEFW     </v>
          </cell>
          <cell r="C502" t="str">
            <v xml:space="preserve"> km.</v>
          </cell>
          <cell r="D502">
            <v>0</v>
          </cell>
        </row>
        <row r="503">
          <cell r="A503">
            <v>6745.09</v>
          </cell>
          <cell r="B503" t="str">
            <v xml:space="preserve"> 900 PAIRS/0.5mm.    CONDUCT.  CEFW     </v>
          </cell>
          <cell r="C503" t="str">
            <v xml:space="preserve"> km.</v>
          </cell>
          <cell r="D503">
            <v>0</v>
          </cell>
        </row>
        <row r="504">
          <cell r="A504">
            <v>6745.12</v>
          </cell>
          <cell r="B504" t="str">
            <v xml:space="preserve">1200 PAIRS/0.5mm.   CONDUCT.  CEFW     </v>
          </cell>
          <cell r="C504" t="str">
            <v xml:space="preserve"> km.</v>
          </cell>
          <cell r="D504">
            <v>0</v>
          </cell>
        </row>
        <row r="505">
          <cell r="A505">
            <v>6746.0020000000004</v>
          </cell>
          <cell r="B505" t="str">
            <v xml:space="preserve">   20 PAIRS/0.65mm.  CONDUCT.  CEFW     </v>
          </cell>
          <cell r="C505" t="str">
            <v xml:space="preserve"> km.</v>
          </cell>
          <cell r="D505">
            <v>0</v>
          </cell>
        </row>
        <row r="506">
          <cell r="A506">
            <v>6746.0050000000001</v>
          </cell>
          <cell r="B506" t="str">
            <v xml:space="preserve">   50 PAIRS/0.65mm.  CONDUCT.  CEFW     </v>
          </cell>
          <cell r="C506" t="str">
            <v xml:space="preserve"> km.</v>
          </cell>
          <cell r="D506">
            <v>0</v>
          </cell>
        </row>
        <row r="507">
          <cell r="A507">
            <v>6746.01</v>
          </cell>
          <cell r="B507" t="str">
            <v xml:space="preserve"> 100 PAIRS/0.65mm.  CONDUCT.  CEFW     </v>
          </cell>
          <cell r="C507" t="str">
            <v xml:space="preserve"> km.</v>
          </cell>
          <cell r="D507">
            <v>0</v>
          </cell>
        </row>
        <row r="508">
          <cell r="A508">
            <v>6746.02</v>
          </cell>
          <cell r="B508" t="str">
            <v xml:space="preserve"> 200 PAIRS/0.65mm.  CONDUCT.  CEFW     </v>
          </cell>
          <cell r="C508" t="str">
            <v xml:space="preserve"> km.</v>
          </cell>
          <cell r="D508">
            <v>0</v>
          </cell>
        </row>
        <row r="509">
          <cell r="A509">
            <v>6746.03</v>
          </cell>
          <cell r="B509" t="str">
            <v xml:space="preserve"> 300 PAIRS/0.65mm.  CONDUCT.  CEFW     </v>
          </cell>
          <cell r="C509" t="str">
            <v xml:space="preserve"> km.</v>
          </cell>
          <cell r="D509">
            <v>0</v>
          </cell>
        </row>
        <row r="510">
          <cell r="A510">
            <v>6746.06</v>
          </cell>
          <cell r="B510" t="str">
            <v xml:space="preserve"> 600 PAIRS/0.65mm.  CONDUCT.  CEFW     </v>
          </cell>
          <cell r="C510" t="str">
            <v xml:space="preserve"> km.</v>
          </cell>
          <cell r="D510">
            <v>0</v>
          </cell>
        </row>
        <row r="511">
          <cell r="A511">
            <v>6749.0020000000004</v>
          </cell>
          <cell r="B511" t="str">
            <v xml:space="preserve">   20 PAIRS/0.9mm.    CONDUCT.  CEFW     </v>
          </cell>
          <cell r="C511" t="str">
            <v xml:space="preserve"> km.</v>
          </cell>
          <cell r="D511">
            <v>0</v>
          </cell>
        </row>
        <row r="512">
          <cell r="A512">
            <v>6749.0050000000001</v>
          </cell>
          <cell r="B512" t="str">
            <v xml:space="preserve">   50 PAIRS/0.9mm.    CONDUCT.  CEFW     </v>
          </cell>
          <cell r="C512" t="str">
            <v xml:space="preserve"> km.</v>
          </cell>
          <cell r="D512">
            <v>0</v>
          </cell>
        </row>
        <row r="513">
          <cell r="A513">
            <v>6749.01</v>
          </cell>
          <cell r="B513" t="str">
            <v xml:space="preserve"> 100 PAIRS/0.9mm.    CONDUCT.  CEFW     </v>
          </cell>
          <cell r="C513" t="str">
            <v xml:space="preserve"> km.</v>
          </cell>
          <cell r="D513">
            <v>0</v>
          </cell>
        </row>
        <row r="514">
          <cell r="A514">
            <v>6749.0150000000003</v>
          </cell>
          <cell r="B514" t="str">
            <v xml:space="preserve"> 150 PAIRS/0.9mm.    CONDUCT.  CEFW     </v>
          </cell>
          <cell r="C514" t="str">
            <v xml:space="preserve"> km.</v>
          </cell>
          <cell r="D514">
            <v>0</v>
          </cell>
        </row>
        <row r="515">
          <cell r="A515">
            <v>6749.02</v>
          </cell>
          <cell r="B515" t="str">
            <v xml:space="preserve"> 200 PAIRS/0.9mm.    CONDUCT.  CEFW     </v>
          </cell>
          <cell r="C515" t="str">
            <v xml:space="preserve"> km.</v>
          </cell>
          <cell r="D515">
            <v>0</v>
          </cell>
        </row>
        <row r="516">
          <cell r="A516">
            <v>6749.03</v>
          </cell>
          <cell r="B516" t="str">
            <v xml:space="preserve"> 300 PAIRS/0.9mm.    CONDUCT.  CEFW     </v>
          </cell>
          <cell r="C516" t="str">
            <v xml:space="preserve"> km.</v>
          </cell>
          <cell r="D516">
            <v>0</v>
          </cell>
        </row>
        <row r="517">
          <cell r="A517">
            <v>6910.0003999999999</v>
          </cell>
          <cell r="B517" t="str">
            <v xml:space="preserve">   4 O.F. TYPE 10/125 + METAL FREE,  DUCT</v>
          </cell>
          <cell r="C517" t="str">
            <v>km.</v>
          </cell>
          <cell r="D517">
            <v>0</v>
          </cell>
        </row>
        <row r="518">
          <cell r="A518">
            <v>6910.0006000000003</v>
          </cell>
          <cell r="B518" t="str">
            <v xml:space="preserve">   6 O.F. TYPE 10/125 + METAL FREE,  DUCT</v>
          </cell>
          <cell r="C518" t="str">
            <v>km.</v>
          </cell>
          <cell r="D518">
            <v>0</v>
          </cell>
        </row>
        <row r="519">
          <cell r="A519">
            <v>6910.0007999999998</v>
          </cell>
          <cell r="B519" t="str">
            <v xml:space="preserve">   8 O.F. TYPE 10/125 + METAL FREE,  DUCT</v>
          </cell>
          <cell r="C519" t="str">
            <v>km.</v>
          </cell>
          <cell r="D519">
            <v>0</v>
          </cell>
        </row>
        <row r="520">
          <cell r="A520">
            <v>6910.0011999999997</v>
          </cell>
          <cell r="B520" t="str">
            <v xml:space="preserve"> 12 O.F. TYPE 10/125 + METAL FREE,  DUCT</v>
          </cell>
          <cell r="C520" t="str">
            <v>km.</v>
          </cell>
          <cell r="D520">
            <v>0</v>
          </cell>
        </row>
        <row r="521">
          <cell r="A521">
            <v>6910.0015999999996</v>
          </cell>
          <cell r="B521" t="str">
            <v xml:space="preserve"> 16 O.F. TYPE 10/125 + METAL FREE,  DUCT</v>
          </cell>
          <cell r="C521" t="str">
            <v>km.</v>
          </cell>
          <cell r="D521">
            <v>0</v>
          </cell>
        </row>
        <row r="522">
          <cell r="A522">
            <v>6910.0024000000003</v>
          </cell>
          <cell r="B522" t="str">
            <v xml:space="preserve"> 24 O.F. TYPE 10/125 + METAL FREE,  DUCT</v>
          </cell>
          <cell r="C522" t="str">
            <v>km.</v>
          </cell>
          <cell r="D522">
            <v>0</v>
          </cell>
        </row>
        <row r="523">
          <cell r="A523">
            <v>6910.0029999999997</v>
          </cell>
          <cell r="B523" t="str">
            <v xml:space="preserve"> 30 O.F. TYPE 10/125 + METAL FREE,  DUCT</v>
          </cell>
          <cell r="C523" t="str">
            <v>km.</v>
          </cell>
          <cell r="D523">
            <v>0</v>
          </cell>
        </row>
        <row r="524">
          <cell r="A524">
            <v>6910.0036</v>
          </cell>
          <cell r="B524" t="str">
            <v xml:space="preserve"> 36 O.F. TYPE 10/125 + METAL FREE,  DUCT</v>
          </cell>
          <cell r="C524" t="str">
            <v>km.</v>
          </cell>
          <cell r="D524">
            <v>0</v>
          </cell>
        </row>
        <row r="525">
          <cell r="A525">
            <v>6910.0047999999997</v>
          </cell>
          <cell r="B525" t="str">
            <v xml:space="preserve"> 48 O.F. TYPE 10/125 + METAL FREE,  DUCT</v>
          </cell>
          <cell r="C525" t="str">
            <v>km.</v>
          </cell>
          <cell r="D525">
            <v>0</v>
          </cell>
        </row>
        <row r="526">
          <cell r="A526">
            <v>6910.0060000000003</v>
          </cell>
          <cell r="B526" t="str">
            <v xml:space="preserve"> 60 O.F. TYPE 10/125 + METAL FREE,  DUCT</v>
          </cell>
          <cell r="C526" t="str">
            <v>km.</v>
          </cell>
          <cell r="D526">
            <v>0</v>
          </cell>
        </row>
        <row r="527">
          <cell r="A527">
            <v>6910.0072</v>
          </cell>
          <cell r="B527" t="str">
            <v xml:space="preserve"> 72 O.F. TYPE 10/125 + METAL FREE,  DUCT</v>
          </cell>
          <cell r="C527" t="str">
            <v>km.</v>
          </cell>
          <cell r="D527">
            <v>0</v>
          </cell>
        </row>
        <row r="528">
          <cell r="A528">
            <v>6910.0083999999997</v>
          </cell>
          <cell r="B528" t="str">
            <v xml:space="preserve"> 84 O.F. TYPE 10/125 + METAL FREE,  DUCT</v>
          </cell>
          <cell r="C528" t="str">
            <v>km.</v>
          </cell>
          <cell r="D528">
            <v>0</v>
          </cell>
        </row>
        <row r="529">
          <cell r="A529">
            <v>6910.0096000000003</v>
          </cell>
          <cell r="B529" t="str">
            <v xml:space="preserve"> 96 O.F. TYPE 10/125 + METAL FREE,  DUCT</v>
          </cell>
          <cell r="C529" t="str">
            <v>km.</v>
          </cell>
          <cell r="D529">
            <v>0</v>
          </cell>
        </row>
        <row r="530">
          <cell r="A530">
            <v>6917.0003999999999</v>
          </cell>
          <cell r="B530" t="str">
            <v xml:space="preserve">   4 O.F. TYPE 10/125 + STANDARD,    DUCT</v>
          </cell>
          <cell r="C530" t="str">
            <v>km.</v>
          </cell>
          <cell r="D530">
            <v>0</v>
          </cell>
        </row>
        <row r="531">
          <cell r="A531">
            <v>6917.0006000000003</v>
          </cell>
          <cell r="B531" t="str">
            <v xml:space="preserve">   6 O.F. TYPE 10/125 + STANDARD,    DUCT</v>
          </cell>
          <cell r="C531" t="str">
            <v>km.</v>
          </cell>
          <cell r="D531">
            <v>0</v>
          </cell>
        </row>
        <row r="532">
          <cell r="A532">
            <v>6917.0007999999998</v>
          </cell>
          <cell r="B532" t="str">
            <v xml:space="preserve">   8 O.F. TYPE 10/125 + STANDARD,    DUCT</v>
          </cell>
          <cell r="C532" t="str">
            <v>km.</v>
          </cell>
          <cell r="D532">
            <v>0</v>
          </cell>
        </row>
        <row r="533">
          <cell r="A533">
            <v>6917.0011999999997</v>
          </cell>
          <cell r="B533" t="str">
            <v xml:space="preserve"> 12 O.F. TYPE 10/125 + STANDARD,    DUCT</v>
          </cell>
          <cell r="C533" t="str">
            <v>km.</v>
          </cell>
          <cell r="D533">
            <v>0</v>
          </cell>
        </row>
        <row r="534">
          <cell r="A534">
            <v>6917.0015999999996</v>
          </cell>
          <cell r="B534" t="str">
            <v xml:space="preserve"> 16 O.F. TYPE 10/125 + STANDARD,    DUCT</v>
          </cell>
          <cell r="C534" t="str">
            <v>km.</v>
          </cell>
          <cell r="D534">
            <v>0</v>
          </cell>
        </row>
        <row r="535">
          <cell r="A535">
            <v>6917.0024000000003</v>
          </cell>
          <cell r="B535" t="str">
            <v xml:space="preserve"> 24 O.F. TYPE 10/125 + STANDARD,    DUCT</v>
          </cell>
          <cell r="C535" t="str">
            <v>km.</v>
          </cell>
          <cell r="D535">
            <v>0</v>
          </cell>
        </row>
        <row r="536">
          <cell r="A536">
            <v>6917.0029999999997</v>
          </cell>
          <cell r="B536" t="str">
            <v xml:space="preserve"> 30 O.F. TYPE 10/125 + STANDARD,    DUCT</v>
          </cell>
          <cell r="C536" t="str">
            <v>km.</v>
          </cell>
          <cell r="D536">
            <v>0</v>
          </cell>
        </row>
        <row r="537">
          <cell r="A537">
            <v>6917.0036</v>
          </cell>
          <cell r="B537" t="str">
            <v xml:space="preserve"> 36 O.F. TYPE 10/125 + STANDARD,    DUCT</v>
          </cell>
          <cell r="C537" t="str">
            <v>km.</v>
          </cell>
          <cell r="D537">
            <v>0</v>
          </cell>
        </row>
        <row r="538">
          <cell r="A538">
            <v>6917.0047999999997</v>
          </cell>
          <cell r="B538" t="str">
            <v xml:space="preserve"> 48 O.F. TYPE 10/125 + STANDARD,    DUCT</v>
          </cell>
          <cell r="C538" t="str">
            <v>km.</v>
          </cell>
          <cell r="D538">
            <v>0</v>
          </cell>
        </row>
        <row r="539">
          <cell r="A539">
            <v>6917.0060000000003</v>
          </cell>
          <cell r="B539" t="str">
            <v xml:space="preserve"> 60 O.F. TYPE 10/125 + STANDARD,    DUCT</v>
          </cell>
          <cell r="C539" t="str">
            <v>km.</v>
          </cell>
          <cell r="D539">
            <v>0</v>
          </cell>
        </row>
        <row r="540">
          <cell r="A540">
            <v>6917.0072</v>
          </cell>
          <cell r="B540" t="str">
            <v xml:space="preserve"> 72 O.F. TYPE 10/125 + STANDARD,    DUCT</v>
          </cell>
          <cell r="C540" t="str">
            <v>km.</v>
          </cell>
          <cell r="D540">
            <v>0</v>
          </cell>
        </row>
        <row r="541">
          <cell r="A541">
            <v>6917.0083999999997</v>
          </cell>
          <cell r="B541" t="str">
            <v xml:space="preserve"> 84 O.F. TYPE 10/125 + STANDARD,    DUCT</v>
          </cell>
          <cell r="C541" t="str">
            <v>km.</v>
          </cell>
          <cell r="D541">
            <v>0</v>
          </cell>
        </row>
        <row r="542">
          <cell r="A542">
            <v>6917.0096000000003</v>
          </cell>
          <cell r="B542" t="str">
            <v xml:space="preserve"> 96 O.F. TYPE 10/125 + STANDARD,    DUCT</v>
          </cell>
          <cell r="C542" t="str">
            <v>km.</v>
          </cell>
          <cell r="D542">
            <v>0</v>
          </cell>
        </row>
        <row r="543">
          <cell r="A543">
            <v>6920.0003999999999</v>
          </cell>
          <cell r="B543" t="str">
            <v xml:space="preserve">   4 O.F. TYPE 10/125 + METAL FREE,  D/B</v>
          </cell>
          <cell r="C543" t="str">
            <v>km.</v>
          </cell>
          <cell r="D543">
            <v>0</v>
          </cell>
        </row>
        <row r="544">
          <cell r="A544">
            <v>6920.0006000000003</v>
          </cell>
          <cell r="B544" t="str">
            <v xml:space="preserve">   6 O.F. TYPE 10/125 + METAL FREE,  D/B</v>
          </cell>
          <cell r="C544" t="str">
            <v>km.</v>
          </cell>
          <cell r="D544">
            <v>0</v>
          </cell>
        </row>
        <row r="545">
          <cell r="A545">
            <v>6920.0007999999998</v>
          </cell>
          <cell r="B545" t="str">
            <v xml:space="preserve">   8 O.F. TYPE 10/125 + METAL FREE,  D/B</v>
          </cell>
          <cell r="C545" t="str">
            <v>km.</v>
          </cell>
          <cell r="D545">
            <v>0</v>
          </cell>
        </row>
        <row r="546">
          <cell r="A546">
            <v>6920.0011999999997</v>
          </cell>
          <cell r="B546" t="str">
            <v xml:space="preserve"> 12 O.F. TYPE 10/125 + METAL FREE,  D/B</v>
          </cell>
          <cell r="C546" t="str">
            <v>km.</v>
          </cell>
          <cell r="D546">
            <v>0</v>
          </cell>
        </row>
        <row r="547">
          <cell r="A547">
            <v>6920.0015999999996</v>
          </cell>
          <cell r="B547" t="str">
            <v xml:space="preserve"> 16 O.F. TYPE 10/125 + METAL FREE,  D/B</v>
          </cell>
          <cell r="C547" t="str">
            <v>km.</v>
          </cell>
          <cell r="D547">
            <v>0</v>
          </cell>
        </row>
        <row r="548">
          <cell r="A548">
            <v>6920.0024000000003</v>
          </cell>
          <cell r="B548" t="str">
            <v xml:space="preserve"> 24 O.F. TYPE 10/125 + METAL FREE,  D/B</v>
          </cell>
          <cell r="C548" t="str">
            <v>km.</v>
          </cell>
          <cell r="D548">
            <v>0</v>
          </cell>
        </row>
        <row r="549">
          <cell r="A549">
            <v>6920.0029999999997</v>
          </cell>
          <cell r="B549" t="str">
            <v xml:space="preserve"> 30 O.F. TYPE 10/125 + METAL FREE,  D/B</v>
          </cell>
          <cell r="C549" t="str">
            <v>km.</v>
          </cell>
          <cell r="D549">
            <v>0</v>
          </cell>
        </row>
        <row r="550">
          <cell r="A550">
            <v>6920.0036</v>
          </cell>
          <cell r="B550" t="str">
            <v xml:space="preserve"> 36 O.F. TYPE 10/125 + METAL FREE,  D/B</v>
          </cell>
          <cell r="C550" t="str">
            <v>km.</v>
          </cell>
          <cell r="D550">
            <v>0</v>
          </cell>
        </row>
        <row r="551">
          <cell r="A551">
            <v>6920.0047999999997</v>
          </cell>
          <cell r="B551" t="str">
            <v xml:space="preserve"> 48 O.F. TYPE 10/125 + METAL FREE,  D/B</v>
          </cell>
          <cell r="C551" t="str">
            <v>km.</v>
          </cell>
          <cell r="D551">
            <v>0</v>
          </cell>
        </row>
        <row r="552">
          <cell r="A552">
            <v>6920.0060000000003</v>
          </cell>
          <cell r="B552" t="str">
            <v xml:space="preserve"> 60 O.F. TYPE 10/125 + METAL FREE,  D/B</v>
          </cell>
          <cell r="C552" t="str">
            <v>km.</v>
          </cell>
          <cell r="D552">
            <v>0</v>
          </cell>
        </row>
        <row r="553">
          <cell r="A553">
            <v>6920.0072</v>
          </cell>
          <cell r="B553" t="str">
            <v xml:space="preserve"> 72 O.F. TYPE 10/125 + METAL FREE,  D/B</v>
          </cell>
          <cell r="C553" t="str">
            <v>km.</v>
          </cell>
          <cell r="D553">
            <v>0</v>
          </cell>
        </row>
        <row r="554">
          <cell r="A554">
            <v>6920.0083999999997</v>
          </cell>
          <cell r="B554" t="str">
            <v xml:space="preserve"> 84 O.F. TYPE 10/125 + METAL FREE,  D/B</v>
          </cell>
          <cell r="C554" t="str">
            <v>km.</v>
          </cell>
          <cell r="D554">
            <v>0</v>
          </cell>
        </row>
        <row r="555">
          <cell r="A555">
            <v>6920.0096000000003</v>
          </cell>
          <cell r="B555" t="str">
            <v xml:space="preserve"> 96 O.F. TYPE 10/125 + METAL FREE,  D/B</v>
          </cell>
          <cell r="C555" t="str">
            <v>km.</v>
          </cell>
          <cell r="D555">
            <v>0</v>
          </cell>
        </row>
        <row r="556">
          <cell r="A556">
            <v>6927.0003999999999</v>
          </cell>
          <cell r="B556" t="str">
            <v xml:space="preserve">   4 O.F. TYPE 10/125 + STANDARD,    D/B</v>
          </cell>
          <cell r="C556" t="str">
            <v>km.</v>
          </cell>
          <cell r="D556">
            <v>0</v>
          </cell>
        </row>
        <row r="557">
          <cell r="A557">
            <v>6927.0006000000003</v>
          </cell>
          <cell r="B557" t="str">
            <v xml:space="preserve">   6 O.F. TYPE 10/125 + STANDARD,    D/B</v>
          </cell>
          <cell r="C557" t="str">
            <v>km.</v>
          </cell>
          <cell r="D557">
            <v>0</v>
          </cell>
        </row>
        <row r="558">
          <cell r="A558">
            <v>6927.0007999999998</v>
          </cell>
          <cell r="B558" t="str">
            <v xml:space="preserve">   8 O.F. TYPE 10/125 + STANDARD,    D/B</v>
          </cell>
          <cell r="C558" t="str">
            <v>km.</v>
          </cell>
          <cell r="D558">
            <v>0</v>
          </cell>
        </row>
        <row r="559">
          <cell r="A559">
            <v>6927.0011999999997</v>
          </cell>
          <cell r="B559" t="str">
            <v xml:space="preserve"> 12 O.F. TYPE 10/125 + STANDARD,    D/B</v>
          </cell>
          <cell r="C559" t="str">
            <v>km.</v>
          </cell>
          <cell r="D559">
            <v>0</v>
          </cell>
        </row>
        <row r="560">
          <cell r="A560">
            <v>6927.0015999999996</v>
          </cell>
          <cell r="B560" t="str">
            <v xml:space="preserve"> 16 O.F. TYPE 10/125 + STANDARD,    D/B</v>
          </cell>
          <cell r="C560" t="str">
            <v>km.</v>
          </cell>
          <cell r="D560">
            <v>0</v>
          </cell>
        </row>
        <row r="561">
          <cell r="A561">
            <v>6927.0024000000003</v>
          </cell>
          <cell r="B561" t="str">
            <v xml:space="preserve"> 24 O.F. TYPE 10/125 + STANDARD,    D/B</v>
          </cell>
          <cell r="C561" t="str">
            <v>km.</v>
          </cell>
          <cell r="D561">
            <v>0</v>
          </cell>
        </row>
        <row r="562">
          <cell r="A562">
            <v>6927.0029999999997</v>
          </cell>
          <cell r="B562" t="str">
            <v xml:space="preserve"> 30 O.F. TYPE 10/125 + STANDARD,    D/B</v>
          </cell>
          <cell r="C562" t="str">
            <v>km.</v>
          </cell>
          <cell r="D562">
            <v>0</v>
          </cell>
        </row>
        <row r="563">
          <cell r="A563">
            <v>6927.0036</v>
          </cell>
          <cell r="B563" t="str">
            <v xml:space="preserve"> 36 O.F. TYPE 10/125 + STANDARD,    D/B</v>
          </cell>
          <cell r="C563" t="str">
            <v>km.</v>
          </cell>
          <cell r="D563">
            <v>0</v>
          </cell>
        </row>
        <row r="564">
          <cell r="A564">
            <v>6927.0047999999997</v>
          </cell>
          <cell r="B564" t="str">
            <v xml:space="preserve"> 48 O.F. TYPE 10/125 + STANDARD,    D/B</v>
          </cell>
          <cell r="C564" t="str">
            <v>km.</v>
          </cell>
          <cell r="D564">
            <v>0</v>
          </cell>
        </row>
        <row r="565">
          <cell r="A565">
            <v>6927.0060000000003</v>
          </cell>
          <cell r="B565" t="str">
            <v xml:space="preserve"> 60 O.F. TYPE 10/125 + STANDARD,    D/B</v>
          </cell>
          <cell r="C565" t="str">
            <v>km.</v>
          </cell>
          <cell r="D565">
            <v>0</v>
          </cell>
        </row>
        <row r="566">
          <cell r="A566">
            <v>6927.0072</v>
          </cell>
          <cell r="B566" t="str">
            <v xml:space="preserve"> 72 O.F. TYPE 10/125 + STANDARD,    D/B</v>
          </cell>
          <cell r="C566" t="str">
            <v>km.</v>
          </cell>
          <cell r="D566">
            <v>0</v>
          </cell>
        </row>
        <row r="567">
          <cell r="A567">
            <v>6927.0083999999997</v>
          </cell>
          <cell r="B567" t="str">
            <v xml:space="preserve"> 84 O.F. TYPE 10/125 + STANDARD,    D/B</v>
          </cell>
          <cell r="C567" t="str">
            <v>km.</v>
          </cell>
          <cell r="D567">
            <v>0</v>
          </cell>
        </row>
        <row r="568">
          <cell r="A568">
            <v>6927.0096000000003</v>
          </cell>
          <cell r="B568" t="str">
            <v xml:space="preserve"> 96 O.F. TYPE 10/125 + STANDARD,    D/B</v>
          </cell>
          <cell r="C568" t="str">
            <v>km.</v>
          </cell>
          <cell r="D568">
            <v>0</v>
          </cell>
        </row>
        <row r="569">
          <cell r="A569">
            <v>6937.0003999999999</v>
          </cell>
          <cell r="B569" t="str">
            <v xml:space="preserve">   4 O.F TYPE 10/125 + ARMOURED,    D/B</v>
          </cell>
          <cell r="C569" t="str">
            <v>km.</v>
          </cell>
          <cell r="D569">
            <v>0</v>
          </cell>
        </row>
        <row r="570">
          <cell r="A570">
            <v>6937.0006000000003</v>
          </cell>
          <cell r="B570" t="str">
            <v xml:space="preserve">   6 O.F TYPE 10/125 + ARMOURED,    D/B</v>
          </cell>
          <cell r="C570" t="str">
            <v>km.</v>
          </cell>
          <cell r="D570">
            <v>0</v>
          </cell>
        </row>
        <row r="571">
          <cell r="A571">
            <v>6937.0007999999998</v>
          </cell>
          <cell r="B571" t="str">
            <v xml:space="preserve">   8 O.F TYPE 10/125 + ARMOURED,    D/B</v>
          </cell>
          <cell r="C571" t="str">
            <v>km.</v>
          </cell>
          <cell r="D571">
            <v>0</v>
          </cell>
        </row>
        <row r="572">
          <cell r="A572">
            <v>6937.0011999999997</v>
          </cell>
          <cell r="B572" t="str">
            <v xml:space="preserve"> 12 O.F TYPE 10/125 + ARMOURED,    D/B</v>
          </cell>
          <cell r="C572" t="str">
            <v>km.</v>
          </cell>
          <cell r="D572">
            <v>0</v>
          </cell>
        </row>
        <row r="573">
          <cell r="A573">
            <v>6937.0015999999996</v>
          </cell>
          <cell r="B573" t="str">
            <v xml:space="preserve"> 16 O.F TYPE 10/125 + ARMOURED,    D/B</v>
          </cell>
          <cell r="C573" t="str">
            <v>km.</v>
          </cell>
          <cell r="D573">
            <v>0</v>
          </cell>
        </row>
        <row r="574">
          <cell r="A574">
            <v>6937.0020000000004</v>
          </cell>
          <cell r="B574" t="str">
            <v xml:space="preserve"> 20 O.F TYPE 10/125 + ARMOURED,    D/B</v>
          </cell>
          <cell r="C574" t="str">
            <v>km.</v>
          </cell>
          <cell r="D574">
            <v>0</v>
          </cell>
        </row>
        <row r="575">
          <cell r="A575">
            <v>6937.0024000000003</v>
          </cell>
          <cell r="B575" t="str">
            <v xml:space="preserve"> 24 O.F TYPE 10/125 + ARMOURED,    D/B</v>
          </cell>
          <cell r="C575" t="str">
            <v>km.</v>
          </cell>
          <cell r="D575">
            <v>0</v>
          </cell>
        </row>
        <row r="576">
          <cell r="A576">
            <v>6937.0036</v>
          </cell>
          <cell r="B576" t="str">
            <v xml:space="preserve"> 36 O.F TYPE 10/125 + ARMOURED,    D/B</v>
          </cell>
          <cell r="C576" t="str">
            <v>km.</v>
          </cell>
          <cell r="D576">
            <v>0</v>
          </cell>
        </row>
        <row r="577">
          <cell r="A577">
            <v>6937.0047999999997</v>
          </cell>
          <cell r="B577" t="str">
            <v xml:space="preserve"> 48 O.F TYPE 10/125 + ARMOURED,    D/B</v>
          </cell>
          <cell r="C577" t="str">
            <v>km.</v>
          </cell>
          <cell r="D577">
            <v>0</v>
          </cell>
        </row>
        <row r="578">
          <cell r="A578">
            <v>6937.0060000000003</v>
          </cell>
          <cell r="B578" t="str">
            <v xml:space="preserve"> 60 O.F TYPE 10/125 + ARMOURED,    D/B</v>
          </cell>
          <cell r="C578" t="str">
            <v>km.</v>
          </cell>
          <cell r="D578">
            <v>0</v>
          </cell>
        </row>
        <row r="579">
          <cell r="A579">
            <v>6937.0072</v>
          </cell>
          <cell r="B579" t="str">
            <v xml:space="preserve"> 72 O.F TYPE 10/125 + ARMOURED,    D/B</v>
          </cell>
          <cell r="C579" t="str">
            <v>km.</v>
          </cell>
          <cell r="D579">
            <v>0</v>
          </cell>
        </row>
        <row r="580">
          <cell r="A580">
            <v>6937.0083999999997</v>
          </cell>
          <cell r="B580" t="str">
            <v xml:space="preserve"> 84 O.F TYPE 10/125 + ARMOURED,    D/B</v>
          </cell>
          <cell r="C580" t="str">
            <v>km.</v>
          </cell>
          <cell r="D580">
            <v>0</v>
          </cell>
        </row>
        <row r="581">
          <cell r="A581">
            <v>6937.0096000000003</v>
          </cell>
          <cell r="B581" t="str">
            <v xml:space="preserve"> 96 O.F TYPE 10/125 + ARMOURED,    D/B</v>
          </cell>
          <cell r="C581" t="str">
            <v>km.</v>
          </cell>
          <cell r="D581">
            <v>0</v>
          </cell>
        </row>
        <row r="582">
          <cell r="A582">
            <v>6947.0003999999999</v>
          </cell>
          <cell r="B582" t="str">
            <v xml:space="preserve">   4 O.F TYPE 10/125 + ARMOURED,    D/B</v>
          </cell>
          <cell r="C582" t="str">
            <v>km.</v>
          </cell>
          <cell r="D582">
            <v>0</v>
          </cell>
        </row>
        <row r="583">
          <cell r="A583">
            <v>6947.0006000000003</v>
          </cell>
          <cell r="B583" t="str">
            <v xml:space="preserve">   6 O.F TYPE 10/125 + ARMOURED,    D/B</v>
          </cell>
          <cell r="C583" t="str">
            <v>km.</v>
          </cell>
          <cell r="D583">
            <v>0</v>
          </cell>
        </row>
        <row r="584">
          <cell r="A584">
            <v>6947.0007999999998</v>
          </cell>
          <cell r="B584" t="str">
            <v xml:space="preserve">   8 O.F TYPE 10/125 + ARMOURED,    D/B</v>
          </cell>
          <cell r="C584" t="str">
            <v>km.</v>
          </cell>
          <cell r="D584">
            <v>0</v>
          </cell>
        </row>
        <row r="585">
          <cell r="A585">
            <v>6947.0011999999997</v>
          </cell>
          <cell r="B585" t="str">
            <v xml:space="preserve"> 12 O.F TYPE 10/125 + ARMOURED,    D/B</v>
          </cell>
          <cell r="C585" t="str">
            <v>km.</v>
          </cell>
          <cell r="D585">
            <v>0</v>
          </cell>
        </row>
        <row r="586">
          <cell r="A586">
            <v>6947.0015999999996</v>
          </cell>
          <cell r="B586" t="str">
            <v xml:space="preserve"> 16 O.F TYPE 10/125 + ARMOURED,    D/B</v>
          </cell>
          <cell r="C586" t="str">
            <v>km.</v>
          </cell>
          <cell r="D586">
            <v>0</v>
          </cell>
        </row>
        <row r="587">
          <cell r="A587">
            <v>6947.0020000000004</v>
          </cell>
          <cell r="B587" t="str">
            <v xml:space="preserve"> 20 O.F TYPE 10/125 + ARMOURED,    D/B</v>
          </cell>
          <cell r="C587" t="str">
            <v>km.</v>
          </cell>
          <cell r="D587">
            <v>0</v>
          </cell>
        </row>
        <row r="588">
          <cell r="A588">
            <v>6947.0024000000003</v>
          </cell>
          <cell r="B588" t="str">
            <v xml:space="preserve"> 24 O.F TYPE 10/125 + ARMOURED,    D/B</v>
          </cell>
          <cell r="C588" t="str">
            <v>km.</v>
          </cell>
          <cell r="D588">
            <v>0</v>
          </cell>
        </row>
        <row r="589">
          <cell r="A589">
            <v>6947.0036</v>
          </cell>
          <cell r="B589" t="str">
            <v xml:space="preserve"> 36 O.F TYPE 10/125 + ARMOURED,    D/B</v>
          </cell>
          <cell r="C589" t="str">
            <v>km.</v>
          </cell>
          <cell r="D589">
            <v>0</v>
          </cell>
        </row>
        <row r="590">
          <cell r="A590">
            <v>6947.0047999999997</v>
          </cell>
          <cell r="B590" t="str">
            <v xml:space="preserve"> 48 O.F TYPE 10/125 + ARMOURED,    D/B</v>
          </cell>
          <cell r="C590" t="str">
            <v>km.</v>
          </cell>
          <cell r="D590">
            <v>0</v>
          </cell>
        </row>
        <row r="591">
          <cell r="A591">
            <v>6947.0060000000003</v>
          </cell>
          <cell r="B591" t="str">
            <v xml:space="preserve"> 60 O.F TYPE 10/125 + ARMOURED,    D/B</v>
          </cell>
          <cell r="C591" t="str">
            <v>km.</v>
          </cell>
          <cell r="D591">
            <v>0</v>
          </cell>
        </row>
        <row r="592">
          <cell r="A592">
            <v>6947.0072</v>
          </cell>
          <cell r="B592" t="str">
            <v xml:space="preserve"> 72 O.F TYPE 10/125 + ARMOURED,    D/B</v>
          </cell>
          <cell r="C592" t="str">
            <v>km.</v>
          </cell>
          <cell r="D592">
            <v>0</v>
          </cell>
        </row>
        <row r="593">
          <cell r="A593">
            <v>6947.0083999999997</v>
          </cell>
          <cell r="B593" t="str">
            <v xml:space="preserve"> 84 O.F TYPE 10/125 + ARMOURED,    D/B</v>
          </cell>
          <cell r="C593" t="str">
            <v>km.</v>
          </cell>
          <cell r="D593">
            <v>0</v>
          </cell>
        </row>
        <row r="594">
          <cell r="A594">
            <v>6947.0096000000003</v>
          </cell>
          <cell r="B594" t="str">
            <v xml:space="preserve"> 96 O.F TYPE 10/125 + ARMOURED,    D/B</v>
          </cell>
          <cell r="C594" t="str">
            <v>km.</v>
          </cell>
          <cell r="D594">
            <v>0</v>
          </cell>
        </row>
        <row r="595">
          <cell r="A595">
            <v>6957.0003999999999</v>
          </cell>
          <cell r="B595" t="str">
            <v xml:space="preserve">   4 OPTICAL FIBRES TYPE 10/125 + AERIAL</v>
          </cell>
          <cell r="C595" t="str">
            <v>km.</v>
          </cell>
          <cell r="D595">
            <v>0</v>
          </cell>
        </row>
        <row r="596">
          <cell r="A596">
            <v>6957.0006000000003</v>
          </cell>
          <cell r="B596" t="str">
            <v xml:space="preserve">   6 OPTICAL FIBRES TYPE 10/125 + AERIAL</v>
          </cell>
          <cell r="C596" t="str">
            <v>km.</v>
          </cell>
          <cell r="D596">
            <v>0</v>
          </cell>
        </row>
        <row r="597">
          <cell r="A597">
            <v>6957.0007999999998</v>
          </cell>
          <cell r="B597" t="str">
            <v xml:space="preserve">   8 OPTICAL FIBRES TYPE 10/125 + AERIAL</v>
          </cell>
          <cell r="C597" t="str">
            <v>km.</v>
          </cell>
          <cell r="D597">
            <v>0</v>
          </cell>
        </row>
        <row r="598">
          <cell r="A598">
            <v>6957.0011999999997</v>
          </cell>
          <cell r="B598" t="str">
            <v xml:space="preserve"> 12 OPTICAL FIBRES TYPE 10/125 + AERIAL</v>
          </cell>
          <cell r="C598" t="str">
            <v>km.</v>
          </cell>
          <cell r="D598">
            <v>0</v>
          </cell>
        </row>
        <row r="599">
          <cell r="A599">
            <v>6957.0015999999996</v>
          </cell>
          <cell r="B599" t="str">
            <v xml:space="preserve"> 16 OPTICAL FIBRES TYPE 10/125 + AERIAL</v>
          </cell>
          <cell r="C599" t="str">
            <v>km.</v>
          </cell>
          <cell r="D599">
            <v>0</v>
          </cell>
        </row>
        <row r="600">
          <cell r="A600">
            <v>6957.0020000000004</v>
          </cell>
          <cell r="B600" t="str">
            <v xml:space="preserve"> 20 OPTICAL FIBRES TYPE 10/125 + AERIAL</v>
          </cell>
          <cell r="C600" t="str">
            <v>km.</v>
          </cell>
          <cell r="D600">
            <v>0</v>
          </cell>
        </row>
        <row r="601">
          <cell r="A601">
            <v>6957.0024000000003</v>
          </cell>
          <cell r="B601" t="str">
            <v xml:space="preserve"> 24 OPTICAL FIBRES TYPE 10/125 + AERIAL</v>
          </cell>
          <cell r="C601" t="str">
            <v>km.</v>
          </cell>
          <cell r="D601">
            <v>0</v>
          </cell>
        </row>
        <row r="602">
          <cell r="A602">
            <v>6977.0003999999999</v>
          </cell>
          <cell r="B602" t="str">
            <v xml:space="preserve">   4 OPTICAL FIBRES TYPE 10/125 + VBR, INDOOR</v>
          </cell>
          <cell r="C602" t="str">
            <v>km.</v>
          </cell>
          <cell r="D602">
            <v>0</v>
          </cell>
        </row>
        <row r="603">
          <cell r="A603">
            <v>6977.0006000000003</v>
          </cell>
          <cell r="B603" t="str">
            <v xml:space="preserve">   6 OPTICAL FIBRES TYPE 10/125 + VBR, INDOOR</v>
          </cell>
          <cell r="C603" t="str">
            <v>km.</v>
          </cell>
          <cell r="D603">
            <v>0</v>
          </cell>
        </row>
        <row r="604">
          <cell r="A604">
            <v>6977.0007999999998</v>
          </cell>
          <cell r="B604" t="str">
            <v xml:space="preserve">   8 OPTICAL FIBRES TYPE 10/125 + VBR, INDOOR</v>
          </cell>
          <cell r="C604" t="str">
            <v>km.</v>
          </cell>
          <cell r="D604">
            <v>0</v>
          </cell>
        </row>
        <row r="605">
          <cell r="A605">
            <v>6977.0011999999997</v>
          </cell>
          <cell r="B605" t="str">
            <v xml:space="preserve"> 12 OPTICAL FIBRES TYPE 10/125 + VBR, INDOOR</v>
          </cell>
          <cell r="C605" t="str">
            <v>km.</v>
          </cell>
          <cell r="D605">
            <v>0</v>
          </cell>
        </row>
        <row r="606">
          <cell r="A606">
            <v>6977.0015999999996</v>
          </cell>
          <cell r="B606" t="str">
            <v xml:space="preserve"> 16 OPTICAL FIBRES TYPE 10/125 + VBR, INDOOR</v>
          </cell>
          <cell r="C606" t="str">
            <v>km.</v>
          </cell>
          <cell r="D606">
            <v>0</v>
          </cell>
        </row>
        <row r="607">
          <cell r="A607">
            <v>6977.0024000000003</v>
          </cell>
          <cell r="B607" t="str">
            <v xml:space="preserve"> 24 OPTICAL FIBRES TYPE 10/125 + VBR, INDOOR</v>
          </cell>
          <cell r="C607" t="str">
            <v>km.</v>
          </cell>
          <cell r="D607">
            <v>0</v>
          </cell>
        </row>
        <row r="608">
          <cell r="A608">
            <v>6977.0029999999997</v>
          </cell>
          <cell r="B608" t="str">
            <v xml:space="preserve"> 30 OPTICAL FIBRES TYPE 10/125 + VBR, INDOOR</v>
          </cell>
          <cell r="C608" t="str">
            <v>km.</v>
          </cell>
          <cell r="D608">
            <v>0</v>
          </cell>
        </row>
        <row r="609">
          <cell r="A609">
            <v>6977.0036</v>
          </cell>
          <cell r="B609" t="str">
            <v xml:space="preserve"> 36 OPTICAL FIBRES TYPE 10/125 + VBR, INDOOR</v>
          </cell>
          <cell r="C609" t="str">
            <v>km.</v>
          </cell>
          <cell r="D609">
            <v>0</v>
          </cell>
        </row>
        <row r="610">
          <cell r="A610">
            <v>6977.0047999999997</v>
          </cell>
          <cell r="B610" t="str">
            <v xml:space="preserve"> 48 OPTICAL FIBRES TYPE 10/125 + VBR, INDOOR</v>
          </cell>
          <cell r="C610" t="str">
            <v>km.</v>
          </cell>
          <cell r="D610">
            <v>0</v>
          </cell>
        </row>
        <row r="611">
          <cell r="A611">
            <v>6987.0003999999999</v>
          </cell>
          <cell r="B611" t="str">
            <v xml:space="preserve">   4 O.F. TYPE 10/125+COMPOSITE H.FREE SHEATH</v>
          </cell>
          <cell r="C611" t="str">
            <v>km.</v>
          </cell>
          <cell r="D611">
            <v>0</v>
          </cell>
        </row>
        <row r="612">
          <cell r="A612">
            <v>6987.0006000000003</v>
          </cell>
          <cell r="B612" t="str">
            <v xml:space="preserve">   6 O.F. TYPE 10/125+COMPOSITE H.FREE SHEATH</v>
          </cell>
          <cell r="C612" t="str">
            <v>km.</v>
          </cell>
          <cell r="D612">
            <v>0</v>
          </cell>
        </row>
        <row r="613">
          <cell r="A613">
            <v>6987.0007999999998</v>
          </cell>
          <cell r="B613" t="str">
            <v xml:space="preserve">   8 O.F. TYPE 10/125+COMPOSITE H.FREE SHEATH</v>
          </cell>
          <cell r="C613" t="str">
            <v>km.</v>
          </cell>
          <cell r="D613">
            <v>0</v>
          </cell>
        </row>
        <row r="614">
          <cell r="A614">
            <v>6987.0011999999997</v>
          </cell>
          <cell r="B614" t="str">
            <v xml:space="preserve"> 12 O.F. TYPE 10/125+COMPOSITE H.FREE SHEATH</v>
          </cell>
          <cell r="C614" t="str">
            <v>km.</v>
          </cell>
          <cell r="D614">
            <v>0</v>
          </cell>
        </row>
        <row r="615">
          <cell r="A615">
            <v>6987.0015999999996</v>
          </cell>
          <cell r="B615" t="str">
            <v xml:space="preserve"> 16 O.F. TYPE 10/125+COMPOSITE H.FREE SHEATH</v>
          </cell>
          <cell r="C615" t="str">
            <v>km.</v>
          </cell>
          <cell r="D615">
            <v>0</v>
          </cell>
        </row>
        <row r="616">
          <cell r="A616">
            <v>6987.0024000000003</v>
          </cell>
          <cell r="B616" t="str">
            <v xml:space="preserve"> 24 O.F. TYPE 10/125+COMPOSITE H.FREE SHEATH</v>
          </cell>
          <cell r="C616" t="str">
            <v>km.</v>
          </cell>
          <cell r="D616">
            <v>0</v>
          </cell>
        </row>
        <row r="617">
          <cell r="A617">
            <v>6987.0029999999997</v>
          </cell>
          <cell r="B617" t="str">
            <v xml:space="preserve"> 30 O.F. TYPE 10/125+COMPOSITE H.FREE SHEATH</v>
          </cell>
          <cell r="C617" t="str">
            <v>km.</v>
          </cell>
          <cell r="D617">
            <v>0</v>
          </cell>
        </row>
        <row r="618">
          <cell r="A618">
            <v>6987.0036</v>
          </cell>
          <cell r="B618" t="str">
            <v xml:space="preserve"> 36 O.F. TYPE 10/125+COMPOSITE H.FREE SHEATH</v>
          </cell>
          <cell r="C618" t="str">
            <v>km.</v>
          </cell>
          <cell r="D618">
            <v>0</v>
          </cell>
        </row>
        <row r="619">
          <cell r="A619">
            <v>6987.0047999999997</v>
          </cell>
          <cell r="B619" t="str">
            <v xml:space="preserve"> 48 O.F. TYPE 10/125+COMPOSITE H.FREE SHEATH</v>
          </cell>
          <cell r="C619" t="str">
            <v>km.</v>
          </cell>
          <cell r="D619">
            <v>0</v>
          </cell>
        </row>
        <row r="620">
          <cell r="A620">
            <v>7001</v>
          </cell>
          <cell r="B620" t="str">
            <v>110 mm  PVC DUCT  6 m LENGTHS</v>
          </cell>
          <cell r="C620" t="str">
            <v>Each</v>
          </cell>
          <cell r="D620">
            <v>38.81</v>
          </cell>
        </row>
        <row r="621">
          <cell r="A621">
            <v>7002</v>
          </cell>
          <cell r="B621" t="str">
            <v>STRAIGHT PVC COUPLING FOR ABOVE</v>
          </cell>
          <cell r="C621" t="str">
            <v>Each</v>
          </cell>
          <cell r="D621">
            <v>0</v>
          </cell>
        </row>
        <row r="622">
          <cell r="A622">
            <v>7003</v>
          </cell>
          <cell r="B622" t="str">
            <v>5 deg.     PVC COUPLING FOR ABOVE</v>
          </cell>
          <cell r="C622" t="str">
            <v>Each</v>
          </cell>
          <cell r="D622">
            <v>0</v>
          </cell>
        </row>
        <row r="623">
          <cell r="A623">
            <v>7004</v>
          </cell>
          <cell r="B623" t="str">
            <v>90 deg.  1000 mm RADIUS PVC BEND</v>
          </cell>
          <cell r="C623" t="str">
            <v>Each</v>
          </cell>
          <cell r="D623">
            <v>0</v>
          </cell>
        </row>
        <row r="624">
          <cell r="A624">
            <v>7005</v>
          </cell>
          <cell r="B624" t="str">
            <v>45 deg.  1000 mm RADIUS PVC BEND</v>
          </cell>
          <cell r="C624" t="str">
            <v>Each</v>
          </cell>
          <cell r="D624">
            <v>0</v>
          </cell>
        </row>
        <row r="625">
          <cell r="A625">
            <v>7006</v>
          </cell>
          <cell r="B625" t="str">
            <v>90 deg.  2000 mm RADIUS PVC BEND</v>
          </cell>
          <cell r="C625" t="str">
            <v>Each</v>
          </cell>
          <cell r="D625">
            <v>0</v>
          </cell>
        </row>
        <row r="626">
          <cell r="A626">
            <v>7007</v>
          </cell>
          <cell r="B626" t="str">
            <v>45 deg.  2000 mm RADIUS PVC BEND</v>
          </cell>
          <cell r="C626" t="str">
            <v>Each</v>
          </cell>
          <cell r="D626">
            <v>0</v>
          </cell>
        </row>
        <row r="627">
          <cell r="A627">
            <v>7008</v>
          </cell>
          <cell r="B627" t="str">
            <v>DUCT PLUG FOR EMPTY STD. DUCT</v>
          </cell>
          <cell r="C627" t="str">
            <v>Each</v>
          </cell>
          <cell r="D627">
            <v>0</v>
          </cell>
        </row>
        <row r="628">
          <cell r="A628">
            <v>7009</v>
          </cell>
          <cell r="B628" t="str">
            <v>DUCT SEALING KIT FOR OCCUPIED DUCT (4 No. Per Box)</v>
          </cell>
          <cell r="C628" t="str">
            <v>Box</v>
          </cell>
          <cell r="D628">
            <v>0</v>
          </cell>
        </row>
        <row r="629">
          <cell r="A629">
            <v>7011</v>
          </cell>
          <cell r="B629" t="str">
            <v>STANDARD PE SUBDUCT</v>
          </cell>
          <cell r="C629" t="str">
            <v>Mtr</v>
          </cell>
          <cell r="D629">
            <v>1.3</v>
          </cell>
        </row>
        <row r="630">
          <cell r="A630">
            <v>7012</v>
          </cell>
          <cell r="B630" t="str">
            <v>50 mm OUTSIDE dia. PE  PIPE</v>
          </cell>
          <cell r="C630" t="str">
            <v>Mtr</v>
          </cell>
          <cell r="D630">
            <v>3.02</v>
          </cell>
        </row>
        <row r="631">
          <cell r="A631">
            <v>7020</v>
          </cell>
          <cell r="B631" t="str">
            <v>SUB-DUCT FITTINGS</v>
          </cell>
          <cell r="C631" t="str">
            <v>Mtr</v>
          </cell>
          <cell r="D631">
            <v>14.66</v>
          </cell>
        </row>
        <row r="632">
          <cell r="A632">
            <v>7021</v>
          </cell>
          <cell r="B632" t="str">
            <v>SUB-DUCT ANCHORS FOR 1 SUB-DUCT(COMP.)</v>
          </cell>
          <cell r="C632" t="str">
            <v>Each</v>
          </cell>
          <cell r="D632">
            <v>51.75</v>
          </cell>
        </row>
        <row r="633">
          <cell r="A633">
            <v>7022</v>
          </cell>
          <cell r="B633" t="str">
            <v>SUB-DUCT ANCHORS FOR 2 SUB-DUCTS(COMP.)</v>
          </cell>
          <cell r="C633" t="str">
            <v>Each</v>
          </cell>
          <cell r="D633">
            <v>51.75</v>
          </cell>
        </row>
        <row r="634">
          <cell r="A634">
            <v>7023</v>
          </cell>
          <cell r="B634" t="str">
            <v>SUB-DUCT ANCHORS FOR 3 SUB-DUCTS(COMP.)</v>
          </cell>
          <cell r="C634" t="str">
            <v>Each</v>
          </cell>
          <cell r="D634">
            <v>51.75</v>
          </cell>
        </row>
        <row r="635">
          <cell r="A635">
            <v>7024</v>
          </cell>
          <cell r="B635" t="str">
            <v>SUB-DUCT ANCHORS FOR 4 SUB-DUCTS(COMP.)</v>
          </cell>
          <cell r="C635" t="str">
            <v>Each</v>
          </cell>
          <cell r="D635">
            <v>51.75</v>
          </cell>
        </row>
        <row r="636">
          <cell r="A636">
            <v>7025</v>
          </cell>
          <cell r="B636" t="str">
            <v>SUB-DUCT ANCHORS 1-4 SUB-DUCTS(FOAM)</v>
          </cell>
          <cell r="C636" t="str">
            <v>Each</v>
          </cell>
          <cell r="D636">
            <v>215.62</v>
          </cell>
        </row>
        <row r="637">
          <cell r="A637">
            <v>7031</v>
          </cell>
          <cell r="B637" t="str">
            <v>100 mm INSIDE DIA. STEEL PIPE</v>
          </cell>
          <cell r="C637" t="str">
            <v>Mtr</v>
          </cell>
          <cell r="D637">
            <v>34.5</v>
          </cell>
        </row>
        <row r="638">
          <cell r="A638">
            <v>7032</v>
          </cell>
          <cell r="B638" t="str">
            <v xml:space="preserve">JOINTING FITTINGS, STEEL /  STEEL PIPE </v>
          </cell>
          <cell r="C638" t="str">
            <v>Each</v>
          </cell>
          <cell r="D638">
            <v>14.66</v>
          </cell>
        </row>
        <row r="639">
          <cell r="A639">
            <v>7033</v>
          </cell>
          <cell r="B639" t="str">
            <v xml:space="preserve">JOINTING FITTINGS, STEEL /  PVC PIPE </v>
          </cell>
          <cell r="C639" t="str">
            <v>Each</v>
          </cell>
          <cell r="D639">
            <v>30.19</v>
          </cell>
        </row>
        <row r="640">
          <cell r="A640">
            <v>7041</v>
          </cell>
          <cell r="B640" t="str">
            <v>100 mm INSIDE DIA. FIBRE EPOXY (FRE) PIPE</v>
          </cell>
          <cell r="C640" t="str">
            <v>Mtr</v>
          </cell>
          <cell r="D640">
            <v>0</v>
          </cell>
        </row>
        <row r="641">
          <cell r="A641">
            <v>7042</v>
          </cell>
          <cell r="B641" t="str">
            <v>JT. FITTINGS OR KIT, FRE. - FRE.PIPE</v>
          </cell>
          <cell r="C641" t="str">
            <v>Each</v>
          </cell>
          <cell r="D641">
            <v>0</v>
          </cell>
        </row>
        <row r="642">
          <cell r="A642">
            <v>7043</v>
          </cell>
          <cell r="B642" t="str">
            <v>JT. FITTINGS OR KIT, FRE. - PVC.PIPE</v>
          </cell>
          <cell r="C642" t="str">
            <v>Each</v>
          </cell>
          <cell r="D642">
            <v>0</v>
          </cell>
        </row>
        <row r="643">
          <cell r="A643">
            <v>7045</v>
          </cell>
          <cell r="B643" t="str">
            <v>50 mm OUTSIDE dia. PE PIPE</v>
          </cell>
          <cell r="C643" t="str">
            <v>Mtr</v>
          </cell>
          <cell r="D643">
            <v>0</v>
          </cell>
        </row>
        <row r="644">
          <cell r="A644">
            <v>7051</v>
          </cell>
          <cell r="B644" t="str">
            <v>STD. CAST IRON M/H ENT. FRAME</v>
          </cell>
          <cell r="C644" t="str">
            <v>Each</v>
          </cell>
          <cell r="D644">
            <v>0</v>
          </cell>
        </row>
        <row r="645">
          <cell r="A645">
            <v>7052</v>
          </cell>
          <cell r="B645" t="str">
            <v>HH COVER FRAME - 2 COVER UNIT</v>
          </cell>
          <cell r="C645" t="str">
            <v>Each</v>
          </cell>
          <cell r="D645">
            <v>0</v>
          </cell>
        </row>
        <row r="646">
          <cell r="A646">
            <v>7053</v>
          </cell>
          <cell r="B646" t="str">
            <v>HH COVER FRAME - 3 COVER UNIT</v>
          </cell>
          <cell r="C646" t="str">
            <v>Each</v>
          </cell>
          <cell r="D646">
            <v>0</v>
          </cell>
        </row>
        <row r="647">
          <cell r="A647">
            <v>7054</v>
          </cell>
          <cell r="B647" t="str">
            <v>HH COVER FRAME - 4 COVER UNIT</v>
          </cell>
          <cell r="C647" t="str">
            <v>Each</v>
          </cell>
          <cell r="D647">
            <v>0</v>
          </cell>
        </row>
        <row r="648">
          <cell r="A648">
            <v>7055</v>
          </cell>
          <cell r="B648" t="str">
            <v>RAISING RING - 200 mm FOR M/H ENT.FRAME</v>
          </cell>
          <cell r="C648" t="str">
            <v>Each</v>
          </cell>
          <cell r="D648">
            <v>0</v>
          </cell>
        </row>
        <row r="649">
          <cell r="A649">
            <v>7056</v>
          </cell>
          <cell r="B649" t="str">
            <v>STD. CAST IRON M/H ENT. COVER</v>
          </cell>
          <cell r="C649" t="str">
            <v>Each</v>
          </cell>
          <cell r="D649">
            <v>0</v>
          </cell>
        </row>
        <row r="650">
          <cell r="A650">
            <v>7057</v>
          </cell>
          <cell r="B650" t="str">
            <v>STD. CAST IRON H/H COVER</v>
          </cell>
          <cell r="C650" t="str">
            <v>Each</v>
          </cell>
          <cell r="D650">
            <v>0</v>
          </cell>
        </row>
        <row r="651">
          <cell r="A651">
            <v>7061</v>
          </cell>
          <cell r="B651" t="str">
            <v>SUMP COVER GRILL</v>
          </cell>
          <cell r="C651" t="str">
            <v>Each</v>
          </cell>
          <cell r="D651">
            <v>0</v>
          </cell>
        </row>
        <row r="652">
          <cell r="A652">
            <v>7062</v>
          </cell>
          <cell r="B652" t="str">
            <v>MANHOLE LADDER</v>
          </cell>
          <cell r="C652" t="str">
            <v>Each</v>
          </cell>
          <cell r="D652">
            <v>0</v>
          </cell>
        </row>
        <row r="653">
          <cell r="A653">
            <v>7071</v>
          </cell>
          <cell r="B653" t="str">
            <v>STD. WALL FIXED CABLE BRACKETS-1000mm</v>
          </cell>
          <cell r="C653" t="str">
            <v>Each</v>
          </cell>
          <cell r="D653">
            <v>0</v>
          </cell>
        </row>
        <row r="654">
          <cell r="A654">
            <v>7072</v>
          </cell>
          <cell r="B654" t="str">
            <v>STD. WALL FIXED CABLE BRACKETS-1500mm</v>
          </cell>
          <cell r="C654" t="str">
            <v>Each</v>
          </cell>
          <cell r="D654">
            <v>0</v>
          </cell>
        </row>
        <row r="655">
          <cell r="A655">
            <v>7073</v>
          </cell>
          <cell r="B655" t="str">
            <v>STD. WALL FIXED CABLE BRACKETS-1800mm</v>
          </cell>
          <cell r="C655" t="str">
            <v>Each</v>
          </cell>
          <cell r="D655">
            <v>0</v>
          </cell>
        </row>
        <row r="656">
          <cell r="A656">
            <v>7074</v>
          </cell>
          <cell r="B656" t="str">
            <v>STD. WALL FIXED CABLE BRACKETS-2300mm</v>
          </cell>
          <cell r="C656" t="str">
            <v>Each</v>
          </cell>
          <cell r="D656">
            <v>0</v>
          </cell>
        </row>
        <row r="657">
          <cell r="A657">
            <v>7076</v>
          </cell>
          <cell r="B657" t="str">
            <v>STD. CABLE BEARER - 250 mm</v>
          </cell>
          <cell r="C657" t="str">
            <v>Each</v>
          </cell>
          <cell r="D657">
            <v>0</v>
          </cell>
        </row>
        <row r="658">
          <cell r="A658">
            <v>7077</v>
          </cell>
          <cell r="B658" t="str">
            <v>STD. CABLE BEARER - 350 mm</v>
          </cell>
          <cell r="C658" t="str">
            <v>Each</v>
          </cell>
          <cell r="D658">
            <v>0</v>
          </cell>
        </row>
        <row r="659">
          <cell r="A659">
            <v>7078</v>
          </cell>
          <cell r="B659" t="str">
            <v>STD. CABLE BEARER - 500 mm</v>
          </cell>
          <cell r="C659" t="str">
            <v>Each</v>
          </cell>
          <cell r="D659">
            <v>0</v>
          </cell>
        </row>
        <row r="660">
          <cell r="A660">
            <v>7080</v>
          </cell>
          <cell r="B660" t="str">
            <v>CABLE TRENCH WARNING TAPE (500 m)</v>
          </cell>
          <cell r="C660" t="str">
            <v>Roll</v>
          </cell>
          <cell r="D660">
            <v>0</v>
          </cell>
        </row>
        <row r="661">
          <cell r="A661">
            <v>7091</v>
          </cell>
          <cell r="B661" t="str">
            <v>MANHOLE TYPE 'A'</v>
          </cell>
          <cell r="C661" t="str">
            <v>Each</v>
          </cell>
          <cell r="D661">
            <v>0</v>
          </cell>
        </row>
        <row r="662">
          <cell r="A662">
            <v>7092</v>
          </cell>
          <cell r="B662" t="str">
            <v>MANHOLE TYPE 'B'</v>
          </cell>
          <cell r="C662" t="str">
            <v>Each</v>
          </cell>
          <cell r="D662">
            <v>0</v>
          </cell>
        </row>
        <row r="663">
          <cell r="A663">
            <v>7093</v>
          </cell>
          <cell r="B663" t="str">
            <v>MANHOLE TYPE 'C'</v>
          </cell>
          <cell r="C663" t="str">
            <v>Each</v>
          </cell>
          <cell r="D663">
            <v>0</v>
          </cell>
        </row>
        <row r="664">
          <cell r="A664">
            <v>7094</v>
          </cell>
          <cell r="B664" t="str">
            <v>MANHOLE TYPE 'D'</v>
          </cell>
          <cell r="C664" t="str">
            <v>Each</v>
          </cell>
          <cell r="D664">
            <v>0</v>
          </cell>
        </row>
        <row r="665">
          <cell r="A665">
            <v>7095</v>
          </cell>
          <cell r="B665" t="str">
            <v>HANDHOLE, 2 COVER</v>
          </cell>
          <cell r="C665" t="str">
            <v>Each</v>
          </cell>
          <cell r="D665">
            <v>0</v>
          </cell>
        </row>
        <row r="666">
          <cell r="A666">
            <v>7096</v>
          </cell>
          <cell r="B666" t="str">
            <v>HANDHOLE, 3 COVER</v>
          </cell>
          <cell r="C666" t="str">
            <v>Each</v>
          </cell>
          <cell r="D666">
            <v>0</v>
          </cell>
        </row>
        <row r="667">
          <cell r="A667">
            <v>7097</v>
          </cell>
          <cell r="B667" t="str">
            <v>HANDHOLE, 4 COVER</v>
          </cell>
          <cell r="C667" t="str">
            <v>Each</v>
          </cell>
          <cell r="D667">
            <v>0</v>
          </cell>
        </row>
        <row r="668">
          <cell r="A668">
            <v>7101</v>
          </cell>
          <cell r="B668" t="str">
            <v>MAIN DISTRIBUTION FRAME (MDF) EXTN.</v>
          </cell>
          <cell r="C668" t="str">
            <v>Sect</v>
          </cell>
          <cell r="D668">
            <v>0</v>
          </cell>
        </row>
        <row r="669">
          <cell r="A669">
            <v>7102</v>
          </cell>
          <cell r="B669" t="str">
            <v>MDF V/S - CABLE TERM. BLOCK - IDC, 100 PR</v>
          </cell>
          <cell r="C669" t="str">
            <v>Each</v>
          </cell>
          <cell r="D669">
            <v>0</v>
          </cell>
        </row>
        <row r="670">
          <cell r="A670">
            <v>7103</v>
          </cell>
          <cell r="B670" t="str">
            <v>OVERVOLTAGE PROT.  MAG. FOR  IDC BL.</v>
          </cell>
          <cell r="C670" t="str">
            <v>Each</v>
          </cell>
          <cell r="D670">
            <v>0</v>
          </cell>
        </row>
        <row r="671">
          <cell r="A671">
            <v>7104</v>
          </cell>
          <cell r="B671" t="str">
            <v>MDF V/S - CABLE TERM. BLOCK - IDC, 200 PR</v>
          </cell>
          <cell r="C671" t="str">
            <v>Each</v>
          </cell>
          <cell r="D671">
            <v>0</v>
          </cell>
        </row>
        <row r="672">
          <cell r="A672">
            <v>7105</v>
          </cell>
          <cell r="B672" t="str">
            <v>OVERVOLTAGE PROT.  MAG. FOR  ABOVE</v>
          </cell>
          <cell r="C672" t="str">
            <v>Each</v>
          </cell>
          <cell r="D672">
            <v>0</v>
          </cell>
        </row>
        <row r="673">
          <cell r="A673">
            <v>7111</v>
          </cell>
          <cell r="B673" t="str">
            <v>INDOOR CABINET - 300 PAIR</v>
          </cell>
          <cell r="C673" t="str">
            <v>Each</v>
          </cell>
          <cell r="D673">
            <v>0</v>
          </cell>
        </row>
        <row r="674">
          <cell r="A674">
            <v>7112</v>
          </cell>
          <cell r="B674" t="str">
            <v>INDOOR CABINET - 900 PAIR</v>
          </cell>
          <cell r="C674" t="str">
            <v>Each</v>
          </cell>
          <cell r="D674">
            <v>0</v>
          </cell>
        </row>
        <row r="675">
          <cell r="A675">
            <v>7113</v>
          </cell>
          <cell r="B675" t="str">
            <v>OUTDOOR - CABINET -   300 PAIR</v>
          </cell>
          <cell r="C675" t="str">
            <v>Each</v>
          </cell>
          <cell r="D675">
            <v>0</v>
          </cell>
        </row>
        <row r="676">
          <cell r="A676">
            <v>7114</v>
          </cell>
          <cell r="B676" t="str">
            <v>OUTDOOR - CABINET -   900 PAIR</v>
          </cell>
          <cell r="C676" t="str">
            <v>Each</v>
          </cell>
          <cell r="D676">
            <v>0</v>
          </cell>
        </row>
        <row r="677">
          <cell r="A677">
            <v>7115</v>
          </cell>
          <cell r="B677" t="str">
            <v>OUTDOOR - CABINET - 1200 PAIR</v>
          </cell>
          <cell r="C677" t="str">
            <v>Each</v>
          </cell>
          <cell r="D677">
            <v>0</v>
          </cell>
        </row>
        <row r="678">
          <cell r="A678">
            <v>7116</v>
          </cell>
          <cell r="B678" t="str">
            <v>OUTDOOR - CABINET - 1800 PAIR</v>
          </cell>
          <cell r="C678" t="str">
            <v>Each</v>
          </cell>
          <cell r="D678">
            <v>0</v>
          </cell>
        </row>
        <row r="679">
          <cell r="A679">
            <v>7117</v>
          </cell>
          <cell r="B679" t="str">
            <v>OUTDOOR - CABINET - 2700 PAIR</v>
          </cell>
          <cell r="C679" t="str">
            <v>Each</v>
          </cell>
          <cell r="D679">
            <v>0</v>
          </cell>
        </row>
        <row r="680">
          <cell r="A680">
            <v>7118</v>
          </cell>
          <cell r="B680" t="str">
            <v>CABINET BASE- 300 PAIRS OUTDOOR</v>
          </cell>
          <cell r="C680" t="str">
            <v>Each</v>
          </cell>
          <cell r="D680">
            <v>0</v>
          </cell>
        </row>
        <row r="681">
          <cell r="A681">
            <v>7119</v>
          </cell>
          <cell r="B681" t="str">
            <v>CABINET BASE- 1200 PAIRS OUTDOOR</v>
          </cell>
          <cell r="C681" t="str">
            <v>Each</v>
          </cell>
          <cell r="D681">
            <v>0</v>
          </cell>
        </row>
        <row r="682">
          <cell r="A682">
            <v>7121</v>
          </cell>
          <cell r="B682" t="str">
            <v xml:space="preserve">OUTDOOR POLE/WALL DP. - 10 PAIR </v>
          </cell>
          <cell r="C682" t="str">
            <v>Each</v>
          </cell>
          <cell r="D682">
            <v>0</v>
          </cell>
        </row>
        <row r="683">
          <cell r="A683">
            <v>7122</v>
          </cell>
          <cell r="B683" t="str">
            <v>PEDESTAL HOUSING (GRD) DP 10/20/30 PR</v>
          </cell>
          <cell r="C683" t="str">
            <v>Each</v>
          </cell>
          <cell r="D683">
            <v>0</v>
          </cell>
        </row>
        <row r="684">
          <cell r="A684">
            <v>7123</v>
          </cell>
          <cell r="B684" t="str">
            <v>INDOOR (WALL) DP. - 30 PAIR</v>
          </cell>
          <cell r="C684" t="str">
            <v>Each</v>
          </cell>
          <cell r="D684">
            <v>0</v>
          </cell>
        </row>
        <row r="685">
          <cell r="A685">
            <v>7124</v>
          </cell>
          <cell r="B685" t="str">
            <v>INDOOR (WALL) DP. - 50 PAIR</v>
          </cell>
          <cell r="C685" t="str">
            <v>Each</v>
          </cell>
          <cell r="D685">
            <v>0</v>
          </cell>
        </row>
        <row r="686">
          <cell r="A686">
            <v>7125</v>
          </cell>
          <cell r="B686" t="str">
            <v>OUTDOOR PGS CABINET BASE</v>
          </cell>
          <cell r="C686" t="str">
            <v>Each</v>
          </cell>
          <cell r="D686">
            <v>0</v>
          </cell>
        </row>
        <row r="687">
          <cell r="A687">
            <v>7126</v>
          </cell>
          <cell r="B687" t="str">
            <v>OUTDOOR FIBRE CABINET BASE</v>
          </cell>
          <cell r="C687" t="str">
            <v>Each</v>
          </cell>
          <cell r="D687">
            <v>0</v>
          </cell>
        </row>
        <row r="688">
          <cell r="A688">
            <v>7127</v>
          </cell>
          <cell r="B688" t="str">
            <v>OUTDOOR PGS CABINET</v>
          </cell>
          <cell r="C688" t="str">
            <v>Each</v>
          </cell>
          <cell r="D688">
            <v>0</v>
          </cell>
        </row>
        <row r="689">
          <cell r="A689">
            <v>7128</v>
          </cell>
          <cell r="B689" t="str">
            <v>OUTDOOR FIBRE CABINET</v>
          </cell>
          <cell r="C689" t="str">
            <v>Each</v>
          </cell>
          <cell r="D689">
            <v>0</v>
          </cell>
        </row>
        <row r="690">
          <cell r="A690">
            <v>7131</v>
          </cell>
          <cell r="B690" t="str">
            <v>CABINET TERM. BLOCK  100 PAIR</v>
          </cell>
          <cell r="C690" t="str">
            <v>Each</v>
          </cell>
          <cell r="D690">
            <v>0</v>
          </cell>
        </row>
        <row r="691">
          <cell r="A691">
            <v>7132</v>
          </cell>
          <cell r="B691" t="str">
            <v>CABINET TERM. BL.  &amp; STUB CABLE 100 PR</v>
          </cell>
          <cell r="C691" t="str">
            <v>Each</v>
          </cell>
          <cell r="D691">
            <v>0</v>
          </cell>
        </row>
        <row r="692">
          <cell r="A692">
            <v>7133</v>
          </cell>
          <cell r="B692" t="str">
            <v>OVERVOLT.PROT.10 MAGAZ.CAB.T.BLOCKS</v>
          </cell>
          <cell r="C692" t="str">
            <v>Each</v>
          </cell>
          <cell r="D692">
            <v>0</v>
          </cell>
        </row>
        <row r="693">
          <cell r="A693">
            <v>7141</v>
          </cell>
          <cell r="B693" t="str">
            <v>POLE/WALL/DP. TERM.BL. 10 PR.</v>
          </cell>
          <cell r="C693" t="str">
            <v>Each</v>
          </cell>
          <cell r="D693">
            <v>0</v>
          </cell>
        </row>
        <row r="694">
          <cell r="A694">
            <v>7142</v>
          </cell>
          <cell r="B694" t="str">
            <v>INDOOR DP. TERM. BL. 10 PAIR</v>
          </cell>
          <cell r="C694" t="str">
            <v>Each</v>
          </cell>
          <cell r="D694">
            <v>0</v>
          </cell>
        </row>
        <row r="695">
          <cell r="A695">
            <v>7143</v>
          </cell>
          <cell r="B695" t="str">
            <v>PEDESTAL DP TER.BLOCK 10 PR</v>
          </cell>
          <cell r="C695" t="str">
            <v>Each</v>
          </cell>
          <cell r="D695">
            <v>0</v>
          </cell>
        </row>
        <row r="696">
          <cell r="A696">
            <v>7144</v>
          </cell>
          <cell r="B696" t="str">
            <v>OVERVOLTAGE PROT. FOR DP's POLE/WALL</v>
          </cell>
          <cell r="C696">
            <v>100</v>
          </cell>
          <cell r="D696">
            <v>0</v>
          </cell>
        </row>
        <row r="697">
          <cell r="A697">
            <v>7145</v>
          </cell>
          <cell r="B697" t="str">
            <v>OVERVOLT.PROTECT.FOR PEDEST. DP BL</v>
          </cell>
          <cell r="C697" t="str">
            <v>Each</v>
          </cell>
          <cell r="D697">
            <v>0</v>
          </cell>
        </row>
        <row r="698">
          <cell r="A698">
            <v>7151</v>
          </cell>
          <cell r="B698" t="str">
            <v>JOINT ENCLOSURE FOR CABINET</v>
          </cell>
          <cell r="C698" t="str">
            <v>Each</v>
          </cell>
          <cell r="D698">
            <v>0</v>
          </cell>
        </row>
        <row r="699">
          <cell r="A699">
            <v>7152</v>
          </cell>
          <cell r="B699" t="str">
            <v>JT. ENCL. FOR PEDESTAL DP CABLE GR.1</v>
          </cell>
          <cell r="C699" t="str">
            <v>Each</v>
          </cell>
          <cell r="D699">
            <v>0</v>
          </cell>
        </row>
        <row r="700">
          <cell r="A700">
            <v>7153</v>
          </cell>
          <cell r="B700" t="str">
            <v>JT. ENCL. FOR PEDESTAL DP CABLE GR.2&amp;3</v>
          </cell>
          <cell r="C700" t="str">
            <v>Each</v>
          </cell>
          <cell r="D700">
            <v>0</v>
          </cell>
        </row>
        <row r="701">
          <cell r="A701">
            <v>7161</v>
          </cell>
          <cell r="B701" t="str">
            <v>SUBSCRIBERS TERMINAL BOX, 2PR.</v>
          </cell>
          <cell r="C701" t="str">
            <v>Each</v>
          </cell>
          <cell r="D701">
            <v>0</v>
          </cell>
        </row>
        <row r="702">
          <cell r="A702">
            <v>7162</v>
          </cell>
          <cell r="B702" t="str">
            <v>SUBSCRIBERS TERMINAL BLOCK 10 PR.</v>
          </cell>
          <cell r="C702" t="str">
            <v>Each</v>
          </cell>
          <cell r="D702">
            <v>0</v>
          </cell>
        </row>
        <row r="703">
          <cell r="A703">
            <v>7163</v>
          </cell>
          <cell r="B703" t="str">
            <v>OVERVOLT.PROTECTOR FOR 2 PR STB</v>
          </cell>
          <cell r="C703" t="str">
            <v>Each</v>
          </cell>
          <cell r="D703">
            <v>0</v>
          </cell>
        </row>
        <row r="704">
          <cell r="A704">
            <v>7201</v>
          </cell>
          <cell r="B704" t="str">
            <v>PAY TELEPHONE BOOTH - OUTDOOR</v>
          </cell>
          <cell r="C704" t="str">
            <v>Each</v>
          </cell>
          <cell r="D704">
            <v>0</v>
          </cell>
        </row>
        <row r="705">
          <cell r="A705">
            <v>7202</v>
          </cell>
          <cell r="B705" t="str">
            <v>PAY TELEPHONE BOOTH -  INDOOR</v>
          </cell>
          <cell r="C705" t="str">
            <v>Each</v>
          </cell>
          <cell r="D705">
            <v>0</v>
          </cell>
        </row>
        <row r="706">
          <cell r="A706">
            <v>7211</v>
          </cell>
          <cell r="B706" t="str">
            <v>PAY TELEPHONE  SET</v>
          </cell>
          <cell r="C706" t="str">
            <v>Each</v>
          </cell>
          <cell r="D706">
            <v>0</v>
          </cell>
        </row>
        <row r="707">
          <cell r="A707">
            <v>7212</v>
          </cell>
          <cell r="B707" t="str">
            <v>SPARE COIN BOXES FOR PU 7211</v>
          </cell>
          <cell r="C707" t="str">
            <v>Each</v>
          </cell>
          <cell r="D707">
            <v>0</v>
          </cell>
        </row>
        <row r="708">
          <cell r="A708">
            <v>7301</v>
          </cell>
          <cell r="B708" t="str">
            <v>PRESSURE AUTO MONI.SYST. (PAMS) 10 CCT.</v>
          </cell>
          <cell r="C708" t="str">
            <v>Each</v>
          </cell>
          <cell r="D708">
            <v>0</v>
          </cell>
        </row>
        <row r="709">
          <cell r="A709">
            <v>7302</v>
          </cell>
          <cell r="B709" t="str">
            <v>PAMS EXTENSION 10 CCT.</v>
          </cell>
          <cell r="C709" t="str">
            <v>Each</v>
          </cell>
          <cell r="D709">
            <v>0</v>
          </cell>
        </row>
        <row r="710">
          <cell r="A710">
            <v>7311</v>
          </cell>
          <cell r="B710" t="str">
            <v>PRESSURE DISTRIBUTION PANEL RACK, 10 CCT.</v>
          </cell>
          <cell r="C710" t="str">
            <v>Each</v>
          </cell>
          <cell r="D710">
            <v>0</v>
          </cell>
        </row>
        <row r="711">
          <cell r="A711">
            <v>7312</v>
          </cell>
          <cell r="B711" t="str">
            <v>PRESSURE DISTRIBUTION PANEL EXTN. 10 CCT.</v>
          </cell>
          <cell r="C711" t="str">
            <v>Each</v>
          </cell>
          <cell r="D711">
            <v>0</v>
          </cell>
        </row>
        <row r="712">
          <cell r="A712">
            <v>7321</v>
          </cell>
          <cell r="B712" t="str">
            <v>AIR COMPRESS./DRIER  3700 g/hr</v>
          </cell>
          <cell r="C712" t="str">
            <v>Each</v>
          </cell>
          <cell r="D712">
            <v>0</v>
          </cell>
        </row>
        <row r="713">
          <cell r="A713">
            <v>7322</v>
          </cell>
          <cell r="B713" t="str">
            <v>AIR COMPRESS./DRIER  17600 g/hr</v>
          </cell>
          <cell r="C713" t="str">
            <v>Each</v>
          </cell>
          <cell r="D713">
            <v>0</v>
          </cell>
        </row>
        <row r="714">
          <cell r="A714">
            <v>7331</v>
          </cell>
          <cell r="B714" t="str">
            <v>ALUMINIUM LINED AIR FEED PIPE</v>
          </cell>
          <cell r="C714" t="str">
            <v>Mtr</v>
          </cell>
          <cell r="D714">
            <v>0</v>
          </cell>
        </row>
        <row r="715">
          <cell r="A715">
            <v>7341</v>
          </cell>
          <cell r="B715" t="str">
            <v>AIR PIPE PRESSURE DISTR. PANEL</v>
          </cell>
          <cell r="C715" t="str">
            <v>Each</v>
          </cell>
          <cell r="D715">
            <v>0</v>
          </cell>
        </row>
        <row r="716">
          <cell r="A716">
            <v>7342</v>
          </cell>
          <cell r="B716" t="str">
            <v>AIR PRESSURE TRANSDUCER</v>
          </cell>
          <cell r="C716" t="str">
            <v>Each</v>
          </cell>
          <cell r="D716">
            <v>0</v>
          </cell>
        </row>
        <row r="717">
          <cell r="A717">
            <v>7343</v>
          </cell>
          <cell r="B717" t="str">
            <v>AIR PRESSURE TRANSD. MOUNT.BRKT.</v>
          </cell>
          <cell r="C717" t="str">
            <v>Each</v>
          </cell>
          <cell r="D717">
            <v>0</v>
          </cell>
        </row>
        <row r="718">
          <cell r="A718">
            <v>7344</v>
          </cell>
          <cell r="B718" t="str">
            <v>AIR PRESSURE CONTACTOR</v>
          </cell>
          <cell r="C718" t="str">
            <v>Each</v>
          </cell>
          <cell r="D718">
            <v>0</v>
          </cell>
        </row>
        <row r="719">
          <cell r="A719">
            <v>7345</v>
          </cell>
          <cell r="B719" t="str">
            <v>AIR FLOR TRANSDUCER, TYPE I</v>
          </cell>
          <cell r="C719" t="str">
            <v>Each</v>
          </cell>
          <cell r="D719">
            <v>0</v>
          </cell>
        </row>
        <row r="720">
          <cell r="A720">
            <v>7346</v>
          </cell>
          <cell r="B720" t="str">
            <v>AIR FLOW TRANSDUCER, TYPE II</v>
          </cell>
          <cell r="C720" t="str">
            <v>Each</v>
          </cell>
          <cell r="D720">
            <v>0</v>
          </cell>
        </row>
        <row r="721">
          <cell r="A721">
            <v>7347</v>
          </cell>
          <cell r="B721" t="str">
            <v>PRESSURE TEST VALVE (WALL MOUNT.)</v>
          </cell>
          <cell r="C721" t="str">
            <v>Each</v>
          </cell>
          <cell r="D721">
            <v>0</v>
          </cell>
        </row>
        <row r="722">
          <cell r="A722">
            <v>7401</v>
          </cell>
          <cell r="B722" t="str">
            <v>EARTH SYST. ROD &amp; ACCESRS. 1m</v>
          </cell>
          <cell r="C722" t="str">
            <v>Set</v>
          </cell>
          <cell r="D722">
            <v>0</v>
          </cell>
        </row>
        <row r="723">
          <cell r="A723">
            <v>7402</v>
          </cell>
          <cell r="B723" t="str">
            <v>EARTH SYST. ROD &amp; ACCESRS. 2m</v>
          </cell>
          <cell r="C723" t="str">
            <v>Set</v>
          </cell>
          <cell r="D723">
            <v>0</v>
          </cell>
        </row>
        <row r="724">
          <cell r="A724">
            <v>7403</v>
          </cell>
          <cell r="B724" t="str">
            <v>CABLE FOR OD. EARTH SYST. 100 m COIL</v>
          </cell>
          <cell r="C724" t="str">
            <v>Coil</v>
          </cell>
          <cell r="D724">
            <v>0</v>
          </cell>
        </row>
        <row r="725">
          <cell r="A725">
            <v>7501</v>
          </cell>
          <cell r="B725" t="str">
            <v>WOODEN POLES - 8 m</v>
          </cell>
          <cell r="C725" t="str">
            <v>Each</v>
          </cell>
          <cell r="D725">
            <v>0</v>
          </cell>
        </row>
        <row r="726">
          <cell r="A726">
            <v>7502</v>
          </cell>
          <cell r="B726" t="str">
            <v>WOODEN POLES - 9 m</v>
          </cell>
          <cell r="C726" t="str">
            <v>Each</v>
          </cell>
          <cell r="D726">
            <v>0</v>
          </cell>
        </row>
        <row r="727">
          <cell r="A727">
            <v>7503</v>
          </cell>
          <cell r="B727" t="str">
            <v>WOODEN POLES - 10 m</v>
          </cell>
          <cell r="C727" t="str">
            <v>Each</v>
          </cell>
          <cell r="D727">
            <v>0</v>
          </cell>
        </row>
        <row r="728">
          <cell r="A728">
            <v>7511</v>
          </cell>
          <cell r="B728" t="str">
            <v>STEEL POLES - 8 m</v>
          </cell>
          <cell r="C728" t="str">
            <v>Each</v>
          </cell>
          <cell r="D728">
            <v>0</v>
          </cell>
        </row>
        <row r="729">
          <cell r="A729">
            <v>7512</v>
          </cell>
          <cell r="B729" t="str">
            <v>STEEL POLES - 9 m</v>
          </cell>
          <cell r="C729" t="str">
            <v>Each</v>
          </cell>
          <cell r="D729">
            <v>0</v>
          </cell>
        </row>
        <row r="730">
          <cell r="A730">
            <v>7513</v>
          </cell>
          <cell r="B730" t="str">
            <v>STEEL POLES - 10 m</v>
          </cell>
          <cell r="C730" t="str">
            <v>Each</v>
          </cell>
          <cell r="D730">
            <v>0</v>
          </cell>
        </row>
        <row r="731">
          <cell r="A731">
            <v>7701</v>
          </cell>
          <cell r="B731" t="str">
            <v>DEDICATED RACK FOR TER. O.F. CABLE</v>
          </cell>
          <cell r="C731" t="str">
            <v>Each</v>
          </cell>
          <cell r="D731">
            <v>0</v>
          </cell>
        </row>
        <row r="732">
          <cell r="A732">
            <v>7721</v>
          </cell>
          <cell r="B732" t="str">
            <v>JT.CLOSURE 4 CABLES 28 mm OD. 30 FIBRES</v>
          </cell>
          <cell r="C732" t="str">
            <v>Each</v>
          </cell>
          <cell r="D732">
            <v>0</v>
          </cell>
        </row>
        <row r="733">
          <cell r="A733">
            <v>7722</v>
          </cell>
          <cell r="B733" t="str">
            <v>JT.CLOSURE 6 CABLES 28 mm OD. 48 FIBRES</v>
          </cell>
          <cell r="C733" t="str">
            <v>Each</v>
          </cell>
          <cell r="D733">
            <v>0</v>
          </cell>
        </row>
        <row r="734">
          <cell r="A734">
            <v>7802</v>
          </cell>
          <cell r="B734" t="str">
            <v>JOINTING CL. KIT  FOR AIRSPACED C. GR.1&amp;2</v>
          </cell>
          <cell r="C734" t="str">
            <v>Each</v>
          </cell>
          <cell r="D734">
            <v>0</v>
          </cell>
        </row>
        <row r="735">
          <cell r="A735">
            <v>7803</v>
          </cell>
          <cell r="B735" t="str">
            <v>JOINTING CL. KIT  FOR AIRSPACED C. GR. 3</v>
          </cell>
          <cell r="C735" t="str">
            <v>Each</v>
          </cell>
          <cell r="D735">
            <v>0</v>
          </cell>
        </row>
        <row r="736">
          <cell r="A736">
            <v>7804</v>
          </cell>
          <cell r="B736" t="str">
            <v>JOINTING CL. KIT  FOR AIRSPACED C. GR. 4</v>
          </cell>
          <cell r="C736" t="str">
            <v>Each</v>
          </cell>
          <cell r="D736">
            <v>0</v>
          </cell>
        </row>
        <row r="737">
          <cell r="A737">
            <v>7805</v>
          </cell>
          <cell r="B737" t="str">
            <v>JOINTING CL. KIT  FOR AIRSPACED C. GR. 5</v>
          </cell>
          <cell r="C737" t="str">
            <v>Each</v>
          </cell>
          <cell r="D737">
            <v>0</v>
          </cell>
        </row>
        <row r="738">
          <cell r="A738">
            <v>7806</v>
          </cell>
          <cell r="B738" t="str">
            <v>JOINTING CL. KIT  FOR AIRSPACED C. GR. 6</v>
          </cell>
          <cell r="C738" t="str">
            <v>Each</v>
          </cell>
          <cell r="D738">
            <v>0</v>
          </cell>
        </row>
        <row r="739">
          <cell r="A739">
            <v>7811</v>
          </cell>
          <cell r="B739" t="str">
            <v>JOINTING CL. KIT FOR JELLYFILLED C. GR. 1</v>
          </cell>
          <cell r="C739" t="str">
            <v>Each</v>
          </cell>
          <cell r="D739">
            <v>0</v>
          </cell>
        </row>
        <row r="740">
          <cell r="A740">
            <v>7812</v>
          </cell>
          <cell r="B740" t="str">
            <v>JOINTING CL. KIT FOR JELLYFILLED C. GR.2</v>
          </cell>
          <cell r="C740" t="str">
            <v>Each</v>
          </cell>
          <cell r="D740">
            <v>0</v>
          </cell>
        </row>
        <row r="741">
          <cell r="A741">
            <v>7813</v>
          </cell>
          <cell r="B741" t="str">
            <v>JOINTING CL. KIT FOR JELLYFILLED C. GR.3</v>
          </cell>
          <cell r="C741" t="str">
            <v>Each</v>
          </cell>
          <cell r="D741">
            <v>0</v>
          </cell>
        </row>
        <row r="742">
          <cell r="A742">
            <v>7814</v>
          </cell>
          <cell r="B742" t="str">
            <v>JOINTING CL. KIT FOR JELLYFILLED C. GR.4</v>
          </cell>
          <cell r="C742" t="str">
            <v>Each</v>
          </cell>
          <cell r="D742">
            <v>0</v>
          </cell>
        </row>
        <row r="743">
          <cell r="A743">
            <v>7815</v>
          </cell>
          <cell r="B743" t="str">
            <v>JOINTING CL. KIT FOR JELLYFILLED C. GR.5</v>
          </cell>
          <cell r="C743" t="str">
            <v>Each</v>
          </cell>
          <cell r="D743">
            <v>0</v>
          </cell>
        </row>
        <row r="744">
          <cell r="A744">
            <v>7816</v>
          </cell>
          <cell r="B744" t="str">
            <v>JOINTING CL. KIT FOR JELLYFILLED C. GR.6</v>
          </cell>
          <cell r="C744" t="str">
            <v>Each</v>
          </cell>
          <cell r="D744">
            <v>0</v>
          </cell>
        </row>
        <row r="745">
          <cell r="A745">
            <v>7822</v>
          </cell>
          <cell r="B745" t="str">
            <v>JOINT. CL. KIT  FOR A.S.ARMOURED CABLE. GR.1&amp;2</v>
          </cell>
          <cell r="C745" t="str">
            <v>Each</v>
          </cell>
          <cell r="D745">
            <v>0</v>
          </cell>
        </row>
        <row r="746">
          <cell r="A746">
            <v>7823</v>
          </cell>
          <cell r="B746" t="str">
            <v>JOINT. CL. KIT  FOR A.S.ARMOURED CABLE. GR.3</v>
          </cell>
          <cell r="C746" t="str">
            <v>Each</v>
          </cell>
          <cell r="D746">
            <v>0</v>
          </cell>
        </row>
        <row r="747">
          <cell r="A747">
            <v>7824</v>
          </cell>
          <cell r="B747" t="str">
            <v>JOINT. CL. KIT  FOR A.S.ARMOURED CABLE. GR.4</v>
          </cell>
          <cell r="C747" t="str">
            <v>Each</v>
          </cell>
          <cell r="D747">
            <v>0</v>
          </cell>
        </row>
        <row r="748">
          <cell r="A748">
            <v>7825</v>
          </cell>
          <cell r="B748" t="str">
            <v>JOINT. CL. KIT  FOR A.S.ARMOURED CABLE. GR.5</v>
          </cell>
          <cell r="C748" t="str">
            <v>Each</v>
          </cell>
          <cell r="D748">
            <v>0</v>
          </cell>
        </row>
        <row r="749">
          <cell r="A749">
            <v>7826</v>
          </cell>
          <cell r="B749" t="str">
            <v>JOINT. CL. KIT  FOR A.S.ARMOURED CABLE. GR.6</v>
          </cell>
          <cell r="C749" t="str">
            <v>Each</v>
          </cell>
          <cell r="D749">
            <v>0</v>
          </cell>
        </row>
        <row r="750">
          <cell r="A750">
            <v>7831</v>
          </cell>
          <cell r="B750" t="str">
            <v>JOINT. CL. KIT  FOR J.F.ARMOURED CABLE. GR.1</v>
          </cell>
          <cell r="C750" t="str">
            <v>Each</v>
          </cell>
          <cell r="D750">
            <v>0</v>
          </cell>
        </row>
        <row r="751">
          <cell r="A751">
            <v>7832</v>
          </cell>
          <cell r="B751" t="str">
            <v>JOINT. CL. KIT  FOR J.F.ARMOURED CABLE. GR.2</v>
          </cell>
          <cell r="C751" t="str">
            <v>Each</v>
          </cell>
          <cell r="D751">
            <v>0</v>
          </cell>
        </row>
        <row r="752">
          <cell r="A752">
            <v>7833</v>
          </cell>
          <cell r="B752" t="str">
            <v>JOINT. CL. KIT  FOR J.F.ARMOURED CABLE. GR.3</v>
          </cell>
          <cell r="C752" t="str">
            <v>Each</v>
          </cell>
          <cell r="D752">
            <v>0</v>
          </cell>
        </row>
        <row r="753">
          <cell r="A753">
            <v>7834</v>
          </cell>
          <cell r="B753" t="str">
            <v>JOINT. CL. KIT  FOR J.F.ARMOURED CABLE. GR.4</v>
          </cell>
          <cell r="C753" t="str">
            <v>Each</v>
          </cell>
          <cell r="D753">
            <v>0</v>
          </cell>
        </row>
        <row r="754">
          <cell r="A754">
            <v>7835</v>
          </cell>
          <cell r="B754" t="str">
            <v>JOINT. CL. KIT  FOR J.F.ARMOURED CABLE. GR.5</v>
          </cell>
          <cell r="C754" t="str">
            <v>Each</v>
          </cell>
          <cell r="D754">
            <v>0</v>
          </cell>
        </row>
        <row r="755">
          <cell r="A755">
            <v>7836</v>
          </cell>
          <cell r="B755" t="str">
            <v>JOINT. CL. KIT  FOR J.F.ARMOURED CABLE. GR.6</v>
          </cell>
          <cell r="C755" t="str">
            <v>Each</v>
          </cell>
          <cell r="D755">
            <v>0</v>
          </cell>
        </row>
        <row r="756">
          <cell r="A756">
            <v>7837</v>
          </cell>
          <cell r="B756" t="str">
            <v>JOINTING CLOSURE KIT FOR BSW</v>
          </cell>
          <cell r="C756" t="str">
            <v>Each</v>
          </cell>
          <cell r="D756">
            <v>0</v>
          </cell>
        </row>
        <row r="757">
          <cell r="A757">
            <v>7841</v>
          </cell>
          <cell r="B757" t="str">
            <v>JOINTING CL. KIT FOR AERIAL CABLE. GR.1</v>
          </cell>
          <cell r="C757" t="str">
            <v>Each</v>
          </cell>
          <cell r="D757">
            <v>0</v>
          </cell>
        </row>
        <row r="758">
          <cell r="A758">
            <v>7842</v>
          </cell>
          <cell r="B758" t="str">
            <v>JOINTING CL. KIT FOR AERIAL CABLE. GR.2</v>
          </cell>
          <cell r="C758" t="str">
            <v>Each</v>
          </cell>
          <cell r="D758">
            <v>0</v>
          </cell>
        </row>
        <row r="759">
          <cell r="A759">
            <v>7843</v>
          </cell>
          <cell r="B759" t="str">
            <v>JOINTING CL. KIT FOR AERIAL CABLE. GR.3</v>
          </cell>
          <cell r="C759" t="str">
            <v>Each</v>
          </cell>
          <cell r="D759">
            <v>0</v>
          </cell>
        </row>
        <row r="760">
          <cell r="A760">
            <v>7861</v>
          </cell>
          <cell r="B760" t="str">
            <v>SUPPLY OF SLEEVE FOR STRAND GRP.1</v>
          </cell>
          <cell r="C760" t="str">
            <v>Each</v>
          </cell>
          <cell r="D760">
            <v>0</v>
          </cell>
        </row>
        <row r="761">
          <cell r="A761">
            <v>7862</v>
          </cell>
          <cell r="B761" t="str">
            <v>SUPPLY OF SLEEVE FOR STRAND GRP.2</v>
          </cell>
          <cell r="C761" t="str">
            <v>Each</v>
          </cell>
          <cell r="D761">
            <v>0</v>
          </cell>
        </row>
        <row r="762">
          <cell r="A762">
            <v>7863</v>
          </cell>
          <cell r="B762" t="str">
            <v>SUPPLY OF SLEEVE FOR STRAND GRP.3</v>
          </cell>
          <cell r="C762" t="str">
            <v>Each</v>
          </cell>
          <cell r="D762">
            <v>0</v>
          </cell>
        </row>
        <row r="763">
          <cell r="A763">
            <v>7891</v>
          </cell>
          <cell r="B763" t="str">
            <v>SUPPLY OF BUTT CONNECTOR IDC - 0.4, 0.5, 0.65 mm</v>
          </cell>
          <cell r="C763" t="str">
            <v>Each</v>
          </cell>
          <cell r="D763">
            <v>0</v>
          </cell>
        </row>
        <row r="764">
          <cell r="A764">
            <v>7892</v>
          </cell>
          <cell r="B764" t="str">
            <v>SUPPLY OF BUTT CONNECTOR IDC - 0.9 mm</v>
          </cell>
          <cell r="C764" t="str">
            <v>Each</v>
          </cell>
          <cell r="D764">
            <v>0</v>
          </cell>
        </row>
        <row r="765">
          <cell r="A765">
            <v>7893</v>
          </cell>
          <cell r="B765" t="str">
            <v>SUPPLY OF B-WIRE CONNECT. ID TYPE 0.4, 0.5, 0.65 mm</v>
          </cell>
          <cell r="C765" t="str">
            <v>Each</v>
          </cell>
          <cell r="D765">
            <v>0</v>
          </cell>
        </row>
        <row r="766">
          <cell r="A766">
            <v>7894</v>
          </cell>
          <cell r="B766" t="str">
            <v>SUPPLY OF B-WIRE CONNECT. ID TYPE 0.9 mm</v>
          </cell>
          <cell r="C766" t="str">
            <v>Each</v>
          </cell>
          <cell r="D766">
            <v>0</v>
          </cell>
        </row>
        <row r="767">
          <cell r="A767">
            <v>7895</v>
          </cell>
          <cell r="B767" t="str">
            <v>SUPPLY OF MOD. CONNECTOR 10 p - 0.4, 0.5, 0.65 mm</v>
          </cell>
          <cell r="C767" t="str">
            <v>Each</v>
          </cell>
          <cell r="D767">
            <v>0</v>
          </cell>
        </row>
        <row r="768">
          <cell r="A768">
            <v>7896</v>
          </cell>
          <cell r="B768" t="str">
            <v>SUPPLY OF MOD. CONNECTOR 10 pairs - 0.9 mm</v>
          </cell>
          <cell r="C768" t="str">
            <v>Each</v>
          </cell>
          <cell r="D768">
            <v>0</v>
          </cell>
        </row>
        <row r="769">
          <cell r="A769">
            <v>8001</v>
          </cell>
          <cell r="B769" t="str">
            <v>SUPPLY OF PRE-MIXED CONCRETE GRADE 30</v>
          </cell>
          <cell r="C769" t="str">
            <v>Cu-m</v>
          </cell>
          <cell r="D769">
            <v>0</v>
          </cell>
        </row>
        <row r="770">
          <cell r="A770">
            <v>8002</v>
          </cell>
          <cell r="B770" t="str">
            <v>SUPPLY OF PRE-MIXED CONCRETE GRADE 25</v>
          </cell>
          <cell r="C770" t="str">
            <v>Cu-m</v>
          </cell>
          <cell r="D770">
            <v>0</v>
          </cell>
        </row>
        <row r="771">
          <cell r="A771">
            <v>8003</v>
          </cell>
          <cell r="B771" t="str">
            <v>SUPPLY OF PRE-MIXED CONCRETE GRADE 10</v>
          </cell>
          <cell r="C771" t="str">
            <v>Cu-m</v>
          </cell>
          <cell r="D771">
            <v>0</v>
          </cell>
        </row>
        <row r="772">
          <cell r="A772">
            <v>8004</v>
          </cell>
          <cell r="B772" t="str">
            <v>SUPPLY OF PRE-MIXED CONCRETE GRADE F</v>
          </cell>
          <cell r="C772" t="str">
            <v>Cu-m</v>
          </cell>
          <cell r="D772">
            <v>0</v>
          </cell>
        </row>
        <row r="773">
          <cell r="A773">
            <v>8011</v>
          </cell>
          <cell r="B773" t="str">
            <v>SUPPLY OF DEFORMED STEEL FOR REINFORCE.</v>
          </cell>
          <cell r="C773" t="str">
            <v>Ton</v>
          </cell>
          <cell r="D773">
            <v>0</v>
          </cell>
        </row>
        <row r="774">
          <cell r="A774">
            <v>8012</v>
          </cell>
          <cell r="B774" t="str">
            <v>SUPPLY OF FORMWORK-SHUTTERING FOR CONCRETE</v>
          </cell>
          <cell r="C774" t="str">
            <v>Sq-m</v>
          </cell>
          <cell r="D774">
            <v>0</v>
          </cell>
        </row>
        <row r="775">
          <cell r="A775">
            <v>8021</v>
          </cell>
          <cell r="B775" t="str">
            <v>SUPPLY OF TRENCH BACKFILL MATERIAL - GEN.</v>
          </cell>
          <cell r="C775" t="str">
            <v>Cu-m</v>
          </cell>
          <cell r="D775">
            <v>0</v>
          </cell>
        </row>
        <row r="776">
          <cell r="A776">
            <v>8022</v>
          </cell>
          <cell r="B776" t="str">
            <v>SUPPLY OF TRENCH BRACKFILL - HIGHWAY SUBBASE</v>
          </cell>
          <cell r="C776" t="str">
            <v>Cu-m</v>
          </cell>
          <cell r="D776">
            <v>0</v>
          </cell>
        </row>
        <row r="777">
          <cell r="A777">
            <v>8023</v>
          </cell>
          <cell r="B777" t="str">
            <v>SUPPLY OF TRENCH BACKFILL - SAND</v>
          </cell>
          <cell r="C777" t="str">
            <v>Cu-m</v>
          </cell>
          <cell r="D777">
            <v>0</v>
          </cell>
        </row>
        <row r="778">
          <cell r="A778">
            <v>8031</v>
          </cell>
          <cell r="B778" t="str">
            <v>SUPPLY OF WASHED SAND</v>
          </cell>
          <cell r="C778" t="str">
            <v>Cu-m</v>
          </cell>
          <cell r="D778">
            <v>0</v>
          </cell>
        </row>
        <row r="779">
          <cell r="A779">
            <v>8032</v>
          </cell>
          <cell r="B779" t="str">
            <v>SUPPLY OF GRAVEL</v>
          </cell>
          <cell r="C779" t="str">
            <v>Cu-m</v>
          </cell>
          <cell r="D779">
            <v>0</v>
          </cell>
        </row>
        <row r="780">
          <cell r="A780">
            <v>8033</v>
          </cell>
          <cell r="B780" t="str">
            <v>SUPPLY OF CRUSHED STONE</v>
          </cell>
          <cell r="C780" t="str">
            <v>Cu-m</v>
          </cell>
          <cell r="D780">
            <v>0</v>
          </cell>
        </row>
        <row r="781">
          <cell r="A781">
            <v>8037</v>
          </cell>
          <cell r="B781" t="str">
            <v>SUPPLY OF ORD. PORTLAND CEMENT IN 50 kg. BAG</v>
          </cell>
          <cell r="C781" t="str">
            <v>Bag</v>
          </cell>
          <cell r="D781">
            <v>0</v>
          </cell>
        </row>
        <row r="782">
          <cell r="A782">
            <v>8038</v>
          </cell>
          <cell r="B782" t="str">
            <v>SUPPLY OF SULPHATE RESIST. CEMENT IN 50 kg. BAG</v>
          </cell>
          <cell r="C782" t="str">
            <v>Bag</v>
          </cell>
          <cell r="D782">
            <v>0</v>
          </cell>
        </row>
        <row r="783">
          <cell r="A783">
            <v>8041</v>
          </cell>
          <cell r="B783" t="str">
            <v>SUPPLY OF ASPHALT FOR TRENCH FINISH</v>
          </cell>
          <cell r="C783" t="str">
            <v>Cu-m</v>
          </cell>
          <cell r="D783">
            <v>0</v>
          </cell>
        </row>
        <row r="784">
          <cell r="A784">
            <v>8042</v>
          </cell>
          <cell r="B784" t="str">
            <v>SUPPLY OF CONCRETE SIDEWALK TILES</v>
          </cell>
          <cell r="C784" t="str">
            <v>Sq-m</v>
          </cell>
          <cell r="D784">
            <v>0</v>
          </cell>
        </row>
        <row r="785">
          <cell r="A785">
            <v>8101</v>
          </cell>
          <cell r="B785" t="str">
            <v>SUPP.&amp; INSTALL. MARBLE WALL CLAD.</v>
          </cell>
          <cell r="C785" t="str">
            <v>Sq-m</v>
          </cell>
          <cell r="D785">
            <v>0</v>
          </cell>
        </row>
        <row r="786">
          <cell r="A786">
            <v>8102</v>
          </cell>
          <cell r="B786" t="str">
            <v>PAINT.WALLS - PRIM. U.COAT &amp; T.COAT</v>
          </cell>
          <cell r="C786" t="str">
            <v>Sq-m</v>
          </cell>
          <cell r="D786">
            <v>0</v>
          </cell>
        </row>
        <row r="787">
          <cell r="A787">
            <v>8103</v>
          </cell>
          <cell r="B787" t="str">
            <v>PLASTER FINISH WALLS</v>
          </cell>
          <cell r="C787" t="str">
            <v>Sq-m</v>
          </cell>
          <cell r="D787">
            <v>0</v>
          </cell>
        </row>
        <row r="788">
          <cell r="A788">
            <v>8111</v>
          </cell>
          <cell r="B788" t="str">
            <v>EXCVN. LIGHT SOIL DEPTH 1.5 m.</v>
          </cell>
          <cell r="C788" t="str">
            <v>Cu-m</v>
          </cell>
          <cell r="D788">
            <v>0</v>
          </cell>
        </row>
        <row r="789">
          <cell r="A789">
            <v>8112</v>
          </cell>
          <cell r="B789" t="str">
            <v>EXCVN. LIGHT SOIL DEPTH &gt;1.5 m. TO 3 m</v>
          </cell>
          <cell r="C789" t="str">
            <v>Cu-m</v>
          </cell>
          <cell r="D789">
            <v>0</v>
          </cell>
        </row>
        <row r="790">
          <cell r="A790">
            <v>8113</v>
          </cell>
          <cell r="B790" t="str">
            <v>EXCVN. LIGHT SOIL DEPTH &gt;3 m.    TO 5 m</v>
          </cell>
          <cell r="C790" t="str">
            <v>Cu-m</v>
          </cell>
          <cell r="D790">
            <v>0</v>
          </cell>
        </row>
        <row r="791">
          <cell r="A791">
            <v>8121</v>
          </cell>
          <cell r="B791" t="str">
            <v>EXCVN. HARD SOIL DEPTH 1.5 m.</v>
          </cell>
          <cell r="C791" t="str">
            <v>Cu-m</v>
          </cell>
          <cell r="D791">
            <v>0</v>
          </cell>
        </row>
        <row r="792">
          <cell r="A792">
            <v>8122</v>
          </cell>
          <cell r="B792" t="str">
            <v>EXCVN. HARD SOIL DEPTH &gt;1.5 m. TO 3 m</v>
          </cell>
          <cell r="C792" t="str">
            <v>Cu-m</v>
          </cell>
          <cell r="D792">
            <v>0</v>
          </cell>
        </row>
        <row r="793">
          <cell r="A793">
            <v>8123</v>
          </cell>
          <cell r="B793" t="str">
            <v>EXCVN. HARD SOIL DEPTH &gt;3 m.    TO 5 m</v>
          </cell>
          <cell r="C793" t="str">
            <v>Cu-m</v>
          </cell>
          <cell r="D793">
            <v>0</v>
          </cell>
        </row>
        <row r="794">
          <cell r="A794">
            <v>8131</v>
          </cell>
          <cell r="B794" t="str">
            <v>EXCVN. HARD ROCK DEPTH 1.5 m.</v>
          </cell>
          <cell r="C794" t="str">
            <v>Cu-m</v>
          </cell>
          <cell r="D794">
            <v>0</v>
          </cell>
        </row>
        <row r="795">
          <cell r="A795">
            <v>8132</v>
          </cell>
          <cell r="B795" t="str">
            <v>EXCVN. HARD ROCK DEPTH &gt;1.5 m. TO 3 m</v>
          </cell>
          <cell r="C795" t="str">
            <v>Cu-m</v>
          </cell>
          <cell r="D795">
            <v>0</v>
          </cell>
        </row>
        <row r="796">
          <cell r="A796">
            <v>8133</v>
          </cell>
          <cell r="B796" t="str">
            <v>EXCVN. HARD ROCK  DEPTH &gt;3 m. TO 5 m</v>
          </cell>
          <cell r="C796" t="str">
            <v>Cu-m</v>
          </cell>
          <cell r="D796">
            <v>0</v>
          </cell>
        </row>
        <row r="797">
          <cell r="A797">
            <v>8201</v>
          </cell>
          <cell r="B797" t="str">
            <v>ENGINEER</v>
          </cell>
          <cell r="C797" t="str">
            <v>Day</v>
          </cell>
          <cell r="D797">
            <v>0</v>
          </cell>
        </row>
        <row r="798">
          <cell r="A798">
            <v>8202</v>
          </cell>
          <cell r="B798" t="str">
            <v>ENGINEER</v>
          </cell>
          <cell r="C798" t="str">
            <v>Month</v>
          </cell>
          <cell r="D798">
            <v>0</v>
          </cell>
        </row>
        <row r="799">
          <cell r="A799">
            <v>8203</v>
          </cell>
          <cell r="B799" t="str">
            <v>FOREMAN - CIVIL WORKS</v>
          </cell>
          <cell r="C799" t="str">
            <v>Day</v>
          </cell>
          <cell r="D799">
            <v>0</v>
          </cell>
        </row>
        <row r="800">
          <cell r="A800">
            <v>8204</v>
          </cell>
          <cell r="B800" t="str">
            <v>FOREMAN - CIVIL WORKS</v>
          </cell>
          <cell r="C800" t="str">
            <v>Month</v>
          </cell>
          <cell r="D800">
            <v>0</v>
          </cell>
        </row>
        <row r="801">
          <cell r="A801">
            <v>8205</v>
          </cell>
          <cell r="B801" t="str">
            <v>FOREMAN - CABLE INSTALL &amp; JOINTING</v>
          </cell>
          <cell r="C801" t="str">
            <v>Day</v>
          </cell>
          <cell r="D801">
            <v>0</v>
          </cell>
        </row>
        <row r="802">
          <cell r="A802">
            <v>8206</v>
          </cell>
          <cell r="B802" t="str">
            <v>FOREMAN - CABLE INSTALL &amp; JOINTING</v>
          </cell>
          <cell r="C802" t="str">
            <v>Month</v>
          </cell>
          <cell r="D802">
            <v>0</v>
          </cell>
        </row>
        <row r="803">
          <cell r="A803">
            <v>8207</v>
          </cell>
          <cell r="B803" t="str">
            <v>DRAFTSMAN</v>
          </cell>
          <cell r="C803" t="str">
            <v>Day</v>
          </cell>
          <cell r="D803">
            <v>0</v>
          </cell>
        </row>
        <row r="804">
          <cell r="A804">
            <v>8208</v>
          </cell>
          <cell r="B804" t="str">
            <v>DRAFTSMAN</v>
          </cell>
          <cell r="C804" t="str">
            <v>Month</v>
          </cell>
          <cell r="D804">
            <v>0</v>
          </cell>
        </row>
        <row r="805">
          <cell r="A805">
            <v>8211</v>
          </cell>
          <cell r="B805" t="str">
            <v>TECHNICIAN - TESTING ETC.</v>
          </cell>
          <cell r="C805" t="str">
            <v>Day</v>
          </cell>
          <cell r="D805">
            <v>0</v>
          </cell>
        </row>
        <row r="806">
          <cell r="A806">
            <v>8212</v>
          </cell>
          <cell r="B806" t="str">
            <v>TECHNICIAN - TESTING ETC.</v>
          </cell>
          <cell r="C806" t="str">
            <v>Month</v>
          </cell>
          <cell r="D806">
            <v>0</v>
          </cell>
        </row>
        <row r="807">
          <cell r="A807">
            <v>8213</v>
          </cell>
          <cell r="B807" t="str">
            <v>JOINTER - LOCAL CABLES</v>
          </cell>
          <cell r="C807" t="str">
            <v>Day</v>
          </cell>
          <cell r="D807">
            <v>0</v>
          </cell>
        </row>
        <row r="808">
          <cell r="A808">
            <v>8214</v>
          </cell>
          <cell r="B808" t="str">
            <v>JOINTER - LOCAL CABLES</v>
          </cell>
          <cell r="C808" t="str">
            <v>Month</v>
          </cell>
          <cell r="D808">
            <v>0</v>
          </cell>
        </row>
        <row r="809">
          <cell r="A809">
            <v>8215</v>
          </cell>
          <cell r="B809" t="str">
            <v>JOINTER - COAX &amp; OPTICAL FIBRES</v>
          </cell>
          <cell r="C809" t="str">
            <v>Day</v>
          </cell>
          <cell r="D809">
            <v>0</v>
          </cell>
        </row>
        <row r="810">
          <cell r="A810">
            <v>8216</v>
          </cell>
          <cell r="B810" t="str">
            <v>JOINTER - COAX &amp; OPTICAL FIBRES</v>
          </cell>
          <cell r="C810" t="str">
            <v>Month</v>
          </cell>
          <cell r="D810">
            <v>0</v>
          </cell>
        </row>
        <row r="811">
          <cell r="A811">
            <v>8221</v>
          </cell>
          <cell r="B811" t="str">
            <v>JOINTER'S ASSISTANT</v>
          </cell>
          <cell r="C811" t="str">
            <v>Day</v>
          </cell>
          <cell r="D811">
            <v>0</v>
          </cell>
        </row>
        <row r="812">
          <cell r="A812">
            <v>8222</v>
          </cell>
          <cell r="B812" t="str">
            <v>JOINTER'S ASSISTANT</v>
          </cell>
          <cell r="C812" t="str">
            <v>Month</v>
          </cell>
          <cell r="D812">
            <v>0</v>
          </cell>
        </row>
        <row r="813">
          <cell r="A813">
            <v>8223</v>
          </cell>
          <cell r="B813" t="str">
            <v>LABOURER</v>
          </cell>
          <cell r="C813" t="str">
            <v>Day</v>
          </cell>
          <cell r="D813">
            <v>0</v>
          </cell>
        </row>
        <row r="814">
          <cell r="A814">
            <v>8224</v>
          </cell>
          <cell r="B814" t="str">
            <v>LABOURER</v>
          </cell>
          <cell r="C814" t="str">
            <v>Month</v>
          </cell>
          <cell r="D814">
            <v>0</v>
          </cell>
        </row>
        <row r="815">
          <cell r="A815">
            <v>8225</v>
          </cell>
          <cell r="B815" t="str">
            <v>GUARD</v>
          </cell>
          <cell r="C815" t="str">
            <v>Day</v>
          </cell>
          <cell r="D815">
            <v>0</v>
          </cell>
        </row>
        <row r="816">
          <cell r="A816">
            <v>8226</v>
          </cell>
          <cell r="B816" t="str">
            <v>GUARD</v>
          </cell>
          <cell r="C816" t="str">
            <v>Month</v>
          </cell>
          <cell r="D816">
            <v>0</v>
          </cell>
        </row>
        <row r="817">
          <cell r="A817">
            <v>8231</v>
          </cell>
          <cell r="B817" t="str">
            <v>STORES/INVOICING CLERK</v>
          </cell>
          <cell r="C817" t="str">
            <v>Day</v>
          </cell>
          <cell r="D817">
            <v>0</v>
          </cell>
        </row>
        <row r="818">
          <cell r="A818">
            <v>8232</v>
          </cell>
          <cell r="B818" t="str">
            <v>STORES/INVOICING CLERK</v>
          </cell>
          <cell r="C818" t="str">
            <v>Month</v>
          </cell>
          <cell r="D818">
            <v>0</v>
          </cell>
        </row>
        <row r="819">
          <cell r="A819">
            <v>8250</v>
          </cell>
          <cell r="B819" t="str">
            <v>OVER-TIME PAYMENTS</v>
          </cell>
          <cell r="C819" t="str">
            <v>%</v>
          </cell>
          <cell r="D819">
            <v>0</v>
          </cell>
        </row>
        <row r="820">
          <cell r="A820">
            <v>8301</v>
          </cell>
          <cell r="B820" t="str">
            <v>BACKHOE - 1/8 cu.yard - 0.1 cu.m</v>
          </cell>
          <cell r="C820" t="str">
            <v>Day</v>
          </cell>
          <cell r="D820">
            <v>0</v>
          </cell>
        </row>
        <row r="821">
          <cell r="A821">
            <v>8302</v>
          </cell>
          <cell r="B821" t="str">
            <v>BACKHOE - 1/4 cu.yard - 0.2 cu.m</v>
          </cell>
          <cell r="C821" t="str">
            <v>Day</v>
          </cell>
          <cell r="D821">
            <v>0</v>
          </cell>
        </row>
        <row r="822">
          <cell r="A822">
            <v>8303</v>
          </cell>
          <cell r="B822" t="str">
            <v>BACKHOE - 1/2 cu.yard - 0.4 cu.m</v>
          </cell>
          <cell r="C822" t="str">
            <v>Day</v>
          </cell>
          <cell r="D822">
            <v>0</v>
          </cell>
        </row>
        <row r="823">
          <cell r="A823">
            <v>8304</v>
          </cell>
          <cell r="B823" t="str">
            <v>BACKHOE - 3/4 cu.yard - 0.6/0.7 cu.m</v>
          </cell>
          <cell r="C823" t="str">
            <v>Day</v>
          </cell>
          <cell r="D823">
            <v>0</v>
          </cell>
        </row>
        <row r="824">
          <cell r="A824">
            <v>8305</v>
          </cell>
          <cell r="B824" t="str">
            <v>BACKHOE - 1.0 cu.yard - 0.75/1.0 cu.m</v>
          </cell>
          <cell r="C824" t="str">
            <v>Day</v>
          </cell>
          <cell r="D824">
            <v>0</v>
          </cell>
        </row>
        <row r="825">
          <cell r="A825">
            <v>8311</v>
          </cell>
          <cell r="B825" t="str">
            <v>BULLDOZER - SMALL</v>
          </cell>
          <cell r="C825" t="str">
            <v>Day</v>
          </cell>
          <cell r="D825">
            <v>0</v>
          </cell>
        </row>
        <row r="826">
          <cell r="A826">
            <v>8312</v>
          </cell>
          <cell r="B826" t="str">
            <v>BULLDOZER - LARGE</v>
          </cell>
          <cell r="C826" t="str">
            <v>Day</v>
          </cell>
          <cell r="D826">
            <v>0</v>
          </cell>
        </row>
        <row r="827">
          <cell r="A827">
            <v>8314</v>
          </cell>
          <cell r="B827" t="str">
            <v>FRONT LOADER (WHEELED)</v>
          </cell>
          <cell r="C827" t="str">
            <v>Day</v>
          </cell>
          <cell r="D827">
            <v>0</v>
          </cell>
        </row>
        <row r="828">
          <cell r="A828">
            <v>8321</v>
          </cell>
          <cell r="B828" t="str">
            <v>COMPRESSOR/BRKR. WITH JACK HAMM.</v>
          </cell>
          <cell r="C828" t="str">
            <v>Day</v>
          </cell>
          <cell r="D828">
            <v>0</v>
          </cell>
        </row>
        <row r="829">
          <cell r="A829">
            <v>8322</v>
          </cell>
          <cell r="B829" t="str">
            <v>ROCK/BRKR. (POCLAIN) WITH CHISELS</v>
          </cell>
          <cell r="C829" t="str">
            <v>Day</v>
          </cell>
          <cell r="D829">
            <v>0</v>
          </cell>
        </row>
        <row r="830">
          <cell r="A830">
            <v>8323</v>
          </cell>
          <cell r="B830" t="str">
            <v>ROCK SAW</v>
          </cell>
          <cell r="C830" t="str">
            <v>Day</v>
          </cell>
          <cell r="D830">
            <v>0</v>
          </cell>
        </row>
        <row r="831">
          <cell r="A831">
            <v>8324</v>
          </cell>
          <cell r="B831" t="str">
            <v>ASHPHALT CUTTER</v>
          </cell>
          <cell r="C831" t="str">
            <v>Day</v>
          </cell>
          <cell r="D831">
            <v>0</v>
          </cell>
        </row>
        <row r="832">
          <cell r="A832">
            <v>8331</v>
          </cell>
          <cell r="B832" t="str">
            <v>CONCRETE MIXER - SMALL</v>
          </cell>
          <cell r="C832" t="str">
            <v>Day</v>
          </cell>
          <cell r="D832">
            <v>0</v>
          </cell>
        </row>
        <row r="833">
          <cell r="A833">
            <v>8332</v>
          </cell>
          <cell r="B833" t="str">
            <v>CONCRETE MIXER - LARGE</v>
          </cell>
          <cell r="C833" t="str">
            <v>Day</v>
          </cell>
          <cell r="D833">
            <v>0</v>
          </cell>
        </row>
        <row r="834">
          <cell r="A834">
            <v>8333</v>
          </cell>
          <cell r="B834" t="str">
            <v>ROLLER COMPACTOR - NARROW</v>
          </cell>
          <cell r="C834" t="str">
            <v>Day</v>
          </cell>
          <cell r="D834">
            <v>0</v>
          </cell>
        </row>
        <row r="835">
          <cell r="A835">
            <v>8334</v>
          </cell>
          <cell r="B835" t="str">
            <v>ROLLER COMPACTOR - MEDIUM</v>
          </cell>
          <cell r="C835" t="str">
            <v>Day</v>
          </cell>
          <cell r="D835">
            <v>0</v>
          </cell>
        </row>
        <row r="836">
          <cell r="A836">
            <v>8335</v>
          </cell>
          <cell r="B836" t="str">
            <v>ROLLER TANKER WITH PUMP</v>
          </cell>
          <cell r="C836" t="str">
            <v>Day</v>
          </cell>
          <cell r="D836">
            <v>0</v>
          </cell>
        </row>
        <row r="837">
          <cell r="A837">
            <v>8336</v>
          </cell>
          <cell r="B837" t="str">
            <v>MOBILE CRANE - 40 TONNES</v>
          </cell>
          <cell r="C837" t="str">
            <v>Day</v>
          </cell>
          <cell r="D837">
            <v>0</v>
          </cell>
        </row>
        <row r="838">
          <cell r="A838">
            <v>8341</v>
          </cell>
          <cell r="B838" t="str">
            <v>FLAT-BED TRUCK - 3 TON CAPACITY</v>
          </cell>
          <cell r="C838" t="str">
            <v>Day</v>
          </cell>
          <cell r="D838">
            <v>0</v>
          </cell>
        </row>
        <row r="839">
          <cell r="A839">
            <v>8342</v>
          </cell>
          <cell r="B839" t="str">
            <v>FLAT-BED TRUCK - OVER 3 TON CAP.</v>
          </cell>
          <cell r="C839" t="str">
            <v>Day</v>
          </cell>
          <cell r="D839">
            <v>0</v>
          </cell>
        </row>
        <row r="840">
          <cell r="A840">
            <v>8343</v>
          </cell>
          <cell r="B840" t="str">
            <v>FLAT-BED TRUCK - 5 TON CAP. CRANE</v>
          </cell>
          <cell r="C840" t="str">
            <v>Day</v>
          </cell>
          <cell r="D840">
            <v>0</v>
          </cell>
        </row>
        <row r="841">
          <cell r="A841">
            <v>8344</v>
          </cell>
          <cell r="B841" t="str">
            <v>FLAT-BED TRUCK - 10 TON CAP. CRANE</v>
          </cell>
          <cell r="C841" t="str">
            <v>Day</v>
          </cell>
          <cell r="D841">
            <v>0</v>
          </cell>
        </row>
        <row r="842">
          <cell r="A842">
            <v>8345</v>
          </cell>
          <cell r="B842" t="str">
            <v>TIPPER TRUCK - 10 TON CAPACITY</v>
          </cell>
          <cell r="C842" t="str">
            <v>Day</v>
          </cell>
          <cell r="D842">
            <v>0</v>
          </cell>
        </row>
        <row r="843">
          <cell r="A843">
            <v>8346</v>
          </cell>
          <cell r="B843" t="str">
            <v>TRACTOR/LOW LOADER TRAILER 30 TON.</v>
          </cell>
          <cell r="C843" t="str">
            <v>Day</v>
          </cell>
          <cell r="D843">
            <v>0</v>
          </cell>
        </row>
        <row r="844">
          <cell r="A844">
            <v>8351</v>
          </cell>
          <cell r="B844" t="str">
            <v>CABLE TRAILER - 5 TON CAP.</v>
          </cell>
          <cell r="C844" t="str">
            <v>Day</v>
          </cell>
          <cell r="D844">
            <v>0</v>
          </cell>
        </row>
        <row r="845">
          <cell r="A845">
            <v>8352</v>
          </cell>
          <cell r="B845" t="str">
            <v>CABLE TRAILER - 10 TON CAP.</v>
          </cell>
          <cell r="C845" t="str">
            <v>Day</v>
          </cell>
          <cell r="D845">
            <v>0</v>
          </cell>
        </row>
        <row r="846">
          <cell r="A846">
            <v>8361</v>
          </cell>
          <cell r="B846" t="str">
            <v>PORTABLE WATER PUMP, 2-3 INCH</v>
          </cell>
          <cell r="C846" t="str">
            <v>Day</v>
          </cell>
          <cell r="D846">
            <v>0</v>
          </cell>
        </row>
        <row r="847">
          <cell r="A847">
            <v>8362</v>
          </cell>
          <cell r="B847" t="str">
            <v>PORTABLE WATER PUMP, 4-6 INCH</v>
          </cell>
          <cell r="C847" t="str">
            <v>Day</v>
          </cell>
          <cell r="D847">
            <v>0</v>
          </cell>
        </row>
        <row r="848">
          <cell r="A848">
            <v>8363</v>
          </cell>
          <cell r="B848" t="str">
            <v>WELL POINT DEWATERING SYSTEM</v>
          </cell>
          <cell r="C848" t="str">
            <v>Day</v>
          </cell>
          <cell r="D848">
            <v>0</v>
          </cell>
        </row>
        <row r="849">
          <cell r="A849">
            <v>8371</v>
          </cell>
          <cell r="B849" t="str">
            <v>PORT. GENERATOR, 10kw  SITE FLOOD.LIGHT</v>
          </cell>
          <cell r="C849" t="str">
            <v>Day</v>
          </cell>
          <cell r="D849">
            <v>0</v>
          </cell>
        </row>
        <row r="850">
          <cell r="A850">
            <v>8372</v>
          </cell>
          <cell r="B850" t="str">
            <v>PORT.GENERATOR, 10 kw  SITE H.LIGHT</v>
          </cell>
          <cell r="C850" t="str">
            <v>Day</v>
          </cell>
          <cell r="D850">
            <v>0</v>
          </cell>
        </row>
        <row r="851">
          <cell r="A851">
            <v>8381</v>
          </cell>
          <cell r="B851" t="str">
            <v>MECH. TAMPER/COMPACTOR</v>
          </cell>
          <cell r="C851" t="str">
            <v>Day</v>
          </cell>
          <cell r="D851">
            <v>0</v>
          </cell>
        </row>
        <row r="852">
          <cell r="A852">
            <v>8391</v>
          </cell>
          <cell r="B852" t="str">
            <v>TRAFFIC BARRIERS - 2m.</v>
          </cell>
          <cell r="C852" t="str">
            <v>Day</v>
          </cell>
          <cell r="D852">
            <v>0</v>
          </cell>
        </row>
        <row r="853">
          <cell r="A853">
            <v>8392</v>
          </cell>
          <cell r="B853" t="str">
            <v>STEEL PLATE TRENCH COVERS</v>
          </cell>
          <cell r="C853" t="str">
            <v>Day</v>
          </cell>
          <cell r="D853">
            <v>0</v>
          </cell>
        </row>
        <row r="854">
          <cell r="A854">
            <v>8401</v>
          </cell>
          <cell r="B854" t="str">
            <v>BACKHOE - 1/8 cu.yard - 0.1 cu.m</v>
          </cell>
          <cell r="C854" t="str">
            <v>Week</v>
          </cell>
          <cell r="D854">
            <v>0</v>
          </cell>
        </row>
        <row r="855">
          <cell r="A855">
            <v>8402</v>
          </cell>
          <cell r="B855" t="str">
            <v>BACKHOE - 1/4 cu.yard - 0.2 cu.m</v>
          </cell>
          <cell r="C855" t="str">
            <v>Week</v>
          </cell>
          <cell r="D855">
            <v>0</v>
          </cell>
        </row>
        <row r="856">
          <cell r="A856">
            <v>8403</v>
          </cell>
          <cell r="B856" t="str">
            <v>BACKHOE - 1/2 cu.yard - 0.4 cu.m</v>
          </cell>
          <cell r="C856" t="str">
            <v>Week</v>
          </cell>
          <cell r="D856">
            <v>0</v>
          </cell>
        </row>
        <row r="857">
          <cell r="A857">
            <v>8404</v>
          </cell>
          <cell r="B857" t="str">
            <v>BACKHOE - 3/4 cu.yard - 0.6/0.7 cu.m</v>
          </cell>
          <cell r="C857" t="str">
            <v>Week</v>
          </cell>
          <cell r="D857">
            <v>0</v>
          </cell>
        </row>
        <row r="858">
          <cell r="A858">
            <v>8405</v>
          </cell>
          <cell r="B858" t="str">
            <v>BACKHOE - 1.0 cu.yard - 0.75/1.0 cu.m</v>
          </cell>
          <cell r="C858" t="str">
            <v>Week</v>
          </cell>
          <cell r="D858">
            <v>0</v>
          </cell>
        </row>
        <row r="859">
          <cell r="A859">
            <v>8411</v>
          </cell>
          <cell r="B859" t="str">
            <v>BULLDOZER - SMALL</v>
          </cell>
          <cell r="C859" t="str">
            <v>Week</v>
          </cell>
          <cell r="D859">
            <v>0</v>
          </cell>
        </row>
        <row r="860">
          <cell r="A860">
            <v>8412</v>
          </cell>
          <cell r="B860" t="str">
            <v>BULLDOZER - LARGE</v>
          </cell>
          <cell r="C860" t="str">
            <v>Week</v>
          </cell>
          <cell r="D860">
            <v>0</v>
          </cell>
        </row>
        <row r="861">
          <cell r="A861">
            <v>8414</v>
          </cell>
          <cell r="B861" t="str">
            <v>FRONT LOADER (WHEELED)</v>
          </cell>
          <cell r="C861" t="str">
            <v>Week</v>
          </cell>
          <cell r="D861">
            <v>0</v>
          </cell>
        </row>
        <row r="862">
          <cell r="A862">
            <v>8421</v>
          </cell>
          <cell r="B862" t="str">
            <v>COMPRESSOR/BRKR. WITH JACK HAMM.</v>
          </cell>
          <cell r="C862" t="str">
            <v>Week</v>
          </cell>
          <cell r="D862">
            <v>0</v>
          </cell>
        </row>
      </sheetData>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greed rates"/>
      <sheetName val="Sheet1"/>
    </sheetNames>
    <sheetDataSet>
      <sheetData sheetId="0" refreshError="1"/>
      <sheetData sheetId="1" refreshError="1">
        <row r="2">
          <cell r="A2">
            <v>1001</v>
          </cell>
          <cell r="B2" t="str">
            <v>BREAKING &amp; REINST., CL."A" ROAD SURF.</v>
          </cell>
          <cell r="C2" t="str">
            <v>Mtr</v>
          </cell>
          <cell r="D2">
            <v>75</v>
          </cell>
        </row>
        <row r="3">
          <cell r="A3">
            <v>1002</v>
          </cell>
          <cell r="B3" t="str">
            <v>BREAKING &amp; REINST., CL."B" ROAD SURF.</v>
          </cell>
          <cell r="C3" t="str">
            <v>Mtr</v>
          </cell>
          <cell r="D3">
            <v>56</v>
          </cell>
        </row>
        <row r="4">
          <cell r="A4">
            <v>1003</v>
          </cell>
          <cell r="B4" t="str">
            <v>BREAKING &amp; REINST., CL."C" ROAD SURF.</v>
          </cell>
          <cell r="C4" t="str">
            <v>Mtr</v>
          </cell>
          <cell r="D4">
            <v>49</v>
          </cell>
        </row>
        <row r="5">
          <cell r="A5">
            <v>1004</v>
          </cell>
          <cell r="B5" t="str">
            <v>MARBLE TILE BREAKING &amp; REINSTATEM</v>
          </cell>
          <cell r="C5" t="str">
            <v>Sqm</v>
          </cell>
          <cell r="D5">
            <v>200</v>
          </cell>
        </row>
        <row r="6">
          <cell r="A6">
            <v>1006</v>
          </cell>
          <cell r="B6" t="str">
            <v>BREAKING &amp; REINST., TILED FOOTWAY</v>
          </cell>
          <cell r="C6" t="str">
            <v>Mtr</v>
          </cell>
          <cell r="D6">
            <v>45</v>
          </cell>
        </row>
        <row r="7">
          <cell r="A7">
            <v>1007</v>
          </cell>
          <cell r="B7" t="str">
            <v>BREAKING &amp; REINST., ASPH. &amp;/OR CONCR. FTW.</v>
          </cell>
          <cell r="C7" t="str">
            <v>Mtr</v>
          </cell>
          <cell r="D7">
            <v>41</v>
          </cell>
        </row>
        <row r="8">
          <cell r="A8">
            <v>1008</v>
          </cell>
          <cell r="B8" t="str">
            <v xml:space="preserve">REINSTATEMENT IN ROAD - ADDITIONAL AREA </v>
          </cell>
          <cell r="C8" t="str">
            <v>Sq-m</v>
          </cell>
          <cell r="D8">
            <v>366</v>
          </cell>
        </row>
        <row r="9">
          <cell r="A9">
            <v>1009</v>
          </cell>
          <cell r="B9" t="str">
            <v xml:space="preserve">REINSTATEMENT IN FOOTWAY - ADDITIONAL AREA </v>
          </cell>
          <cell r="C9" t="str">
            <v>Cu-m</v>
          </cell>
          <cell r="D9">
            <v>244</v>
          </cell>
        </row>
        <row r="10">
          <cell r="A10">
            <v>1011</v>
          </cell>
          <cell r="B10" t="str">
            <v>LEAN MIX CONCRETE BACKFILL</v>
          </cell>
          <cell r="C10" t="str">
            <v>Cu-m</v>
          </cell>
          <cell r="D10">
            <v>289</v>
          </cell>
        </row>
        <row r="11">
          <cell r="A11">
            <v>1012</v>
          </cell>
          <cell r="B11" t="str">
            <v xml:space="preserve"> IN-SITU CONCRETE STRUCTURES</v>
          </cell>
          <cell r="C11" t="str">
            <v>Cu-m</v>
          </cell>
          <cell r="D11">
            <v>319</v>
          </cell>
        </row>
        <row r="12">
          <cell r="A12">
            <v>1013</v>
          </cell>
          <cell r="B12" t="str">
            <v xml:space="preserve"> IN-SITU REINFORCED CONCRETE STRUCTURES</v>
          </cell>
          <cell r="C12" t="str">
            <v>Cu-m</v>
          </cell>
          <cell r="D12">
            <v>675</v>
          </cell>
        </row>
        <row r="13">
          <cell r="A13">
            <v>1016</v>
          </cell>
          <cell r="B13" t="str">
            <v>3M MILLING AND PAVING</v>
          </cell>
          <cell r="C13" t="str">
            <v>Sq-m</v>
          </cell>
          <cell r="D13">
            <v>45</v>
          </cell>
        </row>
        <row r="14">
          <cell r="A14">
            <v>1021</v>
          </cell>
          <cell r="B14" t="str">
            <v>CONCRETE PROTECTION SLAB - NOT REINF.</v>
          </cell>
          <cell r="C14" t="str">
            <v>Sq-m</v>
          </cell>
          <cell r="D14">
            <v>41</v>
          </cell>
        </row>
        <row r="15">
          <cell r="A15">
            <v>1022</v>
          </cell>
          <cell r="B15" t="str">
            <v>CONCRETE PROTECTION SLAB -  STEEL REINF.</v>
          </cell>
          <cell r="C15" t="str">
            <v>Sq-m</v>
          </cell>
          <cell r="D15">
            <v>60</v>
          </cell>
        </row>
        <row r="16">
          <cell r="A16">
            <v>1030</v>
          </cell>
          <cell r="B16" t="str">
            <v>EXTRA DEPTH IN SOIL</v>
          </cell>
          <cell r="C16" t="str">
            <v>Cu-m</v>
          </cell>
          <cell r="D16">
            <v>60</v>
          </cell>
        </row>
        <row r="17">
          <cell r="A17">
            <v>1031</v>
          </cell>
          <cell r="B17" t="str">
            <v>BREAKING OF ROCK</v>
          </cell>
          <cell r="C17" t="str">
            <v>Cu-m</v>
          </cell>
          <cell r="D17">
            <v>113</v>
          </cell>
        </row>
        <row r="18">
          <cell r="A18">
            <v>1041</v>
          </cell>
          <cell r="B18" t="str">
            <v>THRUST BORING, 100mm dia.  STEEL PIPE</v>
          </cell>
          <cell r="C18" t="str">
            <v>Mtr</v>
          </cell>
          <cell r="D18">
            <v>750</v>
          </cell>
        </row>
        <row r="19">
          <cell r="A19">
            <v>1042</v>
          </cell>
          <cell r="B19" t="str">
            <v>THRUST BORING, 300mm dia.  - 4  DUCTS</v>
          </cell>
          <cell r="C19" t="str">
            <v>Mtr</v>
          </cell>
          <cell r="D19">
            <v>1688</v>
          </cell>
        </row>
        <row r="20">
          <cell r="A20">
            <v>1043</v>
          </cell>
          <cell r="B20" t="str">
            <v>THRUST BORING, 400mm dia.  - 8  DUCTS</v>
          </cell>
          <cell r="C20" t="str">
            <v>Mtr</v>
          </cell>
          <cell r="D20">
            <v>2438</v>
          </cell>
        </row>
        <row r="21">
          <cell r="A21">
            <v>1044</v>
          </cell>
          <cell r="B21" t="str">
            <v>THRUST BORING, 500mm dia.  -12 DUCTS</v>
          </cell>
          <cell r="C21" t="str">
            <v>Mtr</v>
          </cell>
          <cell r="D21">
            <v>2625</v>
          </cell>
        </row>
        <row r="22">
          <cell r="A22">
            <v>1045</v>
          </cell>
          <cell r="B22" t="str">
            <v>THRUST BORING, 600mm dia.  -16 DUCTS</v>
          </cell>
          <cell r="C22" t="str">
            <v>Mtr</v>
          </cell>
          <cell r="D22">
            <v>3188</v>
          </cell>
        </row>
        <row r="23">
          <cell r="A23">
            <v>1051</v>
          </cell>
          <cell r="B23" t="str">
            <v>DIRECTIONAL DRILL-100mm HDPE</v>
          </cell>
          <cell r="C23" t="str">
            <v>Mtr</v>
          </cell>
          <cell r="D23">
            <v>938</v>
          </cell>
        </row>
        <row r="24">
          <cell r="A24">
            <v>1052</v>
          </cell>
          <cell r="B24" t="str">
            <v xml:space="preserve">DIRECTIONAL DRILL-300mm HDPE </v>
          </cell>
          <cell r="C24" t="str">
            <v>Mtr</v>
          </cell>
          <cell r="D24">
            <v>1688</v>
          </cell>
        </row>
        <row r="25">
          <cell r="A25">
            <v>1053</v>
          </cell>
          <cell r="B25" t="str">
            <v>DIRECTIONAL DRILL-400mm HDPE</v>
          </cell>
          <cell r="C25" t="str">
            <v>Mtr</v>
          </cell>
          <cell r="D25">
            <v>2625</v>
          </cell>
        </row>
        <row r="26">
          <cell r="A26">
            <v>1054</v>
          </cell>
          <cell r="B26" t="str">
            <v>DIRECTIONAL DRILL-500mm HDPE</v>
          </cell>
          <cell r="C26" t="str">
            <v>Mtr</v>
          </cell>
          <cell r="D26">
            <v>2925</v>
          </cell>
        </row>
        <row r="27">
          <cell r="A27">
            <v>1055</v>
          </cell>
          <cell r="B27" t="str">
            <v>DIRECTIONAL DRILL-600mm HDPE</v>
          </cell>
          <cell r="C27" t="str">
            <v>Mtr</v>
          </cell>
          <cell r="D27">
            <v>3375</v>
          </cell>
        </row>
        <row r="28">
          <cell r="A28">
            <v>1060</v>
          </cell>
          <cell r="B28" t="str">
            <v>REMOVING DEBRIS AND SPOIL HEAPS</v>
          </cell>
          <cell r="C28" t="str">
            <v>Cu-m</v>
          </cell>
          <cell r="D28">
            <v>15</v>
          </cell>
        </row>
        <row r="29">
          <cell r="A29">
            <v>1061</v>
          </cell>
          <cell r="B29" t="str">
            <v xml:space="preserve">REMOVING ROCK DEBRIS </v>
          </cell>
          <cell r="C29" t="str">
            <v>Cu-m</v>
          </cell>
          <cell r="D29">
            <v>41</v>
          </cell>
        </row>
        <row r="30">
          <cell r="A30">
            <v>1081</v>
          </cell>
          <cell r="B30" t="str">
            <v>SETTING UP AND OPERATING WELL POINT  SYSTEMS</v>
          </cell>
          <cell r="C30" t="str">
            <v>Day</v>
          </cell>
          <cell r="D30">
            <v>3750</v>
          </cell>
        </row>
        <row r="31">
          <cell r="A31">
            <v>1091</v>
          </cell>
          <cell r="B31" t="str">
            <v>EROSION DAM ON DIRECT BURIED CABLE</v>
          </cell>
          <cell r="C31" t="str">
            <v>Each</v>
          </cell>
          <cell r="D31">
            <v>450</v>
          </cell>
        </row>
        <row r="32">
          <cell r="A32">
            <v>1092</v>
          </cell>
          <cell r="B32" t="str">
            <v>E.DAM ON 2 WAY CONDUIT INST.IN SAND</v>
          </cell>
          <cell r="C32" t="str">
            <v>Each</v>
          </cell>
          <cell r="D32">
            <v>488</v>
          </cell>
        </row>
        <row r="33">
          <cell r="A33">
            <v>1094</v>
          </cell>
          <cell r="B33" t="str">
            <v>E.DAM ON 4 WAY CONDUIT INST.IN SAND</v>
          </cell>
          <cell r="C33" t="str">
            <v>Each</v>
          </cell>
          <cell r="D33">
            <v>525</v>
          </cell>
        </row>
        <row r="34">
          <cell r="A34">
            <v>1096</v>
          </cell>
          <cell r="B34" t="str">
            <v>E.DAM ON 6 WAY CONDUIT INST.IN SAND</v>
          </cell>
          <cell r="C34" t="str">
            <v>Each</v>
          </cell>
          <cell r="D34">
            <v>600</v>
          </cell>
        </row>
        <row r="35">
          <cell r="A35">
            <v>1098</v>
          </cell>
          <cell r="B35" t="str">
            <v>E.DAM ON 8 WAY CONDUIT INST.IN SAND</v>
          </cell>
          <cell r="C35" t="str">
            <v>Each</v>
          </cell>
          <cell r="D35">
            <v>619</v>
          </cell>
        </row>
        <row r="36">
          <cell r="A36">
            <v>1111</v>
          </cell>
          <cell r="B36" t="str">
            <v>BREAKING UP BRICK WALLS</v>
          </cell>
          <cell r="C36" t="str">
            <v>Cu-m</v>
          </cell>
          <cell r="D36">
            <v>75</v>
          </cell>
        </row>
        <row r="37">
          <cell r="A37">
            <v>1112</v>
          </cell>
          <cell r="B37" t="str">
            <v>BREAKING UP CONCRETE WALLS</v>
          </cell>
          <cell r="C37" t="str">
            <v>Cu-m</v>
          </cell>
          <cell r="D37">
            <v>176</v>
          </cell>
        </row>
        <row r="38">
          <cell r="A38">
            <v>1113</v>
          </cell>
          <cell r="B38" t="str">
            <v>BREAKING UP REINF. CONCRETE WALLS</v>
          </cell>
          <cell r="C38" t="str">
            <v>Cu-m</v>
          </cell>
          <cell r="D38">
            <v>300</v>
          </cell>
        </row>
        <row r="39">
          <cell r="A39">
            <v>1121</v>
          </cell>
          <cell r="B39" t="str">
            <v>PIT RUN GRAVEL</v>
          </cell>
          <cell r="C39" t="str">
            <v>CUM</v>
          </cell>
          <cell r="D39">
            <v>20</v>
          </cell>
        </row>
        <row r="40">
          <cell r="A40">
            <v>1122</v>
          </cell>
          <cell r="B40" t="str">
            <v>SUBASE</v>
          </cell>
          <cell r="C40" t="str">
            <v>CUM</v>
          </cell>
          <cell r="D40">
            <v>35</v>
          </cell>
        </row>
        <row r="41">
          <cell r="A41">
            <v>1123</v>
          </cell>
          <cell r="B41" t="str">
            <v>CRUSH STONES</v>
          </cell>
          <cell r="C41" t="str">
            <v>CUM</v>
          </cell>
          <cell r="D41">
            <v>25</v>
          </cell>
        </row>
        <row r="42">
          <cell r="A42">
            <v>1124</v>
          </cell>
          <cell r="B42" t="str">
            <v>CONCRETE</v>
          </cell>
          <cell r="C42" t="str">
            <v>CUM</v>
          </cell>
          <cell r="D42">
            <v>180</v>
          </cell>
        </row>
        <row r="43">
          <cell r="A43">
            <v>1202</v>
          </cell>
          <cell r="B43" t="str">
            <v xml:space="preserve">2 - WAY PVC DUCT IN CONCRETE    </v>
          </cell>
          <cell r="C43" t="str">
            <v>Mtr</v>
          </cell>
          <cell r="D43">
            <v>86</v>
          </cell>
        </row>
        <row r="44">
          <cell r="A44" t="str">
            <v>1202A</v>
          </cell>
          <cell r="B44" t="str">
            <v xml:space="preserve">3 - WAY PVC DUCT IN CONCRETE    </v>
          </cell>
          <cell r="C44" t="str">
            <v>Mtr</v>
          </cell>
          <cell r="D44">
            <v>101</v>
          </cell>
        </row>
        <row r="45">
          <cell r="A45">
            <v>1204</v>
          </cell>
          <cell r="B45" t="str">
            <v xml:space="preserve">4 - WAY PVC DUCT IN CONCRETE    </v>
          </cell>
          <cell r="C45" t="str">
            <v>Mtr</v>
          </cell>
          <cell r="D45">
            <v>101</v>
          </cell>
        </row>
        <row r="46">
          <cell r="A46" t="str">
            <v>1204A</v>
          </cell>
          <cell r="B46" t="str">
            <v xml:space="preserve">5 - WAY PVC DUCT IN CONCRETE    </v>
          </cell>
          <cell r="C46" t="str">
            <v>Mtr</v>
          </cell>
          <cell r="D46">
            <v>131</v>
          </cell>
        </row>
        <row r="47">
          <cell r="A47">
            <v>1206</v>
          </cell>
          <cell r="B47" t="str">
            <v xml:space="preserve">6 - WAY PVC DUCT IN CONCRETE    </v>
          </cell>
          <cell r="C47" t="str">
            <v>Mtr</v>
          </cell>
          <cell r="D47">
            <v>125</v>
          </cell>
        </row>
        <row r="48">
          <cell r="A48" t="str">
            <v>1206A</v>
          </cell>
          <cell r="B48" t="str">
            <v xml:space="preserve">6 - WAY PVC DUCT IN CONCRETE    </v>
          </cell>
          <cell r="C48" t="str">
            <v>Mtr</v>
          </cell>
          <cell r="D48">
            <v>170</v>
          </cell>
        </row>
        <row r="49">
          <cell r="A49">
            <v>1208</v>
          </cell>
          <cell r="B49" t="str">
            <v xml:space="preserve">8 - WAY PVC DUCT IN CONCRETE    </v>
          </cell>
          <cell r="C49" t="str">
            <v>Mtr</v>
          </cell>
          <cell r="D49">
            <v>158</v>
          </cell>
        </row>
        <row r="50">
          <cell r="A50" t="str">
            <v>1208A</v>
          </cell>
          <cell r="B50" t="str">
            <v xml:space="preserve">9 - WAY PVC DUCT IN CONCRETE    </v>
          </cell>
          <cell r="C50" t="str">
            <v>Mtr</v>
          </cell>
          <cell r="D50">
            <v>218</v>
          </cell>
        </row>
        <row r="51">
          <cell r="A51">
            <v>1210</v>
          </cell>
          <cell r="B51" t="str">
            <v>10 WAY PVC DUCT IN CONCRETE</v>
          </cell>
          <cell r="C51" t="str">
            <v>M</v>
          </cell>
          <cell r="D51">
            <v>190</v>
          </cell>
        </row>
        <row r="52">
          <cell r="A52" t="str">
            <v>1210A</v>
          </cell>
          <cell r="B52" t="str">
            <v>11 WAY PVC DUCT IN CONCRETE</v>
          </cell>
          <cell r="C52" t="str">
            <v>M</v>
          </cell>
          <cell r="D52">
            <v>265</v>
          </cell>
        </row>
        <row r="53">
          <cell r="A53">
            <v>1212</v>
          </cell>
          <cell r="B53" t="str">
            <v xml:space="preserve">12 - WAY PVC DUCT IN CONCRETE    </v>
          </cell>
          <cell r="C53" t="str">
            <v>Mtr</v>
          </cell>
          <cell r="D53">
            <v>225</v>
          </cell>
        </row>
        <row r="54">
          <cell r="A54">
            <v>1216</v>
          </cell>
          <cell r="B54" t="str">
            <v xml:space="preserve">16 - WAY PVC DUCT IN CONCRETE    </v>
          </cell>
          <cell r="C54" t="str">
            <v>Mtr</v>
          </cell>
          <cell r="D54">
            <v>281</v>
          </cell>
        </row>
        <row r="55">
          <cell r="A55">
            <v>1220</v>
          </cell>
          <cell r="B55" t="str">
            <v xml:space="preserve">20 - WAY PVC DUCT IN CONCRETE    </v>
          </cell>
          <cell r="C55" t="str">
            <v>Mtr</v>
          </cell>
          <cell r="D55">
            <v>338</v>
          </cell>
        </row>
        <row r="56">
          <cell r="A56">
            <v>1224</v>
          </cell>
          <cell r="B56" t="str">
            <v xml:space="preserve">24 - WAY PVC DUCT IN CONCRETE    </v>
          </cell>
          <cell r="C56" t="str">
            <v>Mtr</v>
          </cell>
          <cell r="D56">
            <v>394</v>
          </cell>
        </row>
        <row r="57">
          <cell r="A57">
            <v>1228</v>
          </cell>
          <cell r="B57" t="str">
            <v xml:space="preserve">28 - WAY PVC DUCT IN CONCRETE    </v>
          </cell>
          <cell r="C57" t="str">
            <v>Mtr</v>
          </cell>
          <cell r="D57">
            <v>450</v>
          </cell>
        </row>
        <row r="58">
          <cell r="A58">
            <v>1232</v>
          </cell>
          <cell r="B58" t="str">
            <v xml:space="preserve">32 - WAY PVC DUCT IN CONCRETE    </v>
          </cell>
          <cell r="C58" t="str">
            <v>Mtr</v>
          </cell>
          <cell r="D58">
            <v>506</v>
          </cell>
        </row>
        <row r="59">
          <cell r="A59">
            <v>1236</v>
          </cell>
          <cell r="B59" t="str">
            <v xml:space="preserve">36 - WAY PVC DUCT IN CONCRETE    </v>
          </cell>
          <cell r="C59" t="str">
            <v>Mtr</v>
          </cell>
          <cell r="D59">
            <v>544</v>
          </cell>
        </row>
        <row r="60">
          <cell r="A60">
            <v>1240</v>
          </cell>
          <cell r="B60" t="str">
            <v xml:space="preserve">40 - WAY PVC DUCT IN CONCRETE    </v>
          </cell>
          <cell r="C60" t="str">
            <v>Mtr</v>
          </cell>
          <cell r="D60">
            <v>619</v>
          </cell>
        </row>
        <row r="61">
          <cell r="A61">
            <v>1244</v>
          </cell>
          <cell r="B61" t="str">
            <v xml:space="preserve">44 - WAY PVC DUCT IN CONCRETE    </v>
          </cell>
          <cell r="C61" t="str">
            <v>Mtr</v>
          </cell>
          <cell r="D61">
            <v>675</v>
          </cell>
        </row>
        <row r="62">
          <cell r="A62">
            <v>1248</v>
          </cell>
          <cell r="B62" t="str">
            <v xml:space="preserve">48 - WAY PVC DUCT IN CONCRETE    </v>
          </cell>
          <cell r="C62" t="str">
            <v>Mtr</v>
          </cell>
          <cell r="D62">
            <v>731</v>
          </cell>
        </row>
        <row r="63">
          <cell r="A63">
            <v>1281</v>
          </cell>
          <cell r="B63" t="str">
            <v>CONDUIT SYST.ENCASE IN REINF.CONCR.</v>
          </cell>
          <cell r="C63" t="str">
            <v>Sq.m.</v>
          </cell>
          <cell r="D63">
            <v>56</v>
          </cell>
        </row>
        <row r="64">
          <cell r="A64">
            <v>1291</v>
          </cell>
          <cell r="B64" t="str">
            <v>STEEL PIPE IN CONCRETE</v>
          </cell>
          <cell r="C64" t="str">
            <v>Mtr</v>
          </cell>
          <cell r="D64">
            <v>38</v>
          </cell>
        </row>
        <row r="65">
          <cell r="A65">
            <v>1302</v>
          </cell>
          <cell r="B65" t="str">
            <v xml:space="preserve">2    WAY PVC DUCT IN SAND </v>
          </cell>
          <cell r="C65" t="str">
            <v>Mtr</v>
          </cell>
          <cell r="D65">
            <v>56</v>
          </cell>
        </row>
        <row r="66">
          <cell r="A66">
            <v>1304</v>
          </cell>
          <cell r="B66" t="str">
            <v>4    WAY PVC DUCT IN SAND</v>
          </cell>
          <cell r="C66" t="str">
            <v>Mtr</v>
          </cell>
          <cell r="D66">
            <v>75</v>
          </cell>
        </row>
        <row r="67">
          <cell r="A67">
            <v>1306</v>
          </cell>
          <cell r="B67" t="str">
            <v>6    WAY PVC DUCT IN SAND</v>
          </cell>
          <cell r="C67" t="str">
            <v>Mtr</v>
          </cell>
          <cell r="D67">
            <v>86</v>
          </cell>
        </row>
        <row r="68">
          <cell r="A68">
            <v>1308</v>
          </cell>
          <cell r="B68" t="str">
            <v>8    WAY PVC DUCT IN SAND</v>
          </cell>
          <cell r="C68" t="str">
            <v>Mtr</v>
          </cell>
          <cell r="D68">
            <v>116</v>
          </cell>
        </row>
        <row r="69">
          <cell r="A69">
            <v>1312</v>
          </cell>
          <cell r="B69" t="str">
            <v>12  WAY PVC DUCT IN SAND</v>
          </cell>
          <cell r="C69" t="str">
            <v>Mtr</v>
          </cell>
          <cell r="D69">
            <v>161</v>
          </cell>
        </row>
        <row r="70">
          <cell r="A70">
            <v>1401</v>
          </cell>
          <cell r="B70" t="str">
            <v>INST.  MANHOLE,  TYPE  "A"</v>
          </cell>
          <cell r="C70" t="str">
            <v>Each</v>
          </cell>
          <cell r="D70">
            <v>5438</v>
          </cell>
        </row>
        <row r="71">
          <cell r="A71" t="str">
            <v>1401A</v>
          </cell>
          <cell r="B71" t="str">
            <v>INST.  MANHOLE,  TYPE  "A"</v>
          </cell>
          <cell r="C71" t="str">
            <v>Each</v>
          </cell>
          <cell r="D71">
            <v>12900</v>
          </cell>
        </row>
        <row r="72">
          <cell r="A72">
            <v>1402</v>
          </cell>
          <cell r="B72" t="str">
            <v>INST.  MANHOLE,  TYPE  "B"</v>
          </cell>
          <cell r="C72" t="str">
            <v>Each</v>
          </cell>
          <cell r="D72">
            <v>6375</v>
          </cell>
        </row>
        <row r="73">
          <cell r="A73" t="str">
            <v>1402A</v>
          </cell>
          <cell r="B73" t="str">
            <v>INST.  MANHOLE,  TYPE  "B"</v>
          </cell>
          <cell r="C73" t="str">
            <v>Each</v>
          </cell>
          <cell r="D73">
            <v>17100</v>
          </cell>
        </row>
        <row r="74">
          <cell r="A74">
            <v>1403</v>
          </cell>
          <cell r="B74" t="str">
            <v>INST.  MANHOLE,  TYPE  "C"</v>
          </cell>
          <cell r="C74" t="str">
            <v>Each</v>
          </cell>
          <cell r="D74">
            <v>7500</v>
          </cell>
        </row>
        <row r="75">
          <cell r="A75">
            <v>1404</v>
          </cell>
          <cell r="B75" t="str">
            <v>INST.  MANHOLE,  TYPE  "D"</v>
          </cell>
          <cell r="C75" t="str">
            <v>Each</v>
          </cell>
          <cell r="D75">
            <v>8438</v>
          </cell>
        </row>
        <row r="76">
          <cell r="A76">
            <v>1412</v>
          </cell>
          <cell r="B76" t="str">
            <v>INST. HANDHOLE, 2 COVER</v>
          </cell>
          <cell r="C76" t="str">
            <v>Each</v>
          </cell>
          <cell r="D76">
            <v>1219</v>
          </cell>
        </row>
        <row r="77">
          <cell r="A77">
            <v>1413</v>
          </cell>
          <cell r="B77" t="str">
            <v>INST. HANDHOLE, 3 COVER</v>
          </cell>
          <cell r="C77" t="str">
            <v>Each</v>
          </cell>
          <cell r="D77">
            <v>1410</v>
          </cell>
        </row>
        <row r="78">
          <cell r="A78">
            <v>1414</v>
          </cell>
          <cell r="B78" t="str">
            <v>INST. HANDHOLE, 4 COVER</v>
          </cell>
          <cell r="C78" t="str">
            <v>Each</v>
          </cell>
          <cell r="D78">
            <v>1763</v>
          </cell>
        </row>
        <row r="79">
          <cell r="A79">
            <v>1415</v>
          </cell>
          <cell r="B79" t="str">
            <v>INST. PREFORM. HANDHOLE, 1.5 X 1.0 M</v>
          </cell>
          <cell r="C79" t="str">
            <v>Each</v>
          </cell>
          <cell r="D79">
            <v>3300</v>
          </cell>
        </row>
        <row r="80">
          <cell r="A80">
            <v>1416</v>
          </cell>
          <cell r="B80" t="str">
            <v>INST. PREFORM. HANDHOLE, 1.2 X 0.6 M</v>
          </cell>
          <cell r="C80" t="str">
            <v>Each</v>
          </cell>
          <cell r="D80">
            <v>2831</v>
          </cell>
        </row>
        <row r="81">
          <cell r="A81">
            <v>1421</v>
          </cell>
          <cell r="B81" t="str">
            <v>CONSTR., IN-SITU BUILT MANHOLE,  "A"</v>
          </cell>
          <cell r="C81" t="str">
            <v>Each</v>
          </cell>
          <cell r="D81">
            <v>15000</v>
          </cell>
        </row>
        <row r="82">
          <cell r="A82">
            <v>1422</v>
          </cell>
          <cell r="B82" t="str">
            <v>CONSTR., IN-SITU BUILT MANHOLE,  "B"</v>
          </cell>
          <cell r="C82" t="str">
            <v>Each</v>
          </cell>
          <cell r="D82">
            <v>18750</v>
          </cell>
        </row>
        <row r="83">
          <cell r="A83">
            <v>1423</v>
          </cell>
          <cell r="B83" t="str">
            <v>CONSTR., IN-SITU BUILT MANHOLE,  "C"</v>
          </cell>
          <cell r="C83" t="str">
            <v>Each</v>
          </cell>
          <cell r="D83">
            <v>21750</v>
          </cell>
        </row>
        <row r="84">
          <cell r="A84">
            <v>1424</v>
          </cell>
          <cell r="B84" t="str">
            <v>CONSTR., IN-SITU BUILT MANHOLE,  "D"</v>
          </cell>
          <cell r="C84" t="str">
            <v>Each</v>
          </cell>
          <cell r="D84">
            <v>28500</v>
          </cell>
        </row>
        <row r="85">
          <cell r="A85">
            <v>1451</v>
          </cell>
          <cell r="B85" t="str">
            <v>IN-SITU CONSTR. REPLACE.MANHOLE "A"</v>
          </cell>
          <cell r="C85" t="str">
            <v>Each</v>
          </cell>
          <cell r="D85">
            <v>18563</v>
          </cell>
        </row>
        <row r="86">
          <cell r="A86">
            <v>1452</v>
          </cell>
          <cell r="B86" t="str">
            <v>IN-SITU CONSTR. REPLACE.MANHOLE "B"</v>
          </cell>
          <cell r="C86" t="str">
            <v>Each</v>
          </cell>
          <cell r="D86">
            <v>22114</v>
          </cell>
        </row>
        <row r="87">
          <cell r="A87">
            <v>1453</v>
          </cell>
          <cell r="B87" t="str">
            <v>IN-SITU CONSTR. REPLACE.MANHOLE "C"</v>
          </cell>
          <cell r="C87" t="str">
            <v>Each</v>
          </cell>
          <cell r="D87">
            <v>25088</v>
          </cell>
        </row>
        <row r="88">
          <cell r="A88">
            <v>1454</v>
          </cell>
          <cell r="B88" t="str">
            <v>IN-SITU CONSTR. REPLACE.MANHOLE "D"</v>
          </cell>
          <cell r="C88" t="str">
            <v>Each</v>
          </cell>
          <cell r="D88">
            <v>31763</v>
          </cell>
        </row>
        <row r="89">
          <cell r="A89">
            <v>1480</v>
          </cell>
          <cell r="B89" t="str">
            <v>MAKING NEW DUCT ENTRIES TO MH &amp; HH</v>
          </cell>
          <cell r="C89" t="str">
            <v>Each</v>
          </cell>
          <cell r="D89">
            <v>316</v>
          </cell>
        </row>
        <row r="90">
          <cell r="A90">
            <v>1501</v>
          </cell>
          <cell r="B90" t="str">
            <v>CABLE BOX BRIDGE CROSSING, 80x80mm</v>
          </cell>
          <cell r="C90" t="str">
            <v>Mtr</v>
          </cell>
          <cell r="D90">
            <v>173</v>
          </cell>
        </row>
        <row r="91">
          <cell r="A91">
            <v>1502</v>
          </cell>
          <cell r="B91" t="str">
            <v>CABLE BOX BRIDGE CROSSING, 120x120mm</v>
          </cell>
          <cell r="C91" t="str">
            <v>Mtr</v>
          </cell>
          <cell r="D91">
            <v>188</v>
          </cell>
        </row>
        <row r="92">
          <cell r="A92">
            <v>1512</v>
          </cell>
          <cell r="B92" t="str">
            <v>2 WAY STEEL PIPE BRIDGE CROSSING</v>
          </cell>
          <cell r="C92" t="str">
            <v>Mtr</v>
          </cell>
          <cell r="D92">
            <v>225</v>
          </cell>
        </row>
        <row r="93">
          <cell r="A93">
            <v>1514</v>
          </cell>
          <cell r="B93" t="str">
            <v>4 WAY STEEL PIPE BRIDGE CROSSING</v>
          </cell>
          <cell r="C93" t="str">
            <v>Mtr</v>
          </cell>
          <cell r="D93">
            <v>368</v>
          </cell>
        </row>
        <row r="94">
          <cell r="A94">
            <v>1516</v>
          </cell>
          <cell r="B94" t="str">
            <v>6 WAY STEEL PIPE BRIDGE CROSSING</v>
          </cell>
          <cell r="C94" t="str">
            <v>Mtr</v>
          </cell>
          <cell r="D94">
            <v>446</v>
          </cell>
        </row>
        <row r="95">
          <cell r="A95">
            <v>1522</v>
          </cell>
          <cell r="B95" t="str">
            <v>2 WAY EPOXY  PIPE BRIDGE CROSSING</v>
          </cell>
          <cell r="C95" t="str">
            <v>Mtr</v>
          </cell>
          <cell r="D95">
            <v>225</v>
          </cell>
        </row>
        <row r="96">
          <cell r="A96">
            <v>1524</v>
          </cell>
          <cell r="B96" t="str">
            <v>4 WAY EPOXY  PIPE BRIDGE CROSSING</v>
          </cell>
          <cell r="C96" t="str">
            <v>Mtr</v>
          </cell>
          <cell r="D96">
            <v>413</v>
          </cell>
        </row>
        <row r="97">
          <cell r="A97">
            <v>1526</v>
          </cell>
          <cell r="B97" t="str">
            <v>6 WAY EPOXY  PIPE BRIDGE CROSSING</v>
          </cell>
          <cell r="C97" t="str">
            <v>Mtr</v>
          </cell>
          <cell r="D97">
            <v>566</v>
          </cell>
        </row>
        <row r="98">
          <cell r="A98">
            <v>1532</v>
          </cell>
          <cell r="B98" t="str">
            <v>2 WAY  PVC, PIPE BRIDGE CROSSING</v>
          </cell>
          <cell r="C98" t="str">
            <v>Mtr</v>
          </cell>
          <cell r="D98">
            <v>206</v>
          </cell>
        </row>
        <row r="99">
          <cell r="A99">
            <v>1534</v>
          </cell>
          <cell r="B99" t="str">
            <v>4 WAY  PVC, PIPE BRIDGE CROSSING</v>
          </cell>
          <cell r="C99" t="str">
            <v>Mtr</v>
          </cell>
          <cell r="D99">
            <v>344</v>
          </cell>
        </row>
        <row r="100">
          <cell r="A100">
            <v>1536</v>
          </cell>
          <cell r="B100" t="str">
            <v>6 WAY  PVC, PIPE BRIDGE CROSSING</v>
          </cell>
          <cell r="C100" t="str">
            <v>Mtr</v>
          </cell>
          <cell r="D100">
            <v>473</v>
          </cell>
        </row>
        <row r="101">
          <cell r="A101">
            <v>1561</v>
          </cell>
          <cell r="B101" t="str">
            <v>SUPPLY CONCRETE &amp; INSTALL 300 pair  CABINET BASE</v>
          </cell>
          <cell r="C101" t="str">
            <v>Each</v>
          </cell>
          <cell r="D101">
            <v>938</v>
          </cell>
        </row>
        <row r="102">
          <cell r="A102">
            <v>1562</v>
          </cell>
          <cell r="B102" t="str">
            <v>SUPPLY CONCRETE &amp; INSTALL 900 pair  CABINET BASE</v>
          </cell>
          <cell r="C102" t="str">
            <v>Each</v>
          </cell>
          <cell r="D102">
            <v>1125</v>
          </cell>
        </row>
        <row r="103">
          <cell r="A103">
            <v>1563</v>
          </cell>
          <cell r="B103" t="str">
            <v>SUPPLY CONCRETE &amp; INSTALL 1200 pair  CABINET BASE</v>
          </cell>
          <cell r="C103" t="str">
            <v>Each</v>
          </cell>
          <cell r="D103">
            <v>1313</v>
          </cell>
        </row>
        <row r="104">
          <cell r="A104">
            <v>1564</v>
          </cell>
          <cell r="B104" t="str">
            <v>SUPPLY CONCRETE &amp; INSTALL 1800 pair  CABINET BASE</v>
          </cell>
          <cell r="C104" t="str">
            <v>Each</v>
          </cell>
          <cell r="D104">
            <v>2404</v>
          </cell>
        </row>
        <row r="105">
          <cell r="A105">
            <v>1565</v>
          </cell>
          <cell r="B105" t="str">
            <v>SUPPLY CONCRETE &amp; INSTALL 2700 pair  CABINET BASE</v>
          </cell>
          <cell r="C105" t="str">
            <v>Each</v>
          </cell>
          <cell r="D105">
            <v>2820</v>
          </cell>
        </row>
        <row r="106">
          <cell r="A106">
            <v>1581</v>
          </cell>
          <cell r="B106" t="str">
            <v>SUPPL. &amp; INST. PROTECTION POST  150mm</v>
          </cell>
          <cell r="C106" t="str">
            <v>Each</v>
          </cell>
          <cell r="D106">
            <v>281</v>
          </cell>
        </row>
        <row r="107">
          <cell r="A107">
            <v>1583</v>
          </cell>
          <cell r="B107" t="str">
            <v>SUPPL. &amp; INST. PROTECTION POST  300mm</v>
          </cell>
          <cell r="C107" t="str">
            <v>Each</v>
          </cell>
          <cell r="D107">
            <v>356</v>
          </cell>
        </row>
        <row r="108">
          <cell r="A108">
            <v>1701</v>
          </cell>
          <cell r="B108" t="str">
            <v>WALL FIXED HORIZONTAL JOINTING RACK</v>
          </cell>
          <cell r="C108" t="str">
            <v>Mtr</v>
          </cell>
          <cell r="D108">
            <v>167</v>
          </cell>
        </row>
        <row r="109">
          <cell r="A109">
            <v>1702</v>
          </cell>
          <cell r="B109" t="str">
            <v>WALL FIXED VERTICAL JOINTING RACK</v>
          </cell>
          <cell r="C109" t="str">
            <v>Mtr</v>
          </cell>
          <cell r="D109">
            <v>155</v>
          </cell>
        </row>
        <row r="110">
          <cell r="A110">
            <v>1703</v>
          </cell>
          <cell r="B110" t="str">
            <v>FLOOR/CEILING FIXED HORIZ. JOINTING. RACK</v>
          </cell>
          <cell r="C110" t="str">
            <v>Mtr</v>
          </cell>
          <cell r="D110">
            <v>221</v>
          </cell>
        </row>
        <row r="111">
          <cell r="A111">
            <v>1704</v>
          </cell>
          <cell r="B111" t="str">
            <v>FLOOR/CEILING FIXED VERT. JOINTING. RACK</v>
          </cell>
          <cell r="C111" t="str">
            <v>Mtr</v>
          </cell>
          <cell r="D111">
            <v>206</v>
          </cell>
        </row>
        <row r="112">
          <cell r="A112">
            <v>1711</v>
          </cell>
          <cell r="B112" t="str">
            <v>FL./WALL FX. OUTD. CABLE SUPP. LADDERS</v>
          </cell>
          <cell r="C112" t="str">
            <v>Mtr</v>
          </cell>
          <cell r="D112">
            <v>200</v>
          </cell>
        </row>
        <row r="113">
          <cell r="A113">
            <v>1721</v>
          </cell>
          <cell r="B113" t="str">
            <v>HOR/VERT  INDOOR CABLE LADDER OR TRAY</v>
          </cell>
          <cell r="C113" t="str">
            <v>Mtr</v>
          </cell>
          <cell r="D113">
            <v>188</v>
          </cell>
        </row>
        <row r="114">
          <cell r="A114">
            <v>1731</v>
          </cell>
          <cell r="B114" t="str">
            <v>WALL FIXED CABLE BRACKET - 1000mm</v>
          </cell>
          <cell r="C114" t="str">
            <v>Each</v>
          </cell>
          <cell r="D114">
            <v>79</v>
          </cell>
        </row>
        <row r="115">
          <cell r="A115">
            <v>1732</v>
          </cell>
          <cell r="B115" t="str">
            <v>WALL FIXED CABLE BRACKET - 1500mm</v>
          </cell>
          <cell r="C115" t="str">
            <v>Each</v>
          </cell>
          <cell r="D115">
            <v>79</v>
          </cell>
        </row>
        <row r="116">
          <cell r="A116">
            <v>1733</v>
          </cell>
          <cell r="B116" t="str">
            <v>WALL FIXED CABLE BRACKET - 1800mm</v>
          </cell>
          <cell r="C116" t="str">
            <v>Each</v>
          </cell>
          <cell r="D116">
            <v>79</v>
          </cell>
        </row>
        <row r="117">
          <cell r="A117">
            <v>1734</v>
          </cell>
          <cell r="B117" t="str">
            <v>WALL FIXED CABLE BRACKET - 2300mm</v>
          </cell>
          <cell r="C117" t="str">
            <v>Each</v>
          </cell>
          <cell r="D117">
            <v>79</v>
          </cell>
        </row>
        <row r="118">
          <cell r="A118">
            <v>1741</v>
          </cell>
          <cell r="B118" t="str">
            <v>STANDARD CABLE BEARER - 250mm</v>
          </cell>
          <cell r="C118" t="str">
            <v>Each</v>
          </cell>
          <cell r="D118">
            <v>45</v>
          </cell>
        </row>
        <row r="119">
          <cell r="A119">
            <v>1742</v>
          </cell>
          <cell r="B119" t="str">
            <v>STANDARD CABLE BEARER - 350mm</v>
          </cell>
          <cell r="C119" t="str">
            <v>Each</v>
          </cell>
          <cell r="D119">
            <v>45</v>
          </cell>
        </row>
        <row r="120">
          <cell r="A120">
            <v>1743</v>
          </cell>
          <cell r="B120" t="str">
            <v>STANDARD CABLE BEARER - 500mm</v>
          </cell>
          <cell r="C120" t="str">
            <v>Each</v>
          </cell>
          <cell r="D120">
            <v>45</v>
          </cell>
        </row>
        <row r="121">
          <cell r="A121">
            <v>1750</v>
          </cell>
          <cell r="B121" t="str">
            <v>STANDARD MDF EXTENSION</v>
          </cell>
          <cell r="C121" t="str">
            <v>Each</v>
          </cell>
          <cell r="D121">
            <v>2813</v>
          </cell>
        </row>
        <row r="122">
          <cell r="A122">
            <v>1761</v>
          </cell>
          <cell r="B122" t="str">
            <v>CABLE ACCESS HOLE TO MDF</v>
          </cell>
          <cell r="C122" t="str">
            <v>Each</v>
          </cell>
          <cell r="D122">
            <v>319</v>
          </cell>
        </row>
        <row r="123">
          <cell r="A123">
            <v>1762</v>
          </cell>
          <cell r="B123" t="str">
            <v>CUT.ACCESS HOLE THRU BLOCK WALL</v>
          </cell>
          <cell r="C123" t="str">
            <v>100cm2</v>
          </cell>
          <cell r="D123">
            <v>206</v>
          </cell>
        </row>
        <row r="124">
          <cell r="A124">
            <v>1763</v>
          </cell>
          <cell r="B124" t="str">
            <v>CUT CABLE ACCESS HOLE THRU CONCRE.WALL</v>
          </cell>
          <cell r="C124" t="str">
            <v>100cm2</v>
          </cell>
          <cell r="D124">
            <v>281</v>
          </cell>
        </row>
        <row r="125">
          <cell r="A125">
            <v>1771</v>
          </cell>
          <cell r="B125" t="str">
            <v>MAKING NEW DUCT ENTRIES TO CABLE.VAULT</v>
          </cell>
          <cell r="C125" t="str">
            <v>Mtr</v>
          </cell>
          <cell r="D125">
            <v>281</v>
          </cell>
        </row>
        <row r="126">
          <cell r="A126">
            <v>1801</v>
          </cell>
          <cell r="B126" t="str">
            <v>INST.  STEEL POLE,   8 m.</v>
          </cell>
          <cell r="C126" t="str">
            <v>Each</v>
          </cell>
          <cell r="D126">
            <v>581</v>
          </cell>
        </row>
        <row r="127">
          <cell r="A127">
            <v>1802</v>
          </cell>
          <cell r="B127" t="str">
            <v>INST.  STEEL POLE,   9 m.</v>
          </cell>
          <cell r="C127" t="str">
            <v>Each</v>
          </cell>
          <cell r="D127">
            <v>596</v>
          </cell>
        </row>
        <row r="128">
          <cell r="A128">
            <v>1803</v>
          </cell>
          <cell r="B128" t="str">
            <v>INST.  STEEL POLE, 10 m.</v>
          </cell>
          <cell r="C128" t="str">
            <v>Each</v>
          </cell>
          <cell r="D128">
            <v>611</v>
          </cell>
        </row>
        <row r="129">
          <cell r="A129">
            <v>1806</v>
          </cell>
          <cell r="B129" t="str">
            <v>INST.  WOOD POLE,  8 m.</v>
          </cell>
          <cell r="C129" t="str">
            <v>Each</v>
          </cell>
          <cell r="D129">
            <v>424</v>
          </cell>
        </row>
        <row r="130">
          <cell r="A130">
            <v>1807</v>
          </cell>
          <cell r="B130" t="str">
            <v>INST.  WOOD POLE,  9 m.</v>
          </cell>
          <cell r="C130" t="str">
            <v>Each</v>
          </cell>
          <cell r="D130">
            <v>294</v>
          </cell>
        </row>
        <row r="131">
          <cell r="A131">
            <v>1808</v>
          </cell>
          <cell r="B131" t="str">
            <v>INST.  WOOD POLE, 10 m.</v>
          </cell>
          <cell r="C131" t="str">
            <v>Each</v>
          </cell>
          <cell r="D131">
            <v>330</v>
          </cell>
        </row>
        <row r="132">
          <cell r="A132">
            <v>1811</v>
          </cell>
          <cell r="B132" t="str">
            <v>INST. 7/2.0mm STAY WIRE</v>
          </cell>
          <cell r="C132" t="str">
            <v>Each</v>
          </cell>
          <cell r="D132">
            <v>319</v>
          </cell>
        </row>
        <row r="133">
          <cell r="A133">
            <v>1812</v>
          </cell>
          <cell r="B133" t="str">
            <v>INST. 7/3.0mm STAY WIRE</v>
          </cell>
          <cell r="C133" t="str">
            <v>Each</v>
          </cell>
          <cell r="D133">
            <v>375</v>
          </cell>
        </row>
        <row r="134">
          <cell r="A134">
            <v>1821</v>
          </cell>
          <cell r="B134" t="str">
            <v>INST.7/2.0mm  POLE TO POLE STAY  WIRE</v>
          </cell>
          <cell r="C134" t="str">
            <v>Each</v>
          </cell>
          <cell r="D134">
            <v>304</v>
          </cell>
        </row>
        <row r="135">
          <cell r="A135">
            <v>1822</v>
          </cell>
          <cell r="B135" t="str">
            <v>INST.7/3.0mm  POLE TO POLE STAY  WIRE</v>
          </cell>
          <cell r="C135" t="str">
            <v>Each</v>
          </cell>
          <cell r="D135">
            <v>321</v>
          </cell>
        </row>
        <row r="136">
          <cell r="A136">
            <v>1831</v>
          </cell>
          <cell r="B136" t="str">
            <v>INST.   8 M. STEEL STRUT.</v>
          </cell>
          <cell r="C136" t="str">
            <v>Each</v>
          </cell>
          <cell r="D136">
            <v>373</v>
          </cell>
        </row>
        <row r="137">
          <cell r="A137">
            <v>1832</v>
          </cell>
          <cell r="B137" t="str">
            <v>INST.   9 M. STEEL STRUT.</v>
          </cell>
          <cell r="C137" t="str">
            <v>Each</v>
          </cell>
          <cell r="D137">
            <v>398</v>
          </cell>
        </row>
        <row r="138">
          <cell r="A138">
            <v>1833</v>
          </cell>
          <cell r="B138" t="str">
            <v>INST. 10 M. STEEL STRUT.</v>
          </cell>
          <cell r="C138" t="str">
            <v>Each</v>
          </cell>
          <cell r="D138">
            <v>428</v>
          </cell>
        </row>
        <row r="139">
          <cell r="A139">
            <v>1836</v>
          </cell>
          <cell r="B139" t="str">
            <v>INST.   8 M. WOOD STRUT.</v>
          </cell>
          <cell r="C139" t="str">
            <v>Each</v>
          </cell>
          <cell r="D139">
            <v>321</v>
          </cell>
        </row>
        <row r="140">
          <cell r="A140">
            <v>1837</v>
          </cell>
          <cell r="B140" t="str">
            <v>INST.   9 M. WOOD STRUT.</v>
          </cell>
          <cell r="C140" t="str">
            <v>Each</v>
          </cell>
          <cell r="D140">
            <v>351</v>
          </cell>
        </row>
        <row r="141">
          <cell r="A141">
            <v>1838</v>
          </cell>
          <cell r="B141" t="str">
            <v>INST. 10 M. WOOD STRUT.</v>
          </cell>
          <cell r="C141" t="str">
            <v>Each</v>
          </cell>
          <cell r="D141">
            <v>409</v>
          </cell>
        </row>
        <row r="142">
          <cell r="A142">
            <v>1851</v>
          </cell>
          <cell r="B142" t="str">
            <v>SUPPL. &amp; INST.  EARTH. SYST.  STEEL POLE</v>
          </cell>
          <cell r="C142" t="str">
            <v>Each</v>
          </cell>
          <cell r="D142">
            <v>375</v>
          </cell>
        </row>
        <row r="143">
          <cell r="A143">
            <v>1852</v>
          </cell>
          <cell r="B143" t="str">
            <v>SUPPL.&amp; INSTAL EARTH SYST.WOODPOLE</v>
          </cell>
          <cell r="C143" t="str">
            <v>Each</v>
          </cell>
          <cell r="D143">
            <v>244</v>
          </cell>
        </row>
        <row r="144">
          <cell r="A144">
            <v>2001</v>
          </cell>
          <cell r="B144" t="str">
            <v>CABLE TRENCH,    500 mm COVER</v>
          </cell>
          <cell r="C144" t="str">
            <v>Mtr</v>
          </cell>
          <cell r="D144">
            <v>21</v>
          </cell>
        </row>
        <row r="145">
          <cell r="A145">
            <v>2003</v>
          </cell>
          <cell r="B145" t="str">
            <v>CABLE TRENCH,    720 mm COVER</v>
          </cell>
          <cell r="C145" t="str">
            <v>Mtr</v>
          </cell>
          <cell r="D145">
            <v>24</v>
          </cell>
        </row>
        <row r="146">
          <cell r="A146">
            <v>2004</v>
          </cell>
          <cell r="B146" t="str">
            <v>CABLE TRENCH,  1000 mm COVER</v>
          </cell>
          <cell r="C146" t="str">
            <v>Mtr</v>
          </cell>
          <cell r="D146">
            <v>30</v>
          </cell>
        </row>
        <row r="147">
          <cell r="A147">
            <v>2006</v>
          </cell>
          <cell r="B147" t="str">
            <v>CABLE TRENCH,  1200 mm COVER</v>
          </cell>
          <cell r="C147" t="str">
            <v>Mtr</v>
          </cell>
          <cell r="D147">
            <v>35</v>
          </cell>
        </row>
        <row r="148">
          <cell r="A148">
            <v>2011</v>
          </cell>
          <cell r="B148" t="str">
            <v>TRENCH O. EXIST. ROUTE DEPTH TO 600mm</v>
          </cell>
          <cell r="C148" t="str">
            <v>Mtr</v>
          </cell>
          <cell r="D148">
            <v>26</v>
          </cell>
        </row>
        <row r="149">
          <cell r="A149">
            <v>2012</v>
          </cell>
          <cell r="B149" t="str">
            <v>TRENCH O. EXIST. ROUTE  &gt; 600mm-800mm</v>
          </cell>
          <cell r="C149" t="str">
            <v>Mtr</v>
          </cell>
          <cell r="D149">
            <v>32</v>
          </cell>
        </row>
        <row r="150">
          <cell r="A150">
            <v>2013</v>
          </cell>
          <cell r="B150" t="str">
            <v>TRENCH O. EXIST. ROUTE  &gt; 800mm-1000mm</v>
          </cell>
          <cell r="C150" t="str">
            <v>Mtr</v>
          </cell>
          <cell r="D150">
            <v>37</v>
          </cell>
        </row>
        <row r="151">
          <cell r="A151">
            <v>2014</v>
          </cell>
          <cell r="B151" t="str">
            <v>TRENCH O. EXIST. ROUTE  &gt; 1000mm-1200mm</v>
          </cell>
          <cell r="C151" t="str">
            <v>Mtr</v>
          </cell>
          <cell r="D151">
            <v>45</v>
          </cell>
        </row>
        <row r="152">
          <cell r="A152">
            <v>2017</v>
          </cell>
          <cell r="B152" t="str">
            <v>EXCVN.JOINT PIT OVER EXIST.CABLE</v>
          </cell>
          <cell r="C152" t="str">
            <v>Each</v>
          </cell>
          <cell r="D152">
            <v>225</v>
          </cell>
        </row>
        <row r="153">
          <cell r="A153">
            <v>2018</v>
          </cell>
          <cell r="B153" t="str">
            <v>Locate &amp; Install BSW</v>
          </cell>
          <cell r="C153" t="str">
            <v>Each</v>
          </cell>
          <cell r="D153">
            <v>250</v>
          </cell>
        </row>
        <row r="154">
          <cell r="A154">
            <v>2101</v>
          </cell>
          <cell r="B154" t="str">
            <v>INST. DIRECT BURIED CABLE  GROUP  1</v>
          </cell>
          <cell r="C154" t="str">
            <v>Mtr</v>
          </cell>
          <cell r="D154">
            <v>2</v>
          </cell>
        </row>
        <row r="155">
          <cell r="A155">
            <v>2102</v>
          </cell>
          <cell r="B155" t="str">
            <v>INST. DIRECT BURIED CABLE  GROUP  2</v>
          </cell>
          <cell r="C155" t="str">
            <v>Mtr</v>
          </cell>
          <cell r="D155">
            <v>2</v>
          </cell>
        </row>
        <row r="156">
          <cell r="A156">
            <v>2103</v>
          </cell>
          <cell r="B156" t="str">
            <v>INST. DIRECT BURIED CABLE  GROUP  3</v>
          </cell>
          <cell r="C156" t="str">
            <v>Mtr</v>
          </cell>
          <cell r="D156">
            <v>2</v>
          </cell>
        </row>
        <row r="157">
          <cell r="A157">
            <v>2104</v>
          </cell>
          <cell r="B157" t="str">
            <v>INST. DIRECT BURIED CABLE  GROUP  4</v>
          </cell>
          <cell r="C157" t="str">
            <v>Mtr</v>
          </cell>
          <cell r="D157">
            <v>3</v>
          </cell>
        </row>
        <row r="158">
          <cell r="A158">
            <v>2105</v>
          </cell>
          <cell r="B158" t="str">
            <v>INST. DIRECT BURIED CABLE  GROUP  5</v>
          </cell>
          <cell r="C158" t="str">
            <v>Mtr</v>
          </cell>
          <cell r="D158">
            <v>4</v>
          </cell>
        </row>
        <row r="159">
          <cell r="A159">
            <v>2106</v>
          </cell>
          <cell r="B159" t="str">
            <v>INST. DIRECT BURIED CABLE  GROUP  6</v>
          </cell>
          <cell r="C159" t="str">
            <v>Mtr</v>
          </cell>
          <cell r="D159">
            <v>4</v>
          </cell>
        </row>
        <row r="160">
          <cell r="A160">
            <v>2109</v>
          </cell>
          <cell r="B160" t="str">
            <v>INST. BURIED   SERVICE  WIRE IN OPEN TRENCH</v>
          </cell>
          <cell r="C160" t="str">
            <v>Mtr</v>
          </cell>
          <cell r="D160">
            <v>1</v>
          </cell>
        </row>
        <row r="161">
          <cell r="A161">
            <v>2111</v>
          </cell>
          <cell r="B161" t="str">
            <v>INST. CABLE TRENCH OPENED BY OTHERS</v>
          </cell>
          <cell r="C161" t="str">
            <v>Mtr</v>
          </cell>
          <cell r="D161">
            <v>5</v>
          </cell>
        </row>
        <row r="162">
          <cell r="A162">
            <v>2121</v>
          </cell>
          <cell r="B162" t="str">
            <v>INST. LIGHTN. PROT. WIRE, IN OPEN TRENCH</v>
          </cell>
          <cell r="C162" t="str">
            <v>Mtr</v>
          </cell>
          <cell r="D162">
            <v>9</v>
          </cell>
        </row>
        <row r="163">
          <cell r="A163">
            <v>2131</v>
          </cell>
          <cell r="B163" t="str">
            <v>INST.OPTICAL FIBRE CABLE GRP.1-3</v>
          </cell>
          <cell r="C163" t="str">
            <v>Mtr</v>
          </cell>
          <cell r="D163">
            <v>6</v>
          </cell>
        </row>
        <row r="164">
          <cell r="A164">
            <v>2151</v>
          </cell>
          <cell r="B164" t="str">
            <v>INST. 110mm PVC PIPE IN OPEN TRENCH</v>
          </cell>
          <cell r="C164" t="str">
            <v>Mtr</v>
          </cell>
          <cell r="D164">
            <v>5</v>
          </cell>
        </row>
        <row r="165">
          <cell r="A165">
            <v>2152</v>
          </cell>
          <cell r="B165" t="str">
            <v>INST. 100mm FRE. PIPE IN OPEN TRENCH</v>
          </cell>
          <cell r="C165" t="str">
            <v>Mtr</v>
          </cell>
          <cell r="D165">
            <v>5</v>
          </cell>
        </row>
        <row r="166">
          <cell r="A166">
            <v>2153</v>
          </cell>
          <cell r="B166" t="str">
            <v>INST. 100mm STEEL PIPE IN OPEN TRENCH</v>
          </cell>
          <cell r="C166" t="str">
            <v>Mtr</v>
          </cell>
          <cell r="D166">
            <v>5</v>
          </cell>
        </row>
        <row r="167">
          <cell r="A167">
            <v>2154</v>
          </cell>
          <cell r="B167" t="str">
            <v>INST. 50mm PE. PIPE IN OPEN TRENCH</v>
          </cell>
          <cell r="C167" t="str">
            <v>Mtr</v>
          </cell>
          <cell r="D167">
            <v>3</v>
          </cell>
        </row>
        <row r="168">
          <cell r="A168">
            <v>2231</v>
          </cell>
          <cell r="B168" t="str">
            <v>SUPP.&amp; INSTAL CONCRETE MARKER POST</v>
          </cell>
          <cell r="C168" t="str">
            <v>Each</v>
          </cell>
          <cell r="D168">
            <v>263</v>
          </cell>
        </row>
        <row r="169">
          <cell r="A169">
            <v>2232</v>
          </cell>
          <cell r="B169" t="str">
            <v>SUPP.&amp; INSTAL "T" RAIL MARKER POST</v>
          </cell>
          <cell r="C169" t="str">
            <v>Each</v>
          </cell>
          <cell r="D169">
            <v>188</v>
          </cell>
        </row>
        <row r="170">
          <cell r="A170">
            <v>2233</v>
          </cell>
          <cell r="B170" t="str">
            <v>SUPP.&amp; INSTAL FLEXIBLE MARKER POST</v>
          </cell>
          <cell r="C170" t="str">
            <v>Each</v>
          </cell>
          <cell r="D170">
            <v>300</v>
          </cell>
        </row>
        <row r="171">
          <cell r="A171">
            <v>2311</v>
          </cell>
          <cell r="B171" t="str">
            <v>INST. CABLE  IN  EMPTY DUCT,  GROUP  1</v>
          </cell>
          <cell r="C171" t="str">
            <v>Mtr</v>
          </cell>
          <cell r="D171">
            <v>4</v>
          </cell>
        </row>
        <row r="172">
          <cell r="A172">
            <v>2312</v>
          </cell>
          <cell r="B172" t="str">
            <v>INST. CABLE  IN  EMPTY DUCT,  GROUP  2</v>
          </cell>
          <cell r="C172" t="str">
            <v>Mtr</v>
          </cell>
          <cell r="D172">
            <v>4</v>
          </cell>
        </row>
        <row r="173">
          <cell r="A173">
            <v>2313</v>
          </cell>
          <cell r="B173" t="str">
            <v>INST. CABLE  IN  EMPTY DUCT,  GROUP  3</v>
          </cell>
          <cell r="C173" t="str">
            <v>Mtr</v>
          </cell>
          <cell r="D173">
            <v>5</v>
          </cell>
        </row>
        <row r="174">
          <cell r="A174">
            <v>2314</v>
          </cell>
          <cell r="B174" t="str">
            <v>INST. CABLE  IN  EMPTY DUCT,  GROUP  4</v>
          </cell>
          <cell r="C174" t="str">
            <v>Mtr</v>
          </cell>
          <cell r="D174">
            <v>6</v>
          </cell>
        </row>
        <row r="175">
          <cell r="A175">
            <v>2315</v>
          </cell>
          <cell r="B175" t="str">
            <v>INST. CABLE  IN  EMPTY DUCT,  GROUP  5</v>
          </cell>
          <cell r="C175" t="str">
            <v>Mtr</v>
          </cell>
          <cell r="D175">
            <v>8</v>
          </cell>
        </row>
        <row r="176">
          <cell r="A176">
            <v>2319</v>
          </cell>
          <cell r="B176" t="str">
            <v>INST. BSW CABLE IN  EMPTY DUCT</v>
          </cell>
          <cell r="C176" t="str">
            <v>Mtr</v>
          </cell>
          <cell r="D176">
            <v>3</v>
          </cell>
        </row>
        <row r="177">
          <cell r="A177">
            <v>2320</v>
          </cell>
          <cell r="B177" t="str">
            <v>INST OF DROP WIRE ON THE WALL</v>
          </cell>
          <cell r="C177" t="str">
            <v>M</v>
          </cell>
          <cell r="D177">
            <v>3</v>
          </cell>
        </row>
        <row r="178">
          <cell r="A178">
            <v>2331</v>
          </cell>
          <cell r="B178" t="str">
            <v>INST. CABLE GROUP 1  IN OCCUPIED DUCT</v>
          </cell>
          <cell r="C178" t="str">
            <v>Mtr</v>
          </cell>
          <cell r="D178">
            <v>6</v>
          </cell>
        </row>
        <row r="179">
          <cell r="A179">
            <v>2332</v>
          </cell>
          <cell r="B179" t="str">
            <v>INST. CABLE GROUP 2  IN OCCUPIED DUCT</v>
          </cell>
          <cell r="C179" t="str">
            <v>Mtr</v>
          </cell>
          <cell r="D179">
            <v>7</v>
          </cell>
        </row>
        <row r="180">
          <cell r="A180">
            <v>2333</v>
          </cell>
          <cell r="B180" t="str">
            <v>INST. CABLE GROUP 3  IN OCCUPIED DUCT</v>
          </cell>
          <cell r="C180" t="str">
            <v>Mtr</v>
          </cell>
          <cell r="D180">
            <v>8</v>
          </cell>
        </row>
        <row r="181">
          <cell r="A181">
            <v>2334</v>
          </cell>
          <cell r="B181" t="str">
            <v>INST. CABLE GROUP 4  IN OCCUPIED DUCT</v>
          </cell>
          <cell r="C181" t="str">
            <v>Mtr</v>
          </cell>
          <cell r="D181">
            <v>9</v>
          </cell>
        </row>
        <row r="182">
          <cell r="A182">
            <v>2335</v>
          </cell>
          <cell r="B182" t="str">
            <v>INST. CABLE GROUP 5  IN OCCUPIED DUCT</v>
          </cell>
          <cell r="C182" t="str">
            <v>Mtr</v>
          </cell>
          <cell r="D182">
            <v>10</v>
          </cell>
        </row>
        <row r="183">
          <cell r="A183">
            <v>2339</v>
          </cell>
          <cell r="B183" t="str">
            <v>INST. ONE BSW CABLE IN OCCUPIED DUCT</v>
          </cell>
          <cell r="C183" t="str">
            <v>Mtr</v>
          </cell>
          <cell r="D183">
            <v>4</v>
          </cell>
        </row>
        <row r="184">
          <cell r="A184">
            <v>2341</v>
          </cell>
          <cell r="B184" t="str">
            <v>INST. O.F.CABLE GRP.1-3 IN EMPTY DUCT</v>
          </cell>
          <cell r="C184" t="str">
            <v>Mtr</v>
          </cell>
          <cell r="D184">
            <v>6</v>
          </cell>
        </row>
        <row r="185">
          <cell r="A185">
            <v>2361</v>
          </cell>
          <cell r="B185" t="str">
            <v>INST. O.F.CABLE GRP.1-3 IN OCCUPIED DUCT</v>
          </cell>
          <cell r="C185" t="str">
            <v>Mtr</v>
          </cell>
          <cell r="D185">
            <v>6</v>
          </cell>
        </row>
        <row r="186">
          <cell r="A186">
            <v>2371</v>
          </cell>
          <cell r="B186" t="str">
            <v>INST.O.F.CABLE IN SUB-DUCT</v>
          </cell>
          <cell r="C186" t="str">
            <v>Mtr</v>
          </cell>
          <cell r="D186">
            <v>8</v>
          </cell>
        </row>
        <row r="187">
          <cell r="A187">
            <v>2372</v>
          </cell>
          <cell r="B187" t="str">
            <v>INST.O.F.CABLE IN 50 mm PE PIPE</v>
          </cell>
          <cell r="C187" t="str">
            <v>Mtr</v>
          </cell>
          <cell r="D187">
            <v>7</v>
          </cell>
        </row>
        <row r="188">
          <cell r="A188">
            <v>2381</v>
          </cell>
          <cell r="B188" t="str">
            <v>INST. 3 SUB-DUCTS IN EMPTY DUCT</v>
          </cell>
          <cell r="C188" t="str">
            <v>Mtr</v>
          </cell>
          <cell r="D188">
            <v>9</v>
          </cell>
        </row>
        <row r="189">
          <cell r="A189">
            <v>2382</v>
          </cell>
          <cell r="B189" t="str">
            <v>INST. 4 SUB-DUCTS IN EMPTY DUCT</v>
          </cell>
          <cell r="C189" t="str">
            <v>Mtr</v>
          </cell>
          <cell r="D189">
            <v>11</v>
          </cell>
        </row>
        <row r="190">
          <cell r="A190">
            <v>2391</v>
          </cell>
          <cell r="B190" t="str">
            <v>INST. 1 SUB-DUCT IN OCCUP. DUCT</v>
          </cell>
          <cell r="C190" t="str">
            <v>Mtr</v>
          </cell>
          <cell r="D190">
            <v>10</v>
          </cell>
        </row>
        <row r="191">
          <cell r="A191">
            <v>2401</v>
          </cell>
          <cell r="B191" t="str">
            <v>INSTALL  AERIAL  CABLE  GROUP 1 ON POLE</v>
          </cell>
          <cell r="C191" t="str">
            <v>Mtr</v>
          </cell>
          <cell r="D191">
            <v>19</v>
          </cell>
        </row>
        <row r="192">
          <cell r="A192">
            <v>2402</v>
          </cell>
          <cell r="B192" t="str">
            <v>INSTALL  AERIAL  CABLE  GROUP 2 ON POLE</v>
          </cell>
          <cell r="C192" t="str">
            <v>Mtr</v>
          </cell>
          <cell r="D192">
            <v>20</v>
          </cell>
        </row>
        <row r="193">
          <cell r="A193">
            <v>2403</v>
          </cell>
          <cell r="B193" t="str">
            <v>INSTALL  AERIAL  CABLE  GROUP 3 ON POLE</v>
          </cell>
          <cell r="C193" t="str">
            <v>Mtr</v>
          </cell>
          <cell r="D193">
            <v>24</v>
          </cell>
        </row>
        <row r="194">
          <cell r="A194">
            <v>2411</v>
          </cell>
          <cell r="B194" t="str">
            <v>INST. O.F. AERIAL CABLE GRP.1-3 ON Pole</v>
          </cell>
          <cell r="C194" t="str">
            <v>Mtr</v>
          </cell>
          <cell r="D194">
            <v>26</v>
          </cell>
        </row>
        <row r="195">
          <cell r="A195">
            <v>2461</v>
          </cell>
          <cell r="B195" t="str">
            <v>INSTALL AERIAL CABLE GROUPS  1-3</v>
          </cell>
          <cell r="C195" t="str">
            <v>Mtr</v>
          </cell>
          <cell r="D195">
            <v>13</v>
          </cell>
        </row>
        <row r="196">
          <cell r="A196">
            <v>2469</v>
          </cell>
          <cell r="B196" t="str">
            <v>INSTALL AERIAL O.F.  CABLE   GROUPS 1-3</v>
          </cell>
          <cell r="C196" t="str">
            <v>Mtr</v>
          </cell>
          <cell r="D196">
            <v>17</v>
          </cell>
        </row>
        <row r="197">
          <cell r="A197">
            <v>2471</v>
          </cell>
          <cell r="B197" t="str">
            <v>INSTALL NON-AERIAL CABLE GRP.1-3 ON WALL</v>
          </cell>
          <cell r="C197" t="str">
            <v>Mtr</v>
          </cell>
          <cell r="D197">
            <v>10</v>
          </cell>
        </row>
        <row r="198">
          <cell r="A198">
            <v>2472</v>
          </cell>
          <cell r="B198" t="str">
            <v>INSTALL NON-AERIAL CABLE GRP.4-5 ON WALL</v>
          </cell>
          <cell r="C198" t="str">
            <v>Mtr</v>
          </cell>
          <cell r="D198">
            <v>12</v>
          </cell>
        </row>
        <row r="199">
          <cell r="A199">
            <v>2473</v>
          </cell>
          <cell r="B199" t="str">
            <v>INSTALL NON-AERIAL CABLE GRP.6 ON WALL</v>
          </cell>
          <cell r="C199" t="str">
            <v>Mtr</v>
          </cell>
          <cell r="D199">
            <v>13</v>
          </cell>
        </row>
        <row r="200">
          <cell r="A200">
            <v>2479</v>
          </cell>
          <cell r="B200" t="str">
            <v>INSTALL NON-AERIAL O.F. CABLE GRP.1-3</v>
          </cell>
          <cell r="C200" t="str">
            <v>Mtr</v>
          </cell>
          <cell r="D200">
            <v>15</v>
          </cell>
        </row>
        <row r="201">
          <cell r="A201">
            <v>2501</v>
          </cell>
          <cell r="B201" t="str">
            <v>INSTALL PIPES AND PROTECTION IN WADIS</v>
          </cell>
          <cell r="C201" t="str">
            <v>Mtr</v>
          </cell>
          <cell r="D201">
            <v>675</v>
          </cell>
        </row>
        <row r="202">
          <cell r="A202">
            <v>3001</v>
          </cell>
          <cell r="B202" t="str">
            <v>JOINTING PAIRS NOT IN SERVICE</v>
          </cell>
          <cell r="C202" t="str">
            <v>Pair</v>
          </cell>
          <cell r="D202">
            <v>2</v>
          </cell>
        </row>
        <row r="203">
          <cell r="A203">
            <v>3020</v>
          </cell>
          <cell r="B203" t="str">
            <v xml:space="preserve">CUT OVER PAIRS IN SERVICE (WORKING) </v>
          </cell>
          <cell r="C203" t="str">
            <v>Pair</v>
          </cell>
          <cell r="D203">
            <v>23</v>
          </cell>
        </row>
        <row r="204">
          <cell r="A204">
            <v>3021</v>
          </cell>
          <cell r="B204" t="str">
            <v xml:space="preserve">CUT OVER PAIRS NOT IN SERVICE (NON WORKING) </v>
          </cell>
          <cell r="C204" t="str">
            <v>Pair</v>
          </cell>
          <cell r="D204">
            <v>17</v>
          </cell>
        </row>
        <row r="205">
          <cell r="A205">
            <v>3111</v>
          </cell>
          <cell r="B205" t="str">
            <v>JT.ENCL.(MANHOLE),CABLE, SIZE GROUP 1 &amp; 2</v>
          </cell>
          <cell r="C205" t="str">
            <v>Each</v>
          </cell>
          <cell r="D205">
            <v>206</v>
          </cell>
        </row>
        <row r="206">
          <cell r="A206" t="str">
            <v>3111 A</v>
          </cell>
          <cell r="B206" t="str">
            <v>JT.ENC. (MANHOLE), CABLE SIZE GR,  1</v>
          </cell>
          <cell r="C206" t="str">
            <v>Each</v>
          </cell>
          <cell r="D206">
            <v>600</v>
          </cell>
        </row>
        <row r="207">
          <cell r="A207" t="str">
            <v>3111 B</v>
          </cell>
          <cell r="B207" t="str">
            <v xml:space="preserve"> JT.ENC. (MANHOLE), CABLE SIZE GR, 1 &amp; 2</v>
          </cell>
          <cell r="C207" t="str">
            <v>Each</v>
          </cell>
          <cell r="D207">
            <v>650</v>
          </cell>
        </row>
        <row r="208">
          <cell r="A208">
            <v>3112</v>
          </cell>
          <cell r="B208" t="str">
            <v>JT.ENCL.(MANHOLE),CABLE, SIZE GROUP 3</v>
          </cell>
          <cell r="C208" t="str">
            <v>Each</v>
          </cell>
          <cell r="D208">
            <v>214</v>
          </cell>
        </row>
        <row r="209">
          <cell r="A209" t="str">
            <v>3112 A</v>
          </cell>
          <cell r="B209" t="str">
            <v>JT.ENC. (MANHOLE), CABLE SIZE GR, 3</v>
          </cell>
          <cell r="C209" t="str">
            <v>Each</v>
          </cell>
          <cell r="D209">
            <v>900</v>
          </cell>
        </row>
        <row r="210">
          <cell r="A210" t="str">
            <v>3112 B</v>
          </cell>
          <cell r="B210" t="str">
            <v>JT.ENC. (MANHOLE), CABLE SIZE GR, 3</v>
          </cell>
          <cell r="C210" t="str">
            <v>Each</v>
          </cell>
          <cell r="D210">
            <v>1000</v>
          </cell>
        </row>
        <row r="211">
          <cell r="A211">
            <v>3113</v>
          </cell>
          <cell r="B211" t="str">
            <v>JT.ENCL.(MANHOLE),CABLE, SIZE GROUP 4</v>
          </cell>
          <cell r="C211" t="str">
            <v>Each</v>
          </cell>
          <cell r="D211">
            <v>221</v>
          </cell>
        </row>
        <row r="212">
          <cell r="A212" t="str">
            <v>3113 A</v>
          </cell>
          <cell r="B212" t="str">
            <v>A JT.ENC. (MANHOLE), CABLE SIZE GR, 4</v>
          </cell>
          <cell r="C212" t="str">
            <v>Each</v>
          </cell>
          <cell r="D212">
            <v>1100</v>
          </cell>
        </row>
        <row r="213">
          <cell r="A213" t="str">
            <v>3113 B</v>
          </cell>
          <cell r="B213" t="str">
            <v>JT.ENC. (MANHOLE), CABLE SIZE GR, 4</v>
          </cell>
          <cell r="C213" t="str">
            <v>Each</v>
          </cell>
          <cell r="D213">
            <v>1200</v>
          </cell>
        </row>
        <row r="214">
          <cell r="A214">
            <v>3114</v>
          </cell>
          <cell r="B214" t="str">
            <v>JT.ENCL.(MANHOLE),CABLE, SIZE GROUP 5</v>
          </cell>
          <cell r="C214" t="str">
            <v>Each</v>
          </cell>
          <cell r="D214">
            <v>233</v>
          </cell>
        </row>
        <row r="215">
          <cell r="A215" t="str">
            <v>3114 A</v>
          </cell>
          <cell r="B215" t="str">
            <v>JT.ENC. (MANHOLE), CABLE SIZE GR, 5</v>
          </cell>
          <cell r="C215" t="str">
            <v>Each</v>
          </cell>
          <cell r="D215">
            <v>1600</v>
          </cell>
        </row>
        <row r="216">
          <cell r="A216" t="str">
            <v>3114 B</v>
          </cell>
          <cell r="B216" t="str">
            <v>JT.ENC. (MANHOLE), CABLE SIZE GR, 5</v>
          </cell>
          <cell r="C216" t="str">
            <v>Each</v>
          </cell>
          <cell r="D216">
            <v>1600</v>
          </cell>
        </row>
        <row r="217">
          <cell r="A217">
            <v>3121</v>
          </cell>
          <cell r="B217" t="str">
            <v>JT. ENC. (DB), CABLE, SIZE GROUP 1 &amp; 2</v>
          </cell>
          <cell r="C217" t="str">
            <v>Each</v>
          </cell>
          <cell r="D217">
            <v>206</v>
          </cell>
        </row>
        <row r="218">
          <cell r="A218">
            <v>3122</v>
          </cell>
          <cell r="B218" t="str">
            <v>JT. ENC. (DB), CABLE, SIZE GROUP 3</v>
          </cell>
          <cell r="C218" t="str">
            <v>Each</v>
          </cell>
          <cell r="D218">
            <v>214</v>
          </cell>
        </row>
        <row r="219">
          <cell r="A219">
            <v>3123</v>
          </cell>
          <cell r="B219" t="str">
            <v>JT. ENC. (DB), CABLE, SIZE GROUP 4</v>
          </cell>
          <cell r="C219" t="str">
            <v>Each</v>
          </cell>
          <cell r="D219">
            <v>221</v>
          </cell>
        </row>
        <row r="220">
          <cell r="A220">
            <v>3124</v>
          </cell>
          <cell r="B220" t="str">
            <v>JT. ENC. (DB), CABLE, SIZE GROUP 5</v>
          </cell>
          <cell r="C220" t="str">
            <v>Each</v>
          </cell>
          <cell r="D220">
            <v>233</v>
          </cell>
        </row>
        <row r="221">
          <cell r="A221">
            <v>3125</v>
          </cell>
          <cell r="B221" t="str">
            <v>JT. ENC. (DB), CABLE, SIZE GROUP 6</v>
          </cell>
          <cell r="C221" t="str">
            <v>Each</v>
          </cell>
          <cell r="D221">
            <v>233</v>
          </cell>
        </row>
        <row r="222">
          <cell r="A222">
            <v>3126</v>
          </cell>
          <cell r="B222" t="str">
            <v>JT.ENC CAB SIZE GRP 1&amp; 2 (BEHIND-U GURD)</v>
          </cell>
          <cell r="C222" t="str">
            <v>Each</v>
          </cell>
          <cell r="D222">
            <v>200</v>
          </cell>
        </row>
        <row r="223">
          <cell r="A223">
            <v>3130</v>
          </cell>
          <cell r="B223" t="str">
            <v>COPPER CABLE JOINT - ADDITIONAL CABLE END</v>
          </cell>
          <cell r="C223" t="str">
            <v>Each</v>
          </cell>
          <cell r="D223">
            <v>38</v>
          </cell>
        </row>
        <row r="224">
          <cell r="A224">
            <v>3196</v>
          </cell>
          <cell r="B224" t="str">
            <v>JT.ENCL. CABLE SIZE GROUP 1</v>
          </cell>
          <cell r="C224" t="str">
            <v>Each</v>
          </cell>
          <cell r="D224">
            <v>169</v>
          </cell>
        </row>
        <row r="225">
          <cell r="A225">
            <v>3197</v>
          </cell>
          <cell r="B225" t="str">
            <v>JT.ENCL. CABLE SIZE GROUP 2</v>
          </cell>
          <cell r="C225" t="str">
            <v>Each</v>
          </cell>
          <cell r="D225">
            <v>169</v>
          </cell>
        </row>
        <row r="226">
          <cell r="A226">
            <v>3198</v>
          </cell>
          <cell r="B226" t="str">
            <v>JT.ENCL. CABLE SIZE GROUP 3</v>
          </cell>
          <cell r="C226" t="str">
            <v>Each</v>
          </cell>
          <cell r="D226">
            <v>282</v>
          </cell>
        </row>
        <row r="227">
          <cell r="A227">
            <v>3199</v>
          </cell>
          <cell r="B227" t="str">
            <v>JT.ENCL. CABLE SIZE GROUP 4</v>
          </cell>
          <cell r="C227" t="str">
            <v>Each</v>
          </cell>
          <cell r="D227">
            <v>300</v>
          </cell>
        </row>
        <row r="228">
          <cell r="A228">
            <v>3201</v>
          </cell>
          <cell r="B228" t="str">
            <v>COMPLETING STEEL  ARMRD. JT. ENCL. C.GR.1</v>
          </cell>
          <cell r="C228" t="str">
            <v>Each</v>
          </cell>
          <cell r="D228">
            <v>319</v>
          </cell>
        </row>
        <row r="229">
          <cell r="A229">
            <v>3202</v>
          </cell>
          <cell r="B229" t="str">
            <v>COMPLETING STEEL  ARMRD. JT. ENCL. C.GR.2</v>
          </cell>
          <cell r="C229" t="str">
            <v>Each</v>
          </cell>
          <cell r="D229">
            <v>338</v>
          </cell>
        </row>
        <row r="230">
          <cell r="A230">
            <v>3203</v>
          </cell>
          <cell r="B230" t="str">
            <v>COMPLETING STEEL  ARMRD. JT. ENCL. C.GR.3</v>
          </cell>
          <cell r="C230" t="str">
            <v>Each</v>
          </cell>
          <cell r="D230">
            <v>356</v>
          </cell>
        </row>
        <row r="231">
          <cell r="A231">
            <v>3204</v>
          </cell>
          <cell r="B231" t="str">
            <v>COMPLETING STEEL  ARMRD. JT. ENCL. C.GR.4</v>
          </cell>
          <cell r="C231" t="str">
            <v>Each</v>
          </cell>
          <cell r="D231">
            <v>375</v>
          </cell>
        </row>
        <row r="232">
          <cell r="A232">
            <v>3205</v>
          </cell>
          <cell r="B232" t="str">
            <v>COMPLETING STEEL  ARMRD. JT. ENCL. C.GR.5</v>
          </cell>
          <cell r="C232" t="str">
            <v>Each</v>
          </cell>
          <cell r="D232">
            <v>394</v>
          </cell>
        </row>
        <row r="233">
          <cell r="A233">
            <v>3206</v>
          </cell>
          <cell r="B233" t="str">
            <v>COMPLETING STEEL  ARMRD. JT. ENCL. C.GR.6</v>
          </cell>
          <cell r="C233" t="str">
            <v>Each</v>
          </cell>
          <cell r="D233">
            <v>413</v>
          </cell>
        </row>
        <row r="234">
          <cell r="A234">
            <v>3231</v>
          </cell>
          <cell r="B234" t="str">
            <v>OPEN/RECLOSE JT. (M/H)  CABLE  GR.1&amp;2</v>
          </cell>
          <cell r="C234" t="str">
            <v>Each</v>
          </cell>
          <cell r="D234">
            <v>263</v>
          </cell>
        </row>
        <row r="235">
          <cell r="A235">
            <v>3232</v>
          </cell>
          <cell r="B235" t="str">
            <v>OPEN/RECLOSE JT. (M/H)  CABLE  GR.3</v>
          </cell>
          <cell r="C235" t="str">
            <v>Each</v>
          </cell>
          <cell r="D235">
            <v>274</v>
          </cell>
        </row>
        <row r="236">
          <cell r="A236">
            <v>3233</v>
          </cell>
          <cell r="B236" t="str">
            <v>OPEN/RECLOSE JT. (M/H)  CABLE  GR.4</v>
          </cell>
          <cell r="C236" t="str">
            <v>Each</v>
          </cell>
          <cell r="D236">
            <v>285</v>
          </cell>
        </row>
        <row r="237">
          <cell r="A237">
            <v>3234</v>
          </cell>
          <cell r="B237" t="str">
            <v>OPEN/RECLOSE JT. (M/H)  CABLE  GR.5</v>
          </cell>
          <cell r="C237" t="str">
            <v>Each</v>
          </cell>
          <cell r="D237">
            <v>296</v>
          </cell>
        </row>
        <row r="238">
          <cell r="A238">
            <v>3241</v>
          </cell>
          <cell r="B238" t="str">
            <v>OPEN/RECLOSE JT. (D/B)  CABLE GR.1&amp;2</v>
          </cell>
          <cell r="C238" t="str">
            <v>Each</v>
          </cell>
          <cell r="D238">
            <v>263</v>
          </cell>
        </row>
        <row r="239">
          <cell r="A239">
            <v>3242</v>
          </cell>
          <cell r="B239" t="str">
            <v>OPEN/RECLOSE JT. (D/B)  CABLE GR.3</v>
          </cell>
          <cell r="C239" t="str">
            <v>Each</v>
          </cell>
          <cell r="D239">
            <v>270</v>
          </cell>
        </row>
        <row r="240">
          <cell r="A240">
            <v>3243</v>
          </cell>
          <cell r="B240" t="str">
            <v>OPEN/RECLOSE JT. (D/B)  CABLE GR.4</v>
          </cell>
          <cell r="C240" t="str">
            <v>Each</v>
          </cell>
          <cell r="D240">
            <v>285</v>
          </cell>
        </row>
        <row r="241">
          <cell r="A241">
            <v>3244</v>
          </cell>
          <cell r="B241" t="str">
            <v>OPEN/RECLOSE JT. (D/B)  CABLE GR.5</v>
          </cell>
          <cell r="C241" t="str">
            <v>Each</v>
          </cell>
          <cell r="D241">
            <v>296</v>
          </cell>
        </row>
        <row r="242">
          <cell r="A242">
            <v>3245</v>
          </cell>
          <cell r="B242" t="str">
            <v>OPEN/RECLOSE JT. (D/B)  CABLE GR.6</v>
          </cell>
          <cell r="C242" t="str">
            <v>Each</v>
          </cell>
          <cell r="D242">
            <v>308</v>
          </cell>
        </row>
        <row r="243">
          <cell r="A243">
            <v>3301</v>
          </cell>
          <cell r="B243" t="str">
            <v>RECORD UPDATE AND VERIFICATION</v>
          </cell>
          <cell r="C243" t="str">
            <v>PAIR</v>
          </cell>
          <cell r="D243">
            <v>4</v>
          </cell>
        </row>
        <row r="244">
          <cell r="A244">
            <v>3311</v>
          </cell>
          <cell r="B244" t="str">
            <v>PREPARING CUTSHEET</v>
          </cell>
          <cell r="C244" t="str">
            <v>PAIR</v>
          </cell>
          <cell r="D244">
            <v>3</v>
          </cell>
        </row>
        <row r="245">
          <cell r="A245">
            <v>3421</v>
          </cell>
          <cell r="B245" t="str">
            <v>JOINT UP TO 10 FIBRE CABLE IN MANHOLE</v>
          </cell>
          <cell r="C245" t="str">
            <v>Each</v>
          </cell>
          <cell r="D245">
            <v>375</v>
          </cell>
        </row>
        <row r="246">
          <cell r="A246">
            <v>3422</v>
          </cell>
          <cell r="B246" t="str">
            <v>JOINT. 11-20 FIBRE CABLE IN MANHOLE</v>
          </cell>
          <cell r="C246" t="str">
            <v>Each</v>
          </cell>
          <cell r="D246">
            <v>38</v>
          </cell>
        </row>
        <row r="247">
          <cell r="A247">
            <v>3461</v>
          </cell>
          <cell r="B247" t="str">
            <v>JOINT UP TO 10 FIBER CABLE, (DB)</v>
          </cell>
          <cell r="C247" t="str">
            <v>Each</v>
          </cell>
          <cell r="D247">
            <v>356</v>
          </cell>
        </row>
        <row r="248">
          <cell r="A248">
            <v>3462</v>
          </cell>
          <cell r="B248" t="str">
            <v>JOINT, 11-20 FIBER CABLE (DB)</v>
          </cell>
          <cell r="C248" t="str">
            <v>Each</v>
          </cell>
          <cell r="D248">
            <v>38</v>
          </cell>
        </row>
        <row r="249">
          <cell r="A249">
            <v>3491</v>
          </cell>
          <cell r="B249" t="str">
            <v>JT. AERIAL O.F. CABLE,  UPTO 10 FIBRE</v>
          </cell>
          <cell r="C249" t="str">
            <v>Each</v>
          </cell>
          <cell r="D249">
            <v>338</v>
          </cell>
        </row>
        <row r="250">
          <cell r="A250">
            <v>3492</v>
          </cell>
          <cell r="B250" t="str">
            <v>JT. AERIAL O.F. CABLE,    11-20 FIBRE</v>
          </cell>
          <cell r="C250" t="str">
            <v>Each</v>
          </cell>
          <cell r="D250">
            <v>38</v>
          </cell>
        </row>
        <row r="251">
          <cell r="A251">
            <v>3499</v>
          </cell>
          <cell r="B251" t="str">
            <v>O/RECLOSE JT. IN O.F. CABLE  10/125</v>
          </cell>
          <cell r="C251" t="str">
            <v>Each</v>
          </cell>
          <cell r="D251">
            <v>188</v>
          </cell>
        </row>
        <row r="252">
          <cell r="A252">
            <v>3511</v>
          </cell>
          <cell r="B252" t="str">
            <v>INST.LINE SIDE IDC TERMINAL BLOCK IN MDF, 100 PR</v>
          </cell>
          <cell r="C252" t="str">
            <v>Each</v>
          </cell>
          <cell r="D252">
            <v>169</v>
          </cell>
        </row>
        <row r="253">
          <cell r="A253">
            <v>3512</v>
          </cell>
          <cell r="B253" t="str">
            <v>INST.LINE SIDE  IDC TERMINAL BLOCK IN MDF, 200 PR</v>
          </cell>
          <cell r="C253" t="str">
            <v>Each</v>
          </cell>
          <cell r="D253">
            <v>188</v>
          </cell>
        </row>
        <row r="254">
          <cell r="A254">
            <v>3521</v>
          </cell>
          <cell r="B254" t="str">
            <v>TERMINATE CABLE  IDC BLOCK  IN MDF</v>
          </cell>
          <cell r="C254" t="str">
            <v>Pair</v>
          </cell>
          <cell r="D254">
            <v>2</v>
          </cell>
        </row>
        <row r="255">
          <cell r="A255">
            <v>3522</v>
          </cell>
          <cell r="B255" t="str">
            <v>PROVIDE MDF TO IDF JUMPERS - IDC TYPE</v>
          </cell>
          <cell r="C255" t="str">
            <v>Each</v>
          </cell>
          <cell r="D255">
            <v>21</v>
          </cell>
        </row>
        <row r="256">
          <cell r="A256">
            <v>3526</v>
          </cell>
          <cell r="B256" t="str">
            <v>SUPPLY AND INSTALL JUMPERS ON MDF - IDC TYPE</v>
          </cell>
          <cell r="C256" t="str">
            <v>Each</v>
          </cell>
          <cell r="D256">
            <v>21</v>
          </cell>
        </row>
        <row r="257">
          <cell r="A257">
            <v>3531</v>
          </cell>
          <cell r="B257" t="str">
            <v>CABLE VAULT TERM. JOINT  GR.  2</v>
          </cell>
          <cell r="C257" t="str">
            <v>Each</v>
          </cell>
          <cell r="D257">
            <v>300</v>
          </cell>
        </row>
        <row r="258">
          <cell r="A258">
            <v>3532</v>
          </cell>
          <cell r="B258" t="str">
            <v>CABLE VAULT TERM. JOINT  GR.  3</v>
          </cell>
          <cell r="C258" t="str">
            <v>Each</v>
          </cell>
          <cell r="D258">
            <v>338</v>
          </cell>
        </row>
        <row r="259">
          <cell r="A259">
            <v>3533</v>
          </cell>
          <cell r="B259" t="str">
            <v>CABLE VAULT TERM. JOINT  GR.  4</v>
          </cell>
          <cell r="C259" t="str">
            <v>Each</v>
          </cell>
          <cell r="D259">
            <v>375</v>
          </cell>
        </row>
        <row r="260">
          <cell r="A260">
            <v>3534</v>
          </cell>
          <cell r="B260" t="str">
            <v>CABLE VAULT TERM. JOINT  GR.  5</v>
          </cell>
          <cell r="C260" t="str">
            <v>Each</v>
          </cell>
          <cell r="D260">
            <v>413</v>
          </cell>
        </row>
        <row r="261">
          <cell r="A261">
            <v>3535</v>
          </cell>
          <cell r="B261" t="str">
            <v>CABLE VAULT TERM. JOINT  GR.  6</v>
          </cell>
          <cell r="C261" t="str">
            <v>Each</v>
          </cell>
          <cell r="D261">
            <v>450</v>
          </cell>
        </row>
        <row r="262">
          <cell r="A262">
            <v>3611</v>
          </cell>
          <cell r="B262" t="str">
            <v xml:space="preserve"> INSTALL 900 PR. OUTDOOR CAB.</v>
          </cell>
          <cell r="C262" t="str">
            <v>Each</v>
          </cell>
          <cell r="D262">
            <v>375</v>
          </cell>
        </row>
        <row r="263">
          <cell r="A263">
            <v>3612</v>
          </cell>
          <cell r="B263" t="str">
            <v xml:space="preserve"> INSTALL 1200 PR. OUTDOOR CAB.</v>
          </cell>
          <cell r="C263" t="str">
            <v>Each</v>
          </cell>
          <cell r="D263">
            <v>375</v>
          </cell>
        </row>
        <row r="264">
          <cell r="A264">
            <v>3613</v>
          </cell>
          <cell r="B264" t="str">
            <v xml:space="preserve"> INSTALL 1800 PR. OUTDOOR CAB.</v>
          </cell>
          <cell r="C264" t="str">
            <v>Each</v>
          </cell>
          <cell r="D264">
            <v>375</v>
          </cell>
        </row>
        <row r="265">
          <cell r="A265">
            <v>3614</v>
          </cell>
          <cell r="B265" t="str">
            <v xml:space="preserve"> INSTALL 2700 PR. OUTDOOR CAB.</v>
          </cell>
          <cell r="C265" t="str">
            <v>Each</v>
          </cell>
          <cell r="D265">
            <v>375</v>
          </cell>
        </row>
        <row r="266">
          <cell r="A266">
            <v>3621</v>
          </cell>
          <cell r="B266" t="str">
            <v>INSTALLATION OF 300 PR. INDOOR CABINET</v>
          </cell>
          <cell r="C266" t="str">
            <v>Each</v>
          </cell>
          <cell r="D266">
            <v>525</v>
          </cell>
        </row>
        <row r="267">
          <cell r="A267">
            <v>3622</v>
          </cell>
          <cell r="B267" t="str">
            <v>INSTALLATION OF 900 PAIR INDOOR  CABINET</v>
          </cell>
          <cell r="C267" t="str">
            <v>Each</v>
          </cell>
          <cell r="D267">
            <v>750</v>
          </cell>
        </row>
        <row r="268">
          <cell r="A268">
            <v>3623</v>
          </cell>
          <cell r="B268" t="str">
            <v>INSTALLATION OF 1200 PAIR INDOOR  CABINET</v>
          </cell>
          <cell r="C268" t="str">
            <v>Each</v>
          </cell>
          <cell r="D268">
            <v>938</v>
          </cell>
        </row>
        <row r="269">
          <cell r="A269">
            <v>3631</v>
          </cell>
          <cell r="B269" t="str">
            <v>INST. DUCT  CABLE IN CABINET</v>
          </cell>
          <cell r="C269" t="str">
            <v>Set</v>
          </cell>
          <cell r="D269">
            <v>338</v>
          </cell>
        </row>
        <row r="270">
          <cell r="A270">
            <v>3632</v>
          </cell>
          <cell r="B270" t="str">
            <v>INST. BURIED  CABLE IN CABINET</v>
          </cell>
          <cell r="C270" t="str">
            <v>Set</v>
          </cell>
          <cell r="D270">
            <v>375</v>
          </cell>
        </row>
        <row r="271">
          <cell r="A271">
            <v>3634</v>
          </cell>
          <cell r="B271" t="str">
            <v>TERMINATING CABLE PAIRS IN CABINET - IDC</v>
          </cell>
          <cell r="C271" t="str">
            <v>10 pair</v>
          </cell>
          <cell r="D271">
            <v>23</v>
          </cell>
        </row>
        <row r="272">
          <cell r="A272">
            <v>3640</v>
          </cell>
          <cell r="B272" t="str">
            <v>INST OF TERMINAL BLOCK (ANY SIZE)</v>
          </cell>
          <cell r="C272" t="str">
            <v>Each</v>
          </cell>
          <cell r="D272">
            <v>75</v>
          </cell>
        </row>
        <row r="273">
          <cell r="A273">
            <v>3641</v>
          </cell>
          <cell r="B273" t="str">
            <v>SUPPLY &amp; INSTALL CABINET JUMPER - IDC</v>
          </cell>
          <cell r="C273" t="str">
            <v>Each</v>
          </cell>
          <cell r="D273">
            <v>8</v>
          </cell>
        </row>
        <row r="274">
          <cell r="A274">
            <v>3642</v>
          </cell>
          <cell r="B274" t="str">
            <v>SUPPLY&amp;INST.BACK MOUNT FRAME IN EX. CAB. f. 100 p</v>
          </cell>
          <cell r="C274" t="str">
            <v>Each</v>
          </cell>
          <cell r="D274">
            <v>75</v>
          </cell>
        </row>
        <row r="275">
          <cell r="A275">
            <v>3650</v>
          </cell>
          <cell r="B275" t="str">
            <v>PROVIDE CABINET TEE'D JUMPERS - IDC TYPE</v>
          </cell>
          <cell r="C275" t="str">
            <v>Each</v>
          </cell>
          <cell r="D275">
            <v>19</v>
          </cell>
        </row>
        <row r="276">
          <cell r="A276">
            <v>3661</v>
          </cell>
          <cell r="B276" t="str">
            <v>INSTALL COPPER CABLE INTO PG CABINET</v>
          </cell>
          <cell r="C276" t="str">
            <v>Each</v>
          </cell>
          <cell r="D276">
            <v>248</v>
          </cell>
        </row>
        <row r="277">
          <cell r="A277">
            <v>3662</v>
          </cell>
          <cell r="B277" t="str">
            <v>TERMINATE COPPER CABLE IN PG CABINET</v>
          </cell>
          <cell r="C277" t="str">
            <v>Each</v>
          </cell>
          <cell r="D277">
            <v>2</v>
          </cell>
        </row>
        <row r="278">
          <cell r="A278">
            <v>3664</v>
          </cell>
          <cell r="B278" t="str">
            <v>INSTALL FOC IN FIBER CABINET UP TO 10 FIBERS</v>
          </cell>
          <cell r="C278" t="str">
            <v>Each</v>
          </cell>
          <cell r="D278">
            <v>375</v>
          </cell>
        </row>
        <row r="279">
          <cell r="A279">
            <v>3665</v>
          </cell>
          <cell r="B279" t="str">
            <v>INSTALL FOC IN FIBER CABINET 11-20 FIBERS</v>
          </cell>
          <cell r="C279" t="str">
            <v>Each</v>
          </cell>
          <cell r="D279">
            <v>38</v>
          </cell>
        </row>
        <row r="280">
          <cell r="A280">
            <v>3711</v>
          </cell>
          <cell r="B280" t="str">
            <v>INST.  10 PR. INDOOR DP</v>
          </cell>
          <cell r="C280" t="str">
            <v>Each</v>
          </cell>
          <cell r="D280">
            <v>188</v>
          </cell>
        </row>
        <row r="281">
          <cell r="A281">
            <v>3712</v>
          </cell>
          <cell r="B281" t="str">
            <v>INST.  20 PR. INDOOR DP</v>
          </cell>
          <cell r="C281" t="str">
            <v>Each</v>
          </cell>
          <cell r="D281">
            <v>188</v>
          </cell>
        </row>
        <row r="282">
          <cell r="A282">
            <v>3713</v>
          </cell>
          <cell r="B282" t="str">
            <v>INST.  30 PR. INDOOR DP</v>
          </cell>
          <cell r="C282" t="str">
            <v>Each</v>
          </cell>
          <cell r="D282">
            <v>188</v>
          </cell>
        </row>
        <row r="283">
          <cell r="A283">
            <v>3714</v>
          </cell>
          <cell r="B283" t="str">
            <v>INST.  50 PR. INDOOR DP</v>
          </cell>
          <cell r="C283" t="str">
            <v>Each</v>
          </cell>
          <cell r="D283">
            <v>188</v>
          </cell>
        </row>
        <row r="284">
          <cell r="A284">
            <v>3715</v>
          </cell>
          <cell r="B284" t="str">
            <v xml:space="preserve">INST.OF ADD. 10 PR BESIDE EXISTING </v>
          </cell>
          <cell r="C284" t="str">
            <v>10P</v>
          </cell>
          <cell r="D284">
            <v>150</v>
          </cell>
        </row>
        <row r="285">
          <cell r="A285">
            <v>3721</v>
          </cell>
          <cell r="B285" t="str">
            <v>INSTALL 10 PAIR POLE DP</v>
          </cell>
          <cell r="C285" t="str">
            <v>Each</v>
          </cell>
          <cell r="D285">
            <v>150</v>
          </cell>
        </row>
        <row r="286">
          <cell r="A286">
            <v>3722</v>
          </cell>
          <cell r="B286" t="str">
            <v>INSTALL 20 PAIR POLE DP</v>
          </cell>
          <cell r="C286" t="str">
            <v>Each</v>
          </cell>
          <cell r="D286">
            <v>150</v>
          </cell>
        </row>
        <row r="287">
          <cell r="A287">
            <v>3731</v>
          </cell>
          <cell r="B287" t="str">
            <v>INSTALL 10 PAIR WALL  DP</v>
          </cell>
          <cell r="C287" t="str">
            <v>Each</v>
          </cell>
          <cell r="D287">
            <v>150</v>
          </cell>
        </row>
        <row r="288">
          <cell r="A288">
            <v>3732</v>
          </cell>
          <cell r="B288" t="str">
            <v>INSTALL 20 PAIR WALL  DP</v>
          </cell>
          <cell r="C288" t="str">
            <v>Each</v>
          </cell>
          <cell r="D288">
            <v>150</v>
          </cell>
        </row>
        <row r="289">
          <cell r="A289">
            <v>3733</v>
          </cell>
          <cell r="B289" t="str">
            <v>INSTALL 30 PAIR WALL  DP</v>
          </cell>
          <cell r="C289" t="str">
            <v>Each</v>
          </cell>
          <cell r="D289">
            <v>150</v>
          </cell>
        </row>
        <row r="290">
          <cell r="A290">
            <v>3734</v>
          </cell>
          <cell r="B290" t="str">
            <v xml:space="preserve">INST.OF ADD. 10 PR BESIDE EXISTING </v>
          </cell>
          <cell r="C290" t="str">
            <v>10P</v>
          </cell>
          <cell r="D290">
            <v>180</v>
          </cell>
        </row>
        <row r="291">
          <cell r="A291">
            <v>3741</v>
          </cell>
          <cell r="B291" t="str">
            <v>INST. OF PILLAR WITHOUT BLOCK</v>
          </cell>
          <cell r="C291" t="str">
            <v>Each</v>
          </cell>
          <cell r="D291">
            <v>188</v>
          </cell>
        </row>
        <row r="292">
          <cell r="A292">
            <v>3742</v>
          </cell>
          <cell r="B292" t="str">
            <v>INST. OF PILLAR WITH ONE 10 PR. DP BLOCK</v>
          </cell>
          <cell r="C292" t="str">
            <v>Each</v>
          </cell>
          <cell r="D292">
            <v>244</v>
          </cell>
        </row>
        <row r="293">
          <cell r="A293">
            <v>3743</v>
          </cell>
          <cell r="B293" t="str">
            <v>INST. OF PILLAR WITH TWO 10 PR. DP BLOCK</v>
          </cell>
          <cell r="C293" t="str">
            <v>Each</v>
          </cell>
          <cell r="D293">
            <v>281</v>
          </cell>
        </row>
        <row r="294">
          <cell r="A294">
            <v>3744</v>
          </cell>
          <cell r="B294" t="str">
            <v>INST. OF PILLAR WITH THREE 10 PR. DP BLOCK</v>
          </cell>
          <cell r="C294" t="str">
            <v>Each</v>
          </cell>
          <cell r="D294">
            <v>300</v>
          </cell>
        </row>
        <row r="295">
          <cell r="A295">
            <v>3761</v>
          </cell>
          <cell r="B295" t="str">
            <v>INST. OF ONE 10 PR. BLOCK IN EXISTING PILLAR</v>
          </cell>
          <cell r="C295" t="str">
            <v>Each</v>
          </cell>
          <cell r="D295">
            <v>38</v>
          </cell>
        </row>
        <row r="296">
          <cell r="A296">
            <v>3771</v>
          </cell>
          <cell r="B296" t="str">
            <v>INST. OVERVOLTAGE PROT. IN NEW DP</v>
          </cell>
          <cell r="C296" t="str">
            <v>Each</v>
          </cell>
          <cell r="D296">
            <v>15</v>
          </cell>
        </row>
        <row r="297">
          <cell r="A297">
            <v>3772</v>
          </cell>
          <cell r="B297" t="str">
            <v>INST. OVERVOLTAGE PORT. IN EXIST. DP</v>
          </cell>
          <cell r="C297" t="str">
            <v>Each</v>
          </cell>
          <cell r="D297">
            <v>15</v>
          </cell>
        </row>
        <row r="298">
          <cell r="A298">
            <v>3775</v>
          </cell>
          <cell r="B298" t="str">
            <v>SUPP. &amp; INSTALL OF GUARD TO PILLAR DP</v>
          </cell>
          <cell r="C298" t="str">
            <v>Each</v>
          </cell>
          <cell r="D298">
            <v>244</v>
          </cell>
        </row>
        <row r="299">
          <cell r="A299">
            <v>3781</v>
          </cell>
          <cell r="B299" t="str">
            <v>INSTALL ONE BSW  AT ONE LOCATION</v>
          </cell>
          <cell r="C299" t="str">
            <v>Each</v>
          </cell>
          <cell r="D299">
            <v>45</v>
          </cell>
        </row>
        <row r="300">
          <cell r="A300">
            <v>3782</v>
          </cell>
          <cell r="B300" t="str">
            <v xml:space="preserve">INSTALL TWO BSW  AT ONE LOCATION </v>
          </cell>
          <cell r="C300" t="str">
            <v>Each</v>
          </cell>
          <cell r="D300">
            <v>45</v>
          </cell>
        </row>
        <row r="301">
          <cell r="A301">
            <v>3783</v>
          </cell>
          <cell r="B301" t="str">
            <v>INST. ONE 4 PAIR SUBS TERM BOX (STB) AT ONE LOC.</v>
          </cell>
          <cell r="C301" t="str">
            <v>Each</v>
          </cell>
          <cell r="D301">
            <v>26</v>
          </cell>
        </row>
        <row r="302">
          <cell r="A302">
            <v>3784</v>
          </cell>
          <cell r="B302" t="str">
            <v>INST. OVERVOLTAGE PROTE.AT ONE STB</v>
          </cell>
          <cell r="C302" t="str">
            <v>Each</v>
          </cell>
          <cell r="D302">
            <v>13</v>
          </cell>
        </row>
        <row r="303">
          <cell r="A303">
            <v>3789</v>
          </cell>
          <cell r="B303" t="str">
            <v>INSTALL 10 PR.TERM.BOX</v>
          </cell>
          <cell r="C303" t="str">
            <v>Each</v>
          </cell>
          <cell r="D303">
            <v>38</v>
          </cell>
        </row>
        <row r="304">
          <cell r="A304">
            <v>3901</v>
          </cell>
          <cell r="B304" t="str">
            <v>INST.UP TO 10 O.F.TERMINATION IN BLDGS.</v>
          </cell>
          <cell r="C304" t="str">
            <v>Each</v>
          </cell>
          <cell r="D304">
            <v>1500</v>
          </cell>
        </row>
        <row r="305">
          <cell r="A305">
            <v>3902</v>
          </cell>
          <cell r="B305" t="str">
            <v>INST.11-20, O.F. TERMINATION IN BLDGS.</v>
          </cell>
          <cell r="C305" t="str">
            <v>Each</v>
          </cell>
          <cell r="D305">
            <v>38</v>
          </cell>
        </row>
        <row r="306">
          <cell r="A306">
            <v>4301</v>
          </cell>
          <cell r="B306" t="str">
            <v>INST &amp; SUPPLY PRESSURE FEED IN MH</v>
          </cell>
          <cell r="C306" t="str">
            <v>Each</v>
          </cell>
          <cell r="D306">
            <v>1000</v>
          </cell>
        </row>
        <row r="307">
          <cell r="A307">
            <v>4311</v>
          </cell>
          <cell r="B307" t="str">
            <v>INST &amp; SUPPLY PRESSURE MANIFOLD IN MH</v>
          </cell>
          <cell r="C307" t="str">
            <v>Each</v>
          </cell>
          <cell r="D307">
            <v>1100</v>
          </cell>
        </row>
        <row r="308">
          <cell r="A308">
            <v>4321</v>
          </cell>
          <cell r="B308" t="str">
            <v>INST &amp; SUPPLY PRESSURE TRANSDUCER IN MH</v>
          </cell>
          <cell r="C308" t="str">
            <v>Each</v>
          </cell>
          <cell r="D308">
            <v>1000</v>
          </cell>
        </row>
        <row r="309">
          <cell r="A309">
            <v>4331</v>
          </cell>
          <cell r="B309" t="str">
            <v>INST &amp; SUPPLY PRESSURE TRANSDUCER IN CAB</v>
          </cell>
          <cell r="C309" t="str">
            <v>Each</v>
          </cell>
          <cell r="D309">
            <v>500</v>
          </cell>
        </row>
        <row r="310">
          <cell r="A310">
            <v>4401</v>
          </cell>
          <cell r="B310" t="str">
            <v>INST PRESSURE PLUG IN CABLE GROUP 1-2</v>
          </cell>
          <cell r="C310" t="str">
            <v>Each</v>
          </cell>
          <cell r="D310">
            <v>300</v>
          </cell>
        </row>
        <row r="311">
          <cell r="A311">
            <v>4402</v>
          </cell>
          <cell r="B311" t="str">
            <v>INST PRESSURE PLUG IN CABLE GROUP 3-5</v>
          </cell>
          <cell r="C311" t="str">
            <v>Each</v>
          </cell>
          <cell r="D311">
            <v>400</v>
          </cell>
        </row>
        <row r="312">
          <cell r="A312">
            <v>4403</v>
          </cell>
          <cell r="B312" t="str">
            <v>PROV TEMP PRESSURE BUFERING IN MH/HH</v>
          </cell>
          <cell r="C312" t="str">
            <v>Each</v>
          </cell>
          <cell r="D312">
            <v>200</v>
          </cell>
        </row>
        <row r="313">
          <cell r="A313">
            <v>4501</v>
          </cell>
          <cell r="B313" t="str">
            <v>COMM.OF NEW GAS PRESSURE SYSTEM</v>
          </cell>
          <cell r="C313" t="str">
            <v>KM</v>
          </cell>
          <cell r="D313">
            <v>2</v>
          </cell>
        </row>
        <row r="314">
          <cell r="A314">
            <v>4502</v>
          </cell>
          <cell r="B314" t="str">
            <v>COMM.OF EXTENSION TO GAS PRESSURE SYSTEM</v>
          </cell>
          <cell r="C314" t="str">
            <v>KM</v>
          </cell>
          <cell r="D314">
            <v>1</v>
          </cell>
        </row>
        <row r="315">
          <cell r="A315">
            <v>5101</v>
          </cell>
          <cell r="B315" t="str">
            <v>REHABILITATION OF MH TYPE A</v>
          </cell>
          <cell r="C315" t="str">
            <v>Each</v>
          </cell>
          <cell r="D315">
            <v>650</v>
          </cell>
        </row>
        <row r="316">
          <cell r="A316">
            <v>5102</v>
          </cell>
          <cell r="B316" t="str">
            <v>REHABILITATION OF MH TYPE B, (B-1)</v>
          </cell>
          <cell r="C316" t="str">
            <v>Each</v>
          </cell>
          <cell r="D316">
            <v>700</v>
          </cell>
        </row>
        <row r="317">
          <cell r="A317">
            <v>5103</v>
          </cell>
          <cell r="B317" t="str">
            <v>REHABILITATION OF MH TYPE C, (B-2)</v>
          </cell>
          <cell r="C317" t="str">
            <v>Each</v>
          </cell>
          <cell r="D317">
            <v>800</v>
          </cell>
        </row>
        <row r="318">
          <cell r="A318">
            <v>5104</v>
          </cell>
          <cell r="B318" t="str">
            <v>REHABILITATION OF MH TYPE D, (C)</v>
          </cell>
          <cell r="C318" t="str">
            <v>Each</v>
          </cell>
          <cell r="D318">
            <v>900</v>
          </cell>
        </row>
        <row r="319">
          <cell r="A319">
            <v>5118</v>
          </cell>
          <cell r="B319" t="str">
            <v>SUPPLY AND INSTALL OF MH FURNITURE</v>
          </cell>
          <cell r="C319" t="str">
            <v>eaMH</v>
          </cell>
          <cell r="D319">
            <v>300</v>
          </cell>
        </row>
        <row r="320">
          <cell r="A320">
            <v>5119</v>
          </cell>
          <cell r="B320" t="str">
            <v>SUPPLY AND INSTALL OF HH FURNITURE</v>
          </cell>
          <cell r="C320" t="str">
            <v>eaMH</v>
          </cell>
          <cell r="D320">
            <v>250</v>
          </cell>
        </row>
        <row r="321">
          <cell r="A321">
            <v>5121</v>
          </cell>
          <cell r="B321" t="str">
            <v>RAISE/LOWER MH ENTRANCE W/O THE SUPP OF FRAME AND COVER</v>
          </cell>
          <cell r="C321" t="str">
            <v>Each</v>
          </cell>
          <cell r="D321">
            <v>1100</v>
          </cell>
        </row>
        <row r="322">
          <cell r="A322">
            <v>5126</v>
          </cell>
          <cell r="B322" t="str">
            <v>REPLACING MH ENTRANCE COVER</v>
          </cell>
          <cell r="C322" t="str">
            <v>Each</v>
          </cell>
          <cell r="D322">
            <v>650</v>
          </cell>
        </row>
        <row r="323">
          <cell r="A323">
            <v>5127</v>
          </cell>
          <cell r="B323" t="str">
            <v>REPLACING HH ENTRANCE COVER</v>
          </cell>
          <cell r="C323" t="str">
            <v>Each</v>
          </cell>
          <cell r="D323">
            <v>800</v>
          </cell>
        </row>
        <row r="324">
          <cell r="A324">
            <v>5132</v>
          </cell>
          <cell r="B324" t="str">
            <v>REHABAILTATION OF CAB CASE</v>
          </cell>
          <cell r="C324" t="str">
            <v>Each</v>
          </cell>
          <cell r="D324">
            <v>3000</v>
          </cell>
        </row>
        <row r="325">
          <cell r="A325">
            <v>5133</v>
          </cell>
          <cell r="B325" t="str">
            <v>REHABAILTATION OF CAB PROT POST</v>
          </cell>
          <cell r="C325" t="str">
            <v>Each</v>
          </cell>
          <cell r="D325">
            <v>250</v>
          </cell>
        </row>
        <row r="326">
          <cell r="A326">
            <v>5151</v>
          </cell>
          <cell r="B326" t="str">
            <v>PILLAR DP WITH JOINT</v>
          </cell>
          <cell r="C326" t="str">
            <v>Each</v>
          </cell>
          <cell r="D326">
            <v>300</v>
          </cell>
        </row>
        <row r="327">
          <cell r="A327">
            <v>5152</v>
          </cell>
          <cell r="B327" t="str">
            <v>PILLAR DP WITHOUT JOINT</v>
          </cell>
          <cell r="C327" t="str">
            <v>Each</v>
          </cell>
          <cell r="D327">
            <v>200</v>
          </cell>
        </row>
        <row r="328">
          <cell r="A328">
            <v>5201</v>
          </cell>
          <cell r="B328" t="str">
            <v>TESTING EXIST. EMPTY DUCT</v>
          </cell>
          <cell r="C328" t="str">
            <v>m.pipe</v>
          </cell>
          <cell r="D328">
            <v>4</v>
          </cell>
        </row>
        <row r="329">
          <cell r="A329">
            <v>5202</v>
          </cell>
          <cell r="B329" t="str">
            <v>TESTING EXIST. OCCUPIED DUCT</v>
          </cell>
          <cell r="C329" t="str">
            <v>m.pipe</v>
          </cell>
          <cell r="D329">
            <v>5</v>
          </cell>
        </row>
        <row r="330">
          <cell r="A330">
            <v>5210</v>
          </cell>
          <cell r="B330" t="str">
            <v>REP. EX.    EMP/OCC. DUCT ENC. IN CONCR.</v>
          </cell>
          <cell r="C330" t="str">
            <v>Each</v>
          </cell>
          <cell r="D330">
            <v>1125</v>
          </cell>
        </row>
        <row r="331">
          <cell r="A331">
            <v>5211</v>
          </cell>
          <cell r="B331" t="str">
            <v>REP. ADD. EMP/OCC. DUCT ENC. IN CONCR.</v>
          </cell>
          <cell r="C331" t="str">
            <v>Each</v>
          </cell>
          <cell r="D331">
            <v>300</v>
          </cell>
        </row>
        <row r="332">
          <cell r="A332">
            <v>5212</v>
          </cell>
          <cell r="B332" t="str">
            <v>REP. EX.    EMP/OCC. DUCT ENC. IN SAND</v>
          </cell>
          <cell r="C332" t="str">
            <v>Each</v>
          </cell>
          <cell r="D332">
            <v>750</v>
          </cell>
        </row>
        <row r="333">
          <cell r="A333">
            <v>5213</v>
          </cell>
          <cell r="B333" t="str">
            <v>REP. ADD. EMP/OCC. DUCT ENC. IN SAND</v>
          </cell>
          <cell r="C333" t="str">
            <v>Each</v>
          </cell>
          <cell r="D333">
            <v>300</v>
          </cell>
        </row>
        <row r="334">
          <cell r="A334">
            <v>5221</v>
          </cell>
          <cell r="B334" t="str">
            <v>IN-SUIT REPAIR OF DAMAGE CAB SHELL</v>
          </cell>
          <cell r="C334" t="str">
            <v>100Sq</v>
          </cell>
          <cell r="D334">
            <v>400</v>
          </cell>
        </row>
        <row r="335">
          <cell r="A335">
            <v>5222</v>
          </cell>
          <cell r="B335" t="str">
            <v>REOLACE OF DAMAGED CAB SHELL</v>
          </cell>
          <cell r="C335" t="str">
            <v>Each</v>
          </cell>
          <cell r="D335">
            <v>1400</v>
          </cell>
        </row>
        <row r="336">
          <cell r="A336">
            <v>5223</v>
          </cell>
          <cell r="B336" t="str">
            <v>REPLACE OF SEVERE DAMAGE CAB</v>
          </cell>
          <cell r="C336" t="str">
            <v>Each</v>
          </cell>
          <cell r="D336">
            <v>5000</v>
          </cell>
        </row>
        <row r="337">
          <cell r="A337">
            <v>5225</v>
          </cell>
          <cell r="B337" t="str">
            <v>IN-SITU REPAIR OF DAMAGED DP PEDESTAL HOUSING</v>
          </cell>
          <cell r="C337" t="str">
            <v>Each</v>
          </cell>
          <cell r="D337">
            <v>150</v>
          </cell>
        </row>
        <row r="338">
          <cell r="A338">
            <v>5226</v>
          </cell>
          <cell r="B338" t="str">
            <v>REPLACE OF DAMAGED DP PEDESTAL HOUSING</v>
          </cell>
          <cell r="C338" t="str">
            <v>Each</v>
          </cell>
          <cell r="D338">
            <v>200</v>
          </cell>
        </row>
        <row r="339">
          <cell r="A339">
            <v>5227</v>
          </cell>
          <cell r="B339" t="str">
            <v>REPLACE OF SEVERELY DAMAGE DP PED HOUSING</v>
          </cell>
          <cell r="C339" t="str">
            <v>Each</v>
          </cell>
          <cell r="D339">
            <v>400</v>
          </cell>
        </row>
        <row r="340">
          <cell r="A340">
            <v>5301</v>
          </cell>
          <cell r="B340" t="str">
            <v>TRACE AND EXPOSE MH OR HH</v>
          </cell>
          <cell r="C340" t="str">
            <v>Each</v>
          </cell>
          <cell r="D340">
            <v>200</v>
          </cell>
        </row>
        <row r="341">
          <cell r="A341">
            <v>5302</v>
          </cell>
          <cell r="B341" t="str">
            <v>TRACE EXISTING DUCT ROUTE</v>
          </cell>
          <cell r="C341" t="str">
            <v>Each</v>
          </cell>
          <cell r="D341">
            <v>5</v>
          </cell>
        </row>
        <row r="342">
          <cell r="A342">
            <v>5303</v>
          </cell>
          <cell r="B342" t="str">
            <v>TRACE EXISTING DIRECT BURIED TEL CABLE</v>
          </cell>
          <cell r="C342" t="str">
            <v>Each</v>
          </cell>
          <cell r="D342">
            <v>250</v>
          </cell>
        </row>
        <row r="343">
          <cell r="A343">
            <v>5304</v>
          </cell>
          <cell r="B343" t="str">
            <v>REPLACE CABLE ROUTE CONC MARKER POST</v>
          </cell>
          <cell r="C343" t="str">
            <v>Each</v>
          </cell>
          <cell r="D343">
            <v>150</v>
          </cell>
        </row>
        <row r="344">
          <cell r="A344">
            <v>5305</v>
          </cell>
          <cell r="B344" t="str">
            <v>REPLACE CABLE ROUTE CONC FLEX MARKER POST</v>
          </cell>
          <cell r="C344" t="str">
            <v>Each</v>
          </cell>
          <cell r="D344">
            <v>100</v>
          </cell>
        </row>
        <row r="345">
          <cell r="A345">
            <v>5311</v>
          </cell>
          <cell r="B345" t="str">
            <v>IDENTIFY CABLE AND JOINTS</v>
          </cell>
          <cell r="C345" t="str">
            <v>Each</v>
          </cell>
          <cell r="D345">
            <v>300</v>
          </cell>
        </row>
        <row r="346">
          <cell r="A346">
            <v>5312</v>
          </cell>
          <cell r="B346" t="str">
            <v>INST.MH IDENTIFICATION PLATE (EXIST MH)</v>
          </cell>
          <cell r="C346" t="str">
            <v>Each</v>
          </cell>
          <cell r="D346">
            <v>20</v>
          </cell>
        </row>
        <row r="347">
          <cell r="A347">
            <v>5313</v>
          </cell>
          <cell r="B347" t="str">
            <v>MARK EXISTING CABINET</v>
          </cell>
          <cell r="C347" t="str">
            <v>Each</v>
          </cell>
          <cell r="D347">
            <v>20</v>
          </cell>
        </row>
        <row r="348">
          <cell r="A348">
            <v>5314</v>
          </cell>
          <cell r="B348" t="str">
            <v>MARK EXISTING DISTRIBUTATION POINT</v>
          </cell>
          <cell r="C348" t="str">
            <v>Each</v>
          </cell>
          <cell r="D348">
            <v>20</v>
          </cell>
        </row>
        <row r="349">
          <cell r="A349">
            <v>5315</v>
          </cell>
          <cell r="B349" t="str">
            <v>MARK EXISTING SUBSCRIBERS TERMINATION</v>
          </cell>
          <cell r="C349" t="str">
            <v>Each</v>
          </cell>
          <cell r="D349">
            <v>20</v>
          </cell>
        </row>
        <row r="350">
          <cell r="A350">
            <v>5316</v>
          </cell>
          <cell r="B350" t="str">
            <v>Marking Exist. Subscriber Termination</v>
          </cell>
          <cell r="C350" t="str">
            <v>each</v>
          </cell>
          <cell r="D350">
            <v>20</v>
          </cell>
        </row>
        <row r="351">
          <cell r="A351">
            <v>5411</v>
          </cell>
          <cell r="B351" t="str">
            <v>TESTS OF CONTINUITY OF WIRES</v>
          </cell>
          <cell r="C351" t="str">
            <v>Pair</v>
          </cell>
          <cell r="D351">
            <v>6</v>
          </cell>
        </row>
        <row r="352">
          <cell r="A352">
            <v>5412</v>
          </cell>
          <cell r="B352" t="str">
            <v>TESTS OF DC RESIST. LOOP &amp; UNBALANCE</v>
          </cell>
          <cell r="C352" t="str">
            <v>Pair</v>
          </cell>
          <cell r="D352">
            <v>9</v>
          </cell>
        </row>
        <row r="353">
          <cell r="A353">
            <v>5413</v>
          </cell>
          <cell r="B353" t="str">
            <v>TESTS OF INSULATION RESISTANCE</v>
          </cell>
          <cell r="C353" t="str">
            <v>Pair</v>
          </cell>
          <cell r="D353">
            <v>8</v>
          </cell>
        </row>
        <row r="354">
          <cell r="A354">
            <v>5421</v>
          </cell>
          <cell r="B354" t="str">
            <v>ATTENUATION AT SINGLE FREQUENCY</v>
          </cell>
          <cell r="C354" t="str">
            <v>Each</v>
          </cell>
          <cell r="D354">
            <v>188</v>
          </cell>
        </row>
        <row r="355">
          <cell r="A355">
            <v>5422</v>
          </cell>
          <cell r="B355" t="str">
            <v>ADD. ATTENUATION AT SINGLE FREQ.TESTS</v>
          </cell>
          <cell r="C355" t="str">
            <v>Pair</v>
          </cell>
          <cell r="D355">
            <v>8</v>
          </cell>
        </row>
        <row r="356">
          <cell r="A356">
            <v>5423</v>
          </cell>
          <cell r="B356" t="str">
            <v>ATTEN. MEASURE. VF SPECTRUM ONE PAIR</v>
          </cell>
          <cell r="C356" t="str">
            <v>Each</v>
          </cell>
          <cell r="D356">
            <v>188</v>
          </cell>
        </row>
        <row r="357">
          <cell r="A357">
            <v>5424</v>
          </cell>
          <cell r="B357" t="str">
            <v>ADD. ATTEN. MEASR. OVER VF SPECTRUM</v>
          </cell>
          <cell r="C357" t="str">
            <v>Pair</v>
          </cell>
          <cell r="D357">
            <v>8</v>
          </cell>
        </row>
        <row r="358">
          <cell r="A358">
            <v>5425</v>
          </cell>
          <cell r="B358" t="str">
            <v>STRUCRL. RETURN LOSS  MEASURMENTS</v>
          </cell>
          <cell r="C358" t="str">
            <v>Each</v>
          </cell>
          <cell r="D358">
            <v>188</v>
          </cell>
        </row>
        <row r="359">
          <cell r="A359">
            <v>5473</v>
          </cell>
          <cell r="B359" t="str">
            <v>OPTICAL ATTENUATION TESTS</v>
          </cell>
          <cell r="C359" t="str">
            <v>Each</v>
          </cell>
          <cell r="D359">
            <v>169</v>
          </cell>
        </row>
        <row r="360">
          <cell r="A360">
            <v>5474</v>
          </cell>
          <cell r="B360" t="str">
            <v>ADD. OPTICAL ATTENUATION TESTS</v>
          </cell>
          <cell r="C360" t="str">
            <v>Each</v>
          </cell>
          <cell r="D360">
            <v>56</v>
          </cell>
        </row>
        <row r="361">
          <cell r="A361">
            <v>5601</v>
          </cell>
          <cell r="B361" t="str">
            <v>REPOSITION 10/20 PAIR PILLER DP</v>
          </cell>
          <cell r="C361" t="str">
            <v>Each</v>
          </cell>
          <cell r="D361">
            <v>700</v>
          </cell>
        </row>
        <row r="362">
          <cell r="A362">
            <v>5602</v>
          </cell>
          <cell r="B362" t="str">
            <v>JOINTING BSW CABLE, 2 PAIR BSW</v>
          </cell>
          <cell r="C362" t="str">
            <v>Each</v>
          </cell>
          <cell r="D362">
            <v>85</v>
          </cell>
        </row>
        <row r="363">
          <cell r="A363">
            <v>5603</v>
          </cell>
          <cell r="B363" t="str">
            <v>JOINTING BSW CABLE, 4 PAIR BSW</v>
          </cell>
          <cell r="C363" t="str">
            <v>Each</v>
          </cell>
          <cell r="D363">
            <v>85</v>
          </cell>
        </row>
        <row r="364">
          <cell r="A364">
            <v>5802</v>
          </cell>
          <cell r="B364" t="str">
            <v>RECOVERY OF INDOOR CABINET</v>
          </cell>
          <cell r="C364" t="str">
            <v>Each</v>
          </cell>
          <cell r="D364">
            <v>900</v>
          </cell>
        </row>
        <row r="365">
          <cell r="A365">
            <v>5803</v>
          </cell>
          <cell r="B365" t="str">
            <v>RECOVERY OF PED HOUSING FOR DP</v>
          </cell>
          <cell r="C365" t="str">
            <v>Each</v>
          </cell>
          <cell r="D365">
            <v>350</v>
          </cell>
        </row>
        <row r="366">
          <cell r="A366">
            <v>5804</v>
          </cell>
          <cell r="B366" t="str">
            <v>RECOVERY OF 10 PAIR WALL DP</v>
          </cell>
          <cell r="C366" t="str">
            <v>Each</v>
          </cell>
          <cell r="D366">
            <v>150</v>
          </cell>
        </row>
        <row r="367">
          <cell r="A367">
            <v>5805</v>
          </cell>
          <cell r="B367" t="str">
            <v>RECOVERY OF INDOOR DP (ALL SIZE)</v>
          </cell>
          <cell r="C367" t="str">
            <v>Each</v>
          </cell>
          <cell r="D367">
            <v>150</v>
          </cell>
        </row>
        <row r="368">
          <cell r="A368">
            <v>5811</v>
          </cell>
          <cell r="B368" t="str">
            <v>RECOVERY OF DUCT INST COPPER CAB GR 1&amp;2</v>
          </cell>
          <cell r="C368" t="str">
            <v xml:space="preserve">M </v>
          </cell>
          <cell r="D368">
            <v>4</v>
          </cell>
        </row>
        <row r="369">
          <cell r="A369">
            <v>5812</v>
          </cell>
          <cell r="B369" t="str">
            <v>RECOVERY OF DUCT INST COPPER CAB GR 3-6</v>
          </cell>
          <cell r="C369" t="str">
            <v>M</v>
          </cell>
          <cell r="D369">
            <v>5</v>
          </cell>
        </row>
        <row r="370">
          <cell r="A370">
            <v>5816</v>
          </cell>
          <cell r="B370" t="str">
            <v>RECOVERY OF DUCT INSTALLED AIR PIPE</v>
          </cell>
          <cell r="C370" t="str">
            <v>M</v>
          </cell>
          <cell r="D370">
            <v>6</v>
          </cell>
        </row>
        <row r="371">
          <cell r="A371">
            <v>5826</v>
          </cell>
          <cell r="B371" t="str">
            <v>RECOVERY OF OPTICAL FIBRE CABLE GR 1-3</v>
          </cell>
          <cell r="C371" t="str">
            <v>M</v>
          </cell>
          <cell r="D371">
            <v>3</v>
          </cell>
        </row>
        <row r="372">
          <cell r="A372">
            <v>6000.0001000000002</v>
          </cell>
          <cell r="B372" t="str">
            <v>BURIED SERVICE WIRE - 2 PAIR /0.5 mm</v>
          </cell>
          <cell r="C372" t="str">
            <v>km.</v>
          </cell>
          <cell r="D372">
            <v>0</v>
          </cell>
        </row>
        <row r="373">
          <cell r="A373">
            <v>6000.0002000000004</v>
          </cell>
          <cell r="B373" t="str">
            <v>AERIAL DROP WIRE - 1 PAIR /0.8 mm</v>
          </cell>
          <cell r="C373" t="str">
            <v>100m</v>
          </cell>
          <cell r="D373">
            <v>0</v>
          </cell>
        </row>
        <row r="374">
          <cell r="A374">
            <v>6000.0002999999997</v>
          </cell>
          <cell r="B374" t="str">
            <v>INDOOR WIRE - TYPE 'A' - 1 PAIR /0.65 mm</v>
          </cell>
          <cell r="C374" t="str">
            <v>100m</v>
          </cell>
          <cell r="D374">
            <v>0</v>
          </cell>
        </row>
        <row r="375">
          <cell r="A375">
            <v>6000.0003999999999</v>
          </cell>
          <cell r="B375" t="str">
            <v>INDOOR WIRE - TYPE 'B' - 2 PAIR /0.65 mm</v>
          </cell>
          <cell r="C375" t="str">
            <v>100m</v>
          </cell>
          <cell r="D375">
            <v>0</v>
          </cell>
        </row>
        <row r="376">
          <cell r="A376">
            <v>6000.0005000000001</v>
          </cell>
          <cell r="B376" t="str">
            <v>AERIAL DROP WIRE - 2 PAIR/0.5</v>
          </cell>
          <cell r="C376" t="str">
            <v>100m</v>
          </cell>
          <cell r="D376">
            <v>0</v>
          </cell>
        </row>
        <row r="377">
          <cell r="A377">
            <v>6000.0011000000004</v>
          </cell>
          <cell r="B377" t="str">
            <v>JUMPER WIRE - 1 PAIR/0.6mm OUTD. CABINET</v>
          </cell>
          <cell r="C377" t="str">
            <v>100m</v>
          </cell>
          <cell r="D377">
            <v>0</v>
          </cell>
        </row>
        <row r="378">
          <cell r="A378">
            <v>6000.0011999999997</v>
          </cell>
          <cell r="B378" t="str">
            <v>JUMPER WIRE - 1 PAIR/0.6 FOR IDC CABINET BLOCKS</v>
          </cell>
          <cell r="C378" t="str">
            <v>100m</v>
          </cell>
          <cell r="D378">
            <v>0</v>
          </cell>
        </row>
        <row r="379">
          <cell r="A379">
            <v>6000.0020999999997</v>
          </cell>
          <cell r="B379" t="str">
            <v>JUMPER WIRE - 1 PAIR/0.6mm ICD ON MDF/IDF</v>
          </cell>
          <cell r="C379" t="str">
            <v>100m</v>
          </cell>
          <cell r="D379">
            <v>0</v>
          </cell>
        </row>
        <row r="380">
          <cell r="A380">
            <v>6215.01</v>
          </cell>
          <cell r="B380" t="str">
            <v xml:space="preserve">  100 PAIRS/0.5mm.     CONDUCT.  EES   </v>
          </cell>
          <cell r="C380" t="str">
            <v xml:space="preserve"> km.</v>
          </cell>
          <cell r="D380">
            <v>0</v>
          </cell>
        </row>
        <row r="381">
          <cell r="A381">
            <v>6215.02</v>
          </cell>
          <cell r="B381" t="str">
            <v xml:space="preserve">  200 PAIRS/0.5mm.     CONDUCT.  EES   </v>
          </cell>
          <cell r="C381" t="str">
            <v xml:space="preserve"> km.</v>
          </cell>
          <cell r="D381">
            <v>0</v>
          </cell>
        </row>
        <row r="382">
          <cell r="A382">
            <v>6215.03</v>
          </cell>
          <cell r="B382" t="str">
            <v xml:space="preserve">  300 PAIRS/0.5mm.     CONDUCT.  EES   </v>
          </cell>
          <cell r="C382" t="str">
            <v xml:space="preserve"> km.</v>
          </cell>
          <cell r="D382">
            <v>0</v>
          </cell>
        </row>
        <row r="383">
          <cell r="A383">
            <v>6215.04</v>
          </cell>
          <cell r="B383" t="str">
            <v xml:space="preserve">  400 PAIRS/0.5mm.     CONDUCT.  EES   </v>
          </cell>
          <cell r="C383" t="str">
            <v xml:space="preserve"> km.</v>
          </cell>
          <cell r="D383">
            <v>0</v>
          </cell>
        </row>
        <row r="384">
          <cell r="A384">
            <v>6254.0050000000001</v>
          </cell>
          <cell r="B384" t="str">
            <v xml:space="preserve">    50 PAIRS/0.4mm      CONDUCT.  EEMS</v>
          </cell>
          <cell r="C384" t="str">
            <v>km.</v>
          </cell>
          <cell r="D384">
            <v>0</v>
          </cell>
        </row>
        <row r="385">
          <cell r="A385">
            <v>6254.01</v>
          </cell>
          <cell r="B385" t="str">
            <v xml:space="preserve">  100 PAIRS/0.4mm      CONDUCT.  EEMS</v>
          </cell>
          <cell r="C385" t="str">
            <v>km.</v>
          </cell>
          <cell r="D385">
            <v>0</v>
          </cell>
        </row>
        <row r="386">
          <cell r="A386">
            <v>6254.0150000000003</v>
          </cell>
          <cell r="B386" t="str">
            <v xml:space="preserve">  150 PAIRS/0.4mm      CONDUCT.  EEMS</v>
          </cell>
          <cell r="C386" t="str">
            <v>km.</v>
          </cell>
          <cell r="D386">
            <v>0</v>
          </cell>
        </row>
        <row r="387">
          <cell r="A387">
            <v>6254.02</v>
          </cell>
          <cell r="B387" t="str">
            <v xml:space="preserve">  200 PAIRS/0.4mm      CONDUCT.  EEMS</v>
          </cell>
          <cell r="C387" t="str">
            <v>km.</v>
          </cell>
          <cell r="D387">
            <v>0</v>
          </cell>
        </row>
        <row r="388">
          <cell r="A388">
            <v>6255.0050000000001</v>
          </cell>
          <cell r="B388" t="str">
            <v xml:space="preserve">    50 PAIRS/0.5mm      CONDUCT.  EEMS</v>
          </cell>
          <cell r="C388" t="str">
            <v>km.</v>
          </cell>
          <cell r="D388">
            <v>0</v>
          </cell>
        </row>
        <row r="389">
          <cell r="A389">
            <v>6255.01</v>
          </cell>
          <cell r="B389" t="str">
            <v xml:space="preserve">  100 PAIRS/0.5mm      CONDUCT.  EEMS</v>
          </cell>
          <cell r="C389" t="str">
            <v>km.</v>
          </cell>
          <cell r="D389">
            <v>0</v>
          </cell>
        </row>
        <row r="390">
          <cell r="A390">
            <v>6255.0150000000003</v>
          </cell>
          <cell r="B390" t="str">
            <v xml:space="preserve">  150 PAIRS/0.5mm      CONDUCT.  EEMS</v>
          </cell>
          <cell r="C390" t="str">
            <v>km.</v>
          </cell>
          <cell r="D390">
            <v>0</v>
          </cell>
        </row>
        <row r="391">
          <cell r="A391">
            <v>6255.02</v>
          </cell>
          <cell r="B391" t="str">
            <v xml:space="preserve">  200 PAIRS/0.5mm      CONDUCT.  EEMS</v>
          </cell>
          <cell r="C391" t="str">
            <v>km.</v>
          </cell>
          <cell r="D391">
            <v>0</v>
          </cell>
        </row>
        <row r="392">
          <cell r="A392">
            <v>6265.0050000000001</v>
          </cell>
          <cell r="B392" t="str">
            <v xml:space="preserve">    50 PAIRS/0.65mm    CONDUCT.  EEMS</v>
          </cell>
          <cell r="C392" t="str">
            <v>km.</v>
          </cell>
          <cell r="D392">
            <v>0</v>
          </cell>
        </row>
        <row r="393">
          <cell r="A393">
            <v>6265.01</v>
          </cell>
          <cell r="B393" t="str">
            <v xml:space="preserve">  100 PAIRS/0.65mm    CONDUCT.  EEMS</v>
          </cell>
          <cell r="C393" t="str">
            <v>km.</v>
          </cell>
          <cell r="D393">
            <v>0</v>
          </cell>
        </row>
        <row r="394">
          <cell r="A394">
            <v>6265.0150000000003</v>
          </cell>
          <cell r="B394" t="str">
            <v xml:space="preserve">  150 PAIRS/0.65mm    CONDUCT.  EEMS</v>
          </cell>
          <cell r="C394" t="str">
            <v>km.</v>
          </cell>
          <cell r="D394">
            <v>0</v>
          </cell>
        </row>
        <row r="395">
          <cell r="A395">
            <v>6265.02</v>
          </cell>
          <cell r="B395" t="str">
            <v xml:space="preserve">  200 PAIRS/0.65mm    CONDUCT.  EEMS</v>
          </cell>
          <cell r="C395" t="str">
            <v>km.</v>
          </cell>
          <cell r="D395">
            <v>0</v>
          </cell>
        </row>
        <row r="396">
          <cell r="A396">
            <v>6314.03</v>
          </cell>
          <cell r="B396" t="str">
            <v xml:space="preserve">  300 PAIRS/0.4 mm    CONDUCTORS  CES</v>
          </cell>
          <cell r="C396" t="str">
            <v>km.</v>
          </cell>
          <cell r="D396">
            <v>0</v>
          </cell>
        </row>
        <row r="397">
          <cell r="A397">
            <v>6314.06</v>
          </cell>
          <cell r="B397" t="str">
            <v xml:space="preserve">  600 PAIRS/0.4 mm    CONDUCTORS  CES</v>
          </cell>
          <cell r="C397" t="str">
            <v>km.</v>
          </cell>
          <cell r="D397">
            <v>0</v>
          </cell>
        </row>
        <row r="398">
          <cell r="A398">
            <v>6314.09</v>
          </cell>
          <cell r="B398" t="str">
            <v xml:space="preserve">  900 PAIRS/0.4 mm    CONDUCTORS  CES</v>
          </cell>
          <cell r="C398" t="str">
            <v>km.</v>
          </cell>
          <cell r="D398">
            <v>0</v>
          </cell>
        </row>
        <row r="399">
          <cell r="A399">
            <v>6314.12</v>
          </cell>
          <cell r="B399" t="str">
            <v>1200 PAIRS/0.4 mm    CONDUCTORS  CES</v>
          </cell>
          <cell r="C399" t="str">
            <v>km.</v>
          </cell>
          <cell r="D399">
            <v>0</v>
          </cell>
        </row>
        <row r="400">
          <cell r="A400">
            <v>6314.15</v>
          </cell>
          <cell r="B400" t="str">
            <v>1500 PAIRS/0.4 mm    CONDUCTORS  CES</v>
          </cell>
          <cell r="C400" t="str">
            <v>km.</v>
          </cell>
          <cell r="D400">
            <v>0</v>
          </cell>
        </row>
        <row r="401">
          <cell r="A401">
            <v>6314.18</v>
          </cell>
          <cell r="B401" t="str">
            <v>1800 PAIRS/0.4 mm    CONDUCTORS  CES</v>
          </cell>
          <cell r="C401" t="str">
            <v>km.</v>
          </cell>
          <cell r="D401">
            <v>0</v>
          </cell>
        </row>
        <row r="402">
          <cell r="A402">
            <v>6314.21</v>
          </cell>
          <cell r="B402" t="str">
            <v>2100 PAIRS/0.4 mm    CONDUCTORS  CES</v>
          </cell>
          <cell r="C402" t="str">
            <v>km.</v>
          </cell>
          <cell r="D402">
            <v>0</v>
          </cell>
        </row>
        <row r="403">
          <cell r="A403">
            <v>6314.24</v>
          </cell>
          <cell r="B403" t="str">
            <v>2400 PAIRS/0.4 mm    CONDUCTORS  CES</v>
          </cell>
          <cell r="C403" t="str">
            <v>km.</v>
          </cell>
          <cell r="D403">
            <v>0</v>
          </cell>
        </row>
        <row r="404">
          <cell r="A404">
            <v>6315.03</v>
          </cell>
          <cell r="B404" t="str">
            <v xml:space="preserve">  300 PAIRS/0.5 mm    CONDUCTORS  CES</v>
          </cell>
          <cell r="C404" t="str">
            <v>km.</v>
          </cell>
          <cell r="D404">
            <v>0</v>
          </cell>
        </row>
        <row r="405">
          <cell r="A405">
            <v>6315.06</v>
          </cell>
          <cell r="B405" t="str">
            <v xml:space="preserve">  600 PAIRS/0.5 mm    CONDUCTORS  CES</v>
          </cell>
          <cell r="C405" t="str">
            <v>km.</v>
          </cell>
          <cell r="D405">
            <v>0</v>
          </cell>
        </row>
        <row r="406">
          <cell r="A406">
            <v>6315.09</v>
          </cell>
          <cell r="B406" t="str">
            <v xml:space="preserve">  900 PAIRS/0.5 mm    CONDUCTORS  CES</v>
          </cell>
          <cell r="C406" t="str">
            <v>km.</v>
          </cell>
          <cell r="D406">
            <v>0</v>
          </cell>
        </row>
        <row r="407">
          <cell r="A407">
            <v>6315.12</v>
          </cell>
          <cell r="B407" t="str">
            <v>1200 PAIRS/0.5 mm    CONDUCTORS  CES</v>
          </cell>
          <cell r="C407" t="str">
            <v>km.</v>
          </cell>
          <cell r="D407">
            <v>0</v>
          </cell>
        </row>
        <row r="408">
          <cell r="A408">
            <v>6315.15</v>
          </cell>
          <cell r="B408" t="str">
            <v>1500 PAIRS/0.5 mm    CONDUCTORS  CES</v>
          </cell>
          <cell r="C408" t="str">
            <v>km.</v>
          </cell>
          <cell r="D408">
            <v>0</v>
          </cell>
        </row>
        <row r="409">
          <cell r="A409">
            <v>6315.18</v>
          </cell>
          <cell r="B409" t="str">
            <v>1800 PAIRS/0.5 mm    CONDUCTORS  CES</v>
          </cell>
          <cell r="C409" t="str">
            <v>km.</v>
          </cell>
          <cell r="D409">
            <v>0</v>
          </cell>
        </row>
        <row r="410">
          <cell r="A410">
            <v>6316.03</v>
          </cell>
          <cell r="B410" t="str">
            <v xml:space="preserve">  300 PAIRS/0.65 mm  CONDUCTORS  CES</v>
          </cell>
          <cell r="C410" t="str">
            <v>km.</v>
          </cell>
          <cell r="D410">
            <v>0</v>
          </cell>
        </row>
        <row r="411">
          <cell r="A411">
            <v>6316.06</v>
          </cell>
          <cell r="B411" t="str">
            <v xml:space="preserve">  600 PAIRS/0.65 mm  CONDUCTORS  CES</v>
          </cell>
          <cell r="C411" t="str">
            <v>km.</v>
          </cell>
          <cell r="D411">
            <v>0</v>
          </cell>
        </row>
        <row r="412">
          <cell r="A412">
            <v>6316.09</v>
          </cell>
          <cell r="B412" t="str">
            <v xml:space="preserve">  900 PAIRS/0.65 mm  CONDUCTORS  CES</v>
          </cell>
          <cell r="C412" t="str">
            <v>km.</v>
          </cell>
          <cell r="D412">
            <v>0</v>
          </cell>
        </row>
        <row r="413">
          <cell r="A413">
            <v>6316.12</v>
          </cell>
          <cell r="B413" t="str">
            <v>1200 PAIRS/0.65 mm  CONDUCTORS  CES</v>
          </cell>
          <cell r="C413" t="str">
            <v>km.</v>
          </cell>
          <cell r="D413">
            <v>0</v>
          </cell>
        </row>
        <row r="414">
          <cell r="A414">
            <v>6319.01</v>
          </cell>
          <cell r="B414" t="str">
            <v xml:space="preserve">  100 PAIRS/0.9 mm    CONDUCTORS  CES </v>
          </cell>
          <cell r="C414" t="str">
            <v>km.</v>
          </cell>
          <cell r="D414">
            <v>0</v>
          </cell>
        </row>
        <row r="415">
          <cell r="A415">
            <v>6319.03</v>
          </cell>
          <cell r="B415" t="str">
            <v xml:space="preserve">  300 PAIRS/0.9 mm    CONDUCTORS  CES </v>
          </cell>
          <cell r="C415" t="str">
            <v>km.</v>
          </cell>
          <cell r="D415">
            <v>0</v>
          </cell>
        </row>
        <row r="416">
          <cell r="A416">
            <v>6475.0010000000002</v>
          </cell>
          <cell r="B416" t="str">
            <v xml:space="preserve">   10 PAIRS/0.5 mm     CONDUCT.  VRB</v>
          </cell>
          <cell r="C416" t="str">
            <v>km.</v>
          </cell>
          <cell r="D416">
            <v>0</v>
          </cell>
        </row>
        <row r="417">
          <cell r="A417">
            <v>6475.0020000000004</v>
          </cell>
          <cell r="B417" t="str">
            <v xml:space="preserve">   20 PAIRS/0.5 mm     CONDUCT.  VRB</v>
          </cell>
          <cell r="C417" t="str">
            <v>km.</v>
          </cell>
          <cell r="D417">
            <v>0</v>
          </cell>
        </row>
        <row r="418">
          <cell r="A418">
            <v>6475.0029999999997</v>
          </cell>
          <cell r="B418" t="str">
            <v xml:space="preserve">   30 PAIRS/0.5 mm     CONDUCT.  VRB</v>
          </cell>
          <cell r="C418" t="str">
            <v>km.</v>
          </cell>
          <cell r="D418">
            <v>0</v>
          </cell>
        </row>
        <row r="419">
          <cell r="A419">
            <v>6475.0050000000001</v>
          </cell>
          <cell r="B419" t="str">
            <v xml:space="preserve">   50 PAIRS/0.5 mm     CONDUCT.  VRB</v>
          </cell>
          <cell r="C419" t="str">
            <v>km.</v>
          </cell>
          <cell r="D419">
            <v>0</v>
          </cell>
        </row>
        <row r="420">
          <cell r="A420">
            <v>6475.01</v>
          </cell>
          <cell r="B420" t="str">
            <v xml:space="preserve"> 100 PAIRS/0.5 mm     CONDUCT.  VRB</v>
          </cell>
          <cell r="C420" t="str">
            <v>km.</v>
          </cell>
          <cell r="D420">
            <v>0</v>
          </cell>
        </row>
        <row r="421">
          <cell r="A421">
            <v>6475.0150000000003</v>
          </cell>
          <cell r="B421" t="str">
            <v xml:space="preserve"> 150 PAIRS/0.5 mm     CONDUCT.  VRB</v>
          </cell>
          <cell r="C421" t="str">
            <v>km.</v>
          </cell>
          <cell r="D421">
            <v>0</v>
          </cell>
        </row>
        <row r="422">
          <cell r="A422">
            <v>6475.02</v>
          </cell>
          <cell r="B422" t="str">
            <v xml:space="preserve"> 200 PAIRS/0.5 mm     CONDUCT.  VRB</v>
          </cell>
          <cell r="C422" t="str">
            <v>km.</v>
          </cell>
          <cell r="D422">
            <v>0</v>
          </cell>
        </row>
        <row r="423">
          <cell r="A423">
            <v>6475.03</v>
          </cell>
          <cell r="B423" t="str">
            <v xml:space="preserve"> 300 PAIRS/0.5 mm     CONDUCT.  VRB</v>
          </cell>
          <cell r="C423" t="str">
            <v>km.</v>
          </cell>
          <cell r="D423">
            <v>0</v>
          </cell>
        </row>
        <row r="424">
          <cell r="A424">
            <v>6714.0020000000004</v>
          </cell>
          <cell r="B424" t="str">
            <v xml:space="preserve">   20 PAIRS/0.4mm.     CONDUCT.  CEF     </v>
          </cell>
          <cell r="C424" t="str">
            <v xml:space="preserve"> km.</v>
          </cell>
          <cell r="D424">
            <v>0</v>
          </cell>
        </row>
        <row r="425">
          <cell r="A425">
            <v>6714.0050000000001</v>
          </cell>
          <cell r="B425" t="str">
            <v xml:space="preserve">   50 PAIRS/0.4mm.     CONDUCT.  CEF     </v>
          </cell>
          <cell r="C425" t="str">
            <v xml:space="preserve"> km.</v>
          </cell>
          <cell r="D425">
            <v>0</v>
          </cell>
        </row>
        <row r="426">
          <cell r="A426">
            <v>6714.01</v>
          </cell>
          <cell r="B426" t="str">
            <v xml:space="preserve"> 100 PAIRS/0.4mm.     CONDUCT.  CEF     </v>
          </cell>
          <cell r="C426" t="str">
            <v xml:space="preserve"> km.</v>
          </cell>
          <cell r="D426">
            <v>0</v>
          </cell>
        </row>
        <row r="427">
          <cell r="A427">
            <v>6714.02</v>
          </cell>
          <cell r="B427" t="str">
            <v xml:space="preserve"> 200 PAIRS/0.4mm.     CONDUCT.  CEF     </v>
          </cell>
          <cell r="C427" t="str">
            <v xml:space="preserve"> km.</v>
          </cell>
          <cell r="D427">
            <v>0</v>
          </cell>
        </row>
        <row r="428">
          <cell r="A428">
            <v>6714.03</v>
          </cell>
          <cell r="B428" t="str">
            <v xml:space="preserve"> 300 PAIRS/0.4mm.     CONDUCT.  CEF     </v>
          </cell>
          <cell r="C428" t="str">
            <v xml:space="preserve"> km.</v>
          </cell>
          <cell r="D428">
            <v>0</v>
          </cell>
        </row>
        <row r="429">
          <cell r="A429">
            <v>6714.06</v>
          </cell>
          <cell r="B429" t="str">
            <v xml:space="preserve"> 600 PAIRS/0.4mm.     CONDUCT.  CEF     </v>
          </cell>
          <cell r="C429" t="str">
            <v xml:space="preserve"> km.</v>
          </cell>
          <cell r="D429">
            <v>0</v>
          </cell>
        </row>
        <row r="430">
          <cell r="A430">
            <v>6714.09</v>
          </cell>
          <cell r="B430" t="str">
            <v xml:space="preserve"> 900 PAIRS/0.4mm.     CONDUCT.  CEF     </v>
          </cell>
          <cell r="C430" t="str">
            <v xml:space="preserve"> km.</v>
          </cell>
          <cell r="D430">
            <v>0</v>
          </cell>
        </row>
        <row r="431">
          <cell r="A431">
            <v>6714.12</v>
          </cell>
          <cell r="B431" t="str">
            <v xml:space="preserve">1200 PAIRS/0.4mm.    CONDUCT.  CEF     </v>
          </cell>
          <cell r="C431" t="str">
            <v xml:space="preserve"> km.</v>
          </cell>
          <cell r="D431">
            <v>0</v>
          </cell>
        </row>
        <row r="432">
          <cell r="A432">
            <v>6714.15</v>
          </cell>
          <cell r="B432" t="str">
            <v xml:space="preserve">1500  PAIRS/0.4mm.   CONDUCT.  CEF     </v>
          </cell>
          <cell r="C432" t="str">
            <v xml:space="preserve"> km.</v>
          </cell>
          <cell r="D432">
            <v>0</v>
          </cell>
        </row>
        <row r="433">
          <cell r="A433">
            <v>6714.18</v>
          </cell>
          <cell r="B433" t="str">
            <v xml:space="preserve">1800  PAIRS/0.4mm.   CONDUCT.  CEF     </v>
          </cell>
          <cell r="C433" t="str">
            <v xml:space="preserve"> km.</v>
          </cell>
          <cell r="D433">
            <v>0</v>
          </cell>
        </row>
        <row r="434">
          <cell r="A434">
            <v>6715.0010000000002</v>
          </cell>
          <cell r="B434" t="str">
            <v xml:space="preserve">   10 PAIRS/0.5mm.     CONDUCT.  CEF     </v>
          </cell>
          <cell r="C434" t="str">
            <v xml:space="preserve"> km.</v>
          </cell>
          <cell r="D434">
            <v>0</v>
          </cell>
        </row>
        <row r="435">
          <cell r="A435">
            <v>6715.0020000000004</v>
          </cell>
          <cell r="B435" t="str">
            <v xml:space="preserve">   20 PAIRS/0.5mm.     CONDUCT.  CEF     </v>
          </cell>
          <cell r="C435" t="str">
            <v xml:space="preserve"> km.</v>
          </cell>
          <cell r="D435">
            <v>0</v>
          </cell>
        </row>
        <row r="436">
          <cell r="A436">
            <v>6715.0050000000001</v>
          </cell>
          <cell r="B436" t="str">
            <v xml:space="preserve">   50 PAIRS/0.5mm.     CONDUCT.  CEF     </v>
          </cell>
          <cell r="C436" t="str">
            <v xml:space="preserve"> km.</v>
          </cell>
          <cell r="D436">
            <v>0</v>
          </cell>
        </row>
        <row r="437">
          <cell r="A437">
            <v>6715.01</v>
          </cell>
          <cell r="B437" t="str">
            <v xml:space="preserve"> 100 PAIRS/0.5mm.     CONDUCT.  CEF     </v>
          </cell>
          <cell r="C437" t="str">
            <v xml:space="preserve"> km.</v>
          </cell>
          <cell r="D437">
            <v>0</v>
          </cell>
        </row>
        <row r="438">
          <cell r="A438">
            <v>6715.02</v>
          </cell>
          <cell r="B438" t="str">
            <v xml:space="preserve"> 200 PAIRS/0.5mm.     CONDUCT.  CEF     </v>
          </cell>
          <cell r="C438" t="str">
            <v xml:space="preserve"> km.</v>
          </cell>
          <cell r="D438">
            <v>0</v>
          </cell>
        </row>
        <row r="439">
          <cell r="A439">
            <v>6715.03</v>
          </cell>
          <cell r="B439" t="str">
            <v xml:space="preserve"> 300 PAIRS/0.5mm.     CONDUCT.  CEF     </v>
          </cell>
          <cell r="C439" t="str">
            <v xml:space="preserve"> km.</v>
          </cell>
          <cell r="D439">
            <v>0</v>
          </cell>
        </row>
        <row r="440">
          <cell r="A440">
            <v>6715.06</v>
          </cell>
          <cell r="B440" t="str">
            <v xml:space="preserve"> 600 PAIRS/0.5mm.     CONDUCT.  CEF     </v>
          </cell>
          <cell r="C440" t="str">
            <v xml:space="preserve"> km.</v>
          </cell>
          <cell r="D440">
            <v>0</v>
          </cell>
        </row>
        <row r="441">
          <cell r="A441">
            <v>6715.09</v>
          </cell>
          <cell r="B441" t="str">
            <v xml:space="preserve"> 900 PAIRS/0.5mm.     CONDUCT.  CEF     </v>
          </cell>
          <cell r="C441" t="str">
            <v xml:space="preserve"> km.</v>
          </cell>
          <cell r="D441">
            <v>0</v>
          </cell>
        </row>
        <row r="442">
          <cell r="A442">
            <v>6715.12</v>
          </cell>
          <cell r="B442" t="str">
            <v xml:space="preserve">1200 PAIRS/0.5mm.    CONDUCT.  CEF     </v>
          </cell>
          <cell r="C442" t="str">
            <v xml:space="preserve"> km.</v>
          </cell>
          <cell r="D442">
            <v>0</v>
          </cell>
        </row>
        <row r="443">
          <cell r="A443">
            <v>6716.0020000000004</v>
          </cell>
          <cell r="B443" t="str">
            <v xml:space="preserve">   20 PAIRS/0.65mm.   CONDUCT.  CEF     </v>
          </cell>
          <cell r="C443" t="str">
            <v xml:space="preserve"> km.</v>
          </cell>
          <cell r="D443">
            <v>0</v>
          </cell>
        </row>
        <row r="444">
          <cell r="A444">
            <v>6716.0050000000001</v>
          </cell>
          <cell r="B444" t="str">
            <v xml:space="preserve">   50 PAIRS/0.65mm.   CONDUCT.  CEF     </v>
          </cell>
          <cell r="C444" t="str">
            <v xml:space="preserve"> km.</v>
          </cell>
          <cell r="D444">
            <v>0</v>
          </cell>
        </row>
        <row r="445">
          <cell r="A445">
            <v>6716.01</v>
          </cell>
          <cell r="B445" t="str">
            <v xml:space="preserve"> 100 PAIRS/0.65mm.   CONDUCT.  CEF     </v>
          </cell>
          <cell r="C445" t="str">
            <v xml:space="preserve"> km.</v>
          </cell>
          <cell r="D445">
            <v>0</v>
          </cell>
        </row>
        <row r="446">
          <cell r="A446">
            <v>6716.02</v>
          </cell>
          <cell r="B446" t="str">
            <v xml:space="preserve"> 200 PAIRS/0.65mm.   CONDUCT.  CEF     </v>
          </cell>
          <cell r="C446" t="str">
            <v xml:space="preserve"> km.</v>
          </cell>
          <cell r="D446">
            <v>0</v>
          </cell>
        </row>
        <row r="447">
          <cell r="A447">
            <v>6716.03</v>
          </cell>
          <cell r="B447" t="str">
            <v xml:space="preserve"> 300 PAIRS/0.65mm.   CONDUCT.  CEF     </v>
          </cell>
          <cell r="C447" t="str">
            <v xml:space="preserve"> km.</v>
          </cell>
          <cell r="D447">
            <v>0</v>
          </cell>
        </row>
        <row r="448">
          <cell r="A448">
            <v>6716.06</v>
          </cell>
          <cell r="B448" t="str">
            <v xml:space="preserve"> 600 PAIRS/0.65mm.   CONDUCT.  CEF     </v>
          </cell>
          <cell r="C448" t="str">
            <v xml:space="preserve"> km.</v>
          </cell>
          <cell r="D448">
            <v>0</v>
          </cell>
        </row>
        <row r="449">
          <cell r="A449">
            <v>6719.0020000000004</v>
          </cell>
          <cell r="B449" t="str">
            <v xml:space="preserve">   20 PAIRS/0.9mm.     CONDUCT.  CEF     </v>
          </cell>
          <cell r="C449" t="str">
            <v xml:space="preserve"> km.</v>
          </cell>
          <cell r="D449">
            <v>0</v>
          </cell>
        </row>
        <row r="450">
          <cell r="A450">
            <v>6719.0050000000001</v>
          </cell>
          <cell r="B450" t="str">
            <v xml:space="preserve">   50 PAIRS/0.9mm.     CONDUCT.  CEF     </v>
          </cell>
          <cell r="C450" t="str">
            <v xml:space="preserve"> km.</v>
          </cell>
          <cell r="D450">
            <v>0</v>
          </cell>
        </row>
        <row r="451">
          <cell r="A451">
            <v>6719.01</v>
          </cell>
          <cell r="B451" t="str">
            <v xml:space="preserve"> 100 PAIRS/0.9mm.     CONDUCT.  CEF     </v>
          </cell>
          <cell r="C451" t="str">
            <v xml:space="preserve"> km.</v>
          </cell>
          <cell r="D451">
            <v>0</v>
          </cell>
        </row>
        <row r="452">
          <cell r="A452">
            <v>6719.0150000000003</v>
          </cell>
          <cell r="B452" t="str">
            <v xml:space="preserve"> 150 PAIRS/0.9mm.     CONDUCT.  CEF     </v>
          </cell>
          <cell r="C452" t="str">
            <v xml:space="preserve"> km.</v>
          </cell>
          <cell r="D452">
            <v>0</v>
          </cell>
        </row>
        <row r="453">
          <cell r="A453">
            <v>6719.02</v>
          </cell>
          <cell r="B453" t="str">
            <v xml:space="preserve"> 200 PAIRS/0.9mm.     CONDUCT.  CEF     </v>
          </cell>
          <cell r="C453" t="str">
            <v xml:space="preserve"> km.</v>
          </cell>
          <cell r="D453">
            <v>0</v>
          </cell>
        </row>
        <row r="454">
          <cell r="A454">
            <v>6719.03</v>
          </cell>
          <cell r="B454" t="str">
            <v xml:space="preserve"> 300 PAIRS/0.9mm.     CONDUCT.  CEF     </v>
          </cell>
          <cell r="C454" t="str">
            <v xml:space="preserve"> km.</v>
          </cell>
          <cell r="D454">
            <v>0</v>
          </cell>
        </row>
        <row r="455">
          <cell r="A455">
            <v>6724.0020000000004</v>
          </cell>
          <cell r="B455" t="str">
            <v xml:space="preserve">   20 PAIRS/0.4mm.    CONDUCT.  CEFE     </v>
          </cell>
          <cell r="C455" t="str">
            <v xml:space="preserve"> km.</v>
          </cell>
          <cell r="D455">
            <v>0</v>
          </cell>
        </row>
        <row r="456">
          <cell r="A456">
            <v>6724.0050000000001</v>
          </cell>
          <cell r="B456" t="str">
            <v xml:space="preserve">   50 PAIRS/0.4mm.    CONDUCT.  CEFE     </v>
          </cell>
          <cell r="C456" t="str">
            <v xml:space="preserve"> km.</v>
          </cell>
          <cell r="D456">
            <v>0</v>
          </cell>
        </row>
        <row r="457">
          <cell r="A457">
            <v>6724.01</v>
          </cell>
          <cell r="B457" t="str">
            <v xml:space="preserve"> 100 PAIRS/0.4mm.    CONDUCT.  CEFE     </v>
          </cell>
          <cell r="C457" t="str">
            <v xml:space="preserve"> km.</v>
          </cell>
          <cell r="D457">
            <v>0</v>
          </cell>
        </row>
        <row r="458">
          <cell r="A458">
            <v>6724.02</v>
          </cell>
          <cell r="B458" t="str">
            <v xml:space="preserve"> 200 PAIRS/0.4mm.    CONDUCT.  CEFE     </v>
          </cell>
          <cell r="C458" t="str">
            <v xml:space="preserve"> km.</v>
          </cell>
          <cell r="D458">
            <v>0</v>
          </cell>
        </row>
        <row r="459">
          <cell r="A459">
            <v>6724.03</v>
          </cell>
          <cell r="B459" t="str">
            <v xml:space="preserve"> 300 PAIRS/0.4mm.    CONDUCT.  CEFE     </v>
          </cell>
          <cell r="C459" t="str">
            <v xml:space="preserve"> km.</v>
          </cell>
          <cell r="D459">
            <v>0</v>
          </cell>
        </row>
        <row r="460">
          <cell r="A460">
            <v>6724.06</v>
          </cell>
          <cell r="B460" t="str">
            <v xml:space="preserve"> 600 PAIRS/0.4mm.    CONDUCT.  CEFE     </v>
          </cell>
          <cell r="C460" t="str">
            <v xml:space="preserve"> km.</v>
          </cell>
          <cell r="D460">
            <v>0</v>
          </cell>
        </row>
        <row r="461">
          <cell r="A461">
            <v>6724.09</v>
          </cell>
          <cell r="B461" t="str">
            <v xml:space="preserve"> 900 PAIRS/0.4mm.    CONDUCT.  CEFE     </v>
          </cell>
          <cell r="C461" t="str">
            <v xml:space="preserve"> km.</v>
          </cell>
          <cell r="D461">
            <v>0</v>
          </cell>
        </row>
        <row r="462">
          <cell r="A462">
            <v>6724.12</v>
          </cell>
          <cell r="B462" t="str">
            <v xml:space="preserve">1200 PAIRS/0.4mm.   CONDUCT.  CEFE     </v>
          </cell>
          <cell r="C462" t="str">
            <v xml:space="preserve"> km.</v>
          </cell>
          <cell r="D462">
            <v>0</v>
          </cell>
        </row>
        <row r="463">
          <cell r="A463">
            <v>6724.15</v>
          </cell>
          <cell r="B463" t="str">
            <v xml:space="preserve">1500  PAIRS/0.4mm.  CONDUCT.  CEFE     </v>
          </cell>
          <cell r="C463" t="str">
            <v xml:space="preserve"> km.</v>
          </cell>
          <cell r="D463">
            <v>0</v>
          </cell>
        </row>
        <row r="464">
          <cell r="A464">
            <v>6724.18</v>
          </cell>
          <cell r="B464" t="str">
            <v xml:space="preserve">1800  PAIRS/0.4mm.  CONDUCT.  CEFE     </v>
          </cell>
          <cell r="C464" t="str">
            <v xml:space="preserve"> km.</v>
          </cell>
          <cell r="D464">
            <v>0</v>
          </cell>
        </row>
        <row r="465">
          <cell r="A465">
            <v>6725.0010000000002</v>
          </cell>
          <cell r="B465" t="str">
            <v xml:space="preserve">   10 PAIRS/0.5mm.    CONDUCT.  CEFE     </v>
          </cell>
          <cell r="C465" t="str">
            <v xml:space="preserve"> km.</v>
          </cell>
          <cell r="D465">
            <v>0</v>
          </cell>
        </row>
        <row r="466">
          <cell r="A466">
            <v>6725.0020000000004</v>
          </cell>
          <cell r="B466" t="str">
            <v xml:space="preserve">   20 PAIRS/0.5mm.    CONDUCT.  CEFE     </v>
          </cell>
          <cell r="C466" t="str">
            <v xml:space="preserve"> km.</v>
          </cell>
          <cell r="D466">
            <v>0</v>
          </cell>
        </row>
        <row r="467">
          <cell r="A467">
            <v>6725.0050000000001</v>
          </cell>
          <cell r="B467" t="str">
            <v xml:space="preserve">   50 PAIRS/0.5mm.    CONDUCT.  CEFE     </v>
          </cell>
          <cell r="C467" t="str">
            <v xml:space="preserve"> km.</v>
          </cell>
          <cell r="D467">
            <v>0</v>
          </cell>
        </row>
        <row r="468">
          <cell r="A468">
            <v>6725.01</v>
          </cell>
          <cell r="B468" t="str">
            <v xml:space="preserve"> 100 PAIRS/0.5mm.    CONDUCT.  CEFE     </v>
          </cell>
          <cell r="C468" t="str">
            <v xml:space="preserve"> km.</v>
          </cell>
          <cell r="D468">
            <v>0</v>
          </cell>
        </row>
        <row r="469">
          <cell r="A469">
            <v>6725.02</v>
          </cell>
          <cell r="B469" t="str">
            <v xml:space="preserve"> 200 PAIRS/0.5mm.    CONDUCT.  CEFE     </v>
          </cell>
          <cell r="C469" t="str">
            <v xml:space="preserve"> km.</v>
          </cell>
          <cell r="D469">
            <v>0</v>
          </cell>
        </row>
        <row r="470">
          <cell r="A470">
            <v>6725.03</v>
          </cell>
          <cell r="B470" t="str">
            <v xml:space="preserve"> 300 PAIRS/0.5mm.    CONDUCT.  CEFE     </v>
          </cell>
          <cell r="C470" t="str">
            <v xml:space="preserve"> km.</v>
          </cell>
          <cell r="D470">
            <v>0</v>
          </cell>
        </row>
        <row r="471">
          <cell r="A471">
            <v>6725.06</v>
          </cell>
          <cell r="B471" t="str">
            <v xml:space="preserve"> 600 PAIRS/0.5mm.    CONDUCT.  CEFE     </v>
          </cell>
          <cell r="C471" t="str">
            <v xml:space="preserve"> km.</v>
          </cell>
          <cell r="D471">
            <v>0</v>
          </cell>
        </row>
        <row r="472">
          <cell r="A472">
            <v>6725.09</v>
          </cell>
          <cell r="B472" t="str">
            <v xml:space="preserve"> 900 PAIRS/0.5mm.    CONDUCT.  CEFE     </v>
          </cell>
          <cell r="C472" t="str">
            <v xml:space="preserve"> km.</v>
          </cell>
          <cell r="D472">
            <v>0</v>
          </cell>
        </row>
        <row r="473">
          <cell r="A473">
            <v>6725.12</v>
          </cell>
          <cell r="B473" t="str">
            <v xml:space="preserve">1200 PAIRS/0.5mm.   CONDUCT.  CEFE     </v>
          </cell>
          <cell r="C473" t="str">
            <v xml:space="preserve"> km.</v>
          </cell>
          <cell r="D473">
            <v>0</v>
          </cell>
        </row>
        <row r="474">
          <cell r="A474">
            <v>6726.0020000000004</v>
          </cell>
          <cell r="B474" t="str">
            <v xml:space="preserve">   20 PAIRS/0.65mm.  CONDUCT.  CEFE     </v>
          </cell>
          <cell r="C474" t="str">
            <v xml:space="preserve"> km.</v>
          </cell>
          <cell r="D474">
            <v>0</v>
          </cell>
        </row>
        <row r="475">
          <cell r="A475">
            <v>6726.0050000000001</v>
          </cell>
          <cell r="B475" t="str">
            <v xml:space="preserve">   50 PAIRS/0.65mm.  CONDUCT.  CEFE     </v>
          </cell>
          <cell r="C475" t="str">
            <v xml:space="preserve"> km.</v>
          </cell>
          <cell r="D475">
            <v>0</v>
          </cell>
        </row>
        <row r="476">
          <cell r="A476">
            <v>6726.01</v>
          </cell>
          <cell r="B476" t="str">
            <v xml:space="preserve"> 100 PAIRS/0.65mm.  CONDUCT.  CEFE     </v>
          </cell>
          <cell r="C476" t="str">
            <v xml:space="preserve"> km.</v>
          </cell>
          <cell r="D476">
            <v>0</v>
          </cell>
        </row>
        <row r="477">
          <cell r="A477">
            <v>6726.02</v>
          </cell>
          <cell r="B477" t="str">
            <v xml:space="preserve"> 200 PAIRS/0.65mm.  CONDUCT.  CEFE     </v>
          </cell>
          <cell r="C477" t="str">
            <v xml:space="preserve"> km.</v>
          </cell>
          <cell r="D477">
            <v>0</v>
          </cell>
        </row>
        <row r="478">
          <cell r="A478">
            <v>6726.03</v>
          </cell>
          <cell r="B478" t="str">
            <v xml:space="preserve"> 300 PAIRS/0.65mm.  CONDUCT.  CEFE     </v>
          </cell>
          <cell r="C478" t="str">
            <v xml:space="preserve"> km.</v>
          </cell>
          <cell r="D478">
            <v>0</v>
          </cell>
        </row>
        <row r="479">
          <cell r="A479">
            <v>6726.06</v>
          </cell>
          <cell r="B479" t="str">
            <v xml:space="preserve"> 600 PAIRS/0.65mm.  CONDUCT.  CEFE     </v>
          </cell>
          <cell r="C479" t="str">
            <v xml:space="preserve"> km.</v>
          </cell>
          <cell r="D479">
            <v>0</v>
          </cell>
        </row>
        <row r="480">
          <cell r="A480">
            <v>6729.0020000000004</v>
          </cell>
          <cell r="B480" t="str">
            <v xml:space="preserve">   20 PAIRS/0.9mm.    CONDUCT.  CEFE     </v>
          </cell>
          <cell r="C480" t="str">
            <v xml:space="preserve"> km.</v>
          </cell>
          <cell r="D480">
            <v>0</v>
          </cell>
        </row>
        <row r="481">
          <cell r="A481">
            <v>6729.0050000000001</v>
          </cell>
          <cell r="B481" t="str">
            <v xml:space="preserve">   50 PAIRS/0.9mm.    CONDUCT.  CEFE     </v>
          </cell>
          <cell r="C481" t="str">
            <v xml:space="preserve"> km.</v>
          </cell>
          <cell r="D481">
            <v>0</v>
          </cell>
        </row>
        <row r="482">
          <cell r="A482">
            <v>6729.01</v>
          </cell>
          <cell r="B482" t="str">
            <v xml:space="preserve"> 100 PAIRS/0.9mm.    CONDUCT.  CEFE     </v>
          </cell>
          <cell r="C482" t="str">
            <v xml:space="preserve"> km.</v>
          </cell>
          <cell r="D482">
            <v>0</v>
          </cell>
        </row>
        <row r="483">
          <cell r="A483">
            <v>6729.0150000000003</v>
          </cell>
          <cell r="B483" t="str">
            <v xml:space="preserve"> 150 PAIRS/0.9mm.    CONDUCT.  CEFE     </v>
          </cell>
          <cell r="C483" t="str">
            <v xml:space="preserve"> km.</v>
          </cell>
          <cell r="D483">
            <v>0</v>
          </cell>
        </row>
        <row r="484">
          <cell r="A484">
            <v>6729.02</v>
          </cell>
          <cell r="B484" t="str">
            <v xml:space="preserve"> 200 PAIRS/0.9mm.    CONDUCT.  CEFE     </v>
          </cell>
          <cell r="C484" t="str">
            <v xml:space="preserve"> km.</v>
          </cell>
          <cell r="D484">
            <v>0</v>
          </cell>
        </row>
        <row r="485">
          <cell r="A485">
            <v>6729.03</v>
          </cell>
          <cell r="B485" t="str">
            <v xml:space="preserve"> 300 PAIRS/0.9mm.    CONDUCT.  CEFE     </v>
          </cell>
          <cell r="C485" t="str">
            <v xml:space="preserve"> km.</v>
          </cell>
          <cell r="D485">
            <v>0</v>
          </cell>
        </row>
        <row r="486">
          <cell r="A486">
            <v>6744.0020000000004</v>
          </cell>
          <cell r="B486" t="str">
            <v xml:space="preserve">   20 PAIRS/0.4mm.    CONDUCT.  CEFW     </v>
          </cell>
          <cell r="C486" t="str">
            <v xml:space="preserve"> km.</v>
          </cell>
          <cell r="D486">
            <v>0</v>
          </cell>
        </row>
        <row r="487">
          <cell r="A487">
            <v>6744.0050000000001</v>
          </cell>
          <cell r="B487" t="str">
            <v xml:space="preserve">   50 PAIRS/0.4mm.    CONDUCT.  CEFW     </v>
          </cell>
          <cell r="C487" t="str">
            <v xml:space="preserve"> km.</v>
          </cell>
          <cell r="D487">
            <v>0</v>
          </cell>
        </row>
        <row r="488">
          <cell r="A488">
            <v>6744.01</v>
          </cell>
          <cell r="B488" t="str">
            <v xml:space="preserve"> 100 PAIRS/0.4mm.    CONDUCT.  CEFW     </v>
          </cell>
          <cell r="C488" t="str">
            <v xml:space="preserve"> km.</v>
          </cell>
          <cell r="D488">
            <v>0</v>
          </cell>
        </row>
        <row r="489">
          <cell r="A489">
            <v>6744.02</v>
          </cell>
          <cell r="B489" t="str">
            <v xml:space="preserve"> 200 PAIRS/0.4mm.    CONDUCT.  CEFW     </v>
          </cell>
          <cell r="C489" t="str">
            <v xml:space="preserve"> km.</v>
          </cell>
          <cell r="D489">
            <v>0</v>
          </cell>
        </row>
        <row r="490">
          <cell r="A490">
            <v>6744.03</v>
          </cell>
          <cell r="B490" t="str">
            <v xml:space="preserve"> 300 PAIRS/0.4mm.    CONDUCT.  CEFW     </v>
          </cell>
          <cell r="C490" t="str">
            <v xml:space="preserve"> km.</v>
          </cell>
          <cell r="D490">
            <v>0</v>
          </cell>
        </row>
        <row r="491">
          <cell r="A491">
            <v>6744.06</v>
          </cell>
          <cell r="B491" t="str">
            <v xml:space="preserve"> 600 PAIRS/0.4mm.    CONDUCT.  CEFW     </v>
          </cell>
          <cell r="C491" t="str">
            <v xml:space="preserve"> km.</v>
          </cell>
          <cell r="D491">
            <v>0</v>
          </cell>
        </row>
        <row r="492">
          <cell r="A492">
            <v>6744.09</v>
          </cell>
          <cell r="B492" t="str">
            <v xml:space="preserve"> 900 PAIRS/0.4mm.    CONDUCT.  CEFW     </v>
          </cell>
          <cell r="C492" t="str">
            <v xml:space="preserve"> km.</v>
          </cell>
          <cell r="D492">
            <v>0</v>
          </cell>
        </row>
        <row r="493">
          <cell r="A493">
            <v>6744.12</v>
          </cell>
          <cell r="B493" t="str">
            <v xml:space="preserve">1200 PAIRS/0.4mm.   CONDUCT.  CEFW     </v>
          </cell>
          <cell r="C493" t="str">
            <v xml:space="preserve"> km.</v>
          </cell>
          <cell r="D493">
            <v>0</v>
          </cell>
        </row>
        <row r="494">
          <cell r="A494">
            <v>6744.15</v>
          </cell>
          <cell r="B494" t="str">
            <v xml:space="preserve">1500  PAIRS/0.4mm.  CONDUCT.  CEFW     </v>
          </cell>
          <cell r="C494" t="str">
            <v xml:space="preserve"> km.</v>
          </cell>
          <cell r="D494">
            <v>0</v>
          </cell>
        </row>
        <row r="495">
          <cell r="A495">
            <v>6744.18</v>
          </cell>
          <cell r="B495" t="str">
            <v xml:space="preserve">1800  PAIRS/0.4mm.  CONDUCT.  CEFW     </v>
          </cell>
          <cell r="C495" t="str">
            <v xml:space="preserve"> km.</v>
          </cell>
          <cell r="D495">
            <v>0</v>
          </cell>
        </row>
        <row r="496">
          <cell r="A496">
            <v>6745.0010000000002</v>
          </cell>
          <cell r="B496" t="str">
            <v xml:space="preserve">   10 PAIRS/0.5mm.    CONDUCT.  CEFW     </v>
          </cell>
          <cell r="C496" t="str">
            <v xml:space="preserve"> km.</v>
          </cell>
          <cell r="D496">
            <v>0</v>
          </cell>
        </row>
        <row r="497">
          <cell r="A497">
            <v>6745.0020000000004</v>
          </cell>
          <cell r="B497" t="str">
            <v xml:space="preserve">   20 PAIRS/0.5mm.    CONDUCT.  CEFW     </v>
          </cell>
          <cell r="C497" t="str">
            <v xml:space="preserve"> km.</v>
          </cell>
          <cell r="D497">
            <v>0</v>
          </cell>
        </row>
        <row r="498">
          <cell r="A498">
            <v>6745.0050000000001</v>
          </cell>
          <cell r="B498" t="str">
            <v xml:space="preserve">   50 PAIRS/0.5mm.    CONDUCT.  CEFW     </v>
          </cell>
          <cell r="C498" t="str">
            <v xml:space="preserve"> km.</v>
          </cell>
          <cell r="D498">
            <v>0</v>
          </cell>
        </row>
        <row r="499">
          <cell r="A499">
            <v>6745.01</v>
          </cell>
          <cell r="B499" t="str">
            <v xml:space="preserve"> 100 PAIRS/0.5mm.    CONDUCT.  CEFW     </v>
          </cell>
          <cell r="C499" t="str">
            <v xml:space="preserve"> km.</v>
          </cell>
          <cell r="D499">
            <v>0</v>
          </cell>
        </row>
        <row r="500">
          <cell r="A500">
            <v>6745.02</v>
          </cell>
          <cell r="B500" t="str">
            <v xml:space="preserve"> 200 PAIRS/0.5mm.    CONDUCT.  CEFW     </v>
          </cell>
          <cell r="C500" t="str">
            <v xml:space="preserve"> km.</v>
          </cell>
          <cell r="D500">
            <v>0</v>
          </cell>
        </row>
        <row r="501">
          <cell r="A501">
            <v>6745.03</v>
          </cell>
          <cell r="B501" t="str">
            <v xml:space="preserve"> 300 PAIRS/0.5mm.    CONDUCT.  CEFW     </v>
          </cell>
          <cell r="C501" t="str">
            <v xml:space="preserve"> km.</v>
          </cell>
          <cell r="D501">
            <v>0</v>
          </cell>
        </row>
        <row r="502">
          <cell r="A502">
            <v>6745.06</v>
          </cell>
          <cell r="B502" t="str">
            <v xml:space="preserve"> 600 PAIRS/0.5mm.    CONDUCT.  CEFW     </v>
          </cell>
          <cell r="C502" t="str">
            <v xml:space="preserve"> km.</v>
          </cell>
          <cell r="D502">
            <v>0</v>
          </cell>
        </row>
        <row r="503">
          <cell r="A503">
            <v>6745.09</v>
          </cell>
          <cell r="B503" t="str">
            <v xml:space="preserve"> 900 PAIRS/0.5mm.    CONDUCT.  CEFW     </v>
          </cell>
          <cell r="C503" t="str">
            <v xml:space="preserve"> km.</v>
          </cell>
          <cell r="D503">
            <v>0</v>
          </cell>
        </row>
        <row r="504">
          <cell r="A504">
            <v>6745.12</v>
          </cell>
          <cell r="B504" t="str">
            <v xml:space="preserve">1200 PAIRS/0.5mm.   CONDUCT.  CEFW     </v>
          </cell>
          <cell r="C504" t="str">
            <v xml:space="preserve"> km.</v>
          </cell>
          <cell r="D504">
            <v>0</v>
          </cell>
        </row>
        <row r="505">
          <cell r="A505">
            <v>6746.0020000000004</v>
          </cell>
          <cell r="B505" t="str">
            <v xml:space="preserve">   20 PAIRS/0.65mm.  CONDUCT.  CEFW     </v>
          </cell>
          <cell r="C505" t="str">
            <v xml:space="preserve"> km.</v>
          </cell>
          <cell r="D505">
            <v>0</v>
          </cell>
        </row>
        <row r="506">
          <cell r="A506">
            <v>6746.0050000000001</v>
          </cell>
          <cell r="B506" t="str">
            <v xml:space="preserve">   50 PAIRS/0.65mm.  CONDUCT.  CEFW     </v>
          </cell>
          <cell r="C506" t="str">
            <v xml:space="preserve"> km.</v>
          </cell>
          <cell r="D506">
            <v>0</v>
          </cell>
        </row>
        <row r="507">
          <cell r="A507">
            <v>6746.01</v>
          </cell>
          <cell r="B507" t="str">
            <v xml:space="preserve"> 100 PAIRS/0.65mm.  CONDUCT.  CEFW     </v>
          </cell>
          <cell r="C507" t="str">
            <v xml:space="preserve"> km.</v>
          </cell>
          <cell r="D507">
            <v>0</v>
          </cell>
        </row>
        <row r="508">
          <cell r="A508">
            <v>6746.02</v>
          </cell>
          <cell r="B508" t="str">
            <v xml:space="preserve"> 200 PAIRS/0.65mm.  CONDUCT.  CEFW     </v>
          </cell>
          <cell r="C508" t="str">
            <v xml:space="preserve"> km.</v>
          </cell>
          <cell r="D508">
            <v>0</v>
          </cell>
        </row>
        <row r="509">
          <cell r="A509">
            <v>6746.03</v>
          </cell>
          <cell r="B509" t="str">
            <v xml:space="preserve"> 300 PAIRS/0.65mm.  CONDUCT.  CEFW     </v>
          </cell>
          <cell r="C509" t="str">
            <v xml:space="preserve"> km.</v>
          </cell>
          <cell r="D509">
            <v>0</v>
          </cell>
        </row>
        <row r="510">
          <cell r="A510">
            <v>6746.06</v>
          </cell>
          <cell r="B510" t="str">
            <v xml:space="preserve"> 600 PAIRS/0.65mm.  CONDUCT.  CEFW     </v>
          </cell>
          <cell r="C510" t="str">
            <v xml:space="preserve"> km.</v>
          </cell>
          <cell r="D510">
            <v>0</v>
          </cell>
        </row>
        <row r="511">
          <cell r="A511">
            <v>6749.0020000000004</v>
          </cell>
          <cell r="B511" t="str">
            <v xml:space="preserve">   20 PAIRS/0.9mm.    CONDUCT.  CEFW     </v>
          </cell>
          <cell r="C511" t="str">
            <v xml:space="preserve"> km.</v>
          </cell>
          <cell r="D511">
            <v>0</v>
          </cell>
        </row>
        <row r="512">
          <cell r="A512">
            <v>6749.0050000000001</v>
          </cell>
          <cell r="B512" t="str">
            <v xml:space="preserve">   50 PAIRS/0.9mm.    CONDUCT.  CEFW     </v>
          </cell>
          <cell r="C512" t="str">
            <v xml:space="preserve"> km.</v>
          </cell>
          <cell r="D512">
            <v>0</v>
          </cell>
        </row>
        <row r="513">
          <cell r="A513">
            <v>6749.01</v>
          </cell>
          <cell r="B513" t="str">
            <v xml:space="preserve"> 100 PAIRS/0.9mm.    CONDUCT.  CEFW     </v>
          </cell>
          <cell r="C513" t="str">
            <v xml:space="preserve"> km.</v>
          </cell>
          <cell r="D513">
            <v>0</v>
          </cell>
        </row>
        <row r="514">
          <cell r="A514">
            <v>6749.0150000000003</v>
          </cell>
          <cell r="B514" t="str">
            <v xml:space="preserve"> 150 PAIRS/0.9mm.    CONDUCT.  CEFW     </v>
          </cell>
          <cell r="C514" t="str">
            <v xml:space="preserve"> km.</v>
          </cell>
          <cell r="D514">
            <v>0</v>
          </cell>
        </row>
        <row r="515">
          <cell r="A515">
            <v>6749.02</v>
          </cell>
          <cell r="B515" t="str">
            <v xml:space="preserve"> 200 PAIRS/0.9mm.    CONDUCT.  CEFW     </v>
          </cell>
          <cell r="C515" t="str">
            <v xml:space="preserve"> km.</v>
          </cell>
          <cell r="D515">
            <v>0</v>
          </cell>
        </row>
        <row r="516">
          <cell r="A516">
            <v>6749.03</v>
          </cell>
          <cell r="B516" t="str">
            <v xml:space="preserve"> 300 PAIRS/0.9mm.    CONDUCT.  CEFW     </v>
          </cell>
          <cell r="C516" t="str">
            <v xml:space="preserve"> km.</v>
          </cell>
          <cell r="D516">
            <v>0</v>
          </cell>
        </row>
        <row r="517">
          <cell r="A517">
            <v>6910.0003999999999</v>
          </cell>
          <cell r="B517" t="str">
            <v xml:space="preserve">   4 O.F. TYPE 10/125 + METAL FREE,  DUCT</v>
          </cell>
          <cell r="C517" t="str">
            <v>km.</v>
          </cell>
          <cell r="D517">
            <v>0</v>
          </cell>
        </row>
        <row r="518">
          <cell r="A518">
            <v>6910.0006000000003</v>
          </cell>
          <cell r="B518" t="str">
            <v xml:space="preserve">   6 O.F. TYPE 10/125 + METAL FREE,  DUCT</v>
          </cell>
          <cell r="C518" t="str">
            <v>km.</v>
          </cell>
          <cell r="D518">
            <v>0</v>
          </cell>
        </row>
        <row r="519">
          <cell r="A519">
            <v>6910.0007999999998</v>
          </cell>
          <cell r="B519" t="str">
            <v xml:space="preserve">   8 O.F. TYPE 10/125 + METAL FREE,  DUCT</v>
          </cell>
          <cell r="C519" t="str">
            <v>km.</v>
          </cell>
          <cell r="D519">
            <v>0</v>
          </cell>
        </row>
        <row r="520">
          <cell r="A520">
            <v>6910.0011999999997</v>
          </cell>
          <cell r="B520" t="str">
            <v xml:space="preserve"> 12 O.F. TYPE 10/125 + METAL FREE,  DUCT</v>
          </cell>
          <cell r="C520" t="str">
            <v>km.</v>
          </cell>
          <cell r="D520">
            <v>0</v>
          </cell>
        </row>
        <row r="521">
          <cell r="A521">
            <v>6910.0015999999996</v>
          </cell>
          <cell r="B521" t="str">
            <v xml:space="preserve"> 16 O.F. TYPE 10/125 + METAL FREE,  DUCT</v>
          </cell>
          <cell r="C521" t="str">
            <v>km.</v>
          </cell>
          <cell r="D521">
            <v>0</v>
          </cell>
        </row>
        <row r="522">
          <cell r="A522">
            <v>6910.0024000000003</v>
          </cell>
          <cell r="B522" t="str">
            <v xml:space="preserve"> 24 O.F. TYPE 10/125 + METAL FREE,  DUCT</v>
          </cell>
          <cell r="C522" t="str">
            <v>km.</v>
          </cell>
          <cell r="D522">
            <v>0</v>
          </cell>
        </row>
        <row r="523">
          <cell r="A523">
            <v>6910.0029999999997</v>
          </cell>
          <cell r="B523" t="str">
            <v xml:space="preserve"> 30 O.F. TYPE 10/125 + METAL FREE,  DUCT</v>
          </cell>
          <cell r="C523" t="str">
            <v>km.</v>
          </cell>
          <cell r="D523">
            <v>0</v>
          </cell>
        </row>
        <row r="524">
          <cell r="A524">
            <v>6910.0036</v>
          </cell>
          <cell r="B524" t="str">
            <v xml:space="preserve"> 36 O.F. TYPE 10/125 + METAL FREE,  DUCT</v>
          </cell>
          <cell r="C524" t="str">
            <v>km.</v>
          </cell>
          <cell r="D524">
            <v>0</v>
          </cell>
        </row>
        <row r="525">
          <cell r="A525">
            <v>6910.0047999999997</v>
          </cell>
          <cell r="B525" t="str">
            <v xml:space="preserve"> 48 O.F. TYPE 10/125 + METAL FREE,  DUCT</v>
          </cell>
          <cell r="C525" t="str">
            <v>km.</v>
          </cell>
          <cell r="D525">
            <v>0</v>
          </cell>
        </row>
        <row r="526">
          <cell r="A526">
            <v>6910.0060000000003</v>
          </cell>
          <cell r="B526" t="str">
            <v xml:space="preserve"> 60 O.F. TYPE 10/125 + METAL FREE,  DUCT</v>
          </cell>
          <cell r="C526" t="str">
            <v>km.</v>
          </cell>
          <cell r="D526">
            <v>0</v>
          </cell>
        </row>
        <row r="527">
          <cell r="A527">
            <v>6910.0072</v>
          </cell>
          <cell r="B527" t="str">
            <v xml:space="preserve"> 72 O.F. TYPE 10/125 + METAL FREE,  DUCT</v>
          </cell>
          <cell r="C527" t="str">
            <v>km.</v>
          </cell>
          <cell r="D527">
            <v>0</v>
          </cell>
        </row>
        <row r="528">
          <cell r="A528">
            <v>6910.0083999999997</v>
          </cell>
          <cell r="B528" t="str">
            <v xml:space="preserve"> 84 O.F. TYPE 10/125 + METAL FREE,  DUCT</v>
          </cell>
          <cell r="C528" t="str">
            <v>km.</v>
          </cell>
          <cell r="D528">
            <v>0</v>
          </cell>
        </row>
        <row r="529">
          <cell r="A529">
            <v>6910.0096000000003</v>
          </cell>
          <cell r="B529" t="str">
            <v xml:space="preserve"> 96 O.F. TYPE 10/125 + METAL FREE,  DUCT</v>
          </cell>
          <cell r="C529" t="str">
            <v>km.</v>
          </cell>
          <cell r="D529">
            <v>0</v>
          </cell>
        </row>
        <row r="530">
          <cell r="A530">
            <v>6917.0003999999999</v>
          </cell>
          <cell r="B530" t="str">
            <v xml:space="preserve">   4 O.F. TYPE 10/125 + STANDARD,    DUCT</v>
          </cell>
          <cell r="C530" t="str">
            <v>km.</v>
          </cell>
          <cell r="D530">
            <v>0</v>
          </cell>
        </row>
        <row r="531">
          <cell r="A531">
            <v>6917.0006000000003</v>
          </cell>
          <cell r="B531" t="str">
            <v xml:space="preserve">   6 O.F. TYPE 10/125 + STANDARD,    DUCT</v>
          </cell>
          <cell r="C531" t="str">
            <v>km.</v>
          </cell>
          <cell r="D531">
            <v>0</v>
          </cell>
        </row>
        <row r="532">
          <cell r="A532">
            <v>6917.0007999999998</v>
          </cell>
          <cell r="B532" t="str">
            <v xml:space="preserve">   8 O.F. TYPE 10/125 + STANDARD,    DUCT</v>
          </cell>
          <cell r="C532" t="str">
            <v>km.</v>
          </cell>
          <cell r="D532">
            <v>0</v>
          </cell>
        </row>
        <row r="533">
          <cell r="A533">
            <v>6917.0011999999997</v>
          </cell>
          <cell r="B533" t="str">
            <v xml:space="preserve"> 12 O.F. TYPE 10/125 + STANDARD,    DUCT</v>
          </cell>
          <cell r="C533" t="str">
            <v>km.</v>
          </cell>
          <cell r="D533">
            <v>0</v>
          </cell>
        </row>
        <row r="534">
          <cell r="A534">
            <v>6917.0015999999996</v>
          </cell>
          <cell r="B534" t="str">
            <v xml:space="preserve"> 16 O.F. TYPE 10/125 + STANDARD,    DUCT</v>
          </cell>
          <cell r="C534" t="str">
            <v>km.</v>
          </cell>
          <cell r="D534">
            <v>0</v>
          </cell>
        </row>
        <row r="535">
          <cell r="A535">
            <v>6917.0024000000003</v>
          </cell>
          <cell r="B535" t="str">
            <v xml:space="preserve"> 24 O.F. TYPE 10/125 + STANDARD,    DUCT</v>
          </cell>
          <cell r="C535" t="str">
            <v>km.</v>
          </cell>
          <cell r="D535">
            <v>0</v>
          </cell>
        </row>
        <row r="536">
          <cell r="A536">
            <v>6917.0029999999997</v>
          </cell>
          <cell r="B536" t="str">
            <v xml:space="preserve"> 30 O.F. TYPE 10/125 + STANDARD,    DUCT</v>
          </cell>
          <cell r="C536" t="str">
            <v>km.</v>
          </cell>
          <cell r="D536">
            <v>0</v>
          </cell>
        </row>
        <row r="537">
          <cell r="A537">
            <v>6917.0036</v>
          </cell>
          <cell r="B537" t="str">
            <v xml:space="preserve"> 36 O.F. TYPE 10/125 + STANDARD,    DUCT</v>
          </cell>
          <cell r="C537" t="str">
            <v>km.</v>
          </cell>
          <cell r="D537">
            <v>0</v>
          </cell>
        </row>
        <row r="538">
          <cell r="A538">
            <v>6917.0047999999997</v>
          </cell>
          <cell r="B538" t="str">
            <v xml:space="preserve"> 48 O.F. TYPE 10/125 + STANDARD,    DUCT</v>
          </cell>
          <cell r="C538" t="str">
            <v>km.</v>
          </cell>
          <cell r="D538">
            <v>0</v>
          </cell>
        </row>
        <row r="539">
          <cell r="A539">
            <v>6917.0060000000003</v>
          </cell>
          <cell r="B539" t="str">
            <v xml:space="preserve"> 60 O.F. TYPE 10/125 + STANDARD,    DUCT</v>
          </cell>
          <cell r="C539" t="str">
            <v>km.</v>
          </cell>
          <cell r="D539">
            <v>0</v>
          </cell>
        </row>
        <row r="540">
          <cell r="A540">
            <v>6917.0072</v>
          </cell>
          <cell r="B540" t="str">
            <v xml:space="preserve"> 72 O.F. TYPE 10/125 + STANDARD,    DUCT</v>
          </cell>
          <cell r="C540" t="str">
            <v>km.</v>
          </cell>
          <cell r="D540">
            <v>0</v>
          </cell>
        </row>
        <row r="541">
          <cell r="A541">
            <v>6917.0083999999997</v>
          </cell>
          <cell r="B541" t="str">
            <v xml:space="preserve"> 84 O.F. TYPE 10/125 + STANDARD,    DUCT</v>
          </cell>
          <cell r="C541" t="str">
            <v>km.</v>
          </cell>
          <cell r="D541">
            <v>0</v>
          </cell>
        </row>
        <row r="542">
          <cell r="A542">
            <v>6917.0096000000003</v>
          </cell>
          <cell r="B542" t="str">
            <v xml:space="preserve"> 96 O.F. TYPE 10/125 + STANDARD,    DUCT</v>
          </cell>
          <cell r="C542" t="str">
            <v>km.</v>
          </cell>
          <cell r="D542">
            <v>0</v>
          </cell>
        </row>
        <row r="543">
          <cell r="A543">
            <v>6920.0003999999999</v>
          </cell>
          <cell r="B543" t="str">
            <v xml:space="preserve">   4 O.F. TYPE 10/125 + METAL FREE,  D/B</v>
          </cell>
          <cell r="C543" t="str">
            <v>km.</v>
          </cell>
          <cell r="D543">
            <v>0</v>
          </cell>
        </row>
        <row r="544">
          <cell r="A544">
            <v>6920.0006000000003</v>
          </cell>
          <cell r="B544" t="str">
            <v xml:space="preserve">   6 O.F. TYPE 10/125 + METAL FREE,  D/B</v>
          </cell>
          <cell r="C544" t="str">
            <v>km.</v>
          </cell>
          <cell r="D544">
            <v>0</v>
          </cell>
        </row>
        <row r="545">
          <cell r="A545">
            <v>6920.0007999999998</v>
          </cell>
          <cell r="B545" t="str">
            <v xml:space="preserve">   8 O.F. TYPE 10/125 + METAL FREE,  D/B</v>
          </cell>
          <cell r="C545" t="str">
            <v>km.</v>
          </cell>
          <cell r="D545">
            <v>0</v>
          </cell>
        </row>
        <row r="546">
          <cell r="A546">
            <v>6920.0011999999997</v>
          </cell>
          <cell r="B546" t="str">
            <v xml:space="preserve"> 12 O.F. TYPE 10/125 + METAL FREE,  D/B</v>
          </cell>
          <cell r="C546" t="str">
            <v>km.</v>
          </cell>
          <cell r="D546">
            <v>0</v>
          </cell>
        </row>
        <row r="547">
          <cell r="A547">
            <v>6920.0015999999996</v>
          </cell>
          <cell r="B547" t="str">
            <v xml:space="preserve"> 16 O.F. TYPE 10/125 + METAL FREE,  D/B</v>
          </cell>
          <cell r="C547" t="str">
            <v>km.</v>
          </cell>
          <cell r="D547">
            <v>0</v>
          </cell>
        </row>
        <row r="548">
          <cell r="A548">
            <v>6920.0024000000003</v>
          </cell>
          <cell r="B548" t="str">
            <v xml:space="preserve"> 24 O.F. TYPE 10/125 + METAL FREE,  D/B</v>
          </cell>
          <cell r="C548" t="str">
            <v>km.</v>
          </cell>
          <cell r="D548">
            <v>0</v>
          </cell>
        </row>
        <row r="549">
          <cell r="A549">
            <v>6920.0029999999997</v>
          </cell>
          <cell r="B549" t="str">
            <v xml:space="preserve"> 30 O.F. TYPE 10/125 + METAL FREE,  D/B</v>
          </cell>
          <cell r="C549" t="str">
            <v>km.</v>
          </cell>
          <cell r="D549">
            <v>0</v>
          </cell>
        </row>
        <row r="550">
          <cell r="A550">
            <v>6920.0036</v>
          </cell>
          <cell r="B550" t="str">
            <v xml:space="preserve"> 36 O.F. TYPE 10/125 + METAL FREE,  D/B</v>
          </cell>
          <cell r="C550" t="str">
            <v>km.</v>
          </cell>
          <cell r="D550">
            <v>0</v>
          </cell>
        </row>
        <row r="551">
          <cell r="A551">
            <v>6920.0047999999997</v>
          </cell>
          <cell r="B551" t="str">
            <v xml:space="preserve"> 48 O.F. TYPE 10/125 + METAL FREE,  D/B</v>
          </cell>
          <cell r="C551" t="str">
            <v>km.</v>
          </cell>
          <cell r="D551">
            <v>0</v>
          </cell>
        </row>
        <row r="552">
          <cell r="A552">
            <v>6920.0060000000003</v>
          </cell>
          <cell r="B552" t="str">
            <v xml:space="preserve"> 60 O.F. TYPE 10/125 + METAL FREE,  D/B</v>
          </cell>
          <cell r="C552" t="str">
            <v>km.</v>
          </cell>
          <cell r="D552">
            <v>0</v>
          </cell>
        </row>
        <row r="553">
          <cell r="A553">
            <v>6920.0072</v>
          </cell>
          <cell r="B553" t="str">
            <v xml:space="preserve"> 72 O.F. TYPE 10/125 + METAL FREE,  D/B</v>
          </cell>
          <cell r="C553" t="str">
            <v>km.</v>
          </cell>
          <cell r="D553">
            <v>0</v>
          </cell>
        </row>
        <row r="554">
          <cell r="A554">
            <v>6920.0083999999997</v>
          </cell>
          <cell r="B554" t="str">
            <v xml:space="preserve"> 84 O.F. TYPE 10/125 + METAL FREE,  D/B</v>
          </cell>
          <cell r="C554" t="str">
            <v>km.</v>
          </cell>
          <cell r="D554">
            <v>0</v>
          </cell>
        </row>
        <row r="555">
          <cell r="A555">
            <v>6920.0096000000003</v>
          </cell>
          <cell r="B555" t="str">
            <v xml:space="preserve"> 96 O.F. TYPE 10/125 + METAL FREE,  D/B</v>
          </cell>
          <cell r="C555" t="str">
            <v>km.</v>
          </cell>
          <cell r="D555">
            <v>0</v>
          </cell>
        </row>
        <row r="556">
          <cell r="A556">
            <v>6927.0003999999999</v>
          </cell>
          <cell r="B556" t="str">
            <v xml:space="preserve">   4 O.F. TYPE 10/125 + STANDARD,    D/B</v>
          </cell>
          <cell r="C556" t="str">
            <v>km.</v>
          </cell>
          <cell r="D556">
            <v>0</v>
          </cell>
        </row>
        <row r="557">
          <cell r="A557">
            <v>6927.0006000000003</v>
          </cell>
          <cell r="B557" t="str">
            <v xml:space="preserve">   6 O.F. TYPE 10/125 + STANDARD,    D/B</v>
          </cell>
          <cell r="C557" t="str">
            <v>km.</v>
          </cell>
          <cell r="D557">
            <v>0</v>
          </cell>
        </row>
        <row r="558">
          <cell r="A558">
            <v>6927.0007999999998</v>
          </cell>
          <cell r="B558" t="str">
            <v xml:space="preserve">   8 O.F. TYPE 10/125 + STANDARD,    D/B</v>
          </cell>
          <cell r="C558" t="str">
            <v>km.</v>
          </cell>
          <cell r="D558">
            <v>0</v>
          </cell>
        </row>
        <row r="559">
          <cell r="A559">
            <v>6927.0011999999997</v>
          </cell>
          <cell r="B559" t="str">
            <v xml:space="preserve"> 12 O.F. TYPE 10/125 + STANDARD,    D/B</v>
          </cell>
          <cell r="C559" t="str">
            <v>km.</v>
          </cell>
          <cell r="D559">
            <v>0</v>
          </cell>
        </row>
        <row r="560">
          <cell r="A560">
            <v>6927.0015999999996</v>
          </cell>
          <cell r="B560" t="str">
            <v xml:space="preserve"> 16 O.F. TYPE 10/125 + STANDARD,    D/B</v>
          </cell>
          <cell r="C560" t="str">
            <v>km.</v>
          </cell>
          <cell r="D560">
            <v>0</v>
          </cell>
        </row>
        <row r="561">
          <cell r="A561">
            <v>6927.0024000000003</v>
          </cell>
          <cell r="B561" t="str">
            <v xml:space="preserve"> 24 O.F. TYPE 10/125 + STANDARD,    D/B</v>
          </cell>
          <cell r="C561" t="str">
            <v>km.</v>
          </cell>
          <cell r="D561">
            <v>0</v>
          </cell>
        </row>
        <row r="562">
          <cell r="A562">
            <v>6927.0029999999997</v>
          </cell>
          <cell r="B562" t="str">
            <v xml:space="preserve"> 30 O.F. TYPE 10/125 + STANDARD,    D/B</v>
          </cell>
          <cell r="C562" t="str">
            <v>km.</v>
          </cell>
          <cell r="D562">
            <v>0</v>
          </cell>
        </row>
        <row r="563">
          <cell r="A563">
            <v>6927.0036</v>
          </cell>
          <cell r="B563" t="str">
            <v xml:space="preserve"> 36 O.F. TYPE 10/125 + STANDARD,    D/B</v>
          </cell>
          <cell r="C563" t="str">
            <v>km.</v>
          </cell>
          <cell r="D563">
            <v>0</v>
          </cell>
        </row>
        <row r="564">
          <cell r="A564">
            <v>6927.0047999999997</v>
          </cell>
          <cell r="B564" t="str">
            <v xml:space="preserve"> 48 O.F. TYPE 10/125 + STANDARD,    D/B</v>
          </cell>
          <cell r="C564" t="str">
            <v>km.</v>
          </cell>
          <cell r="D564">
            <v>0</v>
          </cell>
        </row>
        <row r="565">
          <cell r="A565">
            <v>6927.0060000000003</v>
          </cell>
          <cell r="B565" t="str">
            <v xml:space="preserve"> 60 O.F. TYPE 10/125 + STANDARD,    D/B</v>
          </cell>
          <cell r="C565" t="str">
            <v>km.</v>
          </cell>
          <cell r="D565">
            <v>0</v>
          </cell>
        </row>
        <row r="566">
          <cell r="A566">
            <v>6927.0072</v>
          </cell>
          <cell r="B566" t="str">
            <v xml:space="preserve"> 72 O.F. TYPE 10/125 + STANDARD,    D/B</v>
          </cell>
          <cell r="C566" t="str">
            <v>km.</v>
          </cell>
          <cell r="D566">
            <v>0</v>
          </cell>
        </row>
        <row r="567">
          <cell r="A567">
            <v>6927.0083999999997</v>
          </cell>
          <cell r="B567" t="str">
            <v xml:space="preserve"> 84 O.F. TYPE 10/125 + STANDARD,    D/B</v>
          </cell>
          <cell r="C567" t="str">
            <v>km.</v>
          </cell>
          <cell r="D567">
            <v>0</v>
          </cell>
        </row>
        <row r="568">
          <cell r="A568">
            <v>6927.0096000000003</v>
          </cell>
          <cell r="B568" t="str">
            <v xml:space="preserve"> 96 O.F. TYPE 10/125 + STANDARD,    D/B</v>
          </cell>
          <cell r="C568" t="str">
            <v>km.</v>
          </cell>
          <cell r="D568">
            <v>0</v>
          </cell>
        </row>
        <row r="569">
          <cell r="A569">
            <v>6937.0003999999999</v>
          </cell>
          <cell r="B569" t="str">
            <v xml:space="preserve">   4 O.F TYPE 10/125 + ARMOURED,    D/B</v>
          </cell>
          <cell r="C569" t="str">
            <v>km.</v>
          </cell>
          <cell r="D569">
            <v>0</v>
          </cell>
        </row>
        <row r="570">
          <cell r="A570">
            <v>6937.0006000000003</v>
          </cell>
          <cell r="B570" t="str">
            <v xml:space="preserve">   6 O.F TYPE 10/125 + ARMOURED,    D/B</v>
          </cell>
          <cell r="C570" t="str">
            <v>km.</v>
          </cell>
          <cell r="D570">
            <v>0</v>
          </cell>
        </row>
        <row r="571">
          <cell r="A571">
            <v>6937.0007999999998</v>
          </cell>
          <cell r="B571" t="str">
            <v xml:space="preserve">   8 O.F TYPE 10/125 + ARMOURED,    D/B</v>
          </cell>
          <cell r="C571" t="str">
            <v>km.</v>
          </cell>
          <cell r="D571">
            <v>0</v>
          </cell>
        </row>
        <row r="572">
          <cell r="A572">
            <v>6937.0011999999997</v>
          </cell>
          <cell r="B572" t="str">
            <v xml:space="preserve"> 12 O.F TYPE 10/125 + ARMOURED,    D/B</v>
          </cell>
          <cell r="C572" t="str">
            <v>km.</v>
          </cell>
          <cell r="D572">
            <v>0</v>
          </cell>
        </row>
        <row r="573">
          <cell r="A573">
            <v>6937.0015999999996</v>
          </cell>
          <cell r="B573" t="str">
            <v xml:space="preserve"> 16 O.F TYPE 10/125 + ARMOURED,    D/B</v>
          </cell>
          <cell r="C573" t="str">
            <v>km.</v>
          </cell>
          <cell r="D573">
            <v>0</v>
          </cell>
        </row>
        <row r="574">
          <cell r="A574">
            <v>6937.0020000000004</v>
          </cell>
          <cell r="B574" t="str">
            <v xml:space="preserve"> 20 O.F TYPE 10/125 + ARMOURED,    D/B</v>
          </cell>
          <cell r="C574" t="str">
            <v>km.</v>
          </cell>
          <cell r="D574">
            <v>0</v>
          </cell>
        </row>
        <row r="575">
          <cell r="A575">
            <v>6937.0024000000003</v>
          </cell>
          <cell r="B575" t="str">
            <v xml:space="preserve"> 24 O.F TYPE 10/125 + ARMOURED,    D/B</v>
          </cell>
          <cell r="C575" t="str">
            <v>km.</v>
          </cell>
          <cell r="D575">
            <v>0</v>
          </cell>
        </row>
        <row r="576">
          <cell r="A576">
            <v>6937.0036</v>
          </cell>
          <cell r="B576" t="str">
            <v xml:space="preserve"> 36 O.F TYPE 10/125 + ARMOURED,    D/B</v>
          </cell>
          <cell r="C576" t="str">
            <v>km.</v>
          </cell>
          <cell r="D576">
            <v>0</v>
          </cell>
        </row>
        <row r="577">
          <cell r="A577">
            <v>6937.0047999999997</v>
          </cell>
          <cell r="B577" t="str">
            <v xml:space="preserve"> 48 O.F TYPE 10/125 + ARMOURED,    D/B</v>
          </cell>
          <cell r="C577" t="str">
            <v>km.</v>
          </cell>
          <cell r="D577">
            <v>0</v>
          </cell>
        </row>
        <row r="578">
          <cell r="A578">
            <v>6937.0060000000003</v>
          </cell>
          <cell r="B578" t="str">
            <v xml:space="preserve"> 60 O.F TYPE 10/125 + ARMOURED,    D/B</v>
          </cell>
          <cell r="C578" t="str">
            <v>km.</v>
          </cell>
          <cell r="D578">
            <v>0</v>
          </cell>
        </row>
        <row r="579">
          <cell r="A579">
            <v>6937.0072</v>
          </cell>
          <cell r="B579" t="str">
            <v xml:space="preserve"> 72 O.F TYPE 10/125 + ARMOURED,    D/B</v>
          </cell>
          <cell r="C579" t="str">
            <v>km.</v>
          </cell>
          <cell r="D579">
            <v>0</v>
          </cell>
        </row>
        <row r="580">
          <cell r="A580">
            <v>6937.0083999999997</v>
          </cell>
          <cell r="B580" t="str">
            <v xml:space="preserve"> 84 O.F TYPE 10/125 + ARMOURED,    D/B</v>
          </cell>
          <cell r="C580" t="str">
            <v>km.</v>
          </cell>
          <cell r="D580">
            <v>0</v>
          </cell>
        </row>
        <row r="581">
          <cell r="A581">
            <v>6937.0096000000003</v>
          </cell>
          <cell r="B581" t="str">
            <v xml:space="preserve"> 96 O.F TYPE 10/125 + ARMOURED,    D/B</v>
          </cell>
          <cell r="C581" t="str">
            <v>km.</v>
          </cell>
          <cell r="D581">
            <v>0</v>
          </cell>
        </row>
        <row r="582">
          <cell r="A582">
            <v>6947.0003999999999</v>
          </cell>
          <cell r="B582" t="str">
            <v xml:space="preserve">   4 O.F TYPE 10/125 + ARMOURED,    D/B</v>
          </cell>
          <cell r="C582" t="str">
            <v>km.</v>
          </cell>
          <cell r="D582">
            <v>0</v>
          </cell>
        </row>
        <row r="583">
          <cell r="A583">
            <v>6947.0006000000003</v>
          </cell>
          <cell r="B583" t="str">
            <v xml:space="preserve">   6 O.F TYPE 10/125 + ARMOURED,    D/B</v>
          </cell>
          <cell r="C583" t="str">
            <v>km.</v>
          </cell>
          <cell r="D583">
            <v>0</v>
          </cell>
        </row>
        <row r="584">
          <cell r="A584">
            <v>6947.0007999999998</v>
          </cell>
          <cell r="B584" t="str">
            <v xml:space="preserve">   8 O.F TYPE 10/125 + ARMOURED,    D/B</v>
          </cell>
          <cell r="C584" t="str">
            <v>km.</v>
          </cell>
          <cell r="D584">
            <v>0</v>
          </cell>
        </row>
        <row r="585">
          <cell r="A585">
            <v>6947.0011999999997</v>
          </cell>
          <cell r="B585" t="str">
            <v xml:space="preserve"> 12 O.F TYPE 10/125 + ARMOURED,    D/B</v>
          </cell>
          <cell r="C585" t="str">
            <v>km.</v>
          </cell>
          <cell r="D585">
            <v>0</v>
          </cell>
        </row>
        <row r="586">
          <cell r="A586">
            <v>6947.0015999999996</v>
          </cell>
          <cell r="B586" t="str">
            <v xml:space="preserve"> 16 O.F TYPE 10/125 + ARMOURED,    D/B</v>
          </cell>
          <cell r="C586" t="str">
            <v>km.</v>
          </cell>
          <cell r="D586">
            <v>0</v>
          </cell>
        </row>
        <row r="587">
          <cell r="A587">
            <v>6947.0020000000004</v>
          </cell>
          <cell r="B587" t="str">
            <v xml:space="preserve"> 20 O.F TYPE 10/125 + ARMOURED,    D/B</v>
          </cell>
          <cell r="C587" t="str">
            <v>km.</v>
          </cell>
          <cell r="D587">
            <v>0</v>
          </cell>
        </row>
        <row r="588">
          <cell r="A588">
            <v>6947.0024000000003</v>
          </cell>
          <cell r="B588" t="str">
            <v xml:space="preserve"> 24 O.F TYPE 10/125 + ARMOURED,    D/B</v>
          </cell>
          <cell r="C588" t="str">
            <v>km.</v>
          </cell>
          <cell r="D588">
            <v>0</v>
          </cell>
        </row>
        <row r="589">
          <cell r="A589">
            <v>6947.0036</v>
          </cell>
          <cell r="B589" t="str">
            <v xml:space="preserve"> 36 O.F TYPE 10/125 + ARMOURED,    D/B</v>
          </cell>
          <cell r="C589" t="str">
            <v>km.</v>
          </cell>
          <cell r="D589">
            <v>0</v>
          </cell>
        </row>
        <row r="590">
          <cell r="A590">
            <v>6947.0047999999997</v>
          </cell>
          <cell r="B590" t="str">
            <v xml:space="preserve"> 48 O.F TYPE 10/125 + ARMOURED,    D/B</v>
          </cell>
          <cell r="C590" t="str">
            <v>km.</v>
          </cell>
          <cell r="D590">
            <v>0</v>
          </cell>
        </row>
        <row r="591">
          <cell r="A591">
            <v>6947.0060000000003</v>
          </cell>
          <cell r="B591" t="str">
            <v xml:space="preserve"> 60 O.F TYPE 10/125 + ARMOURED,    D/B</v>
          </cell>
          <cell r="C591" t="str">
            <v>km.</v>
          </cell>
          <cell r="D591">
            <v>0</v>
          </cell>
        </row>
        <row r="592">
          <cell r="A592">
            <v>6947.0072</v>
          </cell>
          <cell r="B592" t="str">
            <v xml:space="preserve"> 72 O.F TYPE 10/125 + ARMOURED,    D/B</v>
          </cell>
          <cell r="C592" t="str">
            <v>km.</v>
          </cell>
          <cell r="D592">
            <v>0</v>
          </cell>
        </row>
        <row r="593">
          <cell r="A593">
            <v>6947.0083999999997</v>
          </cell>
          <cell r="B593" t="str">
            <v xml:space="preserve"> 84 O.F TYPE 10/125 + ARMOURED,    D/B</v>
          </cell>
          <cell r="C593" t="str">
            <v>km.</v>
          </cell>
          <cell r="D593">
            <v>0</v>
          </cell>
        </row>
        <row r="594">
          <cell r="A594">
            <v>6947.0096000000003</v>
          </cell>
          <cell r="B594" t="str">
            <v xml:space="preserve"> 96 O.F TYPE 10/125 + ARMOURED,    D/B</v>
          </cell>
          <cell r="C594" t="str">
            <v>km.</v>
          </cell>
          <cell r="D594">
            <v>0</v>
          </cell>
        </row>
        <row r="595">
          <cell r="A595">
            <v>6957.0003999999999</v>
          </cell>
          <cell r="B595" t="str">
            <v xml:space="preserve">   4 OPTICAL FIBRES TYPE 10/125 + AERIAL</v>
          </cell>
          <cell r="C595" t="str">
            <v>km.</v>
          </cell>
          <cell r="D595">
            <v>0</v>
          </cell>
        </row>
        <row r="596">
          <cell r="A596">
            <v>6957.0006000000003</v>
          </cell>
          <cell r="B596" t="str">
            <v xml:space="preserve">   6 OPTICAL FIBRES TYPE 10/125 + AERIAL</v>
          </cell>
          <cell r="C596" t="str">
            <v>km.</v>
          </cell>
          <cell r="D596">
            <v>0</v>
          </cell>
        </row>
        <row r="597">
          <cell r="A597">
            <v>6957.0007999999998</v>
          </cell>
          <cell r="B597" t="str">
            <v xml:space="preserve">   8 OPTICAL FIBRES TYPE 10/125 + AERIAL</v>
          </cell>
          <cell r="C597" t="str">
            <v>km.</v>
          </cell>
          <cell r="D597">
            <v>0</v>
          </cell>
        </row>
        <row r="598">
          <cell r="A598">
            <v>6957.0011999999997</v>
          </cell>
          <cell r="B598" t="str">
            <v xml:space="preserve"> 12 OPTICAL FIBRES TYPE 10/125 + AERIAL</v>
          </cell>
          <cell r="C598" t="str">
            <v>km.</v>
          </cell>
          <cell r="D598">
            <v>0</v>
          </cell>
        </row>
        <row r="599">
          <cell r="A599">
            <v>6957.0015999999996</v>
          </cell>
          <cell r="B599" t="str">
            <v xml:space="preserve"> 16 OPTICAL FIBRES TYPE 10/125 + AERIAL</v>
          </cell>
          <cell r="C599" t="str">
            <v>km.</v>
          </cell>
          <cell r="D599">
            <v>0</v>
          </cell>
        </row>
        <row r="600">
          <cell r="A600">
            <v>6957.0020000000004</v>
          </cell>
          <cell r="B600" t="str">
            <v xml:space="preserve"> 20 OPTICAL FIBRES TYPE 10/125 + AERIAL</v>
          </cell>
          <cell r="C600" t="str">
            <v>km.</v>
          </cell>
          <cell r="D600">
            <v>0</v>
          </cell>
        </row>
        <row r="601">
          <cell r="A601">
            <v>6957.0024000000003</v>
          </cell>
          <cell r="B601" t="str">
            <v xml:space="preserve"> 24 OPTICAL FIBRES TYPE 10/125 + AERIAL</v>
          </cell>
          <cell r="C601" t="str">
            <v>km.</v>
          </cell>
          <cell r="D601">
            <v>0</v>
          </cell>
        </row>
        <row r="602">
          <cell r="A602">
            <v>6977.0003999999999</v>
          </cell>
          <cell r="B602" t="str">
            <v xml:space="preserve">   4 OPTICAL FIBRES TYPE 10/125 + VBR, INDOOR</v>
          </cell>
          <cell r="C602" t="str">
            <v>km.</v>
          </cell>
          <cell r="D602">
            <v>0</v>
          </cell>
        </row>
        <row r="603">
          <cell r="A603">
            <v>6977.0006000000003</v>
          </cell>
          <cell r="B603" t="str">
            <v xml:space="preserve">   6 OPTICAL FIBRES TYPE 10/125 + VBR, INDOOR</v>
          </cell>
          <cell r="C603" t="str">
            <v>km.</v>
          </cell>
          <cell r="D603">
            <v>0</v>
          </cell>
        </row>
        <row r="604">
          <cell r="A604">
            <v>6977.0007999999998</v>
          </cell>
          <cell r="B604" t="str">
            <v xml:space="preserve">   8 OPTICAL FIBRES TYPE 10/125 + VBR, INDOOR</v>
          </cell>
          <cell r="C604" t="str">
            <v>km.</v>
          </cell>
          <cell r="D604">
            <v>0</v>
          </cell>
        </row>
        <row r="605">
          <cell r="A605">
            <v>6977.0011999999997</v>
          </cell>
          <cell r="B605" t="str">
            <v xml:space="preserve"> 12 OPTICAL FIBRES TYPE 10/125 + VBR, INDOOR</v>
          </cell>
          <cell r="C605" t="str">
            <v>km.</v>
          </cell>
          <cell r="D605">
            <v>0</v>
          </cell>
        </row>
        <row r="606">
          <cell r="A606">
            <v>6977.0015999999996</v>
          </cell>
          <cell r="B606" t="str">
            <v xml:space="preserve"> 16 OPTICAL FIBRES TYPE 10/125 + VBR, INDOOR</v>
          </cell>
          <cell r="C606" t="str">
            <v>km.</v>
          </cell>
          <cell r="D606">
            <v>0</v>
          </cell>
        </row>
        <row r="607">
          <cell r="A607">
            <v>6977.0024000000003</v>
          </cell>
          <cell r="B607" t="str">
            <v xml:space="preserve"> 24 OPTICAL FIBRES TYPE 10/125 + VBR, INDOOR</v>
          </cell>
          <cell r="C607" t="str">
            <v>km.</v>
          </cell>
          <cell r="D607">
            <v>0</v>
          </cell>
        </row>
        <row r="608">
          <cell r="A608">
            <v>6977.0029999999997</v>
          </cell>
          <cell r="B608" t="str">
            <v xml:space="preserve"> 30 OPTICAL FIBRES TYPE 10/125 + VBR, INDOOR</v>
          </cell>
          <cell r="C608" t="str">
            <v>km.</v>
          </cell>
          <cell r="D608">
            <v>0</v>
          </cell>
        </row>
        <row r="609">
          <cell r="A609">
            <v>6977.0036</v>
          </cell>
          <cell r="B609" t="str">
            <v xml:space="preserve"> 36 OPTICAL FIBRES TYPE 10/125 + VBR, INDOOR</v>
          </cell>
          <cell r="C609" t="str">
            <v>km.</v>
          </cell>
          <cell r="D609">
            <v>0</v>
          </cell>
        </row>
        <row r="610">
          <cell r="A610">
            <v>6977.0047999999997</v>
          </cell>
          <cell r="B610" t="str">
            <v xml:space="preserve"> 48 OPTICAL FIBRES TYPE 10/125 + VBR, INDOOR</v>
          </cell>
          <cell r="C610" t="str">
            <v>km.</v>
          </cell>
          <cell r="D610">
            <v>0</v>
          </cell>
        </row>
        <row r="611">
          <cell r="A611">
            <v>6987.0003999999999</v>
          </cell>
          <cell r="B611" t="str">
            <v xml:space="preserve">   4 O.F. TYPE 10/125+COMPOSITE H.FREE SHEATH</v>
          </cell>
          <cell r="C611" t="str">
            <v>km.</v>
          </cell>
          <cell r="D611">
            <v>0</v>
          </cell>
        </row>
        <row r="612">
          <cell r="A612">
            <v>6987.0006000000003</v>
          </cell>
          <cell r="B612" t="str">
            <v xml:space="preserve">   6 O.F. TYPE 10/125+COMPOSITE H.FREE SHEATH</v>
          </cell>
          <cell r="C612" t="str">
            <v>km.</v>
          </cell>
          <cell r="D612">
            <v>0</v>
          </cell>
        </row>
        <row r="613">
          <cell r="A613">
            <v>6987.0007999999998</v>
          </cell>
          <cell r="B613" t="str">
            <v xml:space="preserve">   8 O.F. TYPE 10/125+COMPOSITE H.FREE SHEATH</v>
          </cell>
          <cell r="C613" t="str">
            <v>km.</v>
          </cell>
          <cell r="D613">
            <v>0</v>
          </cell>
        </row>
        <row r="614">
          <cell r="A614">
            <v>6987.0011999999997</v>
          </cell>
          <cell r="B614" t="str">
            <v xml:space="preserve"> 12 O.F. TYPE 10/125+COMPOSITE H.FREE SHEATH</v>
          </cell>
          <cell r="C614" t="str">
            <v>km.</v>
          </cell>
          <cell r="D614">
            <v>0</v>
          </cell>
        </row>
        <row r="615">
          <cell r="A615">
            <v>6987.0015999999996</v>
          </cell>
          <cell r="B615" t="str">
            <v xml:space="preserve"> 16 O.F. TYPE 10/125+COMPOSITE H.FREE SHEATH</v>
          </cell>
          <cell r="C615" t="str">
            <v>km.</v>
          </cell>
          <cell r="D615">
            <v>0</v>
          </cell>
        </row>
        <row r="616">
          <cell r="A616">
            <v>6987.0024000000003</v>
          </cell>
          <cell r="B616" t="str">
            <v xml:space="preserve"> 24 O.F. TYPE 10/125+COMPOSITE H.FREE SHEATH</v>
          </cell>
          <cell r="C616" t="str">
            <v>km.</v>
          </cell>
          <cell r="D616">
            <v>0</v>
          </cell>
        </row>
        <row r="617">
          <cell r="A617">
            <v>6987.0029999999997</v>
          </cell>
          <cell r="B617" t="str">
            <v xml:space="preserve"> 30 O.F. TYPE 10/125+COMPOSITE H.FREE SHEATH</v>
          </cell>
          <cell r="C617" t="str">
            <v>km.</v>
          </cell>
          <cell r="D617">
            <v>0</v>
          </cell>
        </row>
        <row r="618">
          <cell r="A618">
            <v>6987.0036</v>
          </cell>
          <cell r="B618" t="str">
            <v xml:space="preserve"> 36 O.F. TYPE 10/125+COMPOSITE H.FREE SHEATH</v>
          </cell>
          <cell r="C618" t="str">
            <v>km.</v>
          </cell>
          <cell r="D618">
            <v>0</v>
          </cell>
        </row>
        <row r="619">
          <cell r="A619">
            <v>6987.0047999999997</v>
          </cell>
          <cell r="B619" t="str">
            <v xml:space="preserve"> 48 O.F. TYPE 10/125+COMPOSITE H.FREE SHEATH</v>
          </cell>
          <cell r="C619" t="str">
            <v>km.</v>
          </cell>
          <cell r="D619">
            <v>0</v>
          </cell>
        </row>
        <row r="620">
          <cell r="A620">
            <v>7001</v>
          </cell>
          <cell r="B620" t="str">
            <v>110 mm  PVC DUCT  6 m LENGTHS</v>
          </cell>
          <cell r="C620" t="str">
            <v>Each</v>
          </cell>
          <cell r="D620">
            <v>38.81</v>
          </cell>
        </row>
        <row r="621">
          <cell r="A621">
            <v>7002</v>
          </cell>
          <cell r="B621" t="str">
            <v>STRAIGHT PVC COUPLING FOR ABOVE</v>
          </cell>
          <cell r="C621" t="str">
            <v>Each</v>
          </cell>
          <cell r="D621">
            <v>0</v>
          </cell>
        </row>
        <row r="622">
          <cell r="A622">
            <v>7003</v>
          </cell>
          <cell r="B622" t="str">
            <v>5 deg.     PVC COUPLING FOR ABOVE</v>
          </cell>
          <cell r="C622" t="str">
            <v>Each</v>
          </cell>
          <cell r="D622">
            <v>0</v>
          </cell>
        </row>
        <row r="623">
          <cell r="A623">
            <v>7004</v>
          </cell>
          <cell r="B623" t="str">
            <v>90 deg.  1000 mm RADIUS PVC BEND</v>
          </cell>
          <cell r="C623" t="str">
            <v>Each</v>
          </cell>
          <cell r="D623">
            <v>0</v>
          </cell>
        </row>
        <row r="624">
          <cell r="A624">
            <v>7005</v>
          </cell>
          <cell r="B624" t="str">
            <v>45 deg.  1000 mm RADIUS PVC BEND</v>
          </cell>
          <cell r="C624" t="str">
            <v>Each</v>
          </cell>
          <cell r="D624">
            <v>0</v>
          </cell>
        </row>
        <row r="625">
          <cell r="A625">
            <v>7006</v>
          </cell>
          <cell r="B625" t="str">
            <v>90 deg.  2000 mm RADIUS PVC BEND</v>
          </cell>
          <cell r="C625" t="str">
            <v>Each</v>
          </cell>
          <cell r="D625">
            <v>0</v>
          </cell>
        </row>
        <row r="626">
          <cell r="A626">
            <v>7007</v>
          </cell>
          <cell r="B626" t="str">
            <v>45 deg.  2000 mm RADIUS PVC BEND</v>
          </cell>
          <cell r="C626" t="str">
            <v>Each</v>
          </cell>
          <cell r="D626">
            <v>0</v>
          </cell>
        </row>
        <row r="627">
          <cell r="A627">
            <v>7008</v>
          </cell>
          <cell r="B627" t="str">
            <v>DUCT PLUG FOR EMPTY STD. DUCT</v>
          </cell>
          <cell r="C627" t="str">
            <v>Each</v>
          </cell>
          <cell r="D627">
            <v>0</v>
          </cell>
        </row>
        <row r="628">
          <cell r="A628">
            <v>7009</v>
          </cell>
          <cell r="B628" t="str">
            <v>DUCT SEALING KIT FOR OCCUPIED DUCT (4 No. Per Box)</v>
          </cell>
          <cell r="C628" t="str">
            <v>Box</v>
          </cell>
          <cell r="D628">
            <v>0</v>
          </cell>
        </row>
        <row r="629">
          <cell r="A629">
            <v>7011</v>
          </cell>
          <cell r="B629" t="str">
            <v>STANDARD PE SUBDUCT</v>
          </cell>
          <cell r="C629" t="str">
            <v>Mtr</v>
          </cell>
          <cell r="D629">
            <v>1.3</v>
          </cell>
        </row>
        <row r="630">
          <cell r="A630">
            <v>7012</v>
          </cell>
          <cell r="B630" t="str">
            <v>50 mm OUTSIDE dia. PE  PIPE</v>
          </cell>
          <cell r="C630" t="str">
            <v>Mtr</v>
          </cell>
          <cell r="D630">
            <v>3.02</v>
          </cell>
        </row>
        <row r="631">
          <cell r="A631">
            <v>7020</v>
          </cell>
          <cell r="B631" t="str">
            <v>SUB-DUCT FITTINGS</v>
          </cell>
          <cell r="C631" t="str">
            <v>Mtr</v>
          </cell>
          <cell r="D631">
            <v>14.66</v>
          </cell>
        </row>
        <row r="632">
          <cell r="A632">
            <v>7021</v>
          </cell>
          <cell r="B632" t="str">
            <v>SUB-DUCT ANCHORS FOR 1 SUB-DUCT(COMP.)</v>
          </cell>
          <cell r="C632" t="str">
            <v>Each</v>
          </cell>
          <cell r="D632">
            <v>51.75</v>
          </cell>
        </row>
        <row r="633">
          <cell r="A633">
            <v>7022</v>
          </cell>
          <cell r="B633" t="str">
            <v>SUB-DUCT ANCHORS FOR 2 SUB-DUCTS(COMP.)</v>
          </cell>
          <cell r="C633" t="str">
            <v>Each</v>
          </cell>
          <cell r="D633">
            <v>51.75</v>
          </cell>
        </row>
        <row r="634">
          <cell r="A634">
            <v>7023</v>
          </cell>
          <cell r="B634" t="str">
            <v>SUB-DUCT ANCHORS FOR 3 SUB-DUCTS(COMP.)</v>
          </cell>
          <cell r="C634" t="str">
            <v>Each</v>
          </cell>
          <cell r="D634">
            <v>51.75</v>
          </cell>
        </row>
        <row r="635">
          <cell r="A635">
            <v>7024</v>
          </cell>
          <cell r="B635" t="str">
            <v>SUB-DUCT ANCHORS FOR 4 SUB-DUCTS(COMP.)</v>
          </cell>
          <cell r="C635" t="str">
            <v>Each</v>
          </cell>
          <cell r="D635">
            <v>51.75</v>
          </cell>
        </row>
        <row r="636">
          <cell r="A636">
            <v>7025</v>
          </cell>
          <cell r="B636" t="str">
            <v>SUB-DUCT ANCHORS 1-4 SUB-DUCTS(FOAM)</v>
          </cell>
          <cell r="C636" t="str">
            <v>Each</v>
          </cell>
          <cell r="D636">
            <v>215.62</v>
          </cell>
        </row>
        <row r="637">
          <cell r="A637">
            <v>7031</v>
          </cell>
          <cell r="B637" t="str">
            <v>100 mm INSIDE DIA. STEEL PIPE</v>
          </cell>
          <cell r="C637" t="str">
            <v>Mtr</v>
          </cell>
          <cell r="D637">
            <v>34.5</v>
          </cell>
        </row>
        <row r="638">
          <cell r="A638">
            <v>7032</v>
          </cell>
          <cell r="B638" t="str">
            <v xml:space="preserve">JOINTING FITTINGS, STEEL /  STEEL PIPE </v>
          </cell>
          <cell r="C638" t="str">
            <v>Each</v>
          </cell>
          <cell r="D638">
            <v>14.66</v>
          </cell>
        </row>
        <row r="639">
          <cell r="A639">
            <v>7033</v>
          </cell>
          <cell r="B639" t="str">
            <v xml:space="preserve">JOINTING FITTINGS, STEEL /  PVC PIPE </v>
          </cell>
          <cell r="C639" t="str">
            <v>Each</v>
          </cell>
          <cell r="D639">
            <v>30.19</v>
          </cell>
        </row>
        <row r="640">
          <cell r="A640">
            <v>7041</v>
          </cell>
          <cell r="B640" t="str">
            <v>100 mm INSIDE DIA. FIBRE EPOXY (FRE) PIPE</v>
          </cell>
          <cell r="C640" t="str">
            <v>Mtr</v>
          </cell>
          <cell r="D640">
            <v>0</v>
          </cell>
        </row>
        <row r="641">
          <cell r="A641">
            <v>7042</v>
          </cell>
          <cell r="B641" t="str">
            <v>JT. FITTINGS OR KIT, FRE. - FRE.PIPE</v>
          </cell>
          <cell r="C641" t="str">
            <v>Each</v>
          </cell>
          <cell r="D641">
            <v>0</v>
          </cell>
        </row>
        <row r="642">
          <cell r="A642">
            <v>7043</v>
          </cell>
          <cell r="B642" t="str">
            <v>JT. FITTINGS OR KIT, FRE. - PVC.PIPE</v>
          </cell>
          <cell r="C642" t="str">
            <v>Each</v>
          </cell>
          <cell r="D642">
            <v>0</v>
          </cell>
        </row>
        <row r="643">
          <cell r="A643">
            <v>7045</v>
          </cell>
          <cell r="B643" t="str">
            <v>50 mm OUTSIDE dia. PE PIPE</v>
          </cell>
          <cell r="C643" t="str">
            <v>Mtr</v>
          </cell>
          <cell r="D643">
            <v>0</v>
          </cell>
        </row>
        <row r="644">
          <cell r="A644">
            <v>7051</v>
          </cell>
          <cell r="B644" t="str">
            <v>STD. CAST IRON M/H ENT. FRAME</v>
          </cell>
          <cell r="C644" t="str">
            <v>Each</v>
          </cell>
          <cell r="D644">
            <v>0</v>
          </cell>
        </row>
        <row r="645">
          <cell r="A645">
            <v>7052</v>
          </cell>
          <cell r="B645" t="str">
            <v>HH COVER FRAME - 2 COVER UNIT</v>
          </cell>
          <cell r="C645" t="str">
            <v>Each</v>
          </cell>
          <cell r="D645">
            <v>0</v>
          </cell>
        </row>
        <row r="646">
          <cell r="A646">
            <v>7053</v>
          </cell>
          <cell r="B646" t="str">
            <v>HH COVER FRAME - 3 COVER UNIT</v>
          </cell>
          <cell r="C646" t="str">
            <v>Each</v>
          </cell>
          <cell r="D646">
            <v>0</v>
          </cell>
        </row>
        <row r="647">
          <cell r="A647">
            <v>7054</v>
          </cell>
          <cell r="B647" t="str">
            <v>HH COVER FRAME - 4 COVER UNIT</v>
          </cell>
          <cell r="C647" t="str">
            <v>Each</v>
          </cell>
          <cell r="D647">
            <v>0</v>
          </cell>
        </row>
        <row r="648">
          <cell r="A648">
            <v>7055</v>
          </cell>
          <cell r="B648" t="str">
            <v>RAISING RING - 200 mm FOR M/H ENT.FRAME</v>
          </cell>
          <cell r="C648" t="str">
            <v>Each</v>
          </cell>
          <cell r="D648">
            <v>0</v>
          </cell>
        </row>
        <row r="649">
          <cell r="A649">
            <v>7056</v>
          </cell>
          <cell r="B649" t="str">
            <v>STD. CAST IRON M/H ENT. COVER</v>
          </cell>
          <cell r="C649" t="str">
            <v>Each</v>
          </cell>
          <cell r="D649">
            <v>0</v>
          </cell>
        </row>
        <row r="650">
          <cell r="A650">
            <v>7057</v>
          </cell>
          <cell r="B650" t="str">
            <v>STD. CAST IRON H/H COVER</v>
          </cell>
          <cell r="C650" t="str">
            <v>Each</v>
          </cell>
          <cell r="D650">
            <v>0</v>
          </cell>
        </row>
        <row r="651">
          <cell r="A651">
            <v>7061</v>
          </cell>
          <cell r="B651" t="str">
            <v>SUMP COVER GRILL</v>
          </cell>
          <cell r="C651" t="str">
            <v>Each</v>
          </cell>
          <cell r="D651">
            <v>0</v>
          </cell>
        </row>
        <row r="652">
          <cell r="A652">
            <v>7062</v>
          </cell>
          <cell r="B652" t="str">
            <v>MANHOLE LADDER</v>
          </cell>
          <cell r="C652" t="str">
            <v>Each</v>
          </cell>
          <cell r="D652">
            <v>0</v>
          </cell>
        </row>
        <row r="653">
          <cell r="A653">
            <v>7071</v>
          </cell>
          <cell r="B653" t="str">
            <v>STD. WALL FIXED CABLE BRACKETS-1000mm</v>
          </cell>
          <cell r="C653" t="str">
            <v>Each</v>
          </cell>
          <cell r="D653">
            <v>0</v>
          </cell>
        </row>
        <row r="654">
          <cell r="A654">
            <v>7072</v>
          </cell>
          <cell r="B654" t="str">
            <v>STD. WALL FIXED CABLE BRACKETS-1500mm</v>
          </cell>
          <cell r="C654" t="str">
            <v>Each</v>
          </cell>
          <cell r="D654">
            <v>0</v>
          </cell>
        </row>
        <row r="655">
          <cell r="A655">
            <v>7073</v>
          </cell>
          <cell r="B655" t="str">
            <v>STD. WALL FIXED CABLE BRACKETS-1800mm</v>
          </cell>
          <cell r="C655" t="str">
            <v>Each</v>
          </cell>
          <cell r="D655">
            <v>0</v>
          </cell>
        </row>
        <row r="656">
          <cell r="A656">
            <v>7074</v>
          </cell>
          <cell r="B656" t="str">
            <v>STD. WALL FIXED CABLE BRACKETS-2300mm</v>
          </cell>
          <cell r="C656" t="str">
            <v>Each</v>
          </cell>
          <cell r="D656">
            <v>0</v>
          </cell>
        </row>
        <row r="657">
          <cell r="A657">
            <v>7076</v>
          </cell>
          <cell r="B657" t="str">
            <v>STD. CABLE BEARER - 250 mm</v>
          </cell>
          <cell r="C657" t="str">
            <v>Each</v>
          </cell>
          <cell r="D657">
            <v>0</v>
          </cell>
        </row>
        <row r="658">
          <cell r="A658">
            <v>7077</v>
          </cell>
          <cell r="B658" t="str">
            <v>STD. CABLE BEARER - 350 mm</v>
          </cell>
          <cell r="C658" t="str">
            <v>Each</v>
          </cell>
          <cell r="D658">
            <v>0</v>
          </cell>
        </row>
        <row r="659">
          <cell r="A659">
            <v>7078</v>
          </cell>
          <cell r="B659" t="str">
            <v>STD. CABLE BEARER - 500 mm</v>
          </cell>
          <cell r="C659" t="str">
            <v>Each</v>
          </cell>
          <cell r="D659">
            <v>0</v>
          </cell>
        </row>
        <row r="660">
          <cell r="A660">
            <v>7080</v>
          </cell>
          <cell r="B660" t="str">
            <v>CABLE TRENCH WARNING TAPE (500 m)</v>
          </cell>
          <cell r="C660" t="str">
            <v>Roll</v>
          </cell>
          <cell r="D660">
            <v>0</v>
          </cell>
        </row>
        <row r="661">
          <cell r="A661">
            <v>7091</v>
          </cell>
          <cell r="B661" t="str">
            <v>MANHOLE TYPE 'A'</v>
          </cell>
          <cell r="C661" t="str">
            <v>Each</v>
          </cell>
          <cell r="D661">
            <v>0</v>
          </cell>
        </row>
        <row r="662">
          <cell r="A662">
            <v>7092</v>
          </cell>
          <cell r="B662" t="str">
            <v>MANHOLE TYPE 'B'</v>
          </cell>
          <cell r="C662" t="str">
            <v>Each</v>
          </cell>
          <cell r="D662">
            <v>0</v>
          </cell>
        </row>
        <row r="663">
          <cell r="A663">
            <v>7093</v>
          </cell>
          <cell r="B663" t="str">
            <v>MANHOLE TYPE 'C'</v>
          </cell>
          <cell r="C663" t="str">
            <v>Each</v>
          </cell>
          <cell r="D663">
            <v>0</v>
          </cell>
        </row>
        <row r="664">
          <cell r="A664">
            <v>7094</v>
          </cell>
          <cell r="B664" t="str">
            <v>MANHOLE TYPE 'D'</v>
          </cell>
          <cell r="C664" t="str">
            <v>Each</v>
          </cell>
          <cell r="D664">
            <v>0</v>
          </cell>
        </row>
        <row r="665">
          <cell r="A665">
            <v>7095</v>
          </cell>
          <cell r="B665" t="str">
            <v>HANDHOLE, 2 COVER</v>
          </cell>
          <cell r="C665" t="str">
            <v>Each</v>
          </cell>
          <cell r="D665">
            <v>0</v>
          </cell>
        </row>
        <row r="666">
          <cell r="A666">
            <v>7096</v>
          </cell>
          <cell r="B666" t="str">
            <v>HANDHOLE, 3 COVER</v>
          </cell>
          <cell r="C666" t="str">
            <v>Each</v>
          </cell>
          <cell r="D666">
            <v>0</v>
          </cell>
        </row>
        <row r="667">
          <cell r="A667">
            <v>7097</v>
          </cell>
          <cell r="B667" t="str">
            <v>HANDHOLE, 4 COVER</v>
          </cell>
          <cell r="C667" t="str">
            <v>Each</v>
          </cell>
          <cell r="D667">
            <v>0</v>
          </cell>
        </row>
        <row r="668">
          <cell r="A668">
            <v>7101</v>
          </cell>
          <cell r="B668" t="str">
            <v>MAIN DISTRIBUTION FRAME (MDF) EXTN.</v>
          </cell>
          <cell r="C668" t="str">
            <v>Sect</v>
          </cell>
          <cell r="D668">
            <v>0</v>
          </cell>
        </row>
        <row r="669">
          <cell r="A669">
            <v>7102</v>
          </cell>
          <cell r="B669" t="str">
            <v>MDF V/S - CABLE TERM. BLOCK - IDC, 100 PR</v>
          </cell>
          <cell r="C669" t="str">
            <v>Each</v>
          </cell>
          <cell r="D669">
            <v>0</v>
          </cell>
        </row>
        <row r="670">
          <cell r="A670">
            <v>7103</v>
          </cell>
          <cell r="B670" t="str">
            <v>OVERVOLTAGE PROT.  MAG. FOR  IDC BL.</v>
          </cell>
          <cell r="C670" t="str">
            <v>Each</v>
          </cell>
          <cell r="D670">
            <v>0</v>
          </cell>
        </row>
        <row r="671">
          <cell r="A671">
            <v>7104</v>
          </cell>
          <cell r="B671" t="str">
            <v>MDF V/S - CABLE TERM. BLOCK - IDC, 200 PR</v>
          </cell>
          <cell r="C671" t="str">
            <v>Each</v>
          </cell>
          <cell r="D671">
            <v>0</v>
          </cell>
        </row>
        <row r="672">
          <cell r="A672">
            <v>7105</v>
          </cell>
          <cell r="B672" t="str">
            <v>OVERVOLTAGE PROT.  MAG. FOR  ABOVE</v>
          </cell>
          <cell r="C672" t="str">
            <v>Each</v>
          </cell>
          <cell r="D672">
            <v>0</v>
          </cell>
        </row>
        <row r="673">
          <cell r="A673">
            <v>7111</v>
          </cell>
          <cell r="B673" t="str">
            <v>INDOOR CABINET - 300 PAIR</v>
          </cell>
          <cell r="C673" t="str">
            <v>Each</v>
          </cell>
          <cell r="D673">
            <v>0</v>
          </cell>
        </row>
        <row r="674">
          <cell r="A674">
            <v>7112</v>
          </cell>
          <cell r="B674" t="str">
            <v>INDOOR CABINET - 900 PAIR</v>
          </cell>
          <cell r="C674" t="str">
            <v>Each</v>
          </cell>
          <cell r="D674">
            <v>0</v>
          </cell>
        </row>
        <row r="675">
          <cell r="A675">
            <v>7113</v>
          </cell>
          <cell r="B675" t="str">
            <v>OUTDOOR - CABINET -   300 PAIR</v>
          </cell>
          <cell r="C675" t="str">
            <v>Each</v>
          </cell>
          <cell r="D675">
            <v>0</v>
          </cell>
        </row>
        <row r="676">
          <cell r="A676">
            <v>7114</v>
          </cell>
          <cell r="B676" t="str">
            <v>OUTDOOR - CABINET -   900 PAIR</v>
          </cell>
          <cell r="C676" t="str">
            <v>Each</v>
          </cell>
          <cell r="D676">
            <v>0</v>
          </cell>
        </row>
        <row r="677">
          <cell r="A677">
            <v>7115</v>
          </cell>
          <cell r="B677" t="str">
            <v>OUTDOOR - CABINET - 1200 PAIR</v>
          </cell>
          <cell r="C677" t="str">
            <v>Each</v>
          </cell>
          <cell r="D677">
            <v>0</v>
          </cell>
        </row>
        <row r="678">
          <cell r="A678">
            <v>7116</v>
          </cell>
          <cell r="B678" t="str">
            <v>OUTDOOR - CABINET - 1800 PAIR</v>
          </cell>
          <cell r="C678" t="str">
            <v>Each</v>
          </cell>
          <cell r="D678">
            <v>0</v>
          </cell>
        </row>
        <row r="679">
          <cell r="A679">
            <v>7117</v>
          </cell>
          <cell r="B679" t="str">
            <v>OUTDOOR - CABINET - 2700 PAIR</v>
          </cell>
          <cell r="C679" t="str">
            <v>Each</v>
          </cell>
          <cell r="D679">
            <v>0</v>
          </cell>
        </row>
        <row r="680">
          <cell r="A680">
            <v>7118</v>
          </cell>
          <cell r="B680" t="str">
            <v>CABINET BASE- 300 PAIRS OUTDOOR</v>
          </cell>
          <cell r="C680" t="str">
            <v>Each</v>
          </cell>
          <cell r="D680">
            <v>0</v>
          </cell>
        </row>
        <row r="681">
          <cell r="A681">
            <v>7119</v>
          </cell>
          <cell r="B681" t="str">
            <v>CABINET BASE- 1200 PAIRS OUTDOOR</v>
          </cell>
          <cell r="C681" t="str">
            <v>Each</v>
          </cell>
          <cell r="D681">
            <v>0</v>
          </cell>
        </row>
        <row r="682">
          <cell r="A682">
            <v>7121</v>
          </cell>
          <cell r="B682" t="str">
            <v xml:space="preserve">OUTDOOR POLE/WALL DP. - 10 PAIR </v>
          </cell>
          <cell r="C682" t="str">
            <v>Each</v>
          </cell>
          <cell r="D682">
            <v>0</v>
          </cell>
        </row>
        <row r="683">
          <cell r="A683">
            <v>7122</v>
          </cell>
          <cell r="B683" t="str">
            <v>PEDESTAL HOUSING (GRD) DP 10/20/30 PR</v>
          </cell>
          <cell r="C683" t="str">
            <v>Each</v>
          </cell>
          <cell r="D683">
            <v>0</v>
          </cell>
        </row>
        <row r="684">
          <cell r="A684">
            <v>7123</v>
          </cell>
          <cell r="B684" t="str">
            <v>INDOOR (WALL) DP. - 30 PAIR</v>
          </cell>
          <cell r="C684" t="str">
            <v>Each</v>
          </cell>
          <cell r="D684">
            <v>0</v>
          </cell>
        </row>
        <row r="685">
          <cell r="A685">
            <v>7124</v>
          </cell>
          <cell r="B685" t="str">
            <v>INDOOR (WALL) DP. - 50 PAIR</v>
          </cell>
          <cell r="C685" t="str">
            <v>Each</v>
          </cell>
          <cell r="D685">
            <v>0</v>
          </cell>
        </row>
        <row r="686">
          <cell r="A686">
            <v>7125</v>
          </cell>
          <cell r="B686" t="str">
            <v>OUTDOOR PGS CABINET BASE</v>
          </cell>
          <cell r="C686" t="str">
            <v>Each</v>
          </cell>
          <cell r="D686">
            <v>0</v>
          </cell>
        </row>
        <row r="687">
          <cell r="A687">
            <v>7126</v>
          </cell>
          <cell r="B687" t="str">
            <v>OUTDOOR FIBRE CABINET BASE</v>
          </cell>
          <cell r="C687" t="str">
            <v>Each</v>
          </cell>
          <cell r="D687">
            <v>0</v>
          </cell>
        </row>
        <row r="688">
          <cell r="A688">
            <v>7127</v>
          </cell>
          <cell r="B688" t="str">
            <v>OUTDOOR PGS CABINET</v>
          </cell>
          <cell r="C688" t="str">
            <v>Each</v>
          </cell>
          <cell r="D688">
            <v>0</v>
          </cell>
        </row>
        <row r="689">
          <cell r="A689">
            <v>7128</v>
          </cell>
          <cell r="B689" t="str">
            <v>OUTDOOR FIBRE CABINET</v>
          </cell>
          <cell r="C689" t="str">
            <v>Each</v>
          </cell>
          <cell r="D689">
            <v>0</v>
          </cell>
        </row>
        <row r="690">
          <cell r="A690">
            <v>7131</v>
          </cell>
          <cell r="B690" t="str">
            <v>CABINET TERM. BLOCK  100 PAIR</v>
          </cell>
          <cell r="C690" t="str">
            <v>Each</v>
          </cell>
          <cell r="D690">
            <v>0</v>
          </cell>
        </row>
        <row r="691">
          <cell r="A691">
            <v>7132</v>
          </cell>
          <cell r="B691" t="str">
            <v>CABINET TERM. BL.  &amp; STUB CABLE 100 PR</v>
          </cell>
          <cell r="C691" t="str">
            <v>Each</v>
          </cell>
          <cell r="D691">
            <v>0</v>
          </cell>
        </row>
        <row r="692">
          <cell r="A692">
            <v>7133</v>
          </cell>
          <cell r="B692" t="str">
            <v>OVERVOLT.PROT.10 MAGAZ.CAB.T.BLOCKS</v>
          </cell>
          <cell r="C692" t="str">
            <v>Each</v>
          </cell>
          <cell r="D692">
            <v>0</v>
          </cell>
        </row>
        <row r="693">
          <cell r="A693">
            <v>7141</v>
          </cell>
          <cell r="B693" t="str">
            <v>POLE/WALL/DP. TERM.BL. 10 PR.</v>
          </cell>
          <cell r="C693" t="str">
            <v>Each</v>
          </cell>
          <cell r="D693">
            <v>0</v>
          </cell>
        </row>
        <row r="694">
          <cell r="A694">
            <v>7142</v>
          </cell>
          <cell r="B694" t="str">
            <v>INDOOR DP. TERM. BL. 10 PAIR</v>
          </cell>
          <cell r="C694" t="str">
            <v>Each</v>
          </cell>
          <cell r="D694">
            <v>0</v>
          </cell>
        </row>
        <row r="695">
          <cell r="A695">
            <v>7143</v>
          </cell>
          <cell r="B695" t="str">
            <v>PEDESTAL DP TER.BLOCK 10 PR</v>
          </cell>
          <cell r="C695" t="str">
            <v>Each</v>
          </cell>
          <cell r="D695">
            <v>0</v>
          </cell>
        </row>
        <row r="696">
          <cell r="A696">
            <v>7144</v>
          </cell>
          <cell r="B696" t="str">
            <v>OVERVOLTAGE PROT. FOR DP's POLE/WALL</v>
          </cell>
          <cell r="C696">
            <v>100</v>
          </cell>
          <cell r="D696">
            <v>0</v>
          </cell>
        </row>
        <row r="697">
          <cell r="A697">
            <v>7145</v>
          </cell>
          <cell r="B697" t="str">
            <v>OVERVOLT.PROTECT.FOR PEDEST. DP BL</v>
          </cell>
          <cell r="C697" t="str">
            <v>Each</v>
          </cell>
          <cell r="D697">
            <v>0</v>
          </cell>
        </row>
        <row r="698">
          <cell r="A698">
            <v>7151</v>
          </cell>
          <cell r="B698" t="str">
            <v>JOINT ENCLOSURE FOR CABINET</v>
          </cell>
          <cell r="C698" t="str">
            <v>Each</v>
          </cell>
          <cell r="D698">
            <v>0</v>
          </cell>
        </row>
        <row r="699">
          <cell r="A699">
            <v>7152</v>
          </cell>
          <cell r="B699" t="str">
            <v>JT. ENCL. FOR PEDESTAL DP CABLE GR.1</v>
          </cell>
          <cell r="C699" t="str">
            <v>Each</v>
          </cell>
          <cell r="D699">
            <v>0</v>
          </cell>
        </row>
        <row r="700">
          <cell r="A700">
            <v>7153</v>
          </cell>
          <cell r="B700" t="str">
            <v>JT. ENCL. FOR PEDESTAL DP CABLE GR.2&amp;3</v>
          </cell>
          <cell r="C700" t="str">
            <v>Each</v>
          </cell>
          <cell r="D700">
            <v>0</v>
          </cell>
        </row>
        <row r="701">
          <cell r="A701">
            <v>7161</v>
          </cell>
          <cell r="B701" t="str">
            <v>SUBSCRIBERS TERMINAL BOX, 2PR.</v>
          </cell>
          <cell r="C701" t="str">
            <v>Each</v>
          </cell>
          <cell r="D701">
            <v>0</v>
          </cell>
        </row>
        <row r="702">
          <cell r="A702">
            <v>7162</v>
          </cell>
          <cell r="B702" t="str">
            <v>SUBSCRIBERS TERMINAL BLOCK 10 PR.</v>
          </cell>
          <cell r="C702" t="str">
            <v>Each</v>
          </cell>
          <cell r="D702">
            <v>0</v>
          </cell>
        </row>
        <row r="703">
          <cell r="A703">
            <v>7163</v>
          </cell>
          <cell r="B703" t="str">
            <v>OVERVOLT.PROTECTOR FOR 2 PR STB</v>
          </cell>
          <cell r="C703" t="str">
            <v>Each</v>
          </cell>
          <cell r="D703">
            <v>0</v>
          </cell>
        </row>
        <row r="704">
          <cell r="A704">
            <v>7201</v>
          </cell>
          <cell r="B704" t="str">
            <v>PAY TELEPHONE BOOTH - OUTDOOR</v>
          </cell>
          <cell r="C704" t="str">
            <v>Each</v>
          </cell>
          <cell r="D704">
            <v>0</v>
          </cell>
        </row>
        <row r="705">
          <cell r="A705">
            <v>7202</v>
          </cell>
          <cell r="B705" t="str">
            <v>PAY TELEPHONE BOOTH -  INDOOR</v>
          </cell>
          <cell r="C705" t="str">
            <v>Each</v>
          </cell>
          <cell r="D705">
            <v>0</v>
          </cell>
        </row>
        <row r="706">
          <cell r="A706">
            <v>7211</v>
          </cell>
          <cell r="B706" t="str">
            <v>PAY TELEPHONE  SET</v>
          </cell>
          <cell r="C706" t="str">
            <v>Each</v>
          </cell>
          <cell r="D706">
            <v>0</v>
          </cell>
        </row>
        <row r="707">
          <cell r="A707">
            <v>7212</v>
          </cell>
          <cell r="B707" t="str">
            <v>SPARE COIN BOXES FOR PU 7211</v>
          </cell>
          <cell r="C707" t="str">
            <v>Each</v>
          </cell>
          <cell r="D707">
            <v>0</v>
          </cell>
        </row>
        <row r="708">
          <cell r="A708">
            <v>7301</v>
          </cell>
          <cell r="B708" t="str">
            <v>PRESSURE AUTO MONI.SYST. (PAMS) 10 CCT.</v>
          </cell>
          <cell r="C708" t="str">
            <v>Each</v>
          </cell>
          <cell r="D708">
            <v>0</v>
          </cell>
        </row>
        <row r="709">
          <cell r="A709">
            <v>7302</v>
          </cell>
          <cell r="B709" t="str">
            <v>PAMS EXTENSION 10 CCT.</v>
          </cell>
          <cell r="C709" t="str">
            <v>Each</v>
          </cell>
          <cell r="D709">
            <v>0</v>
          </cell>
        </row>
        <row r="710">
          <cell r="A710">
            <v>7311</v>
          </cell>
          <cell r="B710" t="str">
            <v>PRESSURE DISTRIBUTION PANEL RACK, 10 CCT.</v>
          </cell>
          <cell r="C710" t="str">
            <v>Each</v>
          </cell>
          <cell r="D710">
            <v>0</v>
          </cell>
        </row>
        <row r="711">
          <cell r="A711">
            <v>7312</v>
          </cell>
          <cell r="B711" t="str">
            <v>PRESSURE DISTRIBUTION PANEL EXTN. 10 CCT.</v>
          </cell>
          <cell r="C711" t="str">
            <v>Each</v>
          </cell>
          <cell r="D711">
            <v>0</v>
          </cell>
        </row>
        <row r="712">
          <cell r="A712">
            <v>7321</v>
          </cell>
          <cell r="B712" t="str">
            <v>AIR COMPRESS./DRIER  3700 g/hr</v>
          </cell>
          <cell r="C712" t="str">
            <v>Each</v>
          </cell>
          <cell r="D712">
            <v>0</v>
          </cell>
        </row>
        <row r="713">
          <cell r="A713">
            <v>7322</v>
          </cell>
          <cell r="B713" t="str">
            <v>AIR COMPRESS./DRIER  17600 g/hr</v>
          </cell>
          <cell r="C713" t="str">
            <v>Each</v>
          </cell>
          <cell r="D713">
            <v>0</v>
          </cell>
        </row>
        <row r="714">
          <cell r="A714">
            <v>7331</v>
          </cell>
          <cell r="B714" t="str">
            <v>ALUMINIUM LINED AIR FEED PIPE</v>
          </cell>
          <cell r="C714" t="str">
            <v>Mtr</v>
          </cell>
          <cell r="D714">
            <v>0</v>
          </cell>
        </row>
        <row r="715">
          <cell r="A715">
            <v>7341</v>
          </cell>
          <cell r="B715" t="str">
            <v>AIR PIPE PRESSURE DISTR. PANEL</v>
          </cell>
          <cell r="C715" t="str">
            <v>Each</v>
          </cell>
          <cell r="D715">
            <v>0</v>
          </cell>
        </row>
        <row r="716">
          <cell r="A716">
            <v>7342</v>
          </cell>
          <cell r="B716" t="str">
            <v>AIR PRESSURE TRANSDUCER</v>
          </cell>
          <cell r="C716" t="str">
            <v>Each</v>
          </cell>
          <cell r="D716">
            <v>0</v>
          </cell>
        </row>
        <row r="717">
          <cell r="A717">
            <v>7343</v>
          </cell>
          <cell r="B717" t="str">
            <v>AIR PRESSURE TRANSD. MOUNT.BRKT.</v>
          </cell>
          <cell r="C717" t="str">
            <v>Each</v>
          </cell>
          <cell r="D717">
            <v>0</v>
          </cell>
        </row>
        <row r="718">
          <cell r="A718">
            <v>7344</v>
          </cell>
          <cell r="B718" t="str">
            <v>AIR PRESSURE CONTACTOR</v>
          </cell>
          <cell r="C718" t="str">
            <v>Each</v>
          </cell>
          <cell r="D718">
            <v>0</v>
          </cell>
        </row>
        <row r="719">
          <cell r="A719">
            <v>7345</v>
          </cell>
          <cell r="B719" t="str">
            <v>AIR FLOR TRANSDUCER, TYPE I</v>
          </cell>
          <cell r="C719" t="str">
            <v>Each</v>
          </cell>
          <cell r="D719">
            <v>0</v>
          </cell>
        </row>
        <row r="720">
          <cell r="A720">
            <v>7346</v>
          </cell>
          <cell r="B720" t="str">
            <v>AIR FLOW TRANSDUCER, TYPE II</v>
          </cell>
          <cell r="C720" t="str">
            <v>Each</v>
          </cell>
          <cell r="D720">
            <v>0</v>
          </cell>
        </row>
        <row r="721">
          <cell r="A721">
            <v>7347</v>
          </cell>
          <cell r="B721" t="str">
            <v>PRESSURE TEST VALVE (WALL MOUNT.)</v>
          </cell>
          <cell r="C721" t="str">
            <v>Each</v>
          </cell>
          <cell r="D721">
            <v>0</v>
          </cell>
        </row>
        <row r="722">
          <cell r="A722">
            <v>7401</v>
          </cell>
          <cell r="B722" t="str">
            <v>EARTH SYST. ROD &amp; ACCESRS. 1m</v>
          </cell>
          <cell r="C722" t="str">
            <v>Set</v>
          </cell>
          <cell r="D722">
            <v>0</v>
          </cell>
        </row>
        <row r="723">
          <cell r="A723">
            <v>7402</v>
          </cell>
          <cell r="B723" t="str">
            <v>EARTH SYST. ROD &amp; ACCESRS. 2m</v>
          </cell>
          <cell r="C723" t="str">
            <v>Set</v>
          </cell>
          <cell r="D723">
            <v>0</v>
          </cell>
        </row>
        <row r="724">
          <cell r="A724">
            <v>7403</v>
          </cell>
          <cell r="B724" t="str">
            <v>CABLE FOR OD. EARTH SYST. 100 m COIL</v>
          </cell>
          <cell r="C724" t="str">
            <v>Coil</v>
          </cell>
          <cell r="D724">
            <v>0</v>
          </cell>
        </row>
        <row r="725">
          <cell r="A725">
            <v>7501</v>
          </cell>
          <cell r="B725" t="str">
            <v>WOODEN POLES - 8 m</v>
          </cell>
          <cell r="C725" t="str">
            <v>Each</v>
          </cell>
          <cell r="D725">
            <v>0</v>
          </cell>
        </row>
        <row r="726">
          <cell r="A726">
            <v>7502</v>
          </cell>
          <cell r="B726" t="str">
            <v>WOODEN POLES - 9 m</v>
          </cell>
          <cell r="C726" t="str">
            <v>Each</v>
          </cell>
          <cell r="D726">
            <v>0</v>
          </cell>
        </row>
        <row r="727">
          <cell r="A727">
            <v>7503</v>
          </cell>
          <cell r="B727" t="str">
            <v>WOODEN POLES - 10 m</v>
          </cell>
          <cell r="C727" t="str">
            <v>Each</v>
          </cell>
          <cell r="D727">
            <v>0</v>
          </cell>
        </row>
        <row r="728">
          <cell r="A728">
            <v>7511</v>
          </cell>
          <cell r="B728" t="str">
            <v>STEEL POLES - 8 m</v>
          </cell>
          <cell r="C728" t="str">
            <v>Each</v>
          </cell>
          <cell r="D728">
            <v>0</v>
          </cell>
        </row>
        <row r="729">
          <cell r="A729">
            <v>7512</v>
          </cell>
          <cell r="B729" t="str">
            <v>STEEL POLES - 9 m</v>
          </cell>
          <cell r="C729" t="str">
            <v>Each</v>
          </cell>
          <cell r="D729">
            <v>0</v>
          </cell>
        </row>
        <row r="730">
          <cell r="A730">
            <v>7513</v>
          </cell>
          <cell r="B730" t="str">
            <v>STEEL POLES - 10 m</v>
          </cell>
          <cell r="C730" t="str">
            <v>Each</v>
          </cell>
          <cell r="D730">
            <v>0</v>
          </cell>
        </row>
        <row r="731">
          <cell r="A731">
            <v>7701</v>
          </cell>
          <cell r="B731" t="str">
            <v>DEDICATED RACK FOR TER. O.F. CABLE</v>
          </cell>
          <cell r="C731" t="str">
            <v>Each</v>
          </cell>
          <cell r="D731">
            <v>0</v>
          </cell>
        </row>
        <row r="732">
          <cell r="A732">
            <v>7721</v>
          </cell>
          <cell r="B732" t="str">
            <v>JT.CLOSURE 4 CABLES 28 mm OD. 30 FIBRES</v>
          </cell>
          <cell r="C732" t="str">
            <v>Each</v>
          </cell>
          <cell r="D732">
            <v>0</v>
          </cell>
        </row>
        <row r="733">
          <cell r="A733">
            <v>7722</v>
          </cell>
          <cell r="B733" t="str">
            <v>JT.CLOSURE 6 CABLES 28 mm OD. 48 FIBRES</v>
          </cell>
          <cell r="C733" t="str">
            <v>Each</v>
          </cell>
          <cell r="D733">
            <v>0</v>
          </cell>
        </row>
        <row r="734">
          <cell r="A734">
            <v>7802</v>
          </cell>
          <cell r="B734" t="str">
            <v>JOINTING CL. KIT  FOR AIRSPACED C. GR.1&amp;2</v>
          </cell>
          <cell r="C734" t="str">
            <v>Each</v>
          </cell>
          <cell r="D734">
            <v>0</v>
          </cell>
        </row>
        <row r="735">
          <cell r="A735">
            <v>7803</v>
          </cell>
          <cell r="B735" t="str">
            <v>JOINTING CL. KIT  FOR AIRSPACED C. GR. 3</v>
          </cell>
          <cell r="C735" t="str">
            <v>Each</v>
          </cell>
          <cell r="D735">
            <v>0</v>
          </cell>
        </row>
        <row r="736">
          <cell r="A736">
            <v>7804</v>
          </cell>
          <cell r="B736" t="str">
            <v>JOINTING CL. KIT  FOR AIRSPACED C. GR. 4</v>
          </cell>
          <cell r="C736" t="str">
            <v>Each</v>
          </cell>
          <cell r="D736">
            <v>0</v>
          </cell>
        </row>
        <row r="737">
          <cell r="A737">
            <v>7805</v>
          </cell>
          <cell r="B737" t="str">
            <v>JOINTING CL. KIT  FOR AIRSPACED C. GR. 5</v>
          </cell>
          <cell r="C737" t="str">
            <v>Each</v>
          </cell>
          <cell r="D737">
            <v>0</v>
          </cell>
        </row>
        <row r="738">
          <cell r="A738">
            <v>7806</v>
          </cell>
          <cell r="B738" t="str">
            <v>JOINTING CL. KIT  FOR AIRSPACED C. GR. 6</v>
          </cell>
          <cell r="C738" t="str">
            <v>Each</v>
          </cell>
          <cell r="D738">
            <v>0</v>
          </cell>
        </row>
        <row r="739">
          <cell r="A739">
            <v>7811</v>
          </cell>
          <cell r="B739" t="str">
            <v>JOINTING CL. KIT FOR JELLYFILLED C. GR. 1</v>
          </cell>
          <cell r="C739" t="str">
            <v>Each</v>
          </cell>
          <cell r="D739">
            <v>0</v>
          </cell>
        </row>
        <row r="740">
          <cell r="A740">
            <v>7812</v>
          </cell>
          <cell r="B740" t="str">
            <v>JOINTING CL. KIT FOR JELLYFILLED C. GR.2</v>
          </cell>
          <cell r="C740" t="str">
            <v>Each</v>
          </cell>
          <cell r="D740">
            <v>0</v>
          </cell>
        </row>
        <row r="741">
          <cell r="A741">
            <v>7813</v>
          </cell>
          <cell r="B741" t="str">
            <v>JOINTING CL. KIT FOR JELLYFILLED C. GR.3</v>
          </cell>
          <cell r="C741" t="str">
            <v>Each</v>
          </cell>
          <cell r="D741">
            <v>0</v>
          </cell>
        </row>
        <row r="742">
          <cell r="A742">
            <v>7814</v>
          </cell>
          <cell r="B742" t="str">
            <v>JOINTING CL. KIT FOR JELLYFILLED C. GR.4</v>
          </cell>
          <cell r="C742" t="str">
            <v>Each</v>
          </cell>
          <cell r="D742">
            <v>0</v>
          </cell>
        </row>
        <row r="743">
          <cell r="A743">
            <v>7815</v>
          </cell>
          <cell r="B743" t="str">
            <v>JOINTING CL. KIT FOR JELLYFILLED C. GR.5</v>
          </cell>
          <cell r="C743" t="str">
            <v>Each</v>
          </cell>
          <cell r="D743">
            <v>0</v>
          </cell>
        </row>
        <row r="744">
          <cell r="A744">
            <v>7816</v>
          </cell>
          <cell r="B744" t="str">
            <v>JOINTING CL. KIT FOR JELLYFILLED C. GR.6</v>
          </cell>
          <cell r="C744" t="str">
            <v>Each</v>
          </cell>
          <cell r="D744">
            <v>0</v>
          </cell>
        </row>
        <row r="745">
          <cell r="A745">
            <v>7822</v>
          </cell>
          <cell r="B745" t="str">
            <v>JOINT. CL. KIT  FOR A.S.ARMOURED CABLE. GR.1&amp;2</v>
          </cell>
          <cell r="C745" t="str">
            <v>Each</v>
          </cell>
          <cell r="D745">
            <v>0</v>
          </cell>
        </row>
        <row r="746">
          <cell r="A746">
            <v>7823</v>
          </cell>
          <cell r="B746" t="str">
            <v>JOINT. CL. KIT  FOR A.S.ARMOURED CABLE. GR.3</v>
          </cell>
          <cell r="C746" t="str">
            <v>Each</v>
          </cell>
          <cell r="D746">
            <v>0</v>
          </cell>
        </row>
        <row r="747">
          <cell r="A747">
            <v>7824</v>
          </cell>
          <cell r="B747" t="str">
            <v>JOINT. CL. KIT  FOR A.S.ARMOURED CABLE. GR.4</v>
          </cell>
          <cell r="C747" t="str">
            <v>Each</v>
          </cell>
          <cell r="D747">
            <v>0</v>
          </cell>
        </row>
        <row r="748">
          <cell r="A748">
            <v>7825</v>
          </cell>
          <cell r="B748" t="str">
            <v>JOINT. CL. KIT  FOR A.S.ARMOURED CABLE. GR.5</v>
          </cell>
          <cell r="C748" t="str">
            <v>Each</v>
          </cell>
          <cell r="D748">
            <v>0</v>
          </cell>
        </row>
        <row r="749">
          <cell r="A749">
            <v>7826</v>
          </cell>
          <cell r="B749" t="str">
            <v>JOINT. CL. KIT  FOR A.S.ARMOURED CABLE. GR.6</v>
          </cell>
          <cell r="C749" t="str">
            <v>Each</v>
          </cell>
          <cell r="D749">
            <v>0</v>
          </cell>
        </row>
        <row r="750">
          <cell r="A750">
            <v>7831</v>
          </cell>
          <cell r="B750" t="str">
            <v>JOINT. CL. KIT  FOR J.F.ARMOURED CABLE. GR.1</v>
          </cell>
          <cell r="C750" t="str">
            <v>Each</v>
          </cell>
          <cell r="D750">
            <v>0</v>
          </cell>
        </row>
        <row r="751">
          <cell r="A751">
            <v>7832</v>
          </cell>
          <cell r="B751" t="str">
            <v>JOINT. CL. KIT  FOR J.F.ARMOURED CABLE. GR.2</v>
          </cell>
          <cell r="C751" t="str">
            <v>Each</v>
          </cell>
          <cell r="D751">
            <v>0</v>
          </cell>
        </row>
        <row r="752">
          <cell r="A752">
            <v>7833</v>
          </cell>
          <cell r="B752" t="str">
            <v>JOINT. CL. KIT  FOR J.F.ARMOURED CABLE. GR.3</v>
          </cell>
          <cell r="C752" t="str">
            <v>Each</v>
          </cell>
          <cell r="D752">
            <v>0</v>
          </cell>
        </row>
        <row r="753">
          <cell r="A753">
            <v>7834</v>
          </cell>
          <cell r="B753" t="str">
            <v>JOINT. CL. KIT  FOR J.F.ARMOURED CABLE. GR.4</v>
          </cell>
          <cell r="C753" t="str">
            <v>Each</v>
          </cell>
          <cell r="D753">
            <v>0</v>
          </cell>
        </row>
        <row r="754">
          <cell r="A754">
            <v>7835</v>
          </cell>
          <cell r="B754" t="str">
            <v>JOINT. CL. KIT  FOR J.F.ARMOURED CABLE. GR.5</v>
          </cell>
          <cell r="C754" t="str">
            <v>Each</v>
          </cell>
          <cell r="D754">
            <v>0</v>
          </cell>
        </row>
        <row r="755">
          <cell r="A755">
            <v>7836</v>
          </cell>
          <cell r="B755" t="str">
            <v>JOINT. CL. KIT  FOR J.F.ARMOURED CABLE. GR.6</v>
          </cell>
          <cell r="C755" t="str">
            <v>Each</v>
          </cell>
          <cell r="D755">
            <v>0</v>
          </cell>
        </row>
        <row r="756">
          <cell r="A756">
            <v>7837</v>
          </cell>
          <cell r="B756" t="str">
            <v>JOINTING CLOSURE KIT FOR BSW</v>
          </cell>
          <cell r="C756" t="str">
            <v>Each</v>
          </cell>
          <cell r="D756">
            <v>0</v>
          </cell>
        </row>
        <row r="757">
          <cell r="A757">
            <v>7841</v>
          </cell>
          <cell r="B757" t="str">
            <v>JOINTING CL. KIT FOR AERIAL CABLE. GR.1</v>
          </cell>
          <cell r="C757" t="str">
            <v>Each</v>
          </cell>
          <cell r="D757">
            <v>0</v>
          </cell>
        </row>
        <row r="758">
          <cell r="A758">
            <v>7842</v>
          </cell>
          <cell r="B758" t="str">
            <v>JOINTING CL. KIT FOR AERIAL CABLE. GR.2</v>
          </cell>
          <cell r="C758" t="str">
            <v>Each</v>
          </cell>
          <cell r="D758">
            <v>0</v>
          </cell>
        </row>
        <row r="759">
          <cell r="A759">
            <v>7843</v>
          </cell>
          <cell r="B759" t="str">
            <v>JOINTING CL. KIT FOR AERIAL CABLE. GR.3</v>
          </cell>
          <cell r="C759" t="str">
            <v>Each</v>
          </cell>
          <cell r="D759">
            <v>0</v>
          </cell>
        </row>
        <row r="760">
          <cell r="A760">
            <v>7861</v>
          </cell>
          <cell r="B760" t="str">
            <v>SUPPLY OF SLEEVE FOR STRAND GRP.1</v>
          </cell>
          <cell r="C760" t="str">
            <v>Each</v>
          </cell>
          <cell r="D760">
            <v>0</v>
          </cell>
        </row>
        <row r="761">
          <cell r="A761">
            <v>7862</v>
          </cell>
          <cell r="B761" t="str">
            <v>SUPPLY OF SLEEVE FOR STRAND GRP.2</v>
          </cell>
          <cell r="C761" t="str">
            <v>Each</v>
          </cell>
          <cell r="D761">
            <v>0</v>
          </cell>
        </row>
        <row r="762">
          <cell r="A762">
            <v>7863</v>
          </cell>
          <cell r="B762" t="str">
            <v>SUPPLY OF SLEEVE FOR STRAND GRP.3</v>
          </cell>
          <cell r="C762" t="str">
            <v>Each</v>
          </cell>
          <cell r="D762">
            <v>0</v>
          </cell>
        </row>
        <row r="763">
          <cell r="A763">
            <v>7891</v>
          </cell>
          <cell r="B763" t="str">
            <v>SUPPLY OF BUTT CONNECTOR IDC - 0.4, 0.5, 0.65 mm</v>
          </cell>
          <cell r="C763" t="str">
            <v>Each</v>
          </cell>
          <cell r="D763">
            <v>0</v>
          </cell>
        </row>
        <row r="764">
          <cell r="A764">
            <v>7892</v>
          </cell>
          <cell r="B764" t="str">
            <v>SUPPLY OF BUTT CONNECTOR IDC - 0.9 mm</v>
          </cell>
          <cell r="C764" t="str">
            <v>Each</v>
          </cell>
          <cell r="D764">
            <v>0</v>
          </cell>
        </row>
        <row r="765">
          <cell r="A765">
            <v>7893</v>
          </cell>
          <cell r="B765" t="str">
            <v>SUPPLY OF B-WIRE CONNECT. ID TYPE 0.4, 0.5, 0.65 mm</v>
          </cell>
          <cell r="C765" t="str">
            <v>Each</v>
          </cell>
          <cell r="D765">
            <v>0</v>
          </cell>
        </row>
        <row r="766">
          <cell r="A766">
            <v>7894</v>
          </cell>
          <cell r="B766" t="str">
            <v>SUPPLY OF B-WIRE CONNECT. ID TYPE 0.9 mm</v>
          </cell>
          <cell r="C766" t="str">
            <v>Each</v>
          </cell>
          <cell r="D766">
            <v>0</v>
          </cell>
        </row>
        <row r="767">
          <cell r="A767">
            <v>7895</v>
          </cell>
          <cell r="B767" t="str">
            <v>SUPPLY OF MOD. CONNECTOR 10 p - 0.4, 0.5, 0.65 mm</v>
          </cell>
          <cell r="C767" t="str">
            <v>Each</v>
          </cell>
          <cell r="D767">
            <v>0</v>
          </cell>
        </row>
        <row r="768">
          <cell r="A768">
            <v>7896</v>
          </cell>
          <cell r="B768" t="str">
            <v>SUPPLY OF MOD. CONNECTOR 10 pairs - 0.9 mm</v>
          </cell>
          <cell r="C768" t="str">
            <v>Each</v>
          </cell>
          <cell r="D768">
            <v>0</v>
          </cell>
        </row>
        <row r="769">
          <cell r="A769">
            <v>8001</v>
          </cell>
          <cell r="B769" t="str">
            <v>SUPPLY OF PRE-MIXED CONCRETE GRADE 30</v>
          </cell>
          <cell r="C769" t="str">
            <v>Cu-m</v>
          </cell>
          <cell r="D769">
            <v>0</v>
          </cell>
        </row>
        <row r="770">
          <cell r="A770">
            <v>8002</v>
          </cell>
          <cell r="B770" t="str">
            <v>SUPPLY OF PRE-MIXED CONCRETE GRADE 25</v>
          </cell>
          <cell r="C770" t="str">
            <v>Cu-m</v>
          </cell>
          <cell r="D770">
            <v>0</v>
          </cell>
        </row>
        <row r="771">
          <cell r="A771">
            <v>8003</v>
          </cell>
          <cell r="B771" t="str">
            <v>SUPPLY OF PRE-MIXED CONCRETE GRADE 10</v>
          </cell>
          <cell r="C771" t="str">
            <v>Cu-m</v>
          </cell>
          <cell r="D771">
            <v>0</v>
          </cell>
        </row>
        <row r="772">
          <cell r="A772">
            <v>8004</v>
          </cell>
          <cell r="B772" t="str">
            <v>SUPPLY OF PRE-MIXED CONCRETE GRADE F</v>
          </cell>
          <cell r="C772" t="str">
            <v>Cu-m</v>
          </cell>
          <cell r="D772">
            <v>0</v>
          </cell>
        </row>
        <row r="773">
          <cell r="A773">
            <v>8011</v>
          </cell>
          <cell r="B773" t="str">
            <v>SUPPLY OF DEFORMED STEEL FOR REINFORCE.</v>
          </cell>
          <cell r="C773" t="str">
            <v>Ton</v>
          </cell>
          <cell r="D773">
            <v>0</v>
          </cell>
        </row>
        <row r="774">
          <cell r="A774">
            <v>8012</v>
          </cell>
          <cell r="B774" t="str">
            <v>SUPPLY OF FORMWORK-SHUTTERING FOR CONCRETE</v>
          </cell>
          <cell r="C774" t="str">
            <v>Sq-m</v>
          </cell>
          <cell r="D774">
            <v>0</v>
          </cell>
        </row>
        <row r="775">
          <cell r="A775">
            <v>8021</v>
          </cell>
          <cell r="B775" t="str">
            <v>SUPPLY OF TRENCH BACKFILL MATERIAL - GEN.</v>
          </cell>
          <cell r="C775" t="str">
            <v>Cu-m</v>
          </cell>
          <cell r="D775">
            <v>0</v>
          </cell>
        </row>
        <row r="776">
          <cell r="A776">
            <v>8022</v>
          </cell>
          <cell r="B776" t="str">
            <v>SUPPLY OF TRENCH BRACKFILL - HIGHWAY SUBBASE</v>
          </cell>
          <cell r="C776" t="str">
            <v>Cu-m</v>
          </cell>
          <cell r="D776">
            <v>0</v>
          </cell>
        </row>
        <row r="777">
          <cell r="A777">
            <v>8023</v>
          </cell>
          <cell r="B777" t="str">
            <v>SUPPLY OF TRENCH BACKFILL - SAND</v>
          </cell>
          <cell r="C777" t="str">
            <v>Cu-m</v>
          </cell>
          <cell r="D777">
            <v>0</v>
          </cell>
        </row>
        <row r="778">
          <cell r="A778">
            <v>8031</v>
          </cell>
          <cell r="B778" t="str">
            <v>SUPPLY OF WASHED SAND</v>
          </cell>
          <cell r="C778" t="str">
            <v>Cu-m</v>
          </cell>
          <cell r="D778">
            <v>0</v>
          </cell>
        </row>
        <row r="779">
          <cell r="A779">
            <v>8032</v>
          </cell>
          <cell r="B779" t="str">
            <v>SUPPLY OF GRAVEL</v>
          </cell>
          <cell r="C779" t="str">
            <v>Cu-m</v>
          </cell>
          <cell r="D779">
            <v>0</v>
          </cell>
        </row>
        <row r="780">
          <cell r="A780">
            <v>8033</v>
          </cell>
          <cell r="B780" t="str">
            <v>SUPPLY OF CRUSHED STONE</v>
          </cell>
          <cell r="C780" t="str">
            <v>Cu-m</v>
          </cell>
          <cell r="D780">
            <v>0</v>
          </cell>
        </row>
        <row r="781">
          <cell r="A781">
            <v>8037</v>
          </cell>
          <cell r="B781" t="str">
            <v>SUPPLY OF ORD. PORTLAND CEMENT IN 50 kg. BAG</v>
          </cell>
          <cell r="C781" t="str">
            <v>Bag</v>
          </cell>
          <cell r="D781">
            <v>0</v>
          </cell>
        </row>
        <row r="782">
          <cell r="A782">
            <v>8038</v>
          </cell>
          <cell r="B782" t="str">
            <v>SUPPLY OF SULPHATE RESIST. CEMENT IN 50 kg. BAG</v>
          </cell>
          <cell r="C782" t="str">
            <v>Bag</v>
          </cell>
          <cell r="D782">
            <v>0</v>
          </cell>
        </row>
        <row r="783">
          <cell r="A783">
            <v>8041</v>
          </cell>
          <cell r="B783" t="str">
            <v>SUPPLY OF ASPHALT FOR TRENCH FINISH</v>
          </cell>
          <cell r="C783" t="str">
            <v>Cu-m</v>
          </cell>
          <cell r="D783">
            <v>0</v>
          </cell>
        </row>
        <row r="784">
          <cell r="A784">
            <v>8042</v>
          </cell>
          <cell r="B784" t="str">
            <v>SUPPLY OF CONCRETE SIDEWALK TILES</v>
          </cell>
          <cell r="C784" t="str">
            <v>Sq-m</v>
          </cell>
          <cell r="D784">
            <v>0</v>
          </cell>
        </row>
        <row r="785">
          <cell r="A785">
            <v>8101</v>
          </cell>
          <cell r="B785" t="str">
            <v>SUPP.&amp; INSTALL. MARBLE WALL CLAD.</v>
          </cell>
          <cell r="C785" t="str">
            <v>Sq-m</v>
          </cell>
          <cell r="D785">
            <v>0</v>
          </cell>
        </row>
        <row r="786">
          <cell r="A786">
            <v>8102</v>
          </cell>
          <cell r="B786" t="str">
            <v>PAINT.WALLS - PRIM. U.COAT &amp; T.COAT</v>
          </cell>
          <cell r="C786" t="str">
            <v>Sq-m</v>
          </cell>
          <cell r="D786">
            <v>0</v>
          </cell>
        </row>
        <row r="787">
          <cell r="A787">
            <v>8103</v>
          </cell>
          <cell r="B787" t="str">
            <v>PLASTER FINISH WALLS</v>
          </cell>
          <cell r="C787" t="str">
            <v>Sq-m</v>
          </cell>
          <cell r="D787">
            <v>0</v>
          </cell>
        </row>
        <row r="788">
          <cell r="A788">
            <v>8111</v>
          </cell>
          <cell r="B788" t="str">
            <v>EXCVN. LIGHT SOIL DEPTH 1.5 m.</v>
          </cell>
          <cell r="C788" t="str">
            <v>Cu-m</v>
          </cell>
          <cell r="D788">
            <v>0</v>
          </cell>
        </row>
        <row r="789">
          <cell r="A789">
            <v>8112</v>
          </cell>
          <cell r="B789" t="str">
            <v>EXCVN. LIGHT SOIL DEPTH &gt;1.5 m. TO 3 m</v>
          </cell>
          <cell r="C789" t="str">
            <v>Cu-m</v>
          </cell>
          <cell r="D789">
            <v>0</v>
          </cell>
        </row>
        <row r="790">
          <cell r="A790">
            <v>8113</v>
          </cell>
          <cell r="B790" t="str">
            <v>EXCVN. LIGHT SOIL DEPTH &gt;3 m.    TO 5 m</v>
          </cell>
          <cell r="C790" t="str">
            <v>Cu-m</v>
          </cell>
          <cell r="D790">
            <v>0</v>
          </cell>
        </row>
        <row r="791">
          <cell r="A791">
            <v>8121</v>
          </cell>
          <cell r="B791" t="str">
            <v>EXCVN. HARD SOIL DEPTH 1.5 m.</v>
          </cell>
          <cell r="C791" t="str">
            <v>Cu-m</v>
          </cell>
          <cell r="D791">
            <v>0</v>
          </cell>
        </row>
        <row r="792">
          <cell r="A792">
            <v>8122</v>
          </cell>
          <cell r="B792" t="str">
            <v>EXCVN. HARD SOIL DEPTH &gt;1.5 m. TO 3 m</v>
          </cell>
          <cell r="C792" t="str">
            <v>Cu-m</v>
          </cell>
          <cell r="D792">
            <v>0</v>
          </cell>
        </row>
        <row r="793">
          <cell r="A793">
            <v>8123</v>
          </cell>
          <cell r="B793" t="str">
            <v>EXCVN. HARD SOIL DEPTH &gt;3 m.    TO 5 m</v>
          </cell>
          <cell r="C793" t="str">
            <v>Cu-m</v>
          </cell>
          <cell r="D793">
            <v>0</v>
          </cell>
        </row>
        <row r="794">
          <cell r="A794">
            <v>8131</v>
          </cell>
          <cell r="B794" t="str">
            <v>EXCVN. HARD ROCK DEPTH 1.5 m.</v>
          </cell>
          <cell r="C794" t="str">
            <v>Cu-m</v>
          </cell>
          <cell r="D794">
            <v>0</v>
          </cell>
        </row>
        <row r="795">
          <cell r="A795">
            <v>8132</v>
          </cell>
          <cell r="B795" t="str">
            <v>EXCVN. HARD ROCK DEPTH &gt;1.5 m. TO 3 m</v>
          </cell>
          <cell r="C795" t="str">
            <v>Cu-m</v>
          </cell>
          <cell r="D795">
            <v>0</v>
          </cell>
        </row>
        <row r="796">
          <cell r="A796">
            <v>8133</v>
          </cell>
          <cell r="B796" t="str">
            <v>EXCVN. HARD ROCK  DEPTH &gt;3 m. TO 5 m</v>
          </cell>
          <cell r="C796" t="str">
            <v>Cu-m</v>
          </cell>
          <cell r="D796">
            <v>0</v>
          </cell>
        </row>
        <row r="797">
          <cell r="A797">
            <v>8201</v>
          </cell>
          <cell r="B797" t="str">
            <v>ENGINEER</v>
          </cell>
          <cell r="C797" t="str">
            <v>Day</v>
          </cell>
          <cell r="D797">
            <v>0</v>
          </cell>
        </row>
        <row r="798">
          <cell r="A798">
            <v>8202</v>
          </cell>
          <cell r="B798" t="str">
            <v>ENGINEER</v>
          </cell>
          <cell r="C798" t="str">
            <v>Month</v>
          </cell>
          <cell r="D798">
            <v>0</v>
          </cell>
        </row>
        <row r="799">
          <cell r="A799">
            <v>8203</v>
          </cell>
          <cell r="B799" t="str">
            <v>FOREMAN - CIVIL WORKS</v>
          </cell>
          <cell r="C799" t="str">
            <v>Day</v>
          </cell>
          <cell r="D799">
            <v>0</v>
          </cell>
        </row>
        <row r="800">
          <cell r="A800">
            <v>8204</v>
          </cell>
          <cell r="B800" t="str">
            <v>FOREMAN - CIVIL WORKS</v>
          </cell>
          <cell r="C800" t="str">
            <v>Month</v>
          </cell>
          <cell r="D800">
            <v>0</v>
          </cell>
        </row>
        <row r="801">
          <cell r="A801">
            <v>8205</v>
          </cell>
          <cell r="B801" t="str">
            <v>FOREMAN - CABLE INSTALL &amp; JOINTING</v>
          </cell>
          <cell r="C801" t="str">
            <v>Day</v>
          </cell>
          <cell r="D801">
            <v>0</v>
          </cell>
        </row>
        <row r="802">
          <cell r="A802">
            <v>8206</v>
          </cell>
          <cell r="B802" t="str">
            <v>FOREMAN - CABLE INSTALL &amp; JOINTING</v>
          </cell>
          <cell r="C802" t="str">
            <v>Month</v>
          </cell>
          <cell r="D802">
            <v>0</v>
          </cell>
        </row>
        <row r="803">
          <cell r="A803">
            <v>8207</v>
          </cell>
          <cell r="B803" t="str">
            <v>DRAFTSMAN</v>
          </cell>
          <cell r="C803" t="str">
            <v>Day</v>
          </cell>
          <cell r="D803">
            <v>0</v>
          </cell>
        </row>
        <row r="804">
          <cell r="A804">
            <v>8208</v>
          </cell>
          <cell r="B804" t="str">
            <v>DRAFTSMAN</v>
          </cell>
          <cell r="C804" t="str">
            <v>Month</v>
          </cell>
          <cell r="D804">
            <v>0</v>
          </cell>
        </row>
        <row r="805">
          <cell r="A805">
            <v>8211</v>
          </cell>
          <cell r="B805" t="str">
            <v>TECHNICIAN - TESTING ETC.</v>
          </cell>
          <cell r="C805" t="str">
            <v>Day</v>
          </cell>
          <cell r="D805">
            <v>0</v>
          </cell>
        </row>
        <row r="806">
          <cell r="A806">
            <v>8212</v>
          </cell>
          <cell r="B806" t="str">
            <v>TECHNICIAN - TESTING ETC.</v>
          </cell>
          <cell r="C806" t="str">
            <v>Month</v>
          </cell>
          <cell r="D806">
            <v>0</v>
          </cell>
        </row>
        <row r="807">
          <cell r="A807">
            <v>8213</v>
          </cell>
          <cell r="B807" t="str">
            <v>JOINTER - LOCAL CABLES</v>
          </cell>
          <cell r="C807" t="str">
            <v>Day</v>
          </cell>
          <cell r="D807">
            <v>0</v>
          </cell>
        </row>
        <row r="808">
          <cell r="A808">
            <v>8214</v>
          </cell>
          <cell r="B808" t="str">
            <v>JOINTER - LOCAL CABLES</v>
          </cell>
          <cell r="C808" t="str">
            <v>Month</v>
          </cell>
          <cell r="D808">
            <v>0</v>
          </cell>
        </row>
        <row r="809">
          <cell r="A809">
            <v>8215</v>
          </cell>
          <cell r="B809" t="str">
            <v>JOINTER - COAX &amp; OPTICAL FIBRES</v>
          </cell>
          <cell r="C809" t="str">
            <v>Day</v>
          </cell>
          <cell r="D809">
            <v>0</v>
          </cell>
        </row>
        <row r="810">
          <cell r="A810">
            <v>8216</v>
          </cell>
          <cell r="B810" t="str">
            <v>JOINTER - COAX &amp; OPTICAL FIBRES</v>
          </cell>
          <cell r="C810" t="str">
            <v>Month</v>
          </cell>
          <cell r="D810">
            <v>0</v>
          </cell>
        </row>
        <row r="811">
          <cell r="A811">
            <v>8221</v>
          </cell>
          <cell r="B811" t="str">
            <v>JOINTER'S ASSISTANT</v>
          </cell>
          <cell r="C811" t="str">
            <v>Day</v>
          </cell>
          <cell r="D811">
            <v>0</v>
          </cell>
        </row>
        <row r="812">
          <cell r="A812">
            <v>8222</v>
          </cell>
          <cell r="B812" t="str">
            <v>JOINTER'S ASSISTANT</v>
          </cell>
          <cell r="C812" t="str">
            <v>Month</v>
          </cell>
          <cell r="D812">
            <v>0</v>
          </cell>
        </row>
        <row r="813">
          <cell r="A813">
            <v>8223</v>
          </cell>
          <cell r="B813" t="str">
            <v>LABOURER</v>
          </cell>
          <cell r="C813" t="str">
            <v>Day</v>
          </cell>
          <cell r="D813">
            <v>0</v>
          </cell>
        </row>
        <row r="814">
          <cell r="A814">
            <v>8224</v>
          </cell>
          <cell r="B814" t="str">
            <v>LABOURER</v>
          </cell>
          <cell r="C814" t="str">
            <v>Month</v>
          </cell>
          <cell r="D814">
            <v>0</v>
          </cell>
        </row>
        <row r="815">
          <cell r="A815">
            <v>8225</v>
          </cell>
          <cell r="B815" t="str">
            <v>GUARD</v>
          </cell>
          <cell r="C815" t="str">
            <v>Day</v>
          </cell>
          <cell r="D815">
            <v>0</v>
          </cell>
        </row>
        <row r="816">
          <cell r="A816">
            <v>8226</v>
          </cell>
          <cell r="B816" t="str">
            <v>GUARD</v>
          </cell>
          <cell r="C816" t="str">
            <v>Month</v>
          </cell>
          <cell r="D816">
            <v>0</v>
          </cell>
        </row>
        <row r="817">
          <cell r="A817">
            <v>8231</v>
          </cell>
          <cell r="B817" t="str">
            <v>STORES/INVOICING CLERK</v>
          </cell>
          <cell r="C817" t="str">
            <v>Day</v>
          </cell>
          <cell r="D817">
            <v>0</v>
          </cell>
        </row>
        <row r="818">
          <cell r="A818">
            <v>8232</v>
          </cell>
          <cell r="B818" t="str">
            <v>STORES/INVOICING CLERK</v>
          </cell>
          <cell r="C818" t="str">
            <v>Month</v>
          </cell>
          <cell r="D818">
            <v>0</v>
          </cell>
        </row>
        <row r="819">
          <cell r="A819">
            <v>8250</v>
          </cell>
          <cell r="B819" t="str">
            <v>OVER-TIME PAYMENTS</v>
          </cell>
          <cell r="C819" t="str">
            <v>%</v>
          </cell>
          <cell r="D819">
            <v>0</v>
          </cell>
        </row>
        <row r="820">
          <cell r="A820">
            <v>8301</v>
          </cell>
          <cell r="B820" t="str">
            <v>BACKHOE - 1/8 cu.yard - 0.1 cu.m</v>
          </cell>
          <cell r="C820" t="str">
            <v>Day</v>
          </cell>
          <cell r="D820">
            <v>0</v>
          </cell>
        </row>
        <row r="821">
          <cell r="A821">
            <v>8302</v>
          </cell>
          <cell r="B821" t="str">
            <v>BACKHOE - 1/4 cu.yard - 0.2 cu.m</v>
          </cell>
          <cell r="C821" t="str">
            <v>Day</v>
          </cell>
          <cell r="D821">
            <v>0</v>
          </cell>
        </row>
        <row r="822">
          <cell r="A822">
            <v>8303</v>
          </cell>
          <cell r="B822" t="str">
            <v>BACKHOE - 1/2 cu.yard - 0.4 cu.m</v>
          </cell>
          <cell r="C822" t="str">
            <v>Day</v>
          </cell>
          <cell r="D822">
            <v>0</v>
          </cell>
        </row>
        <row r="823">
          <cell r="A823">
            <v>8304</v>
          </cell>
          <cell r="B823" t="str">
            <v>BACKHOE - 3/4 cu.yard - 0.6/0.7 cu.m</v>
          </cell>
          <cell r="C823" t="str">
            <v>Day</v>
          </cell>
          <cell r="D823">
            <v>0</v>
          </cell>
        </row>
        <row r="824">
          <cell r="A824">
            <v>8305</v>
          </cell>
          <cell r="B824" t="str">
            <v>BACKHOE - 1.0 cu.yard - 0.75/1.0 cu.m</v>
          </cell>
          <cell r="C824" t="str">
            <v>Day</v>
          </cell>
          <cell r="D824">
            <v>0</v>
          </cell>
        </row>
        <row r="825">
          <cell r="A825">
            <v>8311</v>
          </cell>
          <cell r="B825" t="str">
            <v>BULLDOZER - SMALL</v>
          </cell>
          <cell r="C825" t="str">
            <v>Day</v>
          </cell>
          <cell r="D825">
            <v>0</v>
          </cell>
        </row>
        <row r="826">
          <cell r="A826">
            <v>8312</v>
          </cell>
          <cell r="B826" t="str">
            <v>BULLDOZER - LARGE</v>
          </cell>
          <cell r="C826" t="str">
            <v>Day</v>
          </cell>
          <cell r="D826">
            <v>0</v>
          </cell>
        </row>
        <row r="827">
          <cell r="A827">
            <v>8314</v>
          </cell>
          <cell r="B827" t="str">
            <v>FRONT LOADER (WHEELED)</v>
          </cell>
          <cell r="C827" t="str">
            <v>Day</v>
          </cell>
          <cell r="D827">
            <v>0</v>
          </cell>
        </row>
        <row r="828">
          <cell r="A828">
            <v>8321</v>
          </cell>
          <cell r="B828" t="str">
            <v>COMPRESSOR/BRKR. WITH JACK HAMM.</v>
          </cell>
          <cell r="C828" t="str">
            <v>Day</v>
          </cell>
          <cell r="D828">
            <v>0</v>
          </cell>
        </row>
        <row r="829">
          <cell r="A829">
            <v>8322</v>
          </cell>
          <cell r="B829" t="str">
            <v>ROCK/BRKR. (POCLAIN) WITH CHISELS</v>
          </cell>
          <cell r="C829" t="str">
            <v>Day</v>
          </cell>
          <cell r="D829">
            <v>0</v>
          </cell>
        </row>
        <row r="830">
          <cell r="A830">
            <v>8323</v>
          </cell>
          <cell r="B830" t="str">
            <v>ROCK SAW</v>
          </cell>
          <cell r="C830" t="str">
            <v>Day</v>
          </cell>
          <cell r="D830">
            <v>0</v>
          </cell>
        </row>
        <row r="831">
          <cell r="A831">
            <v>8324</v>
          </cell>
          <cell r="B831" t="str">
            <v>ASHPHALT CUTTER</v>
          </cell>
          <cell r="C831" t="str">
            <v>Day</v>
          </cell>
          <cell r="D831">
            <v>0</v>
          </cell>
        </row>
        <row r="832">
          <cell r="A832">
            <v>8331</v>
          </cell>
          <cell r="B832" t="str">
            <v>CONCRETE MIXER - SMALL</v>
          </cell>
          <cell r="C832" t="str">
            <v>Day</v>
          </cell>
          <cell r="D832">
            <v>0</v>
          </cell>
        </row>
        <row r="833">
          <cell r="A833">
            <v>8332</v>
          </cell>
          <cell r="B833" t="str">
            <v>CONCRETE MIXER - LARGE</v>
          </cell>
          <cell r="C833" t="str">
            <v>Day</v>
          </cell>
          <cell r="D833">
            <v>0</v>
          </cell>
        </row>
        <row r="834">
          <cell r="A834">
            <v>8333</v>
          </cell>
          <cell r="B834" t="str">
            <v>ROLLER COMPACTOR - NARROW</v>
          </cell>
          <cell r="C834" t="str">
            <v>Day</v>
          </cell>
          <cell r="D834">
            <v>0</v>
          </cell>
        </row>
        <row r="835">
          <cell r="A835">
            <v>8334</v>
          </cell>
          <cell r="B835" t="str">
            <v>ROLLER COMPACTOR - MEDIUM</v>
          </cell>
          <cell r="C835" t="str">
            <v>Day</v>
          </cell>
          <cell r="D835">
            <v>0</v>
          </cell>
        </row>
        <row r="836">
          <cell r="A836">
            <v>8335</v>
          </cell>
          <cell r="B836" t="str">
            <v>ROLLER TANKER WITH PUMP</v>
          </cell>
          <cell r="C836" t="str">
            <v>Day</v>
          </cell>
          <cell r="D836">
            <v>0</v>
          </cell>
        </row>
        <row r="837">
          <cell r="A837">
            <v>8336</v>
          </cell>
          <cell r="B837" t="str">
            <v>MOBILE CRANE - 40 TONNES</v>
          </cell>
          <cell r="C837" t="str">
            <v>Day</v>
          </cell>
          <cell r="D837">
            <v>0</v>
          </cell>
        </row>
        <row r="838">
          <cell r="A838">
            <v>8341</v>
          </cell>
          <cell r="B838" t="str">
            <v>FLAT-BED TRUCK - 3 TON CAPACITY</v>
          </cell>
          <cell r="C838" t="str">
            <v>Day</v>
          </cell>
          <cell r="D838">
            <v>0</v>
          </cell>
        </row>
        <row r="839">
          <cell r="A839">
            <v>8342</v>
          </cell>
          <cell r="B839" t="str">
            <v>FLAT-BED TRUCK - OVER 3 TON CAP.</v>
          </cell>
          <cell r="C839" t="str">
            <v>Day</v>
          </cell>
          <cell r="D839">
            <v>0</v>
          </cell>
        </row>
        <row r="840">
          <cell r="A840">
            <v>8343</v>
          </cell>
          <cell r="B840" t="str">
            <v>FLAT-BED TRUCK - 5 TON CAP. CRANE</v>
          </cell>
          <cell r="C840" t="str">
            <v>Day</v>
          </cell>
          <cell r="D840">
            <v>0</v>
          </cell>
        </row>
        <row r="841">
          <cell r="A841">
            <v>8344</v>
          </cell>
          <cell r="B841" t="str">
            <v>FLAT-BED TRUCK - 10 TON CAP. CRANE</v>
          </cell>
          <cell r="C841" t="str">
            <v>Day</v>
          </cell>
          <cell r="D841">
            <v>0</v>
          </cell>
        </row>
        <row r="842">
          <cell r="A842">
            <v>8345</v>
          </cell>
          <cell r="B842" t="str">
            <v>TIPPER TRUCK - 10 TON CAPACITY</v>
          </cell>
          <cell r="C842" t="str">
            <v>Day</v>
          </cell>
          <cell r="D842">
            <v>0</v>
          </cell>
        </row>
        <row r="843">
          <cell r="A843">
            <v>8346</v>
          </cell>
          <cell r="B843" t="str">
            <v>TRACTOR/LOW LOADER TRAILER 30 TON.</v>
          </cell>
          <cell r="C843" t="str">
            <v>Day</v>
          </cell>
          <cell r="D843">
            <v>0</v>
          </cell>
        </row>
        <row r="844">
          <cell r="A844">
            <v>8351</v>
          </cell>
          <cell r="B844" t="str">
            <v>CABLE TRAILER - 5 TON CAP.</v>
          </cell>
          <cell r="C844" t="str">
            <v>Day</v>
          </cell>
          <cell r="D844">
            <v>0</v>
          </cell>
        </row>
        <row r="845">
          <cell r="A845">
            <v>8352</v>
          </cell>
          <cell r="B845" t="str">
            <v>CABLE TRAILER - 10 TON CAP.</v>
          </cell>
          <cell r="C845" t="str">
            <v>Day</v>
          </cell>
          <cell r="D845">
            <v>0</v>
          </cell>
        </row>
        <row r="846">
          <cell r="A846">
            <v>8361</v>
          </cell>
          <cell r="B846" t="str">
            <v>PORTABLE WATER PUMP, 2-3 INCH</v>
          </cell>
          <cell r="C846" t="str">
            <v>Day</v>
          </cell>
          <cell r="D846">
            <v>0</v>
          </cell>
        </row>
        <row r="847">
          <cell r="A847">
            <v>8362</v>
          </cell>
          <cell r="B847" t="str">
            <v>PORTABLE WATER PUMP, 4-6 INCH</v>
          </cell>
          <cell r="C847" t="str">
            <v>Day</v>
          </cell>
          <cell r="D847">
            <v>0</v>
          </cell>
        </row>
        <row r="848">
          <cell r="A848">
            <v>8363</v>
          </cell>
          <cell r="B848" t="str">
            <v>WELL POINT DEWATERING SYSTEM</v>
          </cell>
          <cell r="C848" t="str">
            <v>Day</v>
          </cell>
          <cell r="D848">
            <v>0</v>
          </cell>
        </row>
        <row r="849">
          <cell r="A849">
            <v>8371</v>
          </cell>
          <cell r="B849" t="str">
            <v>PORT. GENERATOR, 10kw  SITE FLOOD.LIGHT</v>
          </cell>
          <cell r="C849" t="str">
            <v>Day</v>
          </cell>
          <cell r="D849">
            <v>0</v>
          </cell>
        </row>
        <row r="850">
          <cell r="A850">
            <v>8372</v>
          </cell>
          <cell r="B850" t="str">
            <v>PORT.GENERATOR, 10 kw  SITE H.LIGHT</v>
          </cell>
          <cell r="C850" t="str">
            <v>Day</v>
          </cell>
          <cell r="D850">
            <v>0</v>
          </cell>
        </row>
        <row r="851">
          <cell r="A851">
            <v>8381</v>
          </cell>
          <cell r="B851" t="str">
            <v>MECH. TAMPER/COMPACTOR</v>
          </cell>
          <cell r="C851" t="str">
            <v>Day</v>
          </cell>
          <cell r="D851">
            <v>0</v>
          </cell>
        </row>
        <row r="852">
          <cell r="A852">
            <v>8391</v>
          </cell>
          <cell r="B852" t="str">
            <v>TRAFFIC BARRIERS - 2m.</v>
          </cell>
          <cell r="C852" t="str">
            <v>Day</v>
          </cell>
          <cell r="D852">
            <v>0</v>
          </cell>
        </row>
        <row r="853">
          <cell r="A853">
            <v>8392</v>
          </cell>
          <cell r="B853" t="str">
            <v>STEEL PLATE TRENCH COVERS</v>
          </cell>
          <cell r="C853" t="str">
            <v>Day</v>
          </cell>
          <cell r="D853">
            <v>0</v>
          </cell>
        </row>
        <row r="854">
          <cell r="A854">
            <v>8401</v>
          </cell>
          <cell r="B854" t="str">
            <v>BACKHOE - 1/8 cu.yard - 0.1 cu.m</v>
          </cell>
          <cell r="C854" t="str">
            <v>Week</v>
          </cell>
          <cell r="D854">
            <v>0</v>
          </cell>
        </row>
        <row r="855">
          <cell r="A855">
            <v>8402</v>
          </cell>
          <cell r="B855" t="str">
            <v>BACKHOE - 1/4 cu.yard - 0.2 cu.m</v>
          </cell>
          <cell r="C855" t="str">
            <v>Week</v>
          </cell>
          <cell r="D855">
            <v>0</v>
          </cell>
        </row>
        <row r="856">
          <cell r="A856">
            <v>8403</v>
          </cell>
          <cell r="B856" t="str">
            <v>BACKHOE - 1/2 cu.yard - 0.4 cu.m</v>
          </cell>
          <cell r="C856" t="str">
            <v>Week</v>
          </cell>
          <cell r="D856">
            <v>0</v>
          </cell>
        </row>
        <row r="857">
          <cell r="A857">
            <v>8404</v>
          </cell>
          <cell r="B857" t="str">
            <v>BACKHOE - 3/4 cu.yard - 0.6/0.7 cu.m</v>
          </cell>
          <cell r="C857" t="str">
            <v>Week</v>
          </cell>
          <cell r="D857">
            <v>0</v>
          </cell>
        </row>
        <row r="858">
          <cell r="A858">
            <v>8405</v>
          </cell>
          <cell r="B858" t="str">
            <v>BACKHOE - 1.0 cu.yard - 0.75/1.0 cu.m</v>
          </cell>
          <cell r="C858" t="str">
            <v>Week</v>
          </cell>
          <cell r="D858">
            <v>0</v>
          </cell>
        </row>
        <row r="859">
          <cell r="A859">
            <v>8411</v>
          </cell>
          <cell r="B859" t="str">
            <v>BULLDOZER - SMALL</v>
          </cell>
          <cell r="C859" t="str">
            <v>Week</v>
          </cell>
          <cell r="D859">
            <v>0</v>
          </cell>
        </row>
        <row r="860">
          <cell r="A860">
            <v>8412</v>
          </cell>
          <cell r="B860" t="str">
            <v>BULLDOZER - LARGE</v>
          </cell>
          <cell r="C860" t="str">
            <v>Week</v>
          </cell>
          <cell r="D860">
            <v>0</v>
          </cell>
        </row>
        <row r="861">
          <cell r="A861">
            <v>8414</v>
          </cell>
          <cell r="B861" t="str">
            <v>FRONT LOADER (WHEELED)</v>
          </cell>
          <cell r="C861" t="str">
            <v>Week</v>
          </cell>
          <cell r="D861">
            <v>0</v>
          </cell>
        </row>
        <row r="862">
          <cell r="A862">
            <v>8421</v>
          </cell>
          <cell r="B862" t="str">
            <v>COMPRESSOR/BRKR. WITH JACK HAMM.</v>
          </cell>
          <cell r="C862" t="str">
            <v>Week</v>
          </cell>
          <cell r="D862">
            <v>0</v>
          </cell>
        </row>
      </sheetData>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
      <sheetName val="Detailed "/>
      <sheetName val="Lead"/>
      <sheetName val=" Data "/>
      <sheetName val="Abtract "/>
      <sheetName val="Last page"/>
      <sheetName val="DATA"/>
      <sheetName val="Spe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TABUK"/>
      <sheetName val="Sheet2"/>
      <sheetName val="Sheet2 (2)"/>
      <sheetName val="Sheet3"/>
      <sheetName val="rate"/>
    </sheetNames>
    <sheetDataSet>
      <sheetData sheetId="0" refreshError="1"/>
      <sheetData sheetId="1" refreshError="1"/>
      <sheetData sheetId="2" refreshError="1"/>
      <sheetData sheetId="3" refreshError="1"/>
      <sheetData sheetId="4" refreshError="1"/>
      <sheetData sheetId="5" refreshError="1">
        <row r="2">
          <cell r="A2">
            <v>1001</v>
          </cell>
          <cell r="B2" t="str">
            <v>Breaking &amp; Reinst., Main Road Surface.</v>
          </cell>
          <cell r="C2" t="str">
            <v>Sqm</v>
          </cell>
          <cell r="D2">
            <v>24.5</v>
          </cell>
        </row>
        <row r="3">
          <cell r="A3">
            <v>1002</v>
          </cell>
          <cell r="B3" t="str">
            <v>Breaking &amp; Reinst., Sub Road Surface.</v>
          </cell>
          <cell r="C3" t="str">
            <v>Sqm</v>
          </cell>
          <cell r="D3">
            <v>21.17</v>
          </cell>
        </row>
        <row r="4">
          <cell r="A4">
            <v>1003</v>
          </cell>
          <cell r="B4" t="str">
            <v>Reinst. Un-Paved Area</v>
          </cell>
          <cell r="C4" t="str">
            <v>Sqm</v>
          </cell>
          <cell r="D4">
            <v>7.8</v>
          </cell>
        </row>
        <row r="5">
          <cell r="A5">
            <v>1006</v>
          </cell>
          <cell r="B5" t="str">
            <v>Breaking &amp; Reinst., Tiled Footway</v>
          </cell>
          <cell r="C5" t="str">
            <v>Sqm</v>
          </cell>
          <cell r="D5">
            <v>9.41</v>
          </cell>
        </row>
        <row r="6">
          <cell r="A6">
            <v>1007</v>
          </cell>
          <cell r="B6" t="str">
            <v>Breaking &amp; Reinst., Asph. &amp; OR Concrete Footway</v>
          </cell>
          <cell r="C6" t="str">
            <v>Sqm</v>
          </cell>
          <cell r="D6">
            <v>8.3800000000000008</v>
          </cell>
        </row>
        <row r="7">
          <cell r="A7">
            <v>1011</v>
          </cell>
          <cell r="B7" t="str">
            <v>Lean Mix Concrete Backfill</v>
          </cell>
          <cell r="C7" t="str">
            <v>Cum</v>
          </cell>
          <cell r="D7">
            <v>75</v>
          </cell>
        </row>
        <row r="8">
          <cell r="A8">
            <v>1012</v>
          </cell>
          <cell r="B8" t="str">
            <v>Break &amp; Reinstate Concrete Steps</v>
          </cell>
          <cell r="C8" t="str">
            <v>LM</v>
          </cell>
          <cell r="D8">
            <v>127.71</v>
          </cell>
        </row>
        <row r="9">
          <cell r="A9">
            <v>1013</v>
          </cell>
          <cell r="B9" t="str">
            <v>Break &amp; Reinstate Concrete Ramps</v>
          </cell>
          <cell r="C9" t="str">
            <v>Sqm</v>
          </cell>
          <cell r="D9">
            <v>51.17</v>
          </cell>
        </row>
        <row r="10">
          <cell r="A10">
            <v>1014</v>
          </cell>
          <cell r="B10" t="str">
            <v>Break &amp; Reinstate Flower Beds</v>
          </cell>
          <cell r="C10" t="str">
            <v>Sqm</v>
          </cell>
          <cell r="D10">
            <v>150.41999999999999</v>
          </cell>
        </row>
        <row r="11">
          <cell r="A11">
            <v>1015</v>
          </cell>
          <cell r="B11" t="str">
            <v>Break &amp; Reinstate Marble Steps</v>
          </cell>
          <cell r="C11" t="str">
            <v>LM</v>
          </cell>
          <cell r="D11">
            <v>195.63</v>
          </cell>
        </row>
        <row r="12">
          <cell r="A12">
            <v>1016</v>
          </cell>
          <cell r="B12" t="str">
            <v>3 Meter, Milling and Paving</v>
          </cell>
          <cell r="C12" t="str">
            <v>Sqm</v>
          </cell>
          <cell r="D12">
            <v>9.01</v>
          </cell>
        </row>
        <row r="13">
          <cell r="A13">
            <v>1021</v>
          </cell>
          <cell r="B13" t="str">
            <v>Concrete Protection Slab - Not Reinf.</v>
          </cell>
          <cell r="C13" t="str">
            <v>Sqm</v>
          </cell>
          <cell r="D13">
            <v>6.78</v>
          </cell>
        </row>
        <row r="14">
          <cell r="A14">
            <v>1022</v>
          </cell>
          <cell r="B14" t="str">
            <v>Concrete Protection Slab - Steel Reinf.</v>
          </cell>
          <cell r="C14" t="str">
            <v>Sqm</v>
          </cell>
          <cell r="D14">
            <v>12.44</v>
          </cell>
        </row>
        <row r="15">
          <cell r="A15">
            <v>1030</v>
          </cell>
          <cell r="B15" t="str">
            <v>Extra Depth</v>
          </cell>
          <cell r="C15" t="str">
            <v>Cum</v>
          </cell>
          <cell r="D15">
            <v>8.7100000000000009</v>
          </cell>
        </row>
        <row r="16">
          <cell r="A16">
            <v>1041</v>
          </cell>
          <cell r="B16" t="str">
            <v>Thrust Boring, 100mm dia. Steel Pipe</v>
          </cell>
          <cell r="C16" t="str">
            <v>M</v>
          </cell>
          <cell r="D16">
            <v>191.45</v>
          </cell>
        </row>
        <row r="17">
          <cell r="A17">
            <v>1042</v>
          </cell>
          <cell r="B17" t="str">
            <v>Thrust Boring, 300mm dia. -   4 Ducts</v>
          </cell>
          <cell r="C17" t="str">
            <v>M</v>
          </cell>
          <cell r="D17">
            <v>352.87</v>
          </cell>
        </row>
        <row r="18">
          <cell r="A18">
            <v>1043</v>
          </cell>
          <cell r="B18" t="str">
            <v>Thrust Boring, 100mm dia. -   8 Ducts</v>
          </cell>
          <cell r="C18" t="str">
            <v>M</v>
          </cell>
          <cell r="D18">
            <v>553.99</v>
          </cell>
        </row>
        <row r="19">
          <cell r="A19">
            <v>1044</v>
          </cell>
          <cell r="B19" t="str">
            <v>Thrust Boring, 100mm dia. - 12 Ducts</v>
          </cell>
          <cell r="C19" t="str">
            <v>M</v>
          </cell>
          <cell r="D19">
            <v>634.29</v>
          </cell>
        </row>
        <row r="20">
          <cell r="A20">
            <v>1045</v>
          </cell>
          <cell r="B20" t="str">
            <v>Thrust Boring, 100mm dia. - 16 Ducts</v>
          </cell>
          <cell r="C20" t="str">
            <v>M</v>
          </cell>
          <cell r="D20">
            <v>838.56</v>
          </cell>
        </row>
        <row r="21">
          <cell r="A21">
            <v>1060</v>
          </cell>
          <cell r="B21" t="str">
            <v>Removing Debris and Spoil Heaps</v>
          </cell>
          <cell r="C21" t="str">
            <v>Cum</v>
          </cell>
          <cell r="D21">
            <v>0.87</v>
          </cell>
        </row>
        <row r="22">
          <cell r="A22">
            <v>1081</v>
          </cell>
          <cell r="B22" t="str">
            <v>Setting-Up Well Point System</v>
          </cell>
          <cell r="C22" t="str">
            <v>Each</v>
          </cell>
          <cell r="D22">
            <v>1300</v>
          </cell>
        </row>
        <row r="23">
          <cell r="A23">
            <v>1082</v>
          </cell>
          <cell r="B23" t="str">
            <v>Operation of Well Point System</v>
          </cell>
          <cell r="C23" t="str">
            <v>Hr.</v>
          </cell>
          <cell r="D23">
            <v>76</v>
          </cell>
        </row>
        <row r="24">
          <cell r="A24">
            <v>1111</v>
          </cell>
          <cell r="B24" t="str">
            <v>Breaking Up Brick Walls</v>
          </cell>
          <cell r="C24" t="str">
            <v>Cum</v>
          </cell>
          <cell r="D24">
            <v>6.49</v>
          </cell>
        </row>
        <row r="25">
          <cell r="A25">
            <v>1112</v>
          </cell>
          <cell r="B25" t="str">
            <v>Breaking Up Concrete Walls</v>
          </cell>
          <cell r="C25" t="str">
            <v>Cum</v>
          </cell>
          <cell r="D25">
            <v>8.65</v>
          </cell>
        </row>
        <row r="26">
          <cell r="A26">
            <v>1113</v>
          </cell>
          <cell r="B26" t="str">
            <v>Breaking Up Reinf. Concrete Walls</v>
          </cell>
          <cell r="C26" t="str">
            <v>Cum</v>
          </cell>
          <cell r="D26">
            <v>9.74</v>
          </cell>
        </row>
        <row r="27">
          <cell r="A27">
            <v>1202</v>
          </cell>
          <cell r="B27" t="str">
            <v>Conduit  2 Way PVC in Concrete</v>
          </cell>
          <cell r="C27" t="str">
            <v>M</v>
          </cell>
          <cell r="D27">
            <v>22.97</v>
          </cell>
        </row>
        <row r="28">
          <cell r="A28">
            <v>1204</v>
          </cell>
          <cell r="B28" t="str">
            <v>Conduit  4 Way PVC in Concrete</v>
          </cell>
          <cell r="C28" t="str">
            <v>M</v>
          </cell>
          <cell r="D28">
            <v>32.799999999999997</v>
          </cell>
        </row>
        <row r="29">
          <cell r="A29">
            <v>1206</v>
          </cell>
          <cell r="B29" t="str">
            <v>Conduit  6 Way PVC in Concrete</v>
          </cell>
          <cell r="C29" t="str">
            <v>M</v>
          </cell>
          <cell r="D29">
            <v>42.74</v>
          </cell>
        </row>
        <row r="30">
          <cell r="A30">
            <v>1208</v>
          </cell>
          <cell r="B30" t="str">
            <v>Conduit  8 Way PVC in Concrete</v>
          </cell>
          <cell r="C30" t="str">
            <v>M</v>
          </cell>
          <cell r="D30">
            <v>52.82</v>
          </cell>
        </row>
        <row r="31">
          <cell r="A31">
            <v>1212</v>
          </cell>
          <cell r="B31" t="str">
            <v>Conduit 12 Way PVC in Concrete</v>
          </cell>
          <cell r="C31" t="str">
            <v>M</v>
          </cell>
          <cell r="D31">
            <v>74.25</v>
          </cell>
        </row>
        <row r="32">
          <cell r="A32">
            <v>1216</v>
          </cell>
          <cell r="B32" t="str">
            <v>Conduit 16 Way PVC in Concrete</v>
          </cell>
          <cell r="C32" t="str">
            <v>M</v>
          </cell>
          <cell r="D32">
            <v>96.36</v>
          </cell>
        </row>
        <row r="33">
          <cell r="A33">
            <v>1220</v>
          </cell>
          <cell r="B33" t="str">
            <v>Conduit 20 Way PVC in Concrete</v>
          </cell>
          <cell r="C33" t="str">
            <v>M</v>
          </cell>
          <cell r="D33">
            <v>115.73</v>
          </cell>
        </row>
        <row r="34">
          <cell r="A34">
            <v>1224</v>
          </cell>
          <cell r="B34" t="str">
            <v>Conduit 24 Way PVC in Concrete</v>
          </cell>
          <cell r="C34" t="str">
            <v>M</v>
          </cell>
          <cell r="D34">
            <v>135.28</v>
          </cell>
        </row>
        <row r="35">
          <cell r="A35">
            <v>1228</v>
          </cell>
          <cell r="B35" t="str">
            <v>Conduit 28 Way PVC in Concrete</v>
          </cell>
          <cell r="C35" t="str">
            <v>M</v>
          </cell>
          <cell r="D35">
            <v>149.58000000000001</v>
          </cell>
        </row>
        <row r="36">
          <cell r="A36">
            <v>1232</v>
          </cell>
          <cell r="B36" t="str">
            <v>Conduit 32 Way PVC in Concrete</v>
          </cell>
          <cell r="C36" t="str">
            <v>M</v>
          </cell>
          <cell r="D36">
            <v>167.38</v>
          </cell>
        </row>
        <row r="37">
          <cell r="A37">
            <v>1236</v>
          </cell>
          <cell r="B37" t="str">
            <v>Conduit 36 Way PVC in Concrete</v>
          </cell>
          <cell r="C37" t="str">
            <v>M</v>
          </cell>
          <cell r="D37">
            <v>190.33</v>
          </cell>
        </row>
        <row r="38">
          <cell r="A38">
            <v>1240</v>
          </cell>
          <cell r="B38" t="str">
            <v>Conduit 40 Way PVC in Concrete</v>
          </cell>
          <cell r="C38" t="str">
            <v>M</v>
          </cell>
          <cell r="D38">
            <v>209.38</v>
          </cell>
        </row>
        <row r="39">
          <cell r="A39">
            <v>1244</v>
          </cell>
          <cell r="B39" t="str">
            <v>Conduit 44 Way PVC in Concrete</v>
          </cell>
          <cell r="C39" t="str">
            <v>M</v>
          </cell>
          <cell r="D39">
            <v>228.3</v>
          </cell>
        </row>
        <row r="40">
          <cell r="A40">
            <v>1248</v>
          </cell>
          <cell r="B40" t="str">
            <v>Conduit 48 Way PVC in Concrete</v>
          </cell>
          <cell r="C40" t="str">
            <v>M</v>
          </cell>
          <cell r="D40">
            <v>244.34</v>
          </cell>
        </row>
        <row r="41">
          <cell r="A41">
            <v>1261</v>
          </cell>
          <cell r="B41" t="str">
            <v>Bends in Concr. &lt;12m, &gt;2m Radius</v>
          </cell>
          <cell r="C41" t="str">
            <v>Each</v>
          </cell>
          <cell r="D41">
            <v>45.22</v>
          </cell>
        </row>
        <row r="42">
          <cell r="A42">
            <v>1262</v>
          </cell>
          <cell r="B42" t="str">
            <v>Bends in Concr. 2m OR Less Radius</v>
          </cell>
          <cell r="C42" t="str">
            <v>Each</v>
          </cell>
          <cell r="D42">
            <v>20.010000000000002</v>
          </cell>
        </row>
        <row r="43">
          <cell r="A43">
            <v>1281</v>
          </cell>
          <cell r="B43" t="str">
            <v>Conduit Syst. Encase in Reinf. Concrete</v>
          </cell>
          <cell r="C43" t="str">
            <v>M</v>
          </cell>
          <cell r="D43">
            <v>9.0399999999999991</v>
          </cell>
        </row>
        <row r="44">
          <cell r="A44">
            <v>1291</v>
          </cell>
          <cell r="B44" t="str">
            <v>Steel Pipe in Concrete</v>
          </cell>
          <cell r="C44" t="str">
            <v>M</v>
          </cell>
          <cell r="D44">
            <v>19.86</v>
          </cell>
        </row>
        <row r="45">
          <cell r="A45">
            <v>1302</v>
          </cell>
          <cell r="B45" t="str">
            <v xml:space="preserve"> 2 Way PVC Duct in Sand</v>
          </cell>
          <cell r="C45" t="str">
            <v>M</v>
          </cell>
          <cell r="D45">
            <v>13.88</v>
          </cell>
        </row>
        <row r="46">
          <cell r="A46">
            <v>1304</v>
          </cell>
          <cell r="B46" t="str">
            <v xml:space="preserve"> 4 Way PVC Duct in Sand</v>
          </cell>
          <cell r="C46" t="str">
            <v>M</v>
          </cell>
          <cell r="D46">
            <v>18.100000000000001</v>
          </cell>
        </row>
        <row r="47">
          <cell r="A47">
            <v>1306</v>
          </cell>
          <cell r="B47" t="str">
            <v xml:space="preserve"> 6 Way PVC Duct in Sand</v>
          </cell>
          <cell r="C47" t="str">
            <v>M</v>
          </cell>
          <cell r="D47">
            <v>21.42</v>
          </cell>
        </row>
        <row r="48">
          <cell r="A48">
            <v>1308</v>
          </cell>
          <cell r="B48" t="str">
            <v xml:space="preserve"> 8 Way PVC Duct in Sand</v>
          </cell>
          <cell r="C48" t="str">
            <v>M</v>
          </cell>
          <cell r="D48">
            <v>26.19</v>
          </cell>
        </row>
        <row r="49">
          <cell r="A49">
            <v>1310</v>
          </cell>
          <cell r="B49" t="str">
            <v>10 Way PVC Duct in Sand</v>
          </cell>
          <cell r="C49" t="str">
            <v>M</v>
          </cell>
          <cell r="D49">
            <v>30.94</v>
          </cell>
        </row>
        <row r="50">
          <cell r="A50">
            <v>1312</v>
          </cell>
          <cell r="B50" t="str">
            <v>12 Way PVC Duct in Sand</v>
          </cell>
          <cell r="C50" t="str">
            <v>M</v>
          </cell>
          <cell r="D50">
            <v>35.93</v>
          </cell>
        </row>
        <row r="51">
          <cell r="A51">
            <v>1361</v>
          </cell>
          <cell r="B51" t="str">
            <v xml:space="preserve">Bends in Sand &lt;12m,&gt;2m Radius </v>
          </cell>
          <cell r="C51" t="str">
            <v>Each</v>
          </cell>
          <cell r="D51">
            <v>35.82</v>
          </cell>
        </row>
        <row r="52">
          <cell r="A52">
            <v>1362</v>
          </cell>
          <cell r="B52" t="str">
            <v>Bends in Sand 2m OR Less Radius</v>
          </cell>
          <cell r="C52" t="str">
            <v>Each</v>
          </cell>
          <cell r="D52">
            <v>14.57</v>
          </cell>
        </row>
        <row r="53">
          <cell r="A53">
            <v>1401</v>
          </cell>
          <cell r="B53" t="str">
            <v>Supply and Inst. Manhole, Type "A"</v>
          </cell>
          <cell r="C53" t="str">
            <v>Each</v>
          </cell>
          <cell r="D53">
            <v>4112.0200000000004</v>
          </cell>
        </row>
        <row r="54">
          <cell r="A54">
            <v>1402</v>
          </cell>
          <cell r="B54" t="str">
            <v>Supply and Inst. Manhole, Type "B"</v>
          </cell>
          <cell r="C54" t="str">
            <v>Each</v>
          </cell>
          <cell r="D54">
            <v>4857.6099999999997</v>
          </cell>
        </row>
        <row r="55">
          <cell r="A55">
            <v>1403</v>
          </cell>
          <cell r="B55" t="str">
            <v>Supply and Inst. Manhole, Type "C"</v>
          </cell>
          <cell r="C55" t="str">
            <v>Each</v>
          </cell>
          <cell r="D55">
            <v>6310.93</v>
          </cell>
        </row>
        <row r="56">
          <cell r="A56">
            <v>1404</v>
          </cell>
          <cell r="B56" t="str">
            <v>Supply and Inst. Manhole, Type "D"</v>
          </cell>
          <cell r="C56" t="str">
            <v>Each</v>
          </cell>
          <cell r="D56">
            <v>5224.76</v>
          </cell>
        </row>
        <row r="57">
          <cell r="A57">
            <v>1412</v>
          </cell>
          <cell r="B57" t="str">
            <v>Supply and Inst. Handhole, 2 Cover</v>
          </cell>
          <cell r="C57" t="str">
            <v>Each</v>
          </cell>
          <cell r="D57">
            <v>538</v>
          </cell>
        </row>
        <row r="58">
          <cell r="A58">
            <v>1413</v>
          </cell>
          <cell r="B58" t="str">
            <v>Supply and Inst. Handhole, 3 Cover</v>
          </cell>
          <cell r="C58" t="str">
            <v>Each</v>
          </cell>
          <cell r="D58">
            <v>881.89</v>
          </cell>
        </row>
        <row r="59">
          <cell r="A59">
            <v>1414</v>
          </cell>
          <cell r="B59" t="str">
            <v>Supply and Inst. Handhole, 4 Cover</v>
          </cell>
          <cell r="C59" t="str">
            <v>Each</v>
          </cell>
          <cell r="D59">
            <v>1310.24</v>
          </cell>
        </row>
        <row r="60">
          <cell r="A60">
            <v>1421</v>
          </cell>
          <cell r="B60" t="str">
            <v>Constr., In-Situ Built Manhole "A"</v>
          </cell>
          <cell r="C60" t="str">
            <v>Each</v>
          </cell>
          <cell r="D60">
            <v>3127.76</v>
          </cell>
        </row>
        <row r="61">
          <cell r="A61">
            <v>1422</v>
          </cell>
          <cell r="B61" t="str">
            <v>Constr., In-Situ Built Manhole "B"</v>
          </cell>
          <cell r="C61" t="str">
            <v>Each</v>
          </cell>
          <cell r="D61">
            <v>3896.27</v>
          </cell>
        </row>
        <row r="62">
          <cell r="A62">
            <v>1423</v>
          </cell>
          <cell r="B62" t="str">
            <v>Constr., In-Situ Built Manhole "C"</v>
          </cell>
          <cell r="C62" t="str">
            <v>Each</v>
          </cell>
          <cell r="D62">
            <v>4574.62</v>
          </cell>
        </row>
        <row r="63">
          <cell r="A63">
            <v>1424</v>
          </cell>
          <cell r="B63" t="str">
            <v>Constr., In-Situ Built Manhole "D"</v>
          </cell>
          <cell r="C63" t="str">
            <v>Each</v>
          </cell>
          <cell r="D63">
            <v>5957.64</v>
          </cell>
        </row>
        <row r="64">
          <cell r="A64">
            <v>1425</v>
          </cell>
          <cell r="B64" t="str">
            <v>In-Situ Construction of MH Type "IIL"</v>
          </cell>
          <cell r="C64" t="str">
            <v>Each</v>
          </cell>
          <cell r="D64">
            <v>5375</v>
          </cell>
        </row>
        <row r="65">
          <cell r="A65">
            <v>1426</v>
          </cell>
          <cell r="B65" t="str">
            <v>In-Situ Construction of MH Type "4T"</v>
          </cell>
          <cell r="C65" t="str">
            <v>Each</v>
          </cell>
          <cell r="D65">
            <v>11000</v>
          </cell>
        </row>
        <row r="66">
          <cell r="A66">
            <v>1451</v>
          </cell>
          <cell r="B66" t="str">
            <v>In-Situ Contr. Of Replmnt. MH Type "A"</v>
          </cell>
          <cell r="C66" t="str">
            <v>Each</v>
          </cell>
          <cell r="D66">
            <v>8032.98</v>
          </cell>
        </row>
        <row r="67">
          <cell r="A67">
            <v>1452</v>
          </cell>
          <cell r="B67" t="str">
            <v>In-Situ Contr. Of Replmnt. MH Type "B"</v>
          </cell>
          <cell r="C67" t="str">
            <v>Each</v>
          </cell>
          <cell r="D67">
            <v>9692.4699999999993</v>
          </cell>
        </row>
        <row r="68">
          <cell r="A68">
            <v>1453</v>
          </cell>
          <cell r="B68" t="str">
            <v>In-Situ Contr. Of Replmnt. MH Type "C"</v>
          </cell>
          <cell r="C68" t="str">
            <v>Each</v>
          </cell>
          <cell r="D68">
            <v>9775.98</v>
          </cell>
        </row>
        <row r="69">
          <cell r="A69">
            <v>1454</v>
          </cell>
          <cell r="B69" t="str">
            <v>In-Situ Contr. Of Replmnt. MH Type "D"</v>
          </cell>
          <cell r="C69" t="str">
            <v>Each</v>
          </cell>
          <cell r="D69">
            <v>13286.11</v>
          </cell>
        </row>
        <row r="70">
          <cell r="A70">
            <v>1501</v>
          </cell>
          <cell r="B70" t="str">
            <v>Cable Box Bridge crossing, 80x80mm</v>
          </cell>
          <cell r="C70" t="str">
            <v>M</v>
          </cell>
          <cell r="D70">
            <v>15.12</v>
          </cell>
        </row>
        <row r="71">
          <cell r="A71">
            <v>1502</v>
          </cell>
          <cell r="B71" t="str">
            <v>Cable Box Bridge crossing, 120x120mm</v>
          </cell>
          <cell r="C71" t="str">
            <v>M</v>
          </cell>
          <cell r="D71">
            <v>21.43</v>
          </cell>
        </row>
        <row r="72">
          <cell r="A72">
            <v>1512</v>
          </cell>
          <cell r="B72" t="str">
            <v>2 Way Steel Pipe Bridge Crossing</v>
          </cell>
          <cell r="C72" t="str">
            <v>M</v>
          </cell>
          <cell r="D72">
            <v>25.8</v>
          </cell>
        </row>
        <row r="73">
          <cell r="A73">
            <v>1514</v>
          </cell>
          <cell r="B73" t="str">
            <v>4 Way Steel Pipe Bridge Crossing</v>
          </cell>
          <cell r="C73" t="str">
            <v>M</v>
          </cell>
          <cell r="D73">
            <v>44.2</v>
          </cell>
        </row>
        <row r="74">
          <cell r="A74">
            <v>1516</v>
          </cell>
          <cell r="B74" t="str">
            <v>6 Way Steel Pipe Bridge Crossing</v>
          </cell>
          <cell r="C74" t="str">
            <v>M</v>
          </cell>
          <cell r="D74">
            <v>61.8</v>
          </cell>
        </row>
        <row r="75">
          <cell r="A75">
            <v>1561</v>
          </cell>
          <cell r="B75" t="str">
            <v>Supply &amp; Install  300  Pair Cabinet Base</v>
          </cell>
          <cell r="C75" t="str">
            <v>Each</v>
          </cell>
          <cell r="D75">
            <v>243.18</v>
          </cell>
        </row>
        <row r="76">
          <cell r="A76">
            <v>1562</v>
          </cell>
          <cell r="B76" t="str">
            <v>Supply &amp; Install  900  Pair Cabinet Base</v>
          </cell>
          <cell r="C76" t="str">
            <v>Each</v>
          </cell>
          <cell r="D76">
            <v>292.99</v>
          </cell>
        </row>
        <row r="77">
          <cell r="A77">
            <v>1563</v>
          </cell>
          <cell r="B77" t="str">
            <v>Supply &amp; Install 1200 Pair Cabinet Base</v>
          </cell>
          <cell r="C77" t="str">
            <v>Each</v>
          </cell>
          <cell r="D77">
            <v>322.39999999999998</v>
          </cell>
        </row>
        <row r="78">
          <cell r="A78">
            <v>1566</v>
          </cell>
          <cell r="B78" t="str">
            <v>Construct. In-Situ Cncrete HRISLU Base</v>
          </cell>
          <cell r="C78" t="str">
            <v>Each</v>
          </cell>
          <cell r="D78">
            <v>4452.53</v>
          </cell>
        </row>
        <row r="79">
          <cell r="A79">
            <v>1568</v>
          </cell>
          <cell r="B79" t="str">
            <v>Supply &amp; Install Electronic Cabinet Base</v>
          </cell>
          <cell r="C79" t="str">
            <v>Each</v>
          </cell>
          <cell r="D79">
            <v>353</v>
          </cell>
        </row>
        <row r="80">
          <cell r="A80">
            <v>1581</v>
          </cell>
          <cell r="B80" t="str">
            <v>Supply &amp; Install Protection Post 150mm</v>
          </cell>
          <cell r="C80" t="str">
            <v>Each</v>
          </cell>
          <cell r="D80">
            <v>50.43</v>
          </cell>
        </row>
        <row r="81">
          <cell r="A81">
            <v>1582</v>
          </cell>
          <cell r="B81" t="str">
            <v>Supply &amp; Install Protection Post 300mm</v>
          </cell>
          <cell r="C81" t="str">
            <v>Each</v>
          </cell>
          <cell r="D81">
            <v>46.24</v>
          </cell>
        </row>
        <row r="82">
          <cell r="A82">
            <v>1583</v>
          </cell>
          <cell r="B82" t="str">
            <v>Supply &amp; Install Protection Post 1000mm</v>
          </cell>
          <cell r="C82" t="str">
            <v>Each</v>
          </cell>
          <cell r="D82">
            <v>59.19</v>
          </cell>
        </row>
        <row r="83">
          <cell r="A83">
            <v>1701</v>
          </cell>
          <cell r="B83" t="str">
            <v>Wall Fixed Horizontal Jointing Rack</v>
          </cell>
          <cell r="C83" t="str">
            <v>M</v>
          </cell>
          <cell r="D83">
            <v>25.21</v>
          </cell>
        </row>
        <row r="84">
          <cell r="A84">
            <v>1702</v>
          </cell>
          <cell r="B84" t="str">
            <v>Wall Fixed Vertical Jointing Rack</v>
          </cell>
          <cell r="C84" t="str">
            <v>M</v>
          </cell>
          <cell r="D84">
            <v>15.12</v>
          </cell>
        </row>
        <row r="85">
          <cell r="A85">
            <v>1703</v>
          </cell>
          <cell r="B85" t="str">
            <v>Floor/Ceiling Fixed Horizontal Jointing Rack</v>
          </cell>
          <cell r="C85" t="str">
            <v>M</v>
          </cell>
          <cell r="D85">
            <v>30.25</v>
          </cell>
        </row>
        <row r="86">
          <cell r="A86">
            <v>1704</v>
          </cell>
          <cell r="B86" t="str">
            <v>Floor/Ceiling Fixed Vertical Jointing Rack</v>
          </cell>
          <cell r="C86" t="str">
            <v>M</v>
          </cell>
          <cell r="D86">
            <v>27.71</v>
          </cell>
        </row>
        <row r="87">
          <cell r="A87">
            <v>1711</v>
          </cell>
          <cell r="B87" t="str">
            <v>Floor Wall Fixed Outdoor Cable Supply Ladders</v>
          </cell>
          <cell r="C87" t="str">
            <v>M</v>
          </cell>
          <cell r="D87">
            <v>37.799999999999997</v>
          </cell>
        </row>
        <row r="88">
          <cell r="A88">
            <v>1721</v>
          </cell>
          <cell r="B88" t="str">
            <v>Hor/Vert Indoor Cable Ladder or Tray</v>
          </cell>
          <cell r="C88" t="str">
            <v>M</v>
          </cell>
          <cell r="D88">
            <v>35.270000000000003</v>
          </cell>
        </row>
        <row r="89">
          <cell r="A89">
            <v>1731</v>
          </cell>
          <cell r="B89" t="str">
            <v>Wall Fixed Cable Bracket - 1000mm</v>
          </cell>
          <cell r="C89" t="str">
            <v>Each</v>
          </cell>
          <cell r="D89">
            <v>6.3</v>
          </cell>
        </row>
        <row r="90">
          <cell r="A90">
            <v>1732</v>
          </cell>
          <cell r="B90" t="str">
            <v>Wall Fixed Cable Bracket - 1500mm</v>
          </cell>
          <cell r="C90" t="str">
            <v>Each</v>
          </cell>
          <cell r="D90">
            <v>8.06</v>
          </cell>
        </row>
        <row r="91">
          <cell r="A91">
            <v>1733</v>
          </cell>
          <cell r="B91" t="str">
            <v>Wall Fixed Cable Bracket - 1800mm</v>
          </cell>
          <cell r="C91" t="str">
            <v>Each</v>
          </cell>
          <cell r="D91">
            <v>9.84</v>
          </cell>
        </row>
        <row r="92">
          <cell r="A92">
            <v>1734</v>
          </cell>
          <cell r="B92" t="str">
            <v>Wall Fixed Cable Bracket - 2300mm</v>
          </cell>
          <cell r="C92" t="str">
            <v>Each</v>
          </cell>
          <cell r="D92">
            <v>11.59</v>
          </cell>
        </row>
        <row r="93">
          <cell r="A93">
            <v>1741</v>
          </cell>
          <cell r="B93" t="str">
            <v>Standard Bearer - 250mm</v>
          </cell>
          <cell r="C93" t="str">
            <v>Each</v>
          </cell>
          <cell r="D93">
            <v>10.08</v>
          </cell>
        </row>
        <row r="94">
          <cell r="A94">
            <v>1742</v>
          </cell>
          <cell r="B94" t="str">
            <v>Standard Bearer - 350mm</v>
          </cell>
          <cell r="C94" t="str">
            <v>Each</v>
          </cell>
          <cell r="D94">
            <v>15.67</v>
          </cell>
        </row>
        <row r="95">
          <cell r="A95">
            <v>1743</v>
          </cell>
          <cell r="B95" t="str">
            <v>Standard Bearer - 500mm</v>
          </cell>
          <cell r="C95" t="str">
            <v>Each</v>
          </cell>
          <cell r="D95">
            <v>20.16</v>
          </cell>
        </row>
        <row r="96">
          <cell r="A96">
            <v>1750</v>
          </cell>
          <cell r="B96" t="str">
            <v>Standard MDF Extension</v>
          </cell>
          <cell r="C96" t="str">
            <v>Ea.V</v>
          </cell>
          <cell r="D96">
            <v>3180.41</v>
          </cell>
        </row>
        <row r="97">
          <cell r="A97">
            <v>1761</v>
          </cell>
          <cell r="B97" t="str">
            <v>Cable Access Hole To MDF</v>
          </cell>
          <cell r="C97" t="str">
            <v>Each</v>
          </cell>
          <cell r="D97">
            <v>95.18</v>
          </cell>
        </row>
        <row r="98">
          <cell r="A98">
            <v>1762</v>
          </cell>
          <cell r="B98" t="str">
            <v>Cut Access Hole thru block wall</v>
          </cell>
          <cell r="C98" t="str">
            <v>Cum</v>
          </cell>
          <cell r="D98">
            <v>92.54</v>
          </cell>
        </row>
        <row r="99">
          <cell r="A99">
            <v>1763</v>
          </cell>
          <cell r="B99" t="str">
            <v>Cut Cable Access Hole thru Concre Wall</v>
          </cell>
          <cell r="C99" t="str">
            <v>Cum</v>
          </cell>
          <cell r="D99">
            <v>75.58</v>
          </cell>
        </row>
        <row r="100">
          <cell r="A100">
            <v>1771</v>
          </cell>
          <cell r="B100" t="str">
            <v>New Duct Entries to cab. Vlt. 1-5 Ways</v>
          </cell>
          <cell r="C100" t="str">
            <v>Each</v>
          </cell>
          <cell r="D100">
            <v>75.58</v>
          </cell>
        </row>
        <row r="101">
          <cell r="A101">
            <v>1781</v>
          </cell>
          <cell r="B101" t="str">
            <v>Install Addl  6   Way Duct Entry</v>
          </cell>
          <cell r="C101" t="str">
            <v>Each</v>
          </cell>
          <cell r="D101">
            <v>62.99</v>
          </cell>
        </row>
        <row r="102">
          <cell r="A102">
            <v>1782</v>
          </cell>
          <cell r="B102" t="str">
            <v>Install Addl  8   Way Duct Entry</v>
          </cell>
          <cell r="C102" t="str">
            <v>Each</v>
          </cell>
          <cell r="D102">
            <v>75.58</v>
          </cell>
        </row>
        <row r="103">
          <cell r="A103">
            <v>1783</v>
          </cell>
          <cell r="B103" t="str">
            <v>Install Addl 12  Way Duct Entry</v>
          </cell>
          <cell r="C103" t="str">
            <v>Each</v>
          </cell>
          <cell r="D103">
            <v>88.17</v>
          </cell>
        </row>
        <row r="104">
          <cell r="A104">
            <v>1784</v>
          </cell>
          <cell r="B104" t="str">
            <v>Install Addl 16  Way Duct Entry</v>
          </cell>
          <cell r="C104" t="str">
            <v>Each</v>
          </cell>
          <cell r="D104">
            <v>120.94</v>
          </cell>
        </row>
        <row r="105">
          <cell r="A105">
            <v>1785</v>
          </cell>
          <cell r="B105" t="str">
            <v>Install Addl 20  Way Duct Entry</v>
          </cell>
          <cell r="C105" t="str">
            <v>Each</v>
          </cell>
          <cell r="D105">
            <v>133.54</v>
          </cell>
        </row>
        <row r="106">
          <cell r="A106">
            <v>1786</v>
          </cell>
          <cell r="B106" t="str">
            <v>Install Addl 24  Way Duct Entry</v>
          </cell>
          <cell r="C106" t="str">
            <v>Each</v>
          </cell>
          <cell r="D106">
            <v>146.15</v>
          </cell>
        </row>
        <row r="107">
          <cell r="A107">
            <v>1803</v>
          </cell>
          <cell r="B107" t="str">
            <v>Supply And Install Steel Pole, 10m</v>
          </cell>
          <cell r="C107" t="str">
            <v>Each</v>
          </cell>
          <cell r="D107">
            <v>252.33</v>
          </cell>
        </row>
        <row r="108">
          <cell r="A108">
            <v>1841</v>
          </cell>
          <cell r="B108" t="str">
            <v>Install Steel Pole on Hard Rock</v>
          </cell>
          <cell r="C108" t="str">
            <v>Each</v>
          </cell>
          <cell r="D108">
            <v>87.1</v>
          </cell>
        </row>
        <row r="109">
          <cell r="A109">
            <v>1851</v>
          </cell>
          <cell r="B109" t="str">
            <v>Supply And Install Earth Syst. Steel Pole</v>
          </cell>
          <cell r="C109" t="str">
            <v>Each</v>
          </cell>
          <cell r="D109">
            <v>118.56</v>
          </cell>
        </row>
        <row r="110">
          <cell r="A110">
            <v>2001</v>
          </cell>
          <cell r="B110" t="str">
            <v>Cable Trench, 500mm Cover</v>
          </cell>
          <cell r="C110" t="str">
            <v>M</v>
          </cell>
          <cell r="D110">
            <v>2.06</v>
          </cell>
        </row>
        <row r="111">
          <cell r="A111">
            <v>2003</v>
          </cell>
          <cell r="B111" t="str">
            <v>Cable Trench, 720mm Cover</v>
          </cell>
          <cell r="C111" t="str">
            <v>M</v>
          </cell>
          <cell r="D111">
            <v>2.78</v>
          </cell>
        </row>
        <row r="112">
          <cell r="A112">
            <v>2004</v>
          </cell>
          <cell r="B112" t="str">
            <v>Cable Trench, 1000mm Cover</v>
          </cell>
          <cell r="C112" t="str">
            <v>M</v>
          </cell>
          <cell r="D112">
            <v>3.39</v>
          </cell>
        </row>
        <row r="113">
          <cell r="A113">
            <v>2005</v>
          </cell>
          <cell r="B113" t="str">
            <v>Cable Trench, 800mm Cover</v>
          </cell>
          <cell r="C113" t="str">
            <v>M</v>
          </cell>
          <cell r="D113">
            <v>11.81</v>
          </cell>
        </row>
        <row r="114">
          <cell r="A114">
            <v>2006</v>
          </cell>
          <cell r="B114" t="str">
            <v>Cable Trench, 1200mm Cover</v>
          </cell>
          <cell r="C114" t="str">
            <v>M</v>
          </cell>
          <cell r="D114">
            <v>3.88</v>
          </cell>
        </row>
        <row r="115">
          <cell r="A115">
            <v>2011</v>
          </cell>
          <cell r="B115" t="str">
            <v>Trench O. Exist. Route Depth to 600mm</v>
          </cell>
          <cell r="C115" t="str">
            <v>M</v>
          </cell>
          <cell r="D115">
            <v>3.9</v>
          </cell>
        </row>
        <row r="116">
          <cell r="A116">
            <v>2012</v>
          </cell>
          <cell r="B116" t="str">
            <v>Trench O. Exist. Route &gt;600mm -  800mm</v>
          </cell>
          <cell r="C116" t="str">
            <v>M</v>
          </cell>
          <cell r="D116">
            <v>4.33</v>
          </cell>
        </row>
        <row r="117">
          <cell r="A117">
            <v>2014</v>
          </cell>
          <cell r="B117" t="str">
            <v>Exist. Route Depth &gt;1000mm-1200mm. Std. Width 400mm</v>
          </cell>
          <cell r="C117" t="str">
            <v>M</v>
          </cell>
          <cell r="D117">
            <v>6.5</v>
          </cell>
        </row>
        <row r="118">
          <cell r="A118">
            <v>2017</v>
          </cell>
          <cell r="B118" t="str">
            <v>Excavation of Jointing Pit Over Existing Cable</v>
          </cell>
          <cell r="C118" t="str">
            <v>Each</v>
          </cell>
          <cell r="D118">
            <v>66.010000000000005</v>
          </cell>
        </row>
        <row r="119">
          <cell r="A119">
            <v>2101</v>
          </cell>
          <cell r="B119" t="str">
            <v>Inst. Direct buried Cable Group 1</v>
          </cell>
          <cell r="C119" t="str">
            <v>M</v>
          </cell>
          <cell r="D119">
            <v>0.56000000000000005</v>
          </cell>
        </row>
        <row r="120">
          <cell r="A120">
            <v>2102</v>
          </cell>
          <cell r="B120" t="str">
            <v>Inst. Direct buried Cable Group 2</v>
          </cell>
          <cell r="C120" t="str">
            <v>M</v>
          </cell>
          <cell r="D120">
            <v>0.57999999999999996</v>
          </cell>
        </row>
        <row r="121">
          <cell r="A121">
            <v>2103</v>
          </cell>
          <cell r="B121" t="str">
            <v>Inst. Direct buried Cable Group 3</v>
          </cell>
          <cell r="C121" t="str">
            <v>M</v>
          </cell>
          <cell r="D121">
            <v>0.6</v>
          </cell>
        </row>
        <row r="122">
          <cell r="A122">
            <v>2104</v>
          </cell>
          <cell r="B122" t="str">
            <v>Inst. Direct buried Cable Group 4</v>
          </cell>
          <cell r="C122" t="str">
            <v>M</v>
          </cell>
          <cell r="D122">
            <v>0.76</v>
          </cell>
        </row>
        <row r="123">
          <cell r="A123">
            <v>2109</v>
          </cell>
          <cell r="B123" t="str">
            <v>Inst. Buried Service Wire in Open Trench</v>
          </cell>
          <cell r="C123" t="str">
            <v>M</v>
          </cell>
          <cell r="D123">
            <v>0.25</v>
          </cell>
        </row>
        <row r="124">
          <cell r="A124">
            <v>2121</v>
          </cell>
          <cell r="B124" t="str">
            <v>Inst. Lightn. Prot. Wire in Open Trench</v>
          </cell>
          <cell r="C124" t="str">
            <v>M</v>
          </cell>
          <cell r="D124">
            <v>1.06</v>
          </cell>
        </row>
        <row r="125">
          <cell r="A125">
            <v>2131</v>
          </cell>
          <cell r="B125" t="str">
            <v>Inst.Optical Fiber Cable Group1-3</v>
          </cell>
          <cell r="C125" t="str">
            <v>M</v>
          </cell>
          <cell r="D125">
            <v>2.4300000000000002</v>
          </cell>
        </row>
        <row r="126">
          <cell r="A126">
            <v>2151</v>
          </cell>
          <cell r="B126" t="str">
            <v>Sup. &amp; Inst. 110mm PVC pipe in open trench</v>
          </cell>
          <cell r="C126" t="str">
            <v>M</v>
          </cell>
          <cell r="D126">
            <v>2.38</v>
          </cell>
        </row>
        <row r="127">
          <cell r="A127">
            <v>2153</v>
          </cell>
          <cell r="B127" t="str">
            <v>Sup. &amp; Inst. 100mm Steel pipe in open trench</v>
          </cell>
          <cell r="C127" t="str">
            <v>M</v>
          </cell>
          <cell r="D127">
            <v>8.9700000000000006</v>
          </cell>
        </row>
        <row r="128">
          <cell r="A128">
            <v>2154</v>
          </cell>
          <cell r="B128" t="str">
            <v>Sup. &amp; Inst. 50mm PE pipe in open trench</v>
          </cell>
          <cell r="C128" t="str">
            <v>M</v>
          </cell>
          <cell r="D128">
            <v>0.97</v>
          </cell>
        </row>
        <row r="129">
          <cell r="A129">
            <v>2231</v>
          </cell>
          <cell r="B129" t="str">
            <v>Sup. &amp; Inst. Concrete marker post</v>
          </cell>
          <cell r="C129" t="str">
            <v>Each</v>
          </cell>
          <cell r="D129">
            <v>76.14</v>
          </cell>
        </row>
        <row r="130">
          <cell r="A130">
            <v>2232</v>
          </cell>
          <cell r="B130" t="str">
            <v>Sup. &amp; Inst. T rail marker post</v>
          </cell>
          <cell r="C130" t="str">
            <v>Each</v>
          </cell>
          <cell r="D130">
            <v>13.02</v>
          </cell>
        </row>
        <row r="131">
          <cell r="A131">
            <v>2311</v>
          </cell>
          <cell r="B131" t="str">
            <v>Inst. Cable in Empty Duct, Group 1</v>
          </cell>
          <cell r="C131" t="str">
            <v>M</v>
          </cell>
          <cell r="D131">
            <v>0.86</v>
          </cell>
        </row>
        <row r="132">
          <cell r="A132">
            <v>2312</v>
          </cell>
          <cell r="B132" t="str">
            <v>Inst. Cable in Empty Duct, Group 2</v>
          </cell>
          <cell r="C132" t="str">
            <v>M</v>
          </cell>
          <cell r="D132">
            <v>1.1000000000000001</v>
          </cell>
        </row>
        <row r="133">
          <cell r="A133">
            <v>2313</v>
          </cell>
          <cell r="B133" t="str">
            <v>Inst. Cable in Empty Duct, Group 3</v>
          </cell>
          <cell r="C133" t="str">
            <v>M</v>
          </cell>
          <cell r="D133">
            <v>1.38</v>
          </cell>
        </row>
        <row r="134">
          <cell r="A134">
            <v>2314</v>
          </cell>
          <cell r="B134" t="str">
            <v>Inst. Cable in Empty Duct, Group 4</v>
          </cell>
          <cell r="C134" t="str">
            <v>M</v>
          </cell>
          <cell r="D134">
            <v>1.52</v>
          </cell>
        </row>
        <row r="135">
          <cell r="A135">
            <v>2315</v>
          </cell>
          <cell r="B135" t="str">
            <v>Inst. Cable in Empty Duct, Group 5</v>
          </cell>
          <cell r="C135" t="str">
            <v>M</v>
          </cell>
          <cell r="D135">
            <v>2.02</v>
          </cell>
        </row>
        <row r="136">
          <cell r="A136">
            <v>2331</v>
          </cell>
          <cell r="B136" t="str">
            <v>Inst. Cable Group 1 in Occupied Duct</v>
          </cell>
          <cell r="C136" t="str">
            <v>M</v>
          </cell>
          <cell r="D136">
            <v>1.52</v>
          </cell>
        </row>
        <row r="137">
          <cell r="A137">
            <v>2332</v>
          </cell>
          <cell r="B137" t="str">
            <v>Inst. Cable Group 2 in Occupied Duct</v>
          </cell>
          <cell r="C137" t="str">
            <v>M</v>
          </cell>
          <cell r="D137">
            <v>2.04</v>
          </cell>
        </row>
        <row r="138">
          <cell r="A138">
            <v>2333</v>
          </cell>
          <cell r="B138" t="str">
            <v>Inst. Cable Group 3 in Occupied Duct</v>
          </cell>
          <cell r="C138" t="str">
            <v>M</v>
          </cell>
          <cell r="D138">
            <v>2.2999999999999998</v>
          </cell>
        </row>
        <row r="139">
          <cell r="A139">
            <v>2334</v>
          </cell>
          <cell r="B139" t="str">
            <v>Inst. Cable Group 4 in Occupied Duct</v>
          </cell>
          <cell r="C139" t="str">
            <v>M</v>
          </cell>
          <cell r="D139">
            <v>2.4300000000000002</v>
          </cell>
        </row>
        <row r="140">
          <cell r="A140">
            <v>2339</v>
          </cell>
          <cell r="B140" t="str">
            <v>Inst. One BSW cable in Occupied Duct</v>
          </cell>
          <cell r="C140" t="str">
            <v>M</v>
          </cell>
          <cell r="D140">
            <v>0.53</v>
          </cell>
        </row>
        <row r="141">
          <cell r="A141">
            <v>2341</v>
          </cell>
          <cell r="B141" t="str">
            <v>Inst. O.F. Cable Group 1-3 in Empty Duct</v>
          </cell>
          <cell r="C141" t="str">
            <v>M</v>
          </cell>
          <cell r="D141">
            <v>0.64</v>
          </cell>
        </row>
        <row r="142">
          <cell r="A142">
            <v>2361</v>
          </cell>
          <cell r="B142" t="str">
            <v>Inst. O.F. Cable Group 1-3 in Occupied Duct</v>
          </cell>
          <cell r="C142" t="str">
            <v>M</v>
          </cell>
          <cell r="D142">
            <v>4.26</v>
          </cell>
        </row>
        <row r="143">
          <cell r="A143">
            <v>2371</v>
          </cell>
          <cell r="B143" t="str">
            <v>Inst. O.F. cable in Sub-Duct</v>
          </cell>
          <cell r="C143" t="str">
            <v>M</v>
          </cell>
          <cell r="D143">
            <v>4.26</v>
          </cell>
        </row>
        <row r="144">
          <cell r="A144">
            <v>2372</v>
          </cell>
          <cell r="B144" t="str">
            <v xml:space="preserve">Inst. O.F. Cable in 50mm PE pipe </v>
          </cell>
          <cell r="C144" t="str">
            <v>M</v>
          </cell>
          <cell r="D144">
            <v>3.66</v>
          </cell>
        </row>
        <row r="145">
          <cell r="A145">
            <v>2381</v>
          </cell>
          <cell r="B145" t="str">
            <v>Supp. &amp; Inst. 3 Sub-Duct in Empty Duct</v>
          </cell>
          <cell r="C145" t="str">
            <v>M</v>
          </cell>
          <cell r="D145">
            <v>6.55</v>
          </cell>
        </row>
        <row r="146">
          <cell r="A146">
            <v>2382</v>
          </cell>
          <cell r="B146" t="str">
            <v>Supp. &amp; Inst. 4 Sub-Duct in Empty Duct</v>
          </cell>
          <cell r="C146" t="str">
            <v>M</v>
          </cell>
          <cell r="D146">
            <v>7.55</v>
          </cell>
        </row>
        <row r="147">
          <cell r="A147">
            <v>2391</v>
          </cell>
          <cell r="B147" t="str">
            <v>Supp. &amp; Inst. 1 Sub-Duct in Occupied Duct</v>
          </cell>
          <cell r="C147" t="str">
            <v>M</v>
          </cell>
          <cell r="D147">
            <v>2.36</v>
          </cell>
        </row>
        <row r="148">
          <cell r="A148">
            <v>2401</v>
          </cell>
          <cell r="B148" t="str">
            <v>Install Aerial Cable Group 1 on Pole</v>
          </cell>
          <cell r="C148" t="str">
            <v>M</v>
          </cell>
          <cell r="D148">
            <v>7.33</v>
          </cell>
        </row>
        <row r="149">
          <cell r="A149">
            <v>2402</v>
          </cell>
          <cell r="B149" t="str">
            <v>Install Aerial Cable Group 2 on Pole</v>
          </cell>
          <cell r="C149" t="str">
            <v>M</v>
          </cell>
          <cell r="D149">
            <v>9.27</v>
          </cell>
        </row>
        <row r="150">
          <cell r="A150">
            <v>2501</v>
          </cell>
          <cell r="B150" t="str">
            <v>Install Pipes in Waids up to 10m Wide.</v>
          </cell>
          <cell r="C150" t="str">
            <v>Each</v>
          </cell>
          <cell r="D150">
            <v>537.52</v>
          </cell>
        </row>
        <row r="151">
          <cell r="A151">
            <v>2502</v>
          </cell>
          <cell r="B151" t="str">
            <v>Install Pipes in Waids up to 20m Wide.</v>
          </cell>
          <cell r="C151" t="str">
            <v>Each</v>
          </cell>
          <cell r="D151">
            <v>1075.07</v>
          </cell>
        </row>
        <row r="152">
          <cell r="A152">
            <v>2503</v>
          </cell>
          <cell r="B152" t="str">
            <v>Install Pipes in Waids up to 50m Wide.</v>
          </cell>
          <cell r="C152" t="str">
            <v>Each</v>
          </cell>
          <cell r="D152">
            <v>3807.52</v>
          </cell>
        </row>
        <row r="153">
          <cell r="A153">
            <v>2504</v>
          </cell>
          <cell r="B153" t="str">
            <v>Install Pipes in Waids &gt; 50m Wide.</v>
          </cell>
          <cell r="C153" t="str">
            <v>M</v>
          </cell>
          <cell r="D153">
            <v>67.2</v>
          </cell>
        </row>
        <row r="154">
          <cell r="A154">
            <v>2511</v>
          </cell>
          <cell r="B154" t="str">
            <v>Inst. Pipe/s Below P.L up to 5m Wide.</v>
          </cell>
          <cell r="C154" t="str">
            <v>Each</v>
          </cell>
          <cell r="D154">
            <v>1903.76</v>
          </cell>
        </row>
        <row r="155">
          <cell r="A155">
            <v>2512</v>
          </cell>
          <cell r="B155" t="str">
            <v>Inst. Pipe/s Below P.L up to 10m Wide.</v>
          </cell>
          <cell r="C155" t="str">
            <v>Each</v>
          </cell>
          <cell r="D155">
            <v>6719.21</v>
          </cell>
        </row>
        <row r="156">
          <cell r="A156">
            <v>2513</v>
          </cell>
          <cell r="B156" t="str">
            <v>Inst. Pipe/s Below P.L up to 15m Wide.</v>
          </cell>
          <cell r="C156" t="str">
            <v>Each</v>
          </cell>
          <cell r="D156">
            <v>11758.62</v>
          </cell>
        </row>
        <row r="157">
          <cell r="A157">
            <v>2514</v>
          </cell>
          <cell r="B157" t="str">
            <v>Inst. Pipe/s Below P.L up to 20m Wide.</v>
          </cell>
          <cell r="C157" t="str">
            <v>Each</v>
          </cell>
          <cell r="D157">
            <v>14558.31</v>
          </cell>
        </row>
        <row r="158">
          <cell r="A158">
            <v>2515</v>
          </cell>
          <cell r="B158" t="str">
            <v>Inst. Pipe/s Below P.L up to 25m Wide.</v>
          </cell>
          <cell r="C158" t="str">
            <v>Each</v>
          </cell>
          <cell r="D158">
            <v>21277.53</v>
          </cell>
        </row>
        <row r="159">
          <cell r="A159">
            <v>2516</v>
          </cell>
          <cell r="B159" t="str">
            <v>Inst. Pipe/s Below P.L &gt;50m Wide.</v>
          </cell>
          <cell r="C159" t="str">
            <v>Each</v>
          </cell>
          <cell r="D159">
            <v>26000</v>
          </cell>
        </row>
        <row r="160">
          <cell r="A160">
            <v>3001</v>
          </cell>
          <cell r="B160" t="str">
            <v>Wire Joint 0.4/0.5/0.65 not in service</v>
          </cell>
          <cell r="C160" t="str">
            <v>Pair</v>
          </cell>
          <cell r="D160">
            <v>0.43</v>
          </cell>
        </row>
        <row r="161">
          <cell r="A161">
            <v>3002</v>
          </cell>
          <cell r="B161" t="str">
            <v>Wire Joint 0.9 not in service</v>
          </cell>
          <cell r="C161" t="str">
            <v>Pair</v>
          </cell>
          <cell r="D161">
            <v>0.42</v>
          </cell>
        </row>
        <row r="162">
          <cell r="A162">
            <v>3011</v>
          </cell>
          <cell r="B162" t="str">
            <v>Wire Joint 0.4, 0.5, 0.65 mm in service</v>
          </cell>
          <cell r="C162" t="str">
            <v>Pair</v>
          </cell>
          <cell r="D162">
            <v>0.76</v>
          </cell>
        </row>
        <row r="163">
          <cell r="A163">
            <v>3012</v>
          </cell>
          <cell r="B163" t="str">
            <v>Wire Joint 0.9 mm in service</v>
          </cell>
          <cell r="C163" t="str">
            <v>Pair</v>
          </cell>
          <cell r="D163">
            <v>0.85</v>
          </cell>
        </row>
        <row r="164">
          <cell r="A164">
            <v>3111</v>
          </cell>
          <cell r="B164" t="str">
            <v>Str.Joint encl (M/H) A.S. Cable Gr 1&amp; 2</v>
          </cell>
          <cell r="C164" t="str">
            <v>Each</v>
          </cell>
          <cell r="D164">
            <v>165.54</v>
          </cell>
        </row>
        <row r="165">
          <cell r="A165">
            <v>3112</v>
          </cell>
          <cell r="B165" t="str">
            <v>Str.Joint encl (M/H) A.S. Cable Gr 3</v>
          </cell>
          <cell r="C165" t="str">
            <v>Each</v>
          </cell>
          <cell r="D165">
            <v>294.20999999999998</v>
          </cell>
        </row>
        <row r="166">
          <cell r="A166">
            <v>3113</v>
          </cell>
          <cell r="B166" t="str">
            <v>Str.Joint encl (M/H) A.S. Cable Gr 4</v>
          </cell>
          <cell r="C166" t="str">
            <v>Each</v>
          </cell>
          <cell r="D166">
            <v>340.52</v>
          </cell>
        </row>
        <row r="167">
          <cell r="A167">
            <v>3114</v>
          </cell>
          <cell r="B167" t="str">
            <v>Str.Joint encl (M/H) A.S. Cable Gr 5</v>
          </cell>
          <cell r="C167" t="str">
            <v>Each</v>
          </cell>
          <cell r="D167">
            <v>406.65</v>
          </cell>
        </row>
        <row r="168">
          <cell r="A168">
            <v>3121</v>
          </cell>
          <cell r="B168" t="str">
            <v>Str.Joint encl (D/B) A.S. Cable Gr 2</v>
          </cell>
          <cell r="C168" t="str">
            <v>Each</v>
          </cell>
          <cell r="D168">
            <v>129.58000000000001</v>
          </cell>
        </row>
        <row r="169">
          <cell r="A169">
            <v>3122</v>
          </cell>
          <cell r="B169" t="str">
            <v>Str.Joint encl (D/B) A.S. Cable Gr 3</v>
          </cell>
          <cell r="C169" t="str">
            <v>Each</v>
          </cell>
          <cell r="D169">
            <v>252.16</v>
          </cell>
        </row>
        <row r="170">
          <cell r="A170">
            <v>3123</v>
          </cell>
          <cell r="B170" t="str">
            <v>Str.Joint encl (D/B) A.S. Cable Gr 4</v>
          </cell>
          <cell r="C170" t="str">
            <v>Each</v>
          </cell>
          <cell r="D170">
            <v>304.69</v>
          </cell>
        </row>
        <row r="171">
          <cell r="A171">
            <v>3131</v>
          </cell>
          <cell r="B171" t="str">
            <v>Branch Jt. Encl (M/H) A.S. Cable Gr 1 &amp; 2</v>
          </cell>
          <cell r="C171" t="str">
            <v>Each</v>
          </cell>
          <cell r="D171">
            <v>218.77</v>
          </cell>
        </row>
        <row r="172">
          <cell r="A172">
            <v>3132</v>
          </cell>
          <cell r="B172" t="str">
            <v>Branch Jt. Encl (M/H) A.S. Cable Gr 3</v>
          </cell>
          <cell r="C172" t="str">
            <v>Each</v>
          </cell>
          <cell r="D172">
            <v>344.95</v>
          </cell>
        </row>
        <row r="173">
          <cell r="A173">
            <v>3133</v>
          </cell>
          <cell r="B173" t="str">
            <v>Branch Jt. Encl (M/H) A.S. Cable Gr 4</v>
          </cell>
          <cell r="C173" t="str">
            <v>Each</v>
          </cell>
          <cell r="D173">
            <v>375.26</v>
          </cell>
        </row>
        <row r="174">
          <cell r="A174">
            <v>3134</v>
          </cell>
          <cell r="B174" t="str">
            <v>Branch Jt. Encl (M/H) A.S. Cable Gr 5</v>
          </cell>
          <cell r="C174" t="str">
            <v>Each</v>
          </cell>
          <cell r="D174">
            <v>462.1</v>
          </cell>
        </row>
        <row r="175">
          <cell r="A175">
            <v>3141</v>
          </cell>
          <cell r="B175" t="str">
            <v>Branch Jt. Encl (D/B) A.S. Cable Gr 1 &amp; 2</v>
          </cell>
          <cell r="C175" t="str">
            <v>Each</v>
          </cell>
          <cell r="D175">
            <v>182.11</v>
          </cell>
        </row>
        <row r="176">
          <cell r="A176">
            <v>3142</v>
          </cell>
          <cell r="B176" t="str">
            <v>Branch Jt. Encl (D/B) A.S. Cable Gr  3</v>
          </cell>
          <cell r="C176" t="str">
            <v>Each</v>
          </cell>
          <cell r="D176">
            <v>304.69</v>
          </cell>
        </row>
        <row r="177">
          <cell r="A177">
            <v>3143</v>
          </cell>
          <cell r="B177" t="str">
            <v>Branch Jt. Encl (D/B) A.S. Cable Gr  4</v>
          </cell>
          <cell r="C177" t="str">
            <v>Each</v>
          </cell>
          <cell r="D177">
            <v>357.22</v>
          </cell>
        </row>
        <row r="178">
          <cell r="A178">
            <v>3151</v>
          </cell>
          <cell r="B178" t="str">
            <v>Str.Joint encl (M/H) Filled Cable Gr 1</v>
          </cell>
          <cell r="C178" t="str">
            <v>Each</v>
          </cell>
          <cell r="D178">
            <v>113.82</v>
          </cell>
        </row>
        <row r="179">
          <cell r="A179">
            <v>3152</v>
          </cell>
          <cell r="B179" t="str">
            <v>Str.Joint encl (M/H) Filled Cable Gr 2</v>
          </cell>
          <cell r="C179" t="str">
            <v>Each</v>
          </cell>
          <cell r="D179">
            <v>160.94</v>
          </cell>
        </row>
        <row r="180">
          <cell r="A180">
            <v>3153</v>
          </cell>
          <cell r="B180" t="str">
            <v>Str.Joint encl (M/H) Filled Cable Gr 3</v>
          </cell>
          <cell r="C180" t="str">
            <v>Each</v>
          </cell>
          <cell r="D180">
            <v>167.17</v>
          </cell>
        </row>
        <row r="181">
          <cell r="A181">
            <v>3154</v>
          </cell>
          <cell r="B181" t="str">
            <v>Str.Joint encl (M/H) Filled Cable Gr 4</v>
          </cell>
          <cell r="C181" t="str">
            <v>Each</v>
          </cell>
          <cell r="D181">
            <v>256.83</v>
          </cell>
        </row>
        <row r="182">
          <cell r="A182">
            <v>3155</v>
          </cell>
          <cell r="B182" t="str">
            <v>Str.Joint encl (M/H) Filled Cable Gr 5</v>
          </cell>
          <cell r="C182" t="str">
            <v>Each</v>
          </cell>
          <cell r="D182">
            <v>303.37</v>
          </cell>
        </row>
        <row r="183">
          <cell r="A183">
            <v>3161</v>
          </cell>
          <cell r="B183" t="str">
            <v>Str.Joint encl (D/B) Filled Cable Gr 1</v>
          </cell>
          <cell r="C183" t="str">
            <v>Each</v>
          </cell>
          <cell r="D183">
            <v>85.8</v>
          </cell>
        </row>
        <row r="184">
          <cell r="A184">
            <v>3162</v>
          </cell>
          <cell r="B184" t="str">
            <v>Str.Joint encl (D/B) Filled Cable Gr 2</v>
          </cell>
          <cell r="C184" t="str">
            <v>Each</v>
          </cell>
          <cell r="D184">
            <v>120.08</v>
          </cell>
        </row>
        <row r="185">
          <cell r="A185">
            <v>3163</v>
          </cell>
          <cell r="B185" t="str">
            <v>Str.Joint encl (D/B) Filled Cable Gr 3</v>
          </cell>
          <cell r="C185" t="str">
            <v>Each</v>
          </cell>
          <cell r="D185">
            <v>156.76</v>
          </cell>
        </row>
        <row r="186">
          <cell r="A186">
            <v>3164</v>
          </cell>
          <cell r="B186" t="str">
            <v>Str.Joint encl (D/B) Filled Cable Gr 4</v>
          </cell>
          <cell r="C186" t="str">
            <v>Each</v>
          </cell>
          <cell r="D186">
            <v>266.83999999999997</v>
          </cell>
        </row>
        <row r="187">
          <cell r="A187">
            <v>3171</v>
          </cell>
          <cell r="B187" t="str">
            <v>Branch Joint encl (M/H) Filled Cable Gr 1</v>
          </cell>
          <cell r="C187" t="str">
            <v>Each</v>
          </cell>
          <cell r="D187">
            <v>129.58000000000001</v>
          </cell>
        </row>
        <row r="188">
          <cell r="A188">
            <v>3172</v>
          </cell>
          <cell r="B188" t="str">
            <v>Branch Joint encl (M/H) Filled Cable Gr 2</v>
          </cell>
          <cell r="C188" t="str">
            <v>Each</v>
          </cell>
          <cell r="D188">
            <v>176.78</v>
          </cell>
        </row>
        <row r="189">
          <cell r="A189">
            <v>3173</v>
          </cell>
          <cell r="B189" t="str">
            <v>Branch Joint encl (M/H) Filled Cable Gr 3</v>
          </cell>
          <cell r="C189" t="str">
            <v>Each</v>
          </cell>
          <cell r="D189">
            <v>213.46</v>
          </cell>
        </row>
        <row r="190">
          <cell r="A190">
            <v>3174</v>
          </cell>
          <cell r="B190" t="str">
            <v>Branch Joint encl (M/H) Filled Cable Gr 4</v>
          </cell>
          <cell r="C190" t="str">
            <v>Each</v>
          </cell>
          <cell r="D190">
            <v>326.87</v>
          </cell>
        </row>
        <row r="191">
          <cell r="A191">
            <v>3181</v>
          </cell>
          <cell r="B191" t="str">
            <v>Branch Joint encl (D/B) Filled Cable Gr 1</v>
          </cell>
          <cell r="C191" t="str">
            <v>Each</v>
          </cell>
          <cell r="D191">
            <v>101.56</v>
          </cell>
        </row>
        <row r="192">
          <cell r="A192">
            <v>3182</v>
          </cell>
          <cell r="B192" t="str">
            <v>Branch Joint encl (D/B) Filled Cable Gr 2</v>
          </cell>
          <cell r="C192" t="str">
            <v>Each</v>
          </cell>
          <cell r="D192">
            <v>143.41999999999999</v>
          </cell>
        </row>
        <row r="193">
          <cell r="A193">
            <v>3183</v>
          </cell>
          <cell r="B193" t="str">
            <v>Branch Joint encl (D/B) Filled Cable Gr 3</v>
          </cell>
          <cell r="C193" t="str">
            <v>Each</v>
          </cell>
          <cell r="D193">
            <v>186.78</v>
          </cell>
        </row>
        <row r="194">
          <cell r="A194">
            <v>3184</v>
          </cell>
          <cell r="B194" t="str">
            <v>Branch Joint encl (D/B) Filled Cable Gr 4</v>
          </cell>
          <cell r="C194" t="str">
            <v>Each</v>
          </cell>
          <cell r="D194">
            <v>304.54000000000002</v>
          </cell>
        </row>
        <row r="195">
          <cell r="A195">
            <v>3190</v>
          </cell>
          <cell r="B195" t="str">
            <v>Joint encl Filled Cable in Pedestal HSG.</v>
          </cell>
          <cell r="C195" t="str">
            <v>Each</v>
          </cell>
          <cell r="D195">
            <v>22.63</v>
          </cell>
        </row>
        <row r="196">
          <cell r="A196">
            <v>3196</v>
          </cell>
          <cell r="B196" t="str">
            <v>Open/Reclose T. Joint encl Filled Cable Gr 1</v>
          </cell>
          <cell r="C196" t="str">
            <v>Each</v>
          </cell>
          <cell r="D196">
            <v>32.979999999999997</v>
          </cell>
        </row>
        <row r="197">
          <cell r="A197">
            <v>3197</v>
          </cell>
          <cell r="B197" t="str">
            <v>Open/Reclose T. Joint encl Filled Cable Gr 2</v>
          </cell>
          <cell r="C197" t="str">
            <v>Each</v>
          </cell>
          <cell r="D197">
            <v>45.47</v>
          </cell>
        </row>
        <row r="198">
          <cell r="A198">
            <v>3198</v>
          </cell>
          <cell r="B198" t="str">
            <v>Open/Reclose T. Joint encl Filled Cable Gr 3</v>
          </cell>
          <cell r="C198" t="str">
            <v>Each</v>
          </cell>
          <cell r="D198">
            <v>79.09</v>
          </cell>
        </row>
        <row r="199">
          <cell r="A199">
            <v>3199</v>
          </cell>
          <cell r="B199" t="str">
            <v>Open/Reclose T. Joint encl Filled Cable Gr 4</v>
          </cell>
          <cell r="C199" t="str">
            <v>Each</v>
          </cell>
          <cell r="D199">
            <v>146.35</v>
          </cell>
        </row>
        <row r="200">
          <cell r="A200">
            <v>3231</v>
          </cell>
          <cell r="B200" t="str">
            <v>Open/Reclose St. Joint (M/H) ASC. Gr 1&amp;2</v>
          </cell>
          <cell r="C200" t="str">
            <v>Each</v>
          </cell>
          <cell r="D200">
            <v>246.56</v>
          </cell>
        </row>
        <row r="201">
          <cell r="A201">
            <v>3232</v>
          </cell>
          <cell r="B201" t="str">
            <v>Open/Reclose St. Joint (M/H) ASC. Gr 3</v>
          </cell>
          <cell r="C201" t="str">
            <v>Each</v>
          </cell>
          <cell r="D201">
            <v>369.85</v>
          </cell>
        </row>
        <row r="202">
          <cell r="A202">
            <v>3233</v>
          </cell>
          <cell r="B202" t="str">
            <v>Open/Reclose St. Joint (M/H) ASC. Gr 4</v>
          </cell>
          <cell r="C202" t="str">
            <v>Each</v>
          </cell>
          <cell r="D202">
            <v>462.3</v>
          </cell>
        </row>
        <row r="203">
          <cell r="A203">
            <v>3241</v>
          </cell>
          <cell r="B203" t="str">
            <v>Open/Reclose St. Joint (D/B) ASC. Gr 1&amp;2</v>
          </cell>
          <cell r="C203" t="str">
            <v>Each</v>
          </cell>
          <cell r="D203">
            <v>224.14</v>
          </cell>
        </row>
        <row r="204">
          <cell r="A204">
            <v>3242</v>
          </cell>
          <cell r="B204" t="str">
            <v>Open/Reclose St. Joint (D/B) ASC. Gr 3</v>
          </cell>
          <cell r="C204" t="str">
            <v>Each</v>
          </cell>
          <cell r="D204">
            <v>347.42</v>
          </cell>
        </row>
        <row r="205">
          <cell r="A205">
            <v>3243</v>
          </cell>
          <cell r="B205" t="str">
            <v>Open/Reclose St. Joint (D/B) ASC. Gr 4</v>
          </cell>
          <cell r="C205" t="str">
            <v>Each</v>
          </cell>
          <cell r="D205">
            <v>439.88</v>
          </cell>
        </row>
        <row r="206">
          <cell r="A206">
            <v>3251</v>
          </cell>
          <cell r="B206" t="str">
            <v>Open/Recolse Br. Joint (M/H) ASC. Gr 1&amp;2</v>
          </cell>
          <cell r="C206" t="str">
            <v>Each</v>
          </cell>
          <cell r="D206">
            <v>277.37</v>
          </cell>
        </row>
        <row r="207">
          <cell r="A207">
            <v>3252</v>
          </cell>
          <cell r="B207" t="str">
            <v>Open/Recolse Br. Joint (M/H) ASC. Gr 3</v>
          </cell>
          <cell r="C207" t="str">
            <v>Each</v>
          </cell>
          <cell r="D207">
            <v>385.24</v>
          </cell>
        </row>
        <row r="208">
          <cell r="A208">
            <v>3253</v>
          </cell>
          <cell r="B208" t="str">
            <v>Open/Recolse Br. Joint (M/H) ASC. Gr 4</v>
          </cell>
          <cell r="C208" t="str">
            <v>Each</v>
          </cell>
          <cell r="D208">
            <v>493.11</v>
          </cell>
        </row>
        <row r="209">
          <cell r="A209">
            <v>3261</v>
          </cell>
          <cell r="B209" t="str">
            <v>Open/Recolse Br. Joint (D/B) ASC. Gr 1&amp;2</v>
          </cell>
          <cell r="C209" t="str">
            <v>Each</v>
          </cell>
          <cell r="D209">
            <v>254.96</v>
          </cell>
        </row>
        <row r="210">
          <cell r="A210">
            <v>3262</v>
          </cell>
          <cell r="B210" t="str">
            <v>Open/Recolse Br. Joint (D/B) ASC. Gr 3</v>
          </cell>
          <cell r="C210" t="str">
            <v>Each</v>
          </cell>
          <cell r="D210">
            <v>362.83</v>
          </cell>
        </row>
        <row r="211">
          <cell r="A211">
            <v>3263</v>
          </cell>
          <cell r="B211" t="str">
            <v>Open/Recolse Br. Joint (D/B) ASC. Gr 4</v>
          </cell>
          <cell r="C211" t="str">
            <v>Each</v>
          </cell>
          <cell r="D211">
            <v>470.67</v>
          </cell>
        </row>
        <row r="212">
          <cell r="A212">
            <v>3271</v>
          </cell>
          <cell r="B212" t="str">
            <v>Open/Recolse St. Joint (M/H) F.C. Gr 1</v>
          </cell>
          <cell r="C212" t="str">
            <v>Each</v>
          </cell>
          <cell r="D212">
            <v>126.08</v>
          </cell>
        </row>
        <row r="213">
          <cell r="A213">
            <v>3272</v>
          </cell>
          <cell r="B213" t="str">
            <v>Open/Recolse St. Joint (M/H) F.C. Gr 2</v>
          </cell>
          <cell r="C213" t="str">
            <v>Each</v>
          </cell>
          <cell r="D213">
            <v>224.14</v>
          </cell>
        </row>
        <row r="214">
          <cell r="A214">
            <v>3273</v>
          </cell>
          <cell r="B214" t="str">
            <v>Open/Recolse St. Joint (M/H) F.C. Gr 3</v>
          </cell>
          <cell r="C214" t="str">
            <v>Each</v>
          </cell>
          <cell r="D214">
            <v>336.21</v>
          </cell>
        </row>
        <row r="215">
          <cell r="A215">
            <v>3274</v>
          </cell>
          <cell r="B215" t="str">
            <v>Open/Recolse St. Joint (M/H) F.C. Gr 4</v>
          </cell>
          <cell r="C215" t="str">
            <v>Each</v>
          </cell>
          <cell r="D215">
            <v>420.26</v>
          </cell>
        </row>
        <row r="216">
          <cell r="A216">
            <v>3275</v>
          </cell>
          <cell r="B216" t="str">
            <v>Open/Recolse St. Joint (M/H) F.C. Gr 5</v>
          </cell>
          <cell r="C216" t="str">
            <v>Each</v>
          </cell>
          <cell r="D216">
            <v>675</v>
          </cell>
        </row>
        <row r="217">
          <cell r="A217">
            <v>3281</v>
          </cell>
          <cell r="B217" t="str">
            <v>Open/Recolse St. Joint (D/B) F.C. Gr 1</v>
          </cell>
          <cell r="C217" t="str">
            <v>Each</v>
          </cell>
          <cell r="D217">
            <v>106.46</v>
          </cell>
        </row>
        <row r="218">
          <cell r="A218">
            <v>3282</v>
          </cell>
          <cell r="B218" t="str">
            <v>Open/Recolse St. Joint (D/B) F.C. Gr 2</v>
          </cell>
          <cell r="C218" t="str">
            <v>Each</v>
          </cell>
          <cell r="D218">
            <v>203.13</v>
          </cell>
        </row>
        <row r="219">
          <cell r="A219">
            <v>3283</v>
          </cell>
          <cell r="B219" t="str">
            <v>Open/Recolse St. Joint (D/B) F.C. Gr 3</v>
          </cell>
          <cell r="C219" t="str">
            <v>Each</v>
          </cell>
          <cell r="D219">
            <v>316.61</v>
          </cell>
        </row>
        <row r="220">
          <cell r="A220">
            <v>3284</v>
          </cell>
          <cell r="B220" t="str">
            <v>Open/Recolse St. Joint (D/B) F.C. Gr 4</v>
          </cell>
          <cell r="C220" t="str">
            <v>Each</v>
          </cell>
          <cell r="D220">
            <v>383.84</v>
          </cell>
        </row>
        <row r="221">
          <cell r="A221">
            <v>3285</v>
          </cell>
          <cell r="B221" t="str">
            <v>Open/Recolse St. Joint (D/B) F.C. Gr 5</v>
          </cell>
          <cell r="C221" t="str">
            <v>Each</v>
          </cell>
          <cell r="D221">
            <v>634.61</v>
          </cell>
        </row>
        <row r="222">
          <cell r="A222">
            <v>3291</v>
          </cell>
          <cell r="B222" t="str">
            <v>Open/Recolse Br. Joint (M/H) F.C. Gr 1</v>
          </cell>
          <cell r="C222" t="str">
            <v>Each</v>
          </cell>
          <cell r="D222">
            <v>134.49</v>
          </cell>
        </row>
        <row r="223">
          <cell r="A223">
            <v>3292</v>
          </cell>
          <cell r="B223" t="str">
            <v>Open/Recolse Br. Joint (M/H) F.C. Gr 2</v>
          </cell>
          <cell r="C223" t="str">
            <v>Each</v>
          </cell>
          <cell r="D223">
            <v>252.16</v>
          </cell>
        </row>
        <row r="224">
          <cell r="A224">
            <v>3293</v>
          </cell>
          <cell r="B224" t="str">
            <v>Open/Recolse Br. Joint (M/H) F.C. Gr 3</v>
          </cell>
          <cell r="C224" t="str">
            <v>Each</v>
          </cell>
          <cell r="D224">
            <v>350.22</v>
          </cell>
        </row>
        <row r="225">
          <cell r="A225">
            <v>3294</v>
          </cell>
          <cell r="B225" t="str">
            <v>Open/Recolse Br. Joint (M/H) F.C. Gr 4</v>
          </cell>
          <cell r="C225" t="str">
            <v>Each</v>
          </cell>
          <cell r="D225">
            <v>448.29</v>
          </cell>
        </row>
        <row r="226">
          <cell r="A226">
            <v>3295</v>
          </cell>
          <cell r="B226" t="str">
            <v>Open/Recolse Br. Joint (M/H) F.C. Gr 5</v>
          </cell>
          <cell r="C226" t="str">
            <v>Each</v>
          </cell>
          <cell r="D226">
            <v>700.43</v>
          </cell>
        </row>
        <row r="227">
          <cell r="A227">
            <v>3301</v>
          </cell>
          <cell r="B227" t="str">
            <v>Open/Recolse Br. Joint (D/B) F.C. Gr 1</v>
          </cell>
          <cell r="C227" t="str">
            <v>Each</v>
          </cell>
          <cell r="D227">
            <v>112.07</v>
          </cell>
        </row>
        <row r="228">
          <cell r="A228">
            <v>3302</v>
          </cell>
          <cell r="B228" t="str">
            <v>Open/Recolse Br. Joint (D/B) F.C. Gr 2</v>
          </cell>
          <cell r="C228" t="str">
            <v>Each</v>
          </cell>
          <cell r="D228">
            <v>229.74</v>
          </cell>
        </row>
        <row r="229">
          <cell r="A229">
            <v>3303</v>
          </cell>
          <cell r="B229" t="str">
            <v>Open/Recolse Br. Joint (D/B) F.C. Gr 3</v>
          </cell>
          <cell r="C229" t="str">
            <v>Each</v>
          </cell>
          <cell r="D229">
            <v>327.81</v>
          </cell>
        </row>
        <row r="230">
          <cell r="A230">
            <v>3304</v>
          </cell>
          <cell r="B230" t="str">
            <v>Open/Recolse Br. Joint (D/B) F.C. Gr 4</v>
          </cell>
          <cell r="C230" t="str">
            <v>Each</v>
          </cell>
          <cell r="D230">
            <v>424.46</v>
          </cell>
        </row>
        <row r="231">
          <cell r="A231">
            <v>3305</v>
          </cell>
          <cell r="B231" t="str">
            <v>Open/Recolse Br. Joint (D/B) F.C. Gr 5</v>
          </cell>
          <cell r="C231" t="str">
            <v>Each</v>
          </cell>
          <cell r="D231">
            <v>675.22</v>
          </cell>
        </row>
        <row r="232">
          <cell r="A232">
            <v>3421</v>
          </cell>
          <cell r="B232" t="str">
            <v>St.Joint upto 10 Fiber Cable in Manhole</v>
          </cell>
          <cell r="C232" t="str">
            <v>Each</v>
          </cell>
          <cell r="D232">
            <v>150</v>
          </cell>
        </row>
        <row r="233">
          <cell r="A233">
            <v>3422</v>
          </cell>
          <cell r="B233" t="str">
            <v>St.Joint 11-20 Fiber Cable in Manhole</v>
          </cell>
          <cell r="C233" t="str">
            <v>Each</v>
          </cell>
          <cell r="D233">
            <v>252.39</v>
          </cell>
        </row>
        <row r="234">
          <cell r="A234">
            <v>3423</v>
          </cell>
          <cell r="B234" t="str">
            <v>St.Joint 21-30 Fiber Cable in Manhole</v>
          </cell>
          <cell r="C234" t="str">
            <v>Each</v>
          </cell>
          <cell r="D234">
            <v>449.02</v>
          </cell>
        </row>
        <row r="235">
          <cell r="A235">
            <v>3424</v>
          </cell>
          <cell r="B235" t="str">
            <v>St.Joint 31-40 Fiber Cable in Manhole</v>
          </cell>
          <cell r="C235" t="str">
            <v>Each</v>
          </cell>
          <cell r="D235">
            <v>673.37</v>
          </cell>
        </row>
        <row r="236">
          <cell r="A236">
            <v>3425</v>
          </cell>
          <cell r="B236" t="str">
            <v>St.Joint 41-50 Fiber Cable in Manhole</v>
          </cell>
          <cell r="C236" t="str">
            <v>Each</v>
          </cell>
          <cell r="D236">
            <v>897.71</v>
          </cell>
        </row>
        <row r="237">
          <cell r="A237">
            <v>3441</v>
          </cell>
          <cell r="B237" t="str">
            <v>Br.Joint upto 10 Fiber Cable in Manhole</v>
          </cell>
          <cell r="C237" t="str">
            <v>Each</v>
          </cell>
          <cell r="D237">
            <v>173.21</v>
          </cell>
        </row>
        <row r="238">
          <cell r="A238">
            <v>3442</v>
          </cell>
          <cell r="B238" t="str">
            <v>Br.Joint 11-20 Fiber Cable in Manhole</v>
          </cell>
          <cell r="C238" t="str">
            <v>Each</v>
          </cell>
          <cell r="D238">
            <v>277.89</v>
          </cell>
        </row>
        <row r="239">
          <cell r="A239">
            <v>3443</v>
          </cell>
          <cell r="B239" t="str">
            <v>Br.Joint 21-30 Fiber Cable in Manhole</v>
          </cell>
          <cell r="C239" t="str">
            <v>Each</v>
          </cell>
          <cell r="D239">
            <v>494.02</v>
          </cell>
        </row>
        <row r="240">
          <cell r="A240">
            <v>3444</v>
          </cell>
          <cell r="B240" t="str">
            <v>Br.Joint 31-40 Fiber Cable in Manhole</v>
          </cell>
          <cell r="C240" t="str">
            <v>Each</v>
          </cell>
          <cell r="D240">
            <v>740.7</v>
          </cell>
        </row>
        <row r="241">
          <cell r="A241">
            <v>3445</v>
          </cell>
          <cell r="B241" t="str">
            <v>Br.Joint 41-50 Fiber Cable in Manhole</v>
          </cell>
          <cell r="C241" t="str">
            <v>Each</v>
          </cell>
          <cell r="D241">
            <v>987.37</v>
          </cell>
        </row>
        <row r="242">
          <cell r="A242">
            <v>3461</v>
          </cell>
          <cell r="B242" t="str">
            <v>St.Joint upto 10 Fiber Cable D/B</v>
          </cell>
          <cell r="C242" t="str">
            <v>Each</v>
          </cell>
          <cell r="D242">
            <v>141.99</v>
          </cell>
        </row>
        <row r="243">
          <cell r="A243">
            <v>3462</v>
          </cell>
          <cell r="B243" t="str">
            <v>St.Joint 11-20 Fiber Cable D/B</v>
          </cell>
          <cell r="C243" t="str">
            <v>Each</v>
          </cell>
          <cell r="D243">
            <v>226.87</v>
          </cell>
        </row>
        <row r="244">
          <cell r="A244">
            <v>3463</v>
          </cell>
          <cell r="B244" t="str">
            <v>St.Joint 21-30 Fiber Cable D/B</v>
          </cell>
          <cell r="C244" t="str">
            <v>Each</v>
          </cell>
          <cell r="D244">
            <v>404.02</v>
          </cell>
        </row>
        <row r="245">
          <cell r="A245">
            <v>3464</v>
          </cell>
          <cell r="B245" t="str">
            <v>St.Joint 31-40 Fiber Cable D/B</v>
          </cell>
          <cell r="C245" t="str">
            <v>Each</v>
          </cell>
          <cell r="D245">
            <v>604.76</v>
          </cell>
        </row>
        <row r="246">
          <cell r="A246">
            <v>3465</v>
          </cell>
          <cell r="B246" t="str">
            <v>St.Joint 41-50 Fiber Cable D/B</v>
          </cell>
          <cell r="C246" t="str">
            <v>Each</v>
          </cell>
          <cell r="D246">
            <v>807.7</v>
          </cell>
        </row>
        <row r="247">
          <cell r="A247">
            <v>3481</v>
          </cell>
          <cell r="B247" t="str">
            <v>Br.Joint upto 10 Fiber Cable D/B</v>
          </cell>
          <cell r="C247" t="str">
            <v>Each</v>
          </cell>
          <cell r="D247">
            <v>157.6</v>
          </cell>
        </row>
        <row r="248">
          <cell r="A248">
            <v>3482</v>
          </cell>
          <cell r="B248" t="str">
            <v>Br.Joint 11-20 Fiber Cable D/B</v>
          </cell>
          <cell r="C248" t="str">
            <v>Each</v>
          </cell>
          <cell r="D248">
            <v>252.39</v>
          </cell>
        </row>
        <row r="249">
          <cell r="A249">
            <v>3483</v>
          </cell>
          <cell r="B249" t="str">
            <v>Br.Joint 21-30 Fiber Cable D/B</v>
          </cell>
          <cell r="C249" t="str">
            <v>Each</v>
          </cell>
          <cell r="D249">
            <v>449.02</v>
          </cell>
        </row>
        <row r="250">
          <cell r="A250">
            <v>3484</v>
          </cell>
          <cell r="B250" t="str">
            <v>St.Joint 31-40 Fiber Cable D/B</v>
          </cell>
          <cell r="C250" t="str">
            <v>Each</v>
          </cell>
          <cell r="D250">
            <v>673.37</v>
          </cell>
        </row>
        <row r="251">
          <cell r="A251">
            <v>3485</v>
          </cell>
          <cell r="B251" t="str">
            <v>St.Joint 41-50 Fiber Cable D/B</v>
          </cell>
          <cell r="C251" t="str">
            <v>Each</v>
          </cell>
          <cell r="D251">
            <v>796.2</v>
          </cell>
        </row>
        <row r="252">
          <cell r="A252">
            <v>3491</v>
          </cell>
          <cell r="B252" t="str">
            <v>Joint Aerial O.F. Cable upto 10 Fiber</v>
          </cell>
          <cell r="C252" t="str">
            <v>Each</v>
          </cell>
          <cell r="D252">
            <v>157.6</v>
          </cell>
        </row>
        <row r="253">
          <cell r="A253">
            <v>3492</v>
          </cell>
          <cell r="B253" t="str">
            <v>Joint Aerial O.F. Cable 11-20 Fiber</v>
          </cell>
          <cell r="C253" t="str">
            <v>Each</v>
          </cell>
          <cell r="D253">
            <v>252.39</v>
          </cell>
        </row>
        <row r="254">
          <cell r="A254">
            <v>3499</v>
          </cell>
          <cell r="B254" t="str">
            <v>O/Reclose Jt.in O.F. Cable, 10/125 &amp; 50/125</v>
          </cell>
          <cell r="C254" t="str">
            <v>Each</v>
          </cell>
          <cell r="D254">
            <v>449.02</v>
          </cell>
        </row>
        <row r="255">
          <cell r="A255">
            <v>3511</v>
          </cell>
          <cell r="B255" t="str">
            <v>Inst. IDC Terminal Block in MDF, 100 PR</v>
          </cell>
          <cell r="C255" t="str">
            <v>Each</v>
          </cell>
          <cell r="D255">
            <v>52.06</v>
          </cell>
        </row>
        <row r="256">
          <cell r="A256">
            <v>3512</v>
          </cell>
          <cell r="B256" t="str">
            <v>Inst. IDC Terminal Block in MDF, 200 PR</v>
          </cell>
          <cell r="C256" t="str">
            <v>Each</v>
          </cell>
          <cell r="D256">
            <v>93.13</v>
          </cell>
        </row>
        <row r="257">
          <cell r="A257">
            <v>3521</v>
          </cell>
          <cell r="B257" t="str">
            <v>Terminate Cable IDC Block in MDF</v>
          </cell>
          <cell r="C257" t="str">
            <v>Pair</v>
          </cell>
          <cell r="D257">
            <v>0.55000000000000004</v>
          </cell>
        </row>
        <row r="258">
          <cell r="A258">
            <v>3531</v>
          </cell>
          <cell r="B258" t="str">
            <v>Cable Vault Term, Joint GR 2</v>
          </cell>
          <cell r="C258" t="str">
            <v>Each</v>
          </cell>
          <cell r="D258">
            <v>152.27000000000001</v>
          </cell>
        </row>
        <row r="259">
          <cell r="A259">
            <v>3532</v>
          </cell>
          <cell r="B259" t="str">
            <v>Cable Vault Term, Joint GR 3</v>
          </cell>
          <cell r="C259" t="str">
            <v>Each</v>
          </cell>
          <cell r="D259">
            <v>196.73</v>
          </cell>
        </row>
        <row r="260">
          <cell r="A260">
            <v>3533</v>
          </cell>
          <cell r="B260" t="str">
            <v>Cable Vault Term, Joint GR 4</v>
          </cell>
          <cell r="C260" t="str">
            <v>Each</v>
          </cell>
          <cell r="D260">
            <v>260.13</v>
          </cell>
        </row>
        <row r="261">
          <cell r="A261">
            <v>3534</v>
          </cell>
          <cell r="B261" t="str">
            <v>Cable Vault Term, Joint GR 5</v>
          </cell>
          <cell r="C261" t="str">
            <v>Each</v>
          </cell>
          <cell r="D261">
            <v>417.89</v>
          </cell>
        </row>
        <row r="262">
          <cell r="A262">
            <v>3611</v>
          </cell>
          <cell r="B262" t="str">
            <v>Install STD. 300 PR. Outdoor Cab</v>
          </cell>
          <cell r="C262" t="str">
            <v>Each</v>
          </cell>
          <cell r="D262">
            <v>53.32</v>
          </cell>
        </row>
        <row r="263">
          <cell r="A263">
            <v>3613</v>
          </cell>
          <cell r="B263" t="str">
            <v>Install STD. 1200 PR. Outdoor Cab</v>
          </cell>
          <cell r="C263" t="str">
            <v>Each</v>
          </cell>
          <cell r="D263">
            <v>76</v>
          </cell>
        </row>
        <row r="264">
          <cell r="A264">
            <v>3616</v>
          </cell>
          <cell r="B264" t="str">
            <v>Install HRISLU Cabinet on Base</v>
          </cell>
          <cell r="C264" t="str">
            <v>Each</v>
          </cell>
          <cell r="D264">
            <v>166</v>
          </cell>
        </row>
        <row r="265">
          <cell r="A265">
            <v>3618</v>
          </cell>
          <cell r="B265" t="str">
            <v>Install Electric unit cabinet connect BSW</v>
          </cell>
          <cell r="C265" t="str">
            <v>Each</v>
          </cell>
          <cell r="D265">
            <v>439.97</v>
          </cell>
        </row>
        <row r="266">
          <cell r="A266">
            <v>3622</v>
          </cell>
          <cell r="B266" t="str">
            <v>Install 900 Pair Indoor Cabinet</v>
          </cell>
          <cell r="C266" t="str">
            <v>Each</v>
          </cell>
          <cell r="D266">
            <v>190.88</v>
          </cell>
        </row>
        <row r="267">
          <cell r="A267">
            <v>3631</v>
          </cell>
          <cell r="B267" t="str">
            <v>Install Primary Cable &amp; 1 Block in Cabinet</v>
          </cell>
          <cell r="C267" t="str">
            <v>Set</v>
          </cell>
          <cell r="D267">
            <v>246.97</v>
          </cell>
        </row>
        <row r="268">
          <cell r="A268">
            <v>3632</v>
          </cell>
          <cell r="B268" t="str">
            <v>Install Primary Cable &amp; 2 Block in Cabinet</v>
          </cell>
          <cell r="C268" t="str">
            <v>Set</v>
          </cell>
          <cell r="D268">
            <v>448.19</v>
          </cell>
        </row>
        <row r="269">
          <cell r="A269">
            <v>3633</v>
          </cell>
          <cell r="B269" t="str">
            <v>Install Primary Cable &amp; 3 Block in Cabinet</v>
          </cell>
          <cell r="C269" t="str">
            <v>Set</v>
          </cell>
          <cell r="D269">
            <v>593.99</v>
          </cell>
        </row>
        <row r="270">
          <cell r="A270">
            <v>3641</v>
          </cell>
          <cell r="B270" t="str">
            <v>Install Two 50 Pair Secondary Cable &amp; 1 Ter.Block</v>
          </cell>
          <cell r="C270" t="str">
            <v>Set</v>
          </cell>
          <cell r="D270">
            <v>96.44</v>
          </cell>
        </row>
        <row r="271">
          <cell r="A271">
            <v>3642</v>
          </cell>
          <cell r="B271" t="str">
            <v>Install 100 Pair Secondary Cable &amp; 1 Ter.Block</v>
          </cell>
          <cell r="C271" t="str">
            <v>Set</v>
          </cell>
          <cell r="D271">
            <v>72.150000000000006</v>
          </cell>
        </row>
        <row r="272">
          <cell r="A272">
            <v>3643</v>
          </cell>
          <cell r="B272" t="str">
            <v>Install 200 Pair Secondary Cable &amp; 1 Ter.Block</v>
          </cell>
          <cell r="C272" t="str">
            <v>Set</v>
          </cell>
          <cell r="D272">
            <v>148.97</v>
          </cell>
        </row>
        <row r="273">
          <cell r="A273">
            <v>3644</v>
          </cell>
          <cell r="B273" t="str">
            <v>Install 300 Pair Secondary Cable &amp; 1 Ter.Block</v>
          </cell>
          <cell r="C273" t="str">
            <v>Set</v>
          </cell>
          <cell r="D273">
            <v>223.45</v>
          </cell>
        </row>
        <row r="274">
          <cell r="A274">
            <v>3711</v>
          </cell>
          <cell r="B274" t="str">
            <v>Install 10 Pair Indoor DP</v>
          </cell>
          <cell r="C274" t="str">
            <v>Each</v>
          </cell>
          <cell r="D274">
            <v>217.58</v>
          </cell>
        </row>
        <row r="275">
          <cell r="A275">
            <v>3712</v>
          </cell>
          <cell r="B275" t="str">
            <v>Install 20 Pair Indoor DP</v>
          </cell>
          <cell r="C275" t="str">
            <v>Each</v>
          </cell>
          <cell r="D275">
            <v>193.33</v>
          </cell>
        </row>
        <row r="276">
          <cell r="A276">
            <v>3713</v>
          </cell>
          <cell r="B276" t="str">
            <v>Install 30 Pair Indoor DP</v>
          </cell>
          <cell r="C276" t="str">
            <v>Each</v>
          </cell>
          <cell r="D276">
            <v>224</v>
          </cell>
        </row>
        <row r="277">
          <cell r="A277">
            <v>3714</v>
          </cell>
          <cell r="B277" t="str">
            <v>Install 50 Pair Indoor DP</v>
          </cell>
          <cell r="C277" t="str">
            <v>Each</v>
          </cell>
          <cell r="D277">
            <v>227</v>
          </cell>
        </row>
        <row r="278">
          <cell r="A278">
            <v>3721</v>
          </cell>
          <cell r="B278" t="str">
            <v>Install 10 Pair Pole DP</v>
          </cell>
          <cell r="C278" t="str">
            <v>Each</v>
          </cell>
          <cell r="D278">
            <v>183.06</v>
          </cell>
        </row>
        <row r="279">
          <cell r="A279">
            <v>3731</v>
          </cell>
          <cell r="B279" t="str">
            <v>Install 10 Pair Wall DP</v>
          </cell>
          <cell r="C279" t="str">
            <v>Each</v>
          </cell>
          <cell r="D279">
            <v>177.3</v>
          </cell>
        </row>
        <row r="280">
          <cell r="A280">
            <v>3741</v>
          </cell>
          <cell r="B280" t="str">
            <v>Install OF Pillar without Block</v>
          </cell>
          <cell r="C280" t="str">
            <v>Each</v>
          </cell>
          <cell r="D280">
            <v>42.98</v>
          </cell>
        </row>
        <row r="281">
          <cell r="A281">
            <v>3742</v>
          </cell>
          <cell r="B281" t="str">
            <v>Install OF Pillar without one 10 Pair DP Block</v>
          </cell>
          <cell r="C281" t="str">
            <v>Each</v>
          </cell>
          <cell r="D281">
            <v>52.41</v>
          </cell>
        </row>
        <row r="282">
          <cell r="A282">
            <v>3743</v>
          </cell>
          <cell r="B282" t="str">
            <v>Install OF Pillar without Two 10 Pair DP Block</v>
          </cell>
          <cell r="C282" t="str">
            <v>Each</v>
          </cell>
          <cell r="D282">
            <v>76.81</v>
          </cell>
        </row>
        <row r="283">
          <cell r="A283">
            <v>3745</v>
          </cell>
          <cell r="B283" t="str">
            <v>Construct In-Situ Concrete DP Base</v>
          </cell>
          <cell r="C283" t="str">
            <v>Each</v>
          </cell>
          <cell r="D283">
            <v>37.39</v>
          </cell>
        </row>
        <row r="284">
          <cell r="A284">
            <v>3761</v>
          </cell>
          <cell r="B284" t="str">
            <v>Install of one 10 Pair Block in Existing Pillar</v>
          </cell>
          <cell r="C284" t="str">
            <v>Each</v>
          </cell>
          <cell r="D284">
            <v>41.92</v>
          </cell>
        </row>
        <row r="285">
          <cell r="A285">
            <v>3771</v>
          </cell>
          <cell r="B285" t="str">
            <v>Install Overvaltage Prot. In New DP</v>
          </cell>
          <cell r="C285" t="str">
            <v>Each</v>
          </cell>
          <cell r="D285">
            <v>3.38</v>
          </cell>
        </row>
        <row r="286">
          <cell r="A286">
            <v>3781</v>
          </cell>
          <cell r="B286" t="str">
            <v>Install one BSW at one Location.</v>
          </cell>
          <cell r="C286" t="str">
            <v>Each</v>
          </cell>
          <cell r="D286">
            <v>7.99</v>
          </cell>
        </row>
        <row r="287">
          <cell r="A287">
            <v>3782</v>
          </cell>
          <cell r="B287" t="str">
            <v>Install Two BSW at one Location.</v>
          </cell>
          <cell r="C287" t="str">
            <v>Each</v>
          </cell>
          <cell r="D287">
            <v>9.32</v>
          </cell>
        </row>
        <row r="288">
          <cell r="A288">
            <v>3783</v>
          </cell>
          <cell r="B288" t="str">
            <v>Install 1,2 Pair ST Box at 1 Location</v>
          </cell>
          <cell r="C288" t="str">
            <v>Each</v>
          </cell>
          <cell r="D288">
            <v>11.18</v>
          </cell>
        </row>
        <row r="289">
          <cell r="A289">
            <v>3791</v>
          </cell>
          <cell r="B289" t="str">
            <v>Install of Pay Teleph.Booth - Uotdoor</v>
          </cell>
          <cell r="C289" t="str">
            <v>Each</v>
          </cell>
          <cell r="D289">
            <v>473.24</v>
          </cell>
        </row>
        <row r="290">
          <cell r="A290">
            <v>3792</v>
          </cell>
          <cell r="B290" t="str">
            <v>Install of Pay Teleph.Booth - Indoor</v>
          </cell>
          <cell r="C290" t="str">
            <v>Each</v>
          </cell>
          <cell r="D290">
            <v>138.11000000000001</v>
          </cell>
        </row>
        <row r="291">
          <cell r="A291">
            <v>3793</v>
          </cell>
          <cell r="B291" t="str">
            <v>Install of Extended Power Feed</v>
          </cell>
          <cell r="C291" t="str">
            <v>M</v>
          </cell>
          <cell r="D291">
            <v>9</v>
          </cell>
        </row>
        <row r="292">
          <cell r="A292">
            <v>3901</v>
          </cell>
          <cell r="B292" t="str">
            <v>Install upto 10, O.F. Term. In Bldgs.</v>
          </cell>
          <cell r="C292" t="str">
            <v>Each</v>
          </cell>
          <cell r="D292">
            <v>987.21</v>
          </cell>
        </row>
        <row r="293">
          <cell r="A293">
            <v>3902</v>
          </cell>
          <cell r="B293" t="str">
            <v>Install 11-20, O.F. Termination in Bldgs.</v>
          </cell>
          <cell r="C293" t="str">
            <v>Each</v>
          </cell>
          <cell r="D293">
            <v>1930.66</v>
          </cell>
        </row>
        <row r="294">
          <cell r="A294">
            <v>3903</v>
          </cell>
          <cell r="B294" t="str">
            <v>Install 21-30, O.F. Termination in Bldgs.</v>
          </cell>
          <cell r="C294" t="str">
            <v>Each</v>
          </cell>
          <cell r="D294">
            <v>2874.12</v>
          </cell>
        </row>
        <row r="295">
          <cell r="A295">
            <v>3904</v>
          </cell>
          <cell r="B295" t="str">
            <v>Install 31-40, O.F. Termination in Bldgs.</v>
          </cell>
          <cell r="C295" t="str">
            <v>Each</v>
          </cell>
          <cell r="D295">
            <v>3817.74</v>
          </cell>
        </row>
        <row r="296">
          <cell r="A296">
            <v>3905</v>
          </cell>
          <cell r="B296" t="str">
            <v>Install 41-50, O.F. Termination in Bldgs.</v>
          </cell>
          <cell r="C296" t="str">
            <v>Each</v>
          </cell>
          <cell r="D296">
            <v>4761.1899999999996</v>
          </cell>
        </row>
        <row r="297">
          <cell r="A297">
            <v>4011</v>
          </cell>
          <cell r="B297" t="str">
            <v>Install Pressurisation, Alarm &amp; Mon.System</v>
          </cell>
          <cell r="C297" t="str">
            <v>Unit</v>
          </cell>
          <cell r="D297">
            <v>1522.69</v>
          </cell>
        </row>
        <row r="298">
          <cell r="A298">
            <v>4012</v>
          </cell>
          <cell r="B298" t="str">
            <v>Install Extention to Pams</v>
          </cell>
          <cell r="C298" t="str">
            <v>Unit</v>
          </cell>
          <cell r="D298">
            <v>913.61</v>
          </cell>
        </row>
        <row r="299">
          <cell r="A299">
            <v>4021</v>
          </cell>
          <cell r="B299" t="str">
            <v>Install Pressure Distribution Panel (10 Circuit)</v>
          </cell>
          <cell r="C299" t="str">
            <v>Unit</v>
          </cell>
          <cell r="D299">
            <v>913.61</v>
          </cell>
        </row>
        <row r="300">
          <cell r="A300">
            <v>4022</v>
          </cell>
          <cell r="B300" t="str">
            <v>Install Additional Pressure Distribution Panel (10 Circuit)</v>
          </cell>
          <cell r="C300" t="str">
            <v>Unit</v>
          </cell>
          <cell r="D300">
            <v>533.61</v>
          </cell>
        </row>
        <row r="301">
          <cell r="A301">
            <v>4031</v>
          </cell>
          <cell r="B301" t="str">
            <v>Install Air Compressor or Drier 3700 g/hr</v>
          </cell>
          <cell r="C301" t="str">
            <v>Unit</v>
          </cell>
          <cell r="D301">
            <v>539.28</v>
          </cell>
        </row>
        <row r="302">
          <cell r="A302">
            <v>4032</v>
          </cell>
          <cell r="B302" t="str">
            <v>Install Air Compressor or Drier 17600 g/hr</v>
          </cell>
          <cell r="C302" t="str">
            <v>Unit</v>
          </cell>
          <cell r="D302">
            <v>761.34</v>
          </cell>
        </row>
        <row r="303">
          <cell r="A303">
            <v>4101</v>
          </cell>
          <cell r="B303" t="str">
            <v>Connection of Air Circuit at Station</v>
          </cell>
          <cell r="C303" t="str">
            <v>Set</v>
          </cell>
          <cell r="D303">
            <v>1522.69</v>
          </cell>
        </row>
        <row r="304">
          <cell r="A304">
            <v>4201</v>
          </cell>
          <cell r="B304" t="str">
            <v>Supply &amp; Install Air Pipe, Emp, Duct/Sub-D.</v>
          </cell>
          <cell r="C304" t="str">
            <v>M</v>
          </cell>
          <cell r="D304">
            <v>2.64</v>
          </cell>
        </row>
        <row r="305">
          <cell r="A305">
            <v>4202</v>
          </cell>
          <cell r="B305" t="str">
            <v>Supply &amp; Install Air Pipe, Occup. Duct</v>
          </cell>
          <cell r="C305" t="str">
            <v>M</v>
          </cell>
          <cell r="D305">
            <v>4.0999999999999996</v>
          </cell>
        </row>
        <row r="306">
          <cell r="A306">
            <v>4203</v>
          </cell>
          <cell r="B306" t="str">
            <v>Supply &amp; Install Air Pipe, Simut. Or new Cable</v>
          </cell>
          <cell r="C306" t="str">
            <v>M</v>
          </cell>
          <cell r="D306">
            <v>2.65</v>
          </cell>
        </row>
        <row r="307">
          <cell r="A307">
            <v>4204</v>
          </cell>
          <cell r="B307" t="str">
            <v>Supply &amp; Install Air Pipe, in Open Trench</v>
          </cell>
          <cell r="C307" t="str">
            <v>M</v>
          </cell>
          <cell r="D307">
            <v>2.4300000000000002</v>
          </cell>
        </row>
        <row r="308">
          <cell r="A308">
            <v>4209</v>
          </cell>
          <cell r="B308" t="str">
            <v>Supply &amp; Install 1 or More Add Air Pipes</v>
          </cell>
          <cell r="C308" t="str">
            <v>M</v>
          </cell>
          <cell r="D308">
            <v>2.8</v>
          </cell>
        </row>
        <row r="309">
          <cell r="A309">
            <v>4301</v>
          </cell>
          <cell r="B309" t="str">
            <v>Supply &amp; Install Pressure feed in Manhole</v>
          </cell>
          <cell r="C309" t="str">
            <v>Each</v>
          </cell>
          <cell r="D309">
            <v>218.58</v>
          </cell>
        </row>
        <row r="310">
          <cell r="A310">
            <v>4311</v>
          </cell>
          <cell r="B310" t="str">
            <v>Supply &amp; Install Pressure Mainfold in Manhole</v>
          </cell>
          <cell r="C310" t="str">
            <v>Each</v>
          </cell>
          <cell r="D310">
            <v>343.55</v>
          </cell>
        </row>
        <row r="311">
          <cell r="A311">
            <v>4321</v>
          </cell>
          <cell r="B311" t="str">
            <v>Supply &amp; Install Pressure Transd.in Manhole</v>
          </cell>
          <cell r="C311" t="str">
            <v>Each</v>
          </cell>
          <cell r="D311">
            <v>512.32000000000005</v>
          </cell>
        </row>
        <row r="312">
          <cell r="A312">
            <v>4331</v>
          </cell>
          <cell r="B312" t="str">
            <v>Supply &amp; Install Pressure Transd.in Cabinet</v>
          </cell>
          <cell r="C312" t="str">
            <v>Each</v>
          </cell>
          <cell r="D312">
            <v>478.18</v>
          </cell>
        </row>
        <row r="313">
          <cell r="A313">
            <v>4401</v>
          </cell>
          <cell r="B313" t="str">
            <v>Install Pressure Plug in Cbale Gr. 1 - 2</v>
          </cell>
          <cell r="C313" t="str">
            <v>Each</v>
          </cell>
          <cell r="D313">
            <v>18.739999999999998</v>
          </cell>
        </row>
        <row r="314">
          <cell r="A314">
            <v>4402</v>
          </cell>
          <cell r="B314" t="str">
            <v>Install Pressure Plug in Cbale Gr. 3 - 5</v>
          </cell>
          <cell r="C314" t="str">
            <v>Each</v>
          </cell>
          <cell r="D314">
            <v>28.93</v>
          </cell>
        </row>
        <row r="315">
          <cell r="A315">
            <v>4501</v>
          </cell>
          <cell r="B315" t="str">
            <v>Commissioning of new Gas Pressure System</v>
          </cell>
          <cell r="C315" t="str">
            <v>Each</v>
          </cell>
          <cell r="D315">
            <v>1522.69</v>
          </cell>
        </row>
        <row r="316">
          <cell r="A316">
            <v>4502</v>
          </cell>
          <cell r="B316" t="str">
            <v>Commissioning of Ext.to Gas Pressure System</v>
          </cell>
          <cell r="C316" t="str">
            <v>Each</v>
          </cell>
          <cell r="D316">
            <v>361.33</v>
          </cell>
        </row>
        <row r="317">
          <cell r="A317">
            <v>5101</v>
          </cell>
          <cell r="B317" t="str">
            <v>Rehabilitation of Manhole Type A</v>
          </cell>
          <cell r="C317" t="str">
            <v>Each</v>
          </cell>
          <cell r="D317">
            <v>590.37</v>
          </cell>
        </row>
        <row r="318">
          <cell r="A318">
            <v>5102</v>
          </cell>
          <cell r="B318" t="str">
            <v>Rehabilitation of Manhole Type B</v>
          </cell>
          <cell r="C318" t="str">
            <v>Each</v>
          </cell>
          <cell r="D318">
            <v>619.15</v>
          </cell>
        </row>
        <row r="319">
          <cell r="A319">
            <v>5103</v>
          </cell>
          <cell r="B319" t="str">
            <v>Rehabilitation of Manhole Type C</v>
          </cell>
          <cell r="C319" t="str">
            <v>Each</v>
          </cell>
          <cell r="D319">
            <v>640.99</v>
          </cell>
        </row>
        <row r="320">
          <cell r="A320">
            <v>5104</v>
          </cell>
          <cell r="B320" t="str">
            <v>Rehabilitation of Manhole Type D</v>
          </cell>
          <cell r="C320" t="str">
            <v>Each</v>
          </cell>
          <cell r="D320">
            <v>662.83</v>
          </cell>
        </row>
        <row r="321">
          <cell r="A321">
            <v>5118</v>
          </cell>
          <cell r="B321" t="str">
            <v>Supply &amp; Install Manhole Furniture</v>
          </cell>
          <cell r="C321" t="str">
            <v>Each MH</v>
          </cell>
          <cell r="D321">
            <v>899.26</v>
          </cell>
        </row>
        <row r="322">
          <cell r="A322">
            <v>5119</v>
          </cell>
          <cell r="B322" t="str">
            <v>Supply &amp; Install Handhole Furniture</v>
          </cell>
          <cell r="C322" t="str">
            <v>Each MH</v>
          </cell>
          <cell r="D322">
            <v>516.53</v>
          </cell>
        </row>
        <row r="323">
          <cell r="A323">
            <v>5127</v>
          </cell>
          <cell r="B323" t="str">
            <v>Replace Handhole entrance cover</v>
          </cell>
          <cell r="C323" t="str">
            <v>Each</v>
          </cell>
          <cell r="D323">
            <v>275.25</v>
          </cell>
        </row>
        <row r="324">
          <cell r="A324">
            <v>5201</v>
          </cell>
          <cell r="B324" t="str">
            <v>Testing Exist. Empty Duct</v>
          </cell>
          <cell r="C324" t="str">
            <v>Each</v>
          </cell>
          <cell r="D324">
            <v>156</v>
          </cell>
        </row>
        <row r="325">
          <cell r="A325">
            <v>5202</v>
          </cell>
          <cell r="B325" t="str">
            <v>Testing Exist. Occuoied Duct</v>
          </cell>
          <cell r="C325" t="str">
            <v>Each</v>
          </cell>
          <cell r="D325">
            <v>195</v>
          </cell>
        </row>
        <row r="326">
          <cell r="A326">
            <v>5210</v>
          </cell>
          <cell r="B326" t="str">
            <v>Replace Ex. Emp/Occ. Duct Enc. In Concr.</v>
          </cell>
          <cell r="C326" t="str">
            <v>Each</v>
          </cell>
          <cell r="D326">
            <v>175.5</v>
          </cell>
        </row>
        <row r="327">
          <cell r="A327">
            <v>5211</v>
          </cell>
          <cell r="B327" t="str">
            <v>Replace Add. Emp/Occ. Duct Enc. In Concr.</v>
          </cell>
          <cell r="C327" t="str">
            <v>Each</v>
          </cell>
          <cell r="D327">
            <v>201.5</v>
          </cell>
        </row>
        <row r="328">
          <cell r="A328">
            <v>5212</v>
          </cell>
          <cell r="B328" t="str">
            <v>Replace Ex. Emp/Occ. Duct Enc. In Sand</v>
          </cell>
          <cell r="C328" t="str">
            <v>Each</v>
          </cell>
          <cell r="D328">
            <v>143</v>
          </cell>
        </row>
        <row r="329">
          <cell r="A329">
            <v>5213</v>
          </cell>
          <cell r="B329" t="str">
            <v>Replace Add. Emp/Occ. Duct Enc. In Sand</v>
          </cell>
          <cell r="C329" t="str">
            <v>Each</v>
          </cell>
          <cell r="D329">
            <v>156</v>
          </cell>
        </row>
        <row r="330">
          <cell r="A330">
            <v>5811</v>
          </cell>
          <cell r="B330" t="str">
            <v>Recover Duct Installed Cable Gr. 1</v>
          </cell>
          <cell r="C330" t="str">
            <v>M</v>
          </cell>
          <cell r="D330">
            <v>0.64</v>
          </cell>
        </row>
        <row r="331">
          <cell r="A331">
            <v>5812</v>
          </cell>
          <cell r="B331" t="str">
            <v>Recover Duct Installed Cable Gr. 2</v>
          </cell>
          <cell r="C331" t="str">
            <v>M</v>
          </cell>
          <cell r="D331">
            <v>0.76</v>
          </cell>
        </row>
        <row r="332">
          <cell r="A332">
            <v>5813</v>
          </cell>
          <cell r="B332" t="str">
            <v>Recover Duct Installed Cable Gr. 3</v>
          </cell>
          <cell r="C332" t="str">
            <v>M</v>
          </cell>
          <cell r="D332">
            <v>0.89</v>
          </cell>
        </row>
        <row r="333">
          <cell r="A333">
            <v>5814</v>
          </cell>
          <cell r="B333" t="str">
            <v>Recover Duct Installed Cable Gr. 4</v>
          </cell>
          <cell r="C333" t="str">
            <v>M</v>
          </cell>
          <cell r="D333">
            <v>1.1200000000000001</v>
          </cell>
        </row>
        <row r="334">
          <cell r="A334">
            <v>5815</v>
          </cell>
          <cell r="B334" t="str">
            <v>Recover Duct Installed Cable Gr. 5</v>
          </cell>
          <cell r="C334" t="str">
            <v>M</v>
          </cell>
          <cell r="D334">
            <v>1.25</v>
          </cell>
        </row>
        <row r="335">
          <cell r="A335">
            <v>7071</v>
          </cell>
          <cell r="B335" t="str">
            <v>Std Wall Fixed Cable Brackets-1000mm</v>
          </cell>
          <cell r="C335" t="str">
            <v>Each</v>
          </cell>
          <cell r="D335">
            <v>18.579999999999998</v>
          </cell>
        </row>
        <row r="336">
          <cell r="A336">
            <v>7076</v>
          </cell>
          <cell r="B336" t="str">
            <v>Std Cable Bearer - 250mm</v>
          </cell>
          <cell r="C336" t="str">
            <v>Each</v>
          </cell>
          <cell r="D336" t="str">
            <v>N/A</v>
          </cell>
        </row>
        <row r="337">
          <cell r="A337">
            <v>7080</v>
          </cell>
          <cell r="B337" t="str">
            <v>Cable Trench Warning Tape (500m)</v>
          </cell>
          <cell r="C337" t="str">
            <v>Each</v>
          </cell>
          <cell r="D337" t="str">
            <v>N/A</v>
          </cell>
        </row>
        <row r="338">
          <cell r="A338">
            <v>7721</v>
          </cell>
          <cell r="B338" t="str">
            <v>Joint Closure 4 Cables 28mm OD.30 Fibers</v>
          </cell>
          <cell r="C338" t="str">
            <v>Each</v>
          </cell>
          <cell r="D338" t="str">
            <v>N/A</v>
          </cell>
        </row>
        <row r="339">
          <cell r="A339">
            <v>7721.1</v>
          </cell>
          <cell r="B339" t="str">
            <v>Joint Closure 4 Cables Ariel Application</v>
          </cell>
          <cell r="C339" t="str">
            <v>Each</v>
          </cell>
          <cell r="D339" t="str">
            <v>N/A</v>
          </cell>
        </row>
        <row r="340">
          <cell r="A340">
            <v>7721.2</v>
          </cell>
          <cell r="B340" t="str">
            <v>Joint Closure 4 Cables Manhole Application</v>
          </cell>
          <cell r="C340" t="str">
            <v>Each</v>
          </cell>
          <cell r="D340" t="str">
            <v>N/A</v>
          </cell>
        </row>
        <row r="341">
          <cell r="A341">
            <v>8111</v>
          </cell>
          <cell r="B341" t="str">
            <v>Excavation in Light Soil &lt; 1.5m depth</v>
          </cell>
          <cell r="C341" t="str">
            <v>Cum</v>
          </cell>
          <cell r="D341">
            <v>2.4900000000000002</v>
          </cell>
        </row>
        <row r="342">
          <cell r="A342">
            <v>8112</v>
          </cell>
          <cell r="B342" t="str">
            <v>Excavation in Light Soil 1.5m - 3.0 depth</v>
          </cell>
          <cell r="C342" t="str">
            <v>Cum</v>
          </cell>
          <cell r="D342">
            <v>3.19</v>
          </cell>
        </row>
        <row r="343">
          <cell r="A343">
            <v>8113</v>
          </cell>
          <cell r="B343" t="str">
            <v>Excavation in Light Soil 3.0m - 5.0 depth</v>
          </cell>
          <cell r="C343" t="str">
            <v>Cum</v>
          </cell>
          <cell r="D343">
            <v>3.68</v>
          </cell>
        </row>
        <row r="344">
          <cell r="A344">
            <v>8121</v>
          </cell>
          <cell r="B344" t="str">
            <v>Excavation in Hard Soil &lt; 1.5m depth</v>
          </cell>
          <cell r="C344" t="str">
            <v>Cum</v>
          </cell>
          <cell r="D344">
            <v>3.96</v>
          </cell>
        </row>
        <row r="345">
          <cell r="A345">
            <v>8122</v>
          </cell>
          <cell r="B345" t="str">
            <v>Excavation in Hard Soil 1.5m - 3.0 depth</v>
          </cell>
          <cell r="C345" t="str">
            <v>Cum</v>
          </cell>
          <cell r="D345">
            <v>5.87</v>
          </cell>
        </row>
        <row r="346">
          <cell r="A346">
            <v>8131</v>
          </cell>
          <cell r="B346" t="str">
            <v>Excavation Hard Rock 1.5m depth</v>
          </cell>
          <cell r="C346" t="str">
            <v>Cum</v>
          </cell>
          <cell r="D346">
            <v>35.85</v>
          </cell>
        </row>
        <row r="347">
          <cell r="A347">
            <v>8132</v>
          </cell>
          <cell r="B347" t="str">
            <v>Excavation in Hard Rock 1.5m - 3.0 depth</v>
          </cell>
          <cell r="C347" t="str">
            <v>Cum</v>
          </cell>
          <cell r="D347">
            <v>49.1</v>
          </cell>
        </row>
        <row r="348">
          <cell r="A348">
            <v>8133</v>
          </cell>
          <cell r="B348" t="str">
            <v>Excavation in Hard Rock 3.0m - 5.0 depth</v>
          </cell>
          <cell r="C348" t="str">
            <v>Cum</v>
          </cell>
          <cell r="D348">
            <v>62.98</v>
          </cell>
        </row>
        <row r="349">
          <cell r="A349">
            <v>9101</v>
          </cell>
          <cell r="B349" t="str">
            <v>Disposal of Waste Water</v>
          </cell>
          <cell r="C349" t="str">
            <v>Cum</v>
          </cell>
          <cell r="D349">
            <v>2.5</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 (2)"/>
      <sheetName val="COm (2)"/>
      <sheetName val="BILL2 (2)"/>
      <sheetName val="BB2 (2)"/>
      <sheetName val="CR2 (2)"/>
      <sheetName val="Title"/>
      <sheetName val="Spe Anganvadi"/>
      <sheetName val="Anganvadi-35808"/>
      <sheetName val="COm"/>
      <sheetName val="BILL2"/>
      <sheetName val="BB2"/>
      <sheetName val="CR2"/>
      <sheetName val="Spe Kitt shed"/>
      <sheetName val="14324"/>
      <sheetName val="DATA-main"/>
      <sheetName val="Lead &amp; Rate "/>
      <sheetName val="Spec"/>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2"/>
      <sheetName val="Rate"/>
    </sheetNames>
    <sheetDataSet>
      <sheetData sheetId="0"/>
      <sheetData sheetId="1"/>
      <sheetData sheetId="2" refreshError="1">
        <row r="2">
          <cell r="A2">
            <v>1001</v>
          </cell>
          <cell r="B2" t="str">
            <v>Breaking &amp; Reinst., Main Road Surf.</v>
          </cell>
          <cell r="C2" t="str">
            <v>Sqm</v>
          </cell>
          <cell r="D2">
            <v>24.5</v>
          </cell>
          <cell r="E2">
            <v>24.5</v>
          </cell>
        </row>
        <row r="3">
          <cell r="A3">
            <v>1002</v>
          </cell>
          <cell r="B3" t="str">
            <v>Breaking &amp; Reinst., Sub Road Surf.</v>
          </cell>
          <cell r="C3" t="str">
            <v>Sqm</v>
          </cell>
          <cell r="D3">
            <v>21.17</v>
          </cell>
          <cell r="E3">
            <v>21.17</v>
          </cell>
        </row>
        <row r="4">
          <cell r="A4">
            <v>1003</v>
          </cell>
          <cell r="B4" t="str">
            <v>Reinstatement of Un-Paved Area</v>
          </cell>
          <cell r="C4" t="str">
            <v>Sqm</v>
          </cell>
          <cell r="D4">
            <v>7.8</v>
          </cell>
          <cell r="E4">
            <v>7.8</v>
          </cell>
        </row>
        <row r="5">
          <cell r="A5">
            <v>1006</v>
          </cell>
          <cell r="B5" t="str">
            <v>Breaking &amp; Reinst., Tiled Footway</v>
          </cell>
          <cell r="C5" t="str">
            <v>Sqm</v>
          </cell>
          <cell r="D5">
            <v>9.41</v>
          </cell>
          <cell r="E5">
            <v>9.43</v>
          </cell>
        </row>
        <row r="6">
          <cell r="A6">
            <v>1007</v>
          </cell>
          <cell r="B6" t="str">
            <v>Breaking &amp; Reinst., Asph. &amp;/ OR Concrete Footway</v>
          </cell>
          <cell r="C6" t="str">
            <v>Sqm</v>
          </cell>
          <cell r="D6">
            <v>8.3800000000000008</v>
          </cell>
          <cell r="E6">
            <v>8.39</v>
          </cell>
        </row>
        <row r="7">
          <cell r="A7">
            <v>1011</v>
          </cell>
          <cell r="B7" t="str">
            <v>Lean Mix Concrete Backfill</v>
          </cell>
          <cell r="C7" t="str">
            <v>Cum</v>
          </cell>
          <cell r="D7">
            <v>75</v>
          </cell>
          <cell r="E7">
            <v>75</v>
          </cell>
        </row>
        <row r="8">
          <cell r="A8">
            <v>1012</v>
          </cell>
          <cell r="B8" t="str">
            <v>Break &amp; Reinstate Concrete Steps</v>
          </cell>
          <cell r="C8" t="str">
            <v>LM</v>
          </cell>
          <cell r="D8">
            <v>127.71</v>
          </cell>
          <cell r="E8">
            <v>127.71</v>
          </cell>
        </row>
        <row r="9">
          <cell r="A9">
            <v>1013</v>
          </cell>
          <cell r="B9" t="str">
            <v>Break &amp; Reinstate Concrete Ramps</v>
          </cell>
          <cell r="C9" t="str">
            <v>Sqm</v>
          </cell>
          <cell r="D9">
            <v>51.17</v>
          </cell>
          <cell r="E9">
            <v>51.17</v>
          </cell>
        </row>
        <row r="10">
          <cell r="A10">
            <v>1014</v>
          </cell>
          <cell r="B10" t="str">
            <v>Break &amp; Reinstate Flower Beds</v>
          </cell>
          <cell r="C10" t="str">
            <v>Sqm</v>
          </cell>
          <cell r="D10">
            <v>150.41999999999999</v>
          </cell>
          <cell r="E10">
            <v>150.41999999999999</v>
          </cell>
        </row>
        <row r="11">
          <cell r="A11">
            <v>1015</v>
          </cell>
          <cell r="B11" t="str">
            <v>Break &amp; Reinstate Marble Steps</v>
          </cell>
          <cell r="C11" t="str">
            <v>LM</v>
          </cell>
          <cell r="D11">
            <v>195.63</v>
          </cell>
          <cell r="E11">
            <v>195.63</v>
          </cell>
        </row>
        <row r="12">
          <cell r="A12">
            <v>1016</v>
          </cell>
          <cell r="B12" t="str">
            <v>3 Meter, Milling and Paving</v>
          </cell>
          <cell r="C12" t="str">
            <v>Sqm</v>
          </cell>
          <cell r="D12">
            <v>9.01</v>
          </cell>
          <cell r="E12">
            <v>9.01</v>
          </cell>
        </row>
        <row r="13">
          <cell r="A13">
            <v>1021</v>
          </cell>
          <cell r="B13" t="str">
            <v>Concrete Protection Slab - Not Reinf.</v>
          </cell>
          <cell r="C13" t="str">
            <v>Sqm</v>
          </cell>
          <cell r="D13">
            <v>6.78</v>
          </cell>
          <cell r="E13">
            <v>6.38</v>
          </cell>
        </row>
        <row r="14">
          <cell r="A14">
            <v>1022</v>
          </cell>
          <cell r="B14" t="str">
            <v>Concrete Protection Slab - Steel Reinf.</v>
          </cell>
          <cell r="C14" t="str">
            <v>Sqm</v>
          </cell>
          <cell r="D14">
            <v>12.44</v>
          </cell>
          <cell r="E14">
            <v>11.7</v>
          </cell>
        </row>
        <row r="15">
          <cell r="A15">
            <v>1030</v>
          </cell>
          <cell r="B15" t="str">
            <v>Extra Depth</v>
          </cell>
          <cell r="C15" t="str">
            <v>Cum</v>
          </cell>
          <cell r="D15">
            <v>8.7100000000000009</v>
          </cell>
          <cell r="E15">
            <v>8.7100000000000009</v>
          </cell>
        </row>
        <row r="16">
          <cell r="A16">
            <v>1041</v>
          </cell>
          <cell r="B16" t="str">
            <v>Thrust Boring, 100mm dia. Steel Pipe</v>
          </cell>
          <cell r="C16" t="str">
            <v>M</v>
          </cell>
          <cell r="D16">
            <v>191.45</v>
          </cell>
          <cell r="E16">
            <v>191.46</v>
          </cell>
        </row>
        <row r="17">
          <cell r="A17">
            <v>1042</v>
          </cell>
          <cell r="B17" t="str">
            <v>Thrust Boring, 300mm dia. -   4 Ducts</v>
          </cell>
          <cell r="C17" t="str">
            <v>M</v>
          </cell>
          <cell r="D17">
            <v>352.87</v>
          </cell>
          <cell r="E17">
            <v>352.86</v>
          </cell>
        </row>
        <row r="18">
          <cell r="A18">
            <v>1043</v>
          </cell>
          <cell r="B18" t="str">
            <v>Thrust Boring, 100mm dia. -   8 Ducts</v>
          </cell>
          <cell r="C18" t="str">
            <v>M</v>
          </cell>
          <cell r="D18">
            <v>553.99</v>
          </cell>
          <cell r="E18">
            <v>553.99</v>
          </cell>
        </row>
        <row r="19">
          <cell r="A19">
            <v>1044</v>
          </cell>
          <cell r="B19" t="str">
            <v>Thrust Boring, 100mm dia. - 12 Ducts</v>
          </cell>
          <cell r="C19" t="str">
            <v>M</v>
          </cell>
          <cell r="D19">
            <v>634.29</v>
          </cell>
          <cell r="E19">
            <v>634.28</v>
          </cell>
        </row>
        <row r="20">
          <cell r="A20">
            <v>1045</v>
          </cell>
          <cell r="B20" t="str">
            <v>Thrust Boring, 100mm dia. - 16 Ducts</v>
          </cell>
          <cell r="C20" t="str">
            <v>M</v>
          </cell>
          <cell r="D20">
            <v>838.56</v>
          </cell>
          <cell r="E20">
            <v>838.55</v>
          </cell>
        </row>
        <row r="21">
          <cell r="A21">
            <v>1060</v>
          </cell>
          <cell r="B21" t="str">
            <v>Removing Debris and Spoil Heaps</v>
          </cell>
          <cell r="C21" t="str">
            <v>Cum</v>
          </cell>
          <cell r="D21">
            <v>0.87</v>
          </cell>
          <cell r="E21">
            <v>0.87</v>
          </cell>
        </row>
        <row r="22">
          <cell r="A22">
            <v>1081</v>
          </cell>
          <cell r="B22" t="str">
            <v>Setting-Up Well Point System</v>
          </cell>
          <cell r="C22" t="str">
            <v>Each</v>
          </cell>
          <cell r="D22">
            <v>1300</v>
          </cell>
        </row>
        <row r="23">
          <cell r="A23">
            <v>1082</v>
          </cell>
          <cell r="B23" t="str">
            <v>Operation of Well Point System</v>
          </cell>
          <cell r="C23" t="str">
            <v>Hr.</v>
          </cell>
          <cell r="D23">
            <v>76</v>
          </cell>
        </row>
        <row r="24">
          <cell r="A24">
            <v>1111</v>
          </cell>
          <cell r="B24" t="str">
            <v>Breaking Up Brick Walls</v>
          </cell>
          <cell r="C24" t="str">
            <v>Cum</v>
          </cell>
          <cell r="D24">
            <v>6.49</v>
          </cell>
          <cell r="E24">
            <v>6.49</v>
          </cell>
        </row>
        <row r="25">
          <cell r="A25">
            <v>1112</v>
          </cell>
          <cell r="B25" t="str">
            <v>Breaking Up Concrete Walls</v>
          </cell>
          <cell r="C25" t="str">
            <v>Cum</v>
          </cell>
          <cell r="D25">
            <v>8.65</v>
          </cell>
          <cell r="E25">
            <v>8.66</v>
          </cell>
        </row>
        <row r="26">
          <cell r="A26">
            <v>1113</v>
          </cell>
          <cell r="B26" t="str">
            <v>Breaking Up Reinf. Concrete Walls</v>
          </cell>
          <cell r="C26" t="str">
            <v>Cum</v>
          </cell>
          <cell r="D26">
            <v>9.74</v>
          </cell>
          <cell r="E26">
            <v>9.74</v>
          </cell>
        </row>
        <row r="27">
          <cell r="A27">
            <v>1202</v>
          </cell>
          <cell r="B27" t="str">
            <v>Conduit  2 Way PVC in Concrete</v>
          </cell>
          <cell r="C27" t="str">
            <v>M</v>
          </cell>
          <cell r="D27">
            <v>22.97</v>
          </cell>
          <cell r="E27">
            <v>22.97</v>
          </cell>
        </row>
        <row r="28">
          <cell r="A28">
            <v>1204</v>
          </cell>
          <cell r="B28" t="str">
            <v>Conduit  4 Way PVC in Concrete</v>
          </cell>
          <cell r="C28" t="str">
            <v>M</v>
          </cell>
          <cell r="D28">
            <v>32.799999999999997</v>
          </cell>
          <cell r="E28">
            <v>32.799999999999997</v>
          </cell>
        </row>
        <row r="29">
          <cell r="A29">
            <v>1206</v>
          </cell>
          <cell r="B29" t="str">
            <v>Conduit  6 Way PVC in Concrete</v>
          </cell>
          <cell r="C29" t="str">
            <v>M</v>
          </cell>
          <cell r="D29">
            <v>42.74</v>
          </cell>
          <cell r="E29">
            <v>42.74</v>
          </cell>
        </row>
        <row r="30">
          <cell r="A30">
            <v>1208</v>
          </cell>
          <cell r="B30" t="str">
            <v>Conduit  8 Way PVC in Concrete</v>
          </cell>
          <cell r="C30" t="str">
            <v>M</v>
          </cell>
          <cell r="D30">
            <v>52.82</v>
          </cell>
          <cell r="E30">
            <v>52.82</v>
          </cell>
        </row>
        <row r="31">
          <cell r="A31">
            <v>1212</v>
          </cell>
          <cell r="B31" t="str">
            <v>Conduit 12 Way PVC in Concrete</v>
          </cell>
          <cell r="C31" t="str">
            <v>M</v>
          </cell>
          <cell r="D31">
            <v>74.25</v>
          </cell>
          <cell r="E31">
            <v>74.25</v>
          </cell>
        </row>
        <row r="32">
          <cell r="A32">
            <v>1216</v>
          </cell>
          <cell r="B32" t="str">
            <v>Conduit 16 Way PVC in Concrete</v>
          </cell>
          <cell r="C32" t="str">
            <v>M</v>
          </cell>
          <cell r="D32">
            <v>96.36</v>
          </cell>
          <cell r="E32">
            <v>96.36</v>
          </cell>
        </row>
        <row r="33">
          <cell r="A33">
            <v>1220</v>
          </cell>
          <cell r="B33" t="str">
            <v>Conduit 20 Way PVC in Concrete</v>
          </cell>
          <cell r="C33" t="str">
            <v>M</v>
          </cell>
          <cell r="D33">
            <v>115.73</v>
          </cell>
          <cell r="E33">
            <v>115.73</v>
          </cell>
        </row>
        <row r="34">
          <cell r="A34">
            <v>1224</v>
          </cell>
          <cell r="B34" t="str">
            <v>Conduit 24 Way PVC in Concrete</v>
          </cell>
          <cell r="C34" t="str">
            <v>M</v>
          </cell>
          <cell r="D34">
            <v>135.28</v>
          </cell>
          <cell r="E34">
            <v>135.28</v>
          </cell>
        </row>
        <row r="35">
          <cell r="A35">
            <v>1228</v>
          </cell>
          <cell r="B35" t="str">
            <v>Conduit 28 Way PVC in Concrete</v>
          </cell>
          <cell r="C35" t="str">
            <v>M</v>
          </cell>
          <cell r="D35">
            <v>149.58000000000001</v>
          </cell>
          <cell r="E35">
            <v>149.58000000000001</v>
          </cell>
        </row>
        <row r="36">
          <cell r="A36">
            <v>1232</v>
          </cell>
          <cell r="B36" t="str">
            <v>Conduit 32 Way PVC in Concrete</v>
          </cell>
          <cell r="C36" t="str">
            <v>M</v>
          </cell>
          <cell r="D36">
            <v>167.38</v>
          </cell>
          <cell r="E36">
            <v>167.38</v>
          </cell>
        </row>
        <row r="37">
          <cell r="A37">
            <v>1236</v>
          </cell>
          <cell r="B37" t="str">
            <v>Conduit 36 Way PVC in Concrete</v>
          </cell>
          <cell r="C37" t="str">
            <v>M</v>
          </cell>
          <cell r="D37">
            <v>190.33</v>
          </cell>
          <cell r="E37">
            <v>190.33</v>
          </cell>
        </row>
        <row r="38">
          <cell r="A38">
            <v>1240</v>
          </cell>
          <cell r="B38" t="str">
            <v>Conduit 40 Way PVC in Concrete</v>
          </cell>
          <cell r="C38" t="str">
            <v>M</v>
          </cell>
          <cell r="D38">
            <v>209.38</v>
          </cell>
          <cell r="E38">
            <v>209.38</v>
          </cell>
        </row>
        <row r="39">
          <cell r="A39">
            <v>1244</v>
          </cell>
          <cell r="B39" t="str">
            <v>Conduit 44 Way PVC in Concrete</v>
          </cell>
          <cell r="C39" t="str">
            <v>M</v>
          </cell>
          <cell r="D39">
            <v>228.3</v>
          </cell>
          <cell r="E39">
            <v>228.3</v>
          </cell>
        </row>
        <row r="40">
          <cell r="A40">
            <v>1248</v>
          </cell>
          <cell r="B40" t="str">
            <v>Conduit 48 Way PVC in Concrete</v>
          </cell>
          <cell r="C40" t="str">
            <v>M</v>
          </cell>
          <cell r="D40">
            <v>244.34</v>
          </cell>
          <cell r="E40">
            <v>244.34</v>
          </cell>
        </row>
        <row r="41">
          <cell r="A41">
            <v>1261</v>
          </cell>
          <cell r="B41" t="str">
            <v>Bends in Concr. &lt;12m, &gt;2m Radius</v>
          </cell>
          <cell r="C41" t="str">
            <v>Each</v>
          </cell>
          <cell r="D41">
            <v>45.22</v>
          </cell>
          <cell r="E41">
            <v>42.56</v>
          </cell>
        </row>
        <row r="42">
          <cell r="A42">
            <v>1262</v>
          </cell>
          <cell r="B42" t="str">
            <v>Bends in Concr. 2m OR Less Radius</v>
          </cell>
          <cell r="C42" t="str">
            <v>Each</v>
          </cell>
          <cell r="D42">
            <v>20.010000000000002</v>
          </cell>
          <cell r="E42">
            <v>18.82</v>
          </cell>
        </row>
        <row r="43">
          <cell r="A43">
            <v>1281</v>
          </cell>
          <cell r="B43" t="str">
            <v>Conduit Syst. Encase in Reinf. Concrete</v>
          </cell>
          <cell r="C43" t="str">
            <v>M</v>
          </cell>
          <cell r="D43">
            <v>9.0399999999999991</v>
          </cell>
          <cell r="E43">
            <v>8.51</v>
          </cell>
        </row>
        <row r="44">
          <cell r="A44">
            <v>1291</v>
          </cell>
          <cell r="B44" t="str">
            <v>Steel Pipe in Concrete</v>
          </cell>
          <cell r="C44" t="str">
            <v>M</v>
          </cell>
          <cell r="D44">
            <v>19.86</v>
          </cell>
          <cell r="E44">
            <v>18.690000000000001</v>
          </cell>
        </row>
        <row r="45">
          <cell r="A45">
            <v>1302</v>
          </cell>
          <cell r="B45" t="str">
            <v xml:space="preserve"> 2 Way PVC Duct in Sand</v>
          </cell>
          <cell r="C45" t="str">
            <v>M</v>
          </cell>
          <cell r="D45">
            <v>13.88</v>
          </cell>
          <cell r="E45">
            <v>13.88</v>
          </cell>
        </row>
        <row r="46">
          <cell r="A46">
            <v>1304</v>
          </cell>
          <cell r="B46" t="str">
            <v xml:space="preserve"> 4 Way PVC Duct in Sand</v>
          </cell>
          <cell r="C46" t="str">
            <v>M</v>
          </cell>
          <cell r="D46">
            <v>18.100000000000001</v>
          </cell>
          <cell r="E46">
            <v>17.02</v>
          </cell>
        </row>
        <row r="47">
          <cell r="A47">
            <v>1306</v>
          </cell>
          <cell r="B47" t="str">
            <v xml:space="preserve"> 6 Way PVC Duct in Sand</v>
          </cell>
          <cell r="C47" t="str">
            <v>M</v>
          </cell>
          <cell r="D47">
            <v>21.42</v>
          </cell>
          <cell r="E47">
            <v>20.16</v>
          </cell>
        </row>
        <row r="48">
          <cell r="A48">
            <v>1308</v>
          </cell>
          <cell r="B48" t="str">
            <v xml:space="preserve"> 8 Way PVC Duct in Sand</v>
          </cell>
          <cell r="C48" t="str">
            <v>M</v>
          </cell>
          <cell r="D48">
            <v>26.19</v>
          </cell>
          <cell r="E48">
            <v>24.65</v>
          </cell>
        </row>
        <row r="49">
          <cell r="A49">
            <v>1310</v>
          </cell>
          <cell r="B49" t="str">
            <v>10 Way PVC Duct in Sand</v>
          </cell>
          <cell r="C49" t="str">
            <v>M</v>
          </cell>
          <cell r="D49">
            <v>30.94</v>
          </cell>
          <cell r="E49">
            <v>29.12</v>
          </cell>
        </row>
        <row r="50">
          <cell r="A50">
            <v>1312</v>
          </cell>
          <cell r="B50" t="str">
            <v>12 Way PVC Duct in Sand</v>
          </cell>
          <cell r="C50" t="str">
            <v>M</v>
          </cell>
          <cell r="D50">
            <v>35.93</v>
          </cell>
          <cell r="E50">
            <v>33.82</v>
          </cell>
        </row>
        <row r="51">
          <cell r="A51">
            <v>1361</v>
          </cell>
          <cell r="B51" t="str">
            <v xml:space="preserve">Bends in Sand &lt;12m,&gt;2m Radius </v>
          </cell>
          <cell r="C51" t="str">
            <v>Each</v>
          </cell>
          <cell r="D51">
            <v>35.82</v>
          </cell>
          <cell r="E51">
            <v>35.82</v>
          </cell>
        </row>
        <row r="52">
          <cell r="A52">
            <v>1362</v>
          </cell>
          <cell r="B52" t="str">
            <v>Bends in Sand 2m OR Less Radius</v>
          </cell>
          <cell r="C52" t="str">
            <v>Each</v>
          </cell>
          <cell r="D52">
            <v>14.57</v>
          </cell>
          <cell r="E52">
            <v>14.57</v>
          </cell>
        </row>
        <row r="53">
          <cell r="A53">
            <v>1401</v>
          </cell>
          <cell r="B53" t="str">
            <v>Supply and Inst. Manhole, Type "A"</v>
          </cell>
          <cell r="C53" t="str">
            <v>Each</v>
          </cell>
          <cell r="D53">
            <v>4112.0200000000004</v>
          </cell>
          <cell r="E53">
            <v>4112.0200000000004</v>
          </cell>
        </row>
        <row r="54">
          <cell r="A54">
            <v>1402</v>
          </cell>
          <cell r="B54" t="str">
            <v>Supply and Inst. Manhole, Type "B"</v>
          </cell>
          <cell r="C54" t="str">
            <v>Each</v>
          </cell>
          <cell r="D54">
            <v>4587.6099999999997</v>
          </cell>
          <cell r="E54">
            <v>4857.6099999999997</v>
          </cell>
        </row>
        <row r="55">
          <cell r="A55">
            <v>1403</v>
          </cell>
          <cell r="B55" t="str">
            <v>Supply and Inst. Manhole, Type "C"</v>
          </cell>
          <cell r="C55" t="str">
            <v>Each</v>
          </cell>
          <cell r="D55">
            <v>6310.93</v>
          </cell>
          <cell r="E55">
            <v>6310.93</v>
          </cell>
        </row>
        <row r="56">
          <cell r="A56">
            <v>1404</v>
          </cell>
          <cell r="B56" t="str">
            <v>Supply and Inst. Manhole, Type "D"</v>
          </cell>
          <cell r="C56" t="str">
            <v>Each</v>
          </cell>
          <cell r="D56">
            <v>5224.76</v>
          </cell>
          <cell r="E56">
            <v>5227.76</v>
          </cell>
        </row>
        <row r="57">
          <cell r="A57">
            <v>1412</v>
          </cell>
          <cell r="B57" t="str">
            <v>Supply and Inst. Handhole, 2 Cover</v>
          </cell>
          <cell r="C57" t="str">
            <v>Each</v>
          </cell>
          <cell r="D57">
            <v>538</v>
          </cell>
          <cell r="E57">
            <v>506.18</v>
          </cell>
        </row>
        <row r="58">
          <cell r="A58">
            <v>1413</v>
          </cell>
          <cell r="B58" t="str">
            <v>Supply and Inst. Handhole, 3 Cover</v>
          </cell>
          <cell r="C58" t="str">
            <v>Each</v>
          </cell>
          <cell r="D58">
            <v>881.89</v>
          </cell>
          <cell r="E58">
            <v>783.91</v>
          </cell>
        </row>
        <row r="59">
          <cell r="A59">
            <v>1414</v>
          </cell>
          <cell r="B59" t="str">
            <v>Supply and Inst. Handhole, 4 Cover</v>
          </cell>
          <cell r="C59" t="str">
            <v>Each</v>
          </cell>
          <cell r="D59">
            <v>1310.24</v>
          </cell>
          <cell r="E59">
            <v>1164.55</v>
          </cell>
        </row>
        <row r="60">
          <cell r="A60">
            <v>1421</v>
          </cell>
          <cell r="B60" t="str">
            <v>Constr., In-Situ Built Manhole "A"</v>
          </cell>
          <cell r="C60" t="str">
            <v>Each</v>
          </cell>
          <cell r="D60">
            <v>3127.76</v>
          </cell>
          <cell r="E60">
            <v>2780.24</v>
          </cell>
        </row>
        <row r="61">
          <cell r="A61">
            <v>1422</v>
          </cell>
          <cell r="B61" t="str">
            <v>Constr., In-Situ Built Manhole "B"</v>
          </cell>
          <cell r="C61" t="str">
            <v>Each</v>
          </cell>
          <cell r="D61">
            <v>3896.27</v>
          </cell>
          <cell r="E61">
            <v>3463.35</v>
          </cell>
        </row>
        <row r="62">
          <cell r="A62">
            <v>1423</v>
          </cell>
          <cell r="B62" t="str">
            <v>Constr., In-Situ Built Manhole "C"</v>
          </cell>
          <cell r="C62" t="str">
            <v>Each</v>
          </cell>
          <cell r="D62">
            <v>4574.62</v>
          </cell>
          <cell r="E62">
            <v>4066.33</v>
          </cell>
        </row>
        <row r="63">
          <cell r="A63">
            <v>1424</v>
          </cell>
          <cell r="B63" t="str">
            <v>Constr., In-Situ Built Manhole "D"</v>
          </cell>
          <cell r="C63" t="str">
            <v>Each</v>
          </cell>
          <cell r="D63">
            <v>5957.64</v>
          </cell>
          <cell r="E63">
            <v>5295.69</v>
          </cell>
        </row>
        <row r="64">
          <cell r="A64">
            <v>1425</v>
          </cell>
          <cell r="B64" t="str">
            <v>In-Situ Construction of MH Type "IIL"</v>
          </cell>
          <cell r="C64" t="str">
            <v>Each</v>
          </cell>
          <cell r="D64">
            <v>5375</v>
          </cell>
        </row>
        <row r="65">
          <cell r="A65">
            <v>1426</v>
          </cell>
          <cell r="B65" t="str">
            <v>In-Situ Construction of MH Type "4T"</v>
          </cell>
          <cell r="C65" t="str">
            <v>Each</v>
          </cell>
          <cell r="D65">
            <v>11000</v>
          </cell>
        </row>
        <row r="66">
          <cell r="A66">
            <v>1451</v>
          </cell>
          <cell r="B66" t="str">
            <v>In-Situ Contr. Of Replmnt. MH Type "A"</v>
          </cell>
          <cell r="C66" t="str">
            <v>Each</v>
          </cell>
          <cell r="D66">
            <v>8032.98</v>
          </cell>
          <cell r="E66">
            <v>8032.98</v>
          </cell>
        </row>
        <row r="67">
          <cell r="A67">
            <v>1452</v>
          </cell>
          <cell r="B67" t="str">
            <v>In-Situ Contr. Of Replmnt. MH Type "B"</v>
          </cell>
          <cell r="C67" t="str">
            <v>Each</v>
          </cell>
          <cell r="D67">
            <v>9692.4699999999993</v>
          </cell>
          <cell r="E67">
            <v>9692.4699999999993</v>
          </cell>
        </row>
        <row r="68">
          <cell r="A68">
            <v>1453</v>
          </cell>
          <cell r="B68" t="str">
            <v>In-Situ Contr. Of Replmnt. MH Type "C"</v>
          </cell>
          <cell r="C68" t="str">
            <v>Each</v>
          </cell>
          <cell r="D68">
            <v>9775.98</v>
          </cell>
          <cell r="E68">
            <v>9775.98</v>
          </cell>
        </row>
        <row r="69">
          <cell r="A69">
            <v>1454</v>
          </cell>
          <cell r="B69" t="str">
            <v>In-Situ Contr. Of Replmnt. MH Type "D"</v>
          </cell>
          <cell r="C69" t="str">
            <v>Each</v>
          </cell>
          <cell r="D69">
            <v>13286.11</v>
          </cell>
          <cell r="E69">
            <v>13286.11</v>
          </cell>
        </row>
        <row r="70">
          <cell r="A70">
            <v>1501</v>
          </cell>
          <cell r="B70" t="str">
            <v>Cable Box Bridge crossing, 80x80mm</v>
          </cell>
          <cell r="C70" t="str">
            <v>M</v>
          </cell>
          <cell r="D70">
            <v>15.12</v>
          </cell>
          <cell r="E70">
            <v>13.46</v>
          </cell>
        </row>
        <row r="71">
          <cell r="A71">
            <v>1502</v>
          </cell>
          <cell r="B71" t="str">
            <v>Cable Box Bridge crossing, 120x120mm</v>
          </cell>
          <cell r="C71" t="str">
            <v>M</v>
          </cell>
          <cell r="D71">
            <v>21.43</v>
          </cell>
          <cell r="E71">
            <v>19.05</v>
          </cell>
        </row>
        <row r="72">
          <cell r="A72">
            <v>1512</v>
          </cell>
          <cell r="B72" t="str">
            <v>2 Way Steel Pipe Bridge Crossing</v>
          </cell>
          <cell r="C72" t="str">
            <v>M</v>
          </cell>
          <cell r="D72">
            <v>25.8</v>
          </cell>
          <cell r="E72">
            <v>22.94</v>
          </cell>
        </row>
        <row r="73">
          <cell r="A73">
            <v>1514</v>
          </cell>
          <cell r="B73" t="str">
            <v>4 Way Steel Pipe Bridge Crossing</v>
          </cell>
          <cell r="C73" t="str">
            <v>M</v>
          </cell>
          <cell r="D73">
            <v>44.2</v>
          </cell>
          <cell r="E73">
            <v>39.29</v>
          </cell>
        </row>
        <row r="74">
          <cell r="A74">
            <v>1516</v>
          </cell>
          <cell r="B74" t="str">
            <v>6 Way Steel Pipe Bridge Crossing</v>
          </cell>
          <cell r="C74" t="str">
            <v>M</v>
          </cell>
          <cell r="D74">
            <v>61.8</v>
          </cell>
          <cell r="E74">
            <v>54.93</v>
          </cell>
        </row>
        <row r="75">
          <cell r="A75">
            <v>1561</v>
          </cell>
          <cell r="B75" t="str">
            <v>Supply &amp; Install  300  Pair Cabinet Base</v>
          </cell>
          <cell r="C75" t="str">
            <v>Each</v>
          </cell>
          <cell r="D75">
            <v>243.18</v>
          </cell>
        </row>
        <row r="76">
          <cell r="A76">
            <v>1562</v>
          </cell>
          <cell r="B76" t="str">
            <v>Supply &amp; Install  900  Pair Cabinet Base</v>
          </cell>
          <cell r="C76" t="str">
            <v>Each</v>
          </cell>
          <cell r="D76">
            <v>292.99</v>
          </cell>
        </row>
        <row r="77">
          <cell r="A77">
            <v>1563</v>
          </cell>
          <cell r="B77" t="str">
            <v>Supply &amp; Install 1200 Pair Cabinet Base</v>
          </cell>
          <cell r="C77" t="str">
            <v>Each</v>
          </cell>
          <cell r="D77">
            <v>322.39999999999998</v>
          </cell>
        </row>
        <row r="78">
          <cell r="A78">
            <v>1566</v>
          </cell>
          <cell r="B78" t="str">
            <v>Construct. In-Situ Cncrete HRISLU Base</v>
          </cell>
          <cell r="C78" t="str">
            <v>Each</v>
          </cell>
          <cell r="D78">
            <v>4452.53</v>
          </cell>
        </row>
        <row r="79">
          <cell r="A79">
            <v>1568</v>
          </cell>
          <cell r="B79" t="str">
            <v>Supply &amp; Install Electronic Cabinet Base</v>
          </cell>
          <cell r="C79" t="str">
            <v>Each</v>
          </cell>
          <cell r="D79">
            <v>353</v>
          </cell>
        </row>
        <row r="80">
          <cell r="A80">
            <v>1581</v>
          </cell>
          <cell r="B80" t="str">
            <v>Supply &amp; Install Protection Post 150mm</v>
          </cell>
          <cell r="C80" t="str">
            <v>Each</v>
          </cell>
          <cell r="D80">
            <v>50.43</v>
          </cell>
        </row>
        <row r="81">
          <cell r="A81">
            <v>1582</v>
          </cell>
          <cell r="B81" t="str">
            <v>Supply &amp; Install Protection Post 300mm</v>
          </cell>
          <cell r="C81" t="str">
            <v>Each</v>
          </cell>
          <cell r="D81">
            <v>46.24</v>
          </cell>
          <cell r="E81">
            <v>46.24</v>
          </cell>
        </row>
        <row r="82">
          <cell r="A82">
            <v>1583</v>
          </cell>
          <cell r="B82" t="str">
            <v>Supply &amp; Install Protection Post 1000mm</v>
          </cell>
          <cell r="C82" t="str">
            <v>Each</v>
          </cell>
          <cell r="D82">
            <v>59.19</v>
          </cell>
          <cell r="E82">
            <v>59.19</v>
          </cell>
        </row>
        <row r="83">
          <cell r="A83">
            <v>1701</v>
          </cell>
          <cell r="B83" t="str">
            <v>Wall Fixed Horizontal Jointing Rack</v>
          </cell>
          <cell r="C83" t="str">
            <v>M</v>
          </cell>
          <cell r="D83">
            <v>25.21</v>
          </cell>
          <cell r="E83">
            <v>22.41</v>
          </cell>
        </row>
        <row r="84">
          <cell r="A84">
            <v>1702</v>
          </cell>
          <cell r="B84" t="str">
            <v>Wall Fixed Vertical Jointing Rack</v>
          </cell>
          <cell r="C84" t="str">
            <v>M</v>
          </cell>
          <cell r="D84">
            <v>15.12</v>
          </cell>
          <cell r="E84">
            <v>13.46</v>
          </cell>
        </row>
        <row r="85">
          <cell r="A85">
            <v>1703</v>
          </cell>
          <cell r="B85" t="str">
            <v>Floor/Ceiling Fixed Horizontal Jointing Rack</v>
          </cell>
          <cell r="C85" t="str">
            <v>M</v>
          </cell>
          <cell r="D85">
            <v>30.25</v>
          </cell>
          <cell r="E85">
            <v>26.89</v>
          </cell>
        </row>
        <row r="86">
          <cell r="A86">
            <v>1704</v>
          </cell>
          <cell r="B86" t="str">
            <v>Floor/Ceiling Fixed Vertical Jointing Rack</v>
          </cell>
          <cell r="C86" t="str">
            <v>M</v>
          </cell>
          <cell r="D86">
            <v>27.71</v>
          </cell>
          <cell r="E86">
            <v>24.64</v>
          </cell>
        </row>
        <row r="87">
          <cell r="A87">
            <v>1711</v>
          </cell>
          <cell r="B87" t="str">
            <v>Floor Wall Fixed Outdoor Cable Supply Ladders</v>
          </cell>
          <cell r="C87" t="str">
            <v>M</v>
          </cell>
          <cell r="D87">
            <v>37.799999999999997</v>
          </cell>
          <cell r="E87">
            <v>33.6</v>
          </cell>
        </row>
        <row r="88">
          <cell r="A88">
            <v>1721</v>
          </cell>
          <cell r="B88" t="str">
            <v>Hor/Vert Indoor Cable Ladder or Tray</v>
          </cell>
          <cell r="C88" t="str">
            <v>M</v>
          </cell>
          <cell r="D88">
            <v>35.270000000000003</v>
          </cell>
          <cell r="E88">
            <v>31.35</v>
          </cell>
        </row>
        <row r="89">
          <cell r="A89">
            <v>1731</v>
          </cell>
          <cell r="B89" t="str">
            <v>Wall Fixed Cable Bracket - 1000mm</v>
          </cell>
          <cell r="C89" t="str">
            <v>Each</v>
          </cell>
          <cell r="D89">
            <v>6.3</v>
          </cell>
          <cell r="E89">
            <v>5.61</v>
          </cell>
        </row>
        <row r="90">
          <cell r="A90">
            <v>1732</v>
          </cell>
          <cell r="B90" t="str">
            <v>Wall Fixed Cable Bracket - 1500mm</v>
          </cell>
          <cell r="C90" t="str">
            <v>Each</v>
          </cell>
          <cell r="D90">
            <v>8.06</v>
          </cell>
          <cell r="E90">
            <v>7.18</v>
          </cell>
        </row>
        <row r="91">
          <cell r="A91">
            <v>1733</v>
          </cell>
          <cell r="B91" t="str">
            <v>Wall Fixed Cable Bracket - 1800mm</v>
          </cell>
          <cell r="C91" t="str">
            <v>Each</v>
          </cell>
          <cell r="D91">
            <v>9.84</v>
          </cell>
          <cell r="E91">
            <v>8.74</v>
          </cell>
        </row>
        <row r="92">
          <cell r="A92">
            <v>1734</v>
          </cell>
          <cell r="B92" t="str">
            <v>Wall Fixed Cable Bracket - 2300mm</v>
          </cell>
          <cell r="C92" t="str">
            <v>Each</v>
          </cell>
          <cell r="D92">
            <v>11.59</v>
          </cell>
          <cell r="E92">
            <v>10.3</v>
          </cell>
        </row>
        <row r="93">
          <cell r="A93">
            <v>1741</v>
          </cell>
          <cell r="B93" t="str">
            <v>Standard Bearer - 250mm</v>
          </cell>
          <cell r="C93" t="str">
            <v>Each</v>
          </cell>
          <cell r="D93">
            <v>10.08</v>
          </cell>
          <cell r="E93">
            <v>10.08</v>
          </cell>
        </row>
        <row r="94">
          <cell r="A94">
            <v>1742</v>
          </cell>
          <cell r="B94" t="str">
            <v>Standard Bearer - 350mm</v>
          </cell>
          <cell r="C94" t="str">
            <v>Each</v>
          </cell>
          <cell r="D94">
            <v>15.67</v>
          </cell>
          <cell r="E94">
            <v>15.67</v>
          </cell>
        </row>
        <row r="95">
          <cell r="A95">
            <v>1743</v>
          </cell>
          <cell r="B95" t="str">
            <v>Standard Bearer - 500mm</v>
          </cell>
          <cell r="C95" t="str">
            <v>Each</v>
          </cell>
          <cell r="D95">
            <v>20.16</v>
          </cell>
          <cell r="E95">
            <v>20.149999999999999</v>
          </cell>
        </row>
        <row r="96">
          <cell r="A96">
            <v>1750</v>
          </cell>
          <cell r="B96" t="str">
            <v>Standard MDF Extension</v>
          </cell>
          <cell r="C96" t="str">
            <v>Ea.V</v>
          </cell>
          <cell r="D96">
            <v>3180.41</v>
          </cell>
        </row>
        <row r="97">
          <cell r="A97">
            <v>1761</v>
          </cell>
          <cell r="B97" t="str">
            <v>Cable Access Hole To MDF</v>
          </cell>
          <cell r="C97" t="str">
            <v>Each</v>
          </cell>
          <cell r="D97">
            <v>95.18</v>
          </cell>
          <cell r="E97">
            <v>89.56</v>
          </cell>
        </row>
        <row r="98">
          <cell r="A98">
            <v>1762</v>
          </cell>
          <cell r="B98" t="str">
            <v>Cut Access Hole thru block wall</v>
          </cell>
          <cell r="C98" t="str">
            <v>Cum</v>
          </cell>
          <cell r="D98">
            <v>92.54</v>
          </cell>
          <cell r="E98">
            <v>44.79</v>
          </cell>
        </row>
        <row r="99">
          <cell r="A99">
            <v>1763</v>
          </cell>
          <cell r="B99" t="str">
            <v>Cut Cable Access Hole thru Concre Wall</v>
          </cell>
          <cell r="C99" t="str">
            <v>Cum</v>
          </cell>
          <cell r="D99">
            <v>75.58</v>
          </cell>
          <cell r="E99">
            <v>67.19</v>
          </cell>
        </row>
        <row r="100">
          <cell r="A100">
            <v>1771</v>
          </cell>
          <cell r="B100" t="str">
            <v>New Duct Entries to cab. Vlt. 1-5 Ways</v>
          </cell>
          <cell r="C100" t="str">
            <v>Each</v>
          </cell>
          <cell r="D100">
            <v>75.58</v>
          </cell>
          <cell r="E100">
            <v>67.19</v>
          </cell>
        </row>
        <row r="101">
          <cell r="A101">
            <v>1781</v>
          </cell>
          <cell r="B101" t="str">
            <v>Install Addl  6   Way Duct Entry</v>
          </cell>
          <cell r="C101" t="str">
            <v>Each</v>
          </cell>
          <cell r="D101">
            <v>62.99</v>
          </cell>
          <cell r="E101">
            <v>56</v>
          </cell>
        </row>
        <row r="102">
          <cell r="A102">
            <v>1782</v>
          </cell>
          <cell r="B102" t="str">
            <v>Install Addl  8   Way Duct Entry</v>
          </cell>
          <cell r="C102" t="str">
            <v>Each</v>
          </cell>
          <cell r="D102">
            <v>75.58</v>
          </cell>
          <cell r="E102">
            <v>67.180000000000007</v>
          </cell>
        </row>
        <row r="103">
          <cell r="A103">
            <v>1783</v>
          </cell>
          <cell r="B103" t="str">
            <v>Install Addl 12  Way Duct Entry</v>
          </cell>
          <cell r="C103" t="str">
            <v>Each</v>
          </cell>
          <cell r="D103">
            <v>88.17</v>
          </cell>
          <cell r="E103">
            <v>78.37</v>
          </cell>
        </row>
        <row r="104">
          <cell r="A104">
            <v>1784</v>
          </cell>
          <cell r="B104" t="str">
            <v>Install Addl 16  Way Duct Entry</v>
          </cell>
          <cell r="C104" t="str">
            <v>Each</v>
          </cell>
          <cell r="D104">
            <v>120.94</v>
          </cell>
          <cell r="E104">
            <v>107.5</v>
          </cell>
        </row>
        <row r="105">
          <cell r="A105">
            <v>1785</v>
          </cell>
          <cell r="B105" t="str">
            <v>Install Addl 20  Way Duct Entry</v>
          </cell>
          <cell r="C105" t="str">
            <v>Each</v>
          </cell>
          <cell r="D105">
            <v>133.54</v>
          </cell>
          <cell r="E105">
            <v>118.7</v>
          </cell>
        </row>
        <row r="106">
          <cell r="A106">
            <v>1786</v>
          </cell>
          <cell r="B106" t="str">
            <v>Install Addl 24  Way Duct Entry</v>
          </cell>
          <cell r="C106" t="str">
            <v>Each</v>
          </cell>
          <cell r="D106">
            <v>146.15</v>
          </cell>
          <cell r="E106">
            <v>129.91</v>
          </cell>
        </row>
        <row r="107">
          <cell r="A107">
            <v>1803</v>
          </cell>
          <cell r="B107" t="str">
            <v>Supply And Install Steel Pole, 10m</v>
          </cell>
          <cell r="C107" t="str">
            <v>Each</v>
          </cell>
          <cell r="D107">
            <v>252.33</v>
          </cell>
        </row>
        <row r="108">
          <cell r="A108">
            <v>1841</v>
          </cell>
          <cell r="B108" t="str">
            <v>Install Steel Pole on Hard Rock</v>
          </cell>
          <cell r="C108" t="str">
            <v>Each</v>
          </cell>
          <cell r="D108">
            <v>87.1</v>
          </cell>
        </row>
        <row r="109">
          <cell r="A109">
            <v>1851</v>
          </cell>
          <cell r="B109" t="str">
            <v>Supply And Install Earth Syst. Steel Pole</v>
          </cell>
          <cell r="C109" t="str">
            <v>Each</v>
          </cell>
          <cell r="D109">
            <v>118.56</v>
          </cell>
        </row>
        <row r="110">
          <cell r="A110">
            <v>2001</v>
          </cell>
          <cell r="B110" t="str">
            <v>Cable Trench, 500mm Cover</v>
          </cell>
          <cell r="C110" t="str">
            <v>M</v>
          </cell>
          <cell r="D110">
            <v>2.06</v>
          </cell>
          <cell r="E110">
            <v>2.17</v>
          </cell>
        </row>
        <row r="111">
          <cell r="A111">
            <v>2003</v>
          </cell>
          <cell r="B111" t="str">
            <v>Cable Trench, 720mm Cover</v>
          </cell>
          <cell r="C111" t="str">
            <v>M</v>
          </cell>
          <cell r="D111">
            <v>2.78</v>
          </cell>
          <cell r="E111">
            <v>2.78</v>
          </cell>
        </row>
        <row r="112">
          <cell r="A112">
            <v>2004</v>
          </cell>
          <cell r="B112" t="str">
            <v>Cable Trench, 1000mm Cover</v>
          </cell>
          <cell r="C112" t="str">
            <v>M</v>
          </cell>
          <cell r="D112">
            <v>3.39</v>
          </cell>
          <cell r="E112">
            <v>3.39</v>
          </cell>
        </row>
        <row r="113">
          <cell r="A113">
            <v>2005</v>
          </cell>
          <cell r="B113" t="str">
            <v>Cable Trench, 800mm Cover</v>
          </cell>
          <cell r="C113" t="str">
            <v>M</v>
          </cell>
          <cell r="D113">
            <v>11.81</v>
          </cell>
          <cell r="E113">
            <v>11.81</v>
          </cell>
        </row>
        <row r="114">
          <cell r="A114">
            <v>2006</v>
          </cell>
          <cell r="B114" t="str">
            <v>Cable Trench, 1200mm Cover</v>
          </cell>
          <cell r="C114" t="str">
            <v>M</v>
          </cell>
          <cell r="D114">
            <v>3.88</v>
          </cell>
          <cell r="E114">
            <v>3.88</v>
          </cell>
        </row>
        <row r="115">
          <cell r="A115">
            <v>2011</v>
          </cell>
          <cell r="B115" t="str">
            <v>Trench O. Exist. Route Depth to 600mm</v>
          </cell>
          <cell r="C115" t="str">
            <v>M</v>
          </cell>
          <cell r="D115">
            <v>3.9</v>
          </cell>
          <cell r="E115">
            <v>3.55</v>
          </cell>
        </row>
        <row r="116">
          <cell r="A116">
            <v>2012</v>
          </cell>
          <cell r="B116" t="str">
            <v>Trench O. Exist. Route &gt;600mm -  800mm</v>
          </cell>
          <cell r="C116" t="str">
            <v>M</v>
          </cell>
          <cell r="D116">
            <v>4.33</v>
          </cell>
          <cell r="E116">
            <v>4.03</v>
          </cell>
        </row>
        <row r="117">
          <cell r="A117">
            <v>2014</v>
          </cell>
          <cell r="B117" t="str">
            <v>Exist. Route Depth &gt;1000mm-1200mm. Std. Width 400mm</v>
          </cell>
          <cell r="C117" t="str">
            <v>M</v>
          </cell>
          <cell r="D117">
            <v>6.5</v>
          </cell>
        </row>
        <row r="118">
          <cell r="A118">
            <v>2017</v>
          </cell>
          <cell r="B118" t="str">
            <v>Excavation of Jointing Pit Over Existing Cable</v>
          </cell>
          <cell r="C118" t="str">
            <v>Each</v>
          </cell>
          <cell r="D118">
            <v>66.010000000000005</v>
          </cell>
        </row>
        <row r="119">
          <cell r="A119">
            <v>2101</v>
          </cell>
          <cell r="B119" t="str">
            <v>Inst. Direct buried Cable Group 1</v>
          </cell>
          <cell r="C119" t="str">
            <v>M</v>
          </cell>
          <cell r="D119">
            <v>0.56000000000000005</v>
          </cell>
        </row>
        <row r="120">
          <cell r="A120">
            <v>2102</v>
          </cell>
          <cell r="B120" t="str">
            <v>Inst. Direct buried Cable Group 2</v>
          </cell>
          <cell r="C120" t="str">
            <v>M</v>
          </cell>
          <cell r="D120">
            <v>0.57999999999999996</v>
          </cell>
        </row>
        <row r="121">
          <cell r="A121">
            <v>2103</v>
          </cell>
          <cell r="B121" t="str">
            <v>Inst. Direct buried Cable Group 3</v>
          </cell>
          <cell r="C121" t="str">
            <v>M</v>
          </cell>
          <cell r="D121">
            <v>0.6</v>
          </cell>
        </row>
        <row r="122">
          <cell r="A122">
            <v>2104</v>
          </cell>
          <cell r="B122" t="str">
            <v>Inst. Direct buried Cable Group 4</v>
          </cell>
          <cell r="C122" t="str">
            <v>M</v>
          </cell>
          <cell r="D122">
            <v>0.76</v>
          </cell>
        </row>
        <row r="123">
          <cell r="A123">
            <v>2109</v>
          </cell>
          <cell r="B123" t="str">
            <v>Inst. Buried Service Wire in Open Trench</v>
          </cell>
          <cell r="C123" t="str">
            <v>M</v>
          </cell>
          <cell r="D123">
            <v>0.25</v>
          </cell>
        </row>
        <row r="124">
          <cell r="A124">
            <v>2121</v>
          </cell>
          <cell r="B124" t="str">
            <v>Inst. Lightn. Prot. Wire in Open Trench</v>
          </cell>
          <cell r="C124" t="str">
            <v>M</v>
          </cell>
          <cell r="D124">
            <v>1.06</v>
          </cell>
        </row>
        <row r="125">
          <cell r="A125">
            <v>2131</v>
          </cell>
          <cell r="B125" t="str">
            <v>Inst.Optical Fiber Cable Group1-3</v>
          </cell>
          <cell r="C125" t="str">
            <v>M</v>
          </cell>
          <cell r="D125">
            <v>2.4300000000000002</v>
          </cell>
          <cell r="E125">
            <v>2.59</v>
          </cell>
        </row>
        <row r="126">
          <cell r="A126">
            <v>2151</v>
          </cell>
          <cell r="B126" t="str">
            <v>Sup. &amp; Inst. 110mm PVC pipe in open trench</v>
          </cell>
          <cell r="C126" t="str">
            <v>M</v>
          </cell>
          <cell r="D126">
            <v>2.38</v>
          </cell>
          <cell r="E126">
            <v>2.2400000000000002</v>
          </cell>
        </row>
        <row r="127">
          <cell r="A127">
            <v>2153</v>
          </cell>
          <cell r="B127" t="str">
            <v>Sup. &amp; Inst. 100mm Steel pipe in open trench</v>
          </cell>
          <cell r="C127" t="str">
            <v>M</v>
          </cell>
          <cell r="D127">
            <v>8.9700000000000006</v>
          </cell>
        </row>
        <row r="128">
          <cell r="A128">
            <v>2154</v>
          </cell>
          <cell r="B128" t="str">
            <v>Sup. &amp; Inst. 50mm PE pipe in open trench</v>
          </cell>
          <cell r="C128" t="str">
            <v>M</v>
          </cell>
          <cell r="D128">
            <v>0.97</v>
          </cell>
          <cell r="E128">
            <v>0.91</v>
          </cell>
        </row>
        <row r="129">
          <cell r="A129">
            <v>2231</v>
          </cell>
          <cell r="B129" t="str">
            <v>Sup. &amp; Inst. Concrete marker post</v>
          </cell>
          <cell r="C129" t="str">
            <v>Each</v>
          </cell>
          <cell r="D129">
            <v>76.14</v>
          </cell>
          <cell r="E129">
            <v>76.150000000000006</v>
          </cell>
        </row>
        <row r="130">
          <cell r="A130">
            <v>2232</v>
          </cell>
          <cell r="B130" t="str">
            <v>Sup. &amp; Inst. T rail marker post</v>
          </cell>
          <cell r="C130" t="str">
            <v>Each</v>
          </cell>
          <cell r="D130">
            <v>13.02</v>
          </cell>
          <cell r="E130">
            <v>11.58</v>
          </cell>
        </row>
        <row r="131">
          <cell r="A131">
            <v>2311</v>
          </cell>
          <cell r="B131" t="str">
            <v>Inst. Cable in Empty Duct, Group 1</v>
          </cell>
          <cell r="C131" t="str">
            <v>M</v>
          </cell>
          <cell r="D131">
            <v>0.86</v>
          </cell>
        </row>
        <row r="132">
          <cell r="A132">
            <v>2312</v>
          </cell>
          <cell r="B132" t="str">
            <v>Inst. Cable in Empty Duct, Group 2</v>
          </cell>
          <cell r="C132" t="str">
            <v>M</v>
          </cell>
          <cell r="D132">
            <v>1.1000000000000001</v>
          </cell>
        </row>
        <row r="133">
          <cell r="A133">
            <v>2313</v>
          </cell>
          <cell r="B133" t="str">
            <v>Inst. Cable in Empty Duct, Group 3</v>
          </cell>
          <cell r="C133" t="str">
            <v>M</v>
          </cell>
          <cell r="D133">
            <v>1.38</v>
          </cell>
        </row>
        <row r="134">
          <cell r="A134">
            <v>2314</v>
          </cell>
          <cell r="B134" t="str">
            <v>Inst. Cable in Empty Duct, Group 4</v>
          </cell>
          <cell r="C134" t="str">
            <v>M</v>
          </cell>
          <cell r="D134">
            <v>1.52</v>
          </cell>
        </row>
        <row r="135">
          <cell r="A135">
            <v>2315</v>
          </cell>
          <cell r="B135" t="str">
            <v>Inst. Cable in Empty Duct, Group 5</v>
          </cell>
          <cell r="C135" t="str">
            <v>M</v>
          </cell>
          <cell r="D135">
            <v>2.02</v>
          </cell>
        </row>
        <row r="136">
          <cell r="A136">
            <v>2331</v>
          </cell>
          <cell r="B136" t="str">
            <v>Inst. Cable Group 1 in Occupied Duct</v>
          </cell>
          <cell r="C136" t="str">
            <v>M</v>
          </cell>
          <cell r="D136">
            <v>1.52</v>
          </cell>
        </row>
        <row r="137">
          <cell r="A137">
            <v>2332</v>
          </cell>
          <cell r="B137" t="str">
            <v>Inst. Cable Group 2 in Occupied Duct</v>
          </cell>
          <cell r="C137" t="str">
            <v>M</v>
          </cell>
          <cell r="D137">
            <v>2.04</v>
          </cell>
        </row>
        <row r="138">
          <cell r="A138">
            <v>2333</v>
          </cell>
          <cell r="B138" t="str">
            <v>Inst. Cable Group 3 in Occupied Duct</v>
          </cell>
          <cell r="C138" t="str">
            <v>M</v>
          </cell>
          <cell r="D138">
            <v>2.2999999999999998</v>
          </cell>
        </row>
        <row r="139">
          <cell r="A139">
            <v>2334</v>
          </cell>
          <cell r="B139" t="str">
            <v>Inst. Cable Group 4 in Occupied Duct</v>
          </cell>
          <cell r="C139" t="str">
            <v>M</v>
          </cell>
          <cell r="D139">
            <v>2.4300000000000002</v>
          </cell>
        </row>
        <row r="140">
          <cell r="A140">
            <v>2339</v>
          </cell>
          <cell r="B140" t="str">
            <v>Inst. One BSW cable in Occupied Duct</v>
          </cell>
          <cell r="C140" t="str">
            <v>M</v>
          </cell>
          <cell r="D140">
            <v>0.53</v>
          </cell>
        </row>
        <row r="141">
          <cell r="A141">
            <v>2341</v>
          </cell>
          <cell r="B141" t="str">
            <v>Inst. O.F. Cable Group 1-3 in Empty Duct</v>
          </cell>
          <cell r="C141" t="str">
            <v>M</v>
          </cell>
          <cell r="D141">
            <v>0.64</v>
          </cell>
        </row>
        <row r="142">
          <cell r="A142">
            <v>2361</v>
          </cell>
          <cell r="B142" t="str">
            <v>Inst. O.F. Cable Group 1-3 in Occupied Duct</v>
          </cell>
          <cell r="C142" t="str">
            <v>M</v>
          </cell>
          <cell r="D142">
            <v>4.26</v>
          </cell>
          <cell r="E142">
            <v>4.2699999999999996</v>
          </cell>
        </row>
        <row r="143">
          <cell r="A143">
            <v>2371</v>
          </cell>
          <cell r="B143" t="str">
            <v>Inst. O.F. cable in Sub-Duct</v>
          </cell>
          <cell r="C143" t="str">
            <v>M</v>
          </cell>
          <cell r="D143">
            <v>4.26</v>
          </cell>
          <cell r="E143">
            <v>4.2699999999999996</v>
          </cell>
        </row>
        <row r="144">
          <cell r="A144">
            <v>2372</v>
          </cell>
          <cell r="B144" t="str">
            <v xml:space="preserve">Inst. O.F. Cable in 50mm PE pipe </v>
          </cell>
          <cell r="C144" t="str">
            <v>M</v>
          </cell>
          <cell r="D144">
            <v>3.66</v>
          </cell>
          <cell r="E144">
            <v>3.65</v>
          </cell>
        </row>
        <row r="145">
          <cell r="A145">
            <v>2381</v>
          </cell>
          <cell r="B145" t="str">
            <v>Supp. &amp; Inst. 3 Sub-Duct in Empty Duct</v>
          </cell>
          <cell r="C145" t="str">
            <v>M</v>
          </cell>
          <cell r="D145">
            <v>6.55</v>
          </cell>
          <cell r="E145">
            <v>6.17</v>
          </cell>
        </row>
        <row r="146">
          <cell r="A146">
            <v>2382</v>
          </cell>
          <cell r="B146" t="str">
            <v>Supp. &amp; Inst. 4 Sub-Duct in Empty Duct</v>
          </cell>
          <cell r="C146" t="str">
            <v>M</v>
          </cell>
          <cell r="D146">
            <v>7.55</v>
          </cell>
          <cell r="E146">
            <v>6.72</v>
          </cell>
        </row>
        <row r="147">
          <cell r="A147">
            <v>2391</v>
          </cell>
          <cell r="B147" t="str">
            <v>Supp. &amp; Inst. 1 Sub-Duct in Occupied Duct</v>
          </cell>
          <cell r="C147" t="str">
            <v>M</v>
          </cell>
          <cell r="D147">
            <v>2.36</v>
          </cell>
          <cell r="E147">
            <v>2.36</v>
          </cell>
        </row>
        <row r="148">
          <cell r="A148">
            <v>2401</v>
          </cell>
          <cell r="B148" t="str">
            <v>Install Aerial Cable Group 1 on Pole</v>
          </cell>
          <cell r="C148" t="str">
            <v>M</v>
          </cell>
          <cell r="D148">
            <v>7.33</v>
          </cell>
        </row>
        <row r="149">
          <cell r="A149">
            <v>2402</v>
          </cell>
          <cell r="B149" t="str">
            <v>Install Aerial Cable Group 2 on Pole</v>
          </cell>
          <cell r="C149" t="str">
            <v>M</v>
          </cell>
          <cell r="D149">
            <v>9.27</v>
          </cell>
        </row>
        <row r="150">
          <cell r="A150">
            <v>2511</v>
          </cell>
          <cell r="B150" t="str">
            <v>Inst. Pipe/s Below P.L upto 5m Wide.</v>
          </cell>
          <cell r="C150" t="str">
            <v>Each</v>
          </cell>
          <cell r="D150">
            <v>1903.76</v>
          </cell>
          <cell r="E150">
            <v>1903.77</v>
          </cell>
        </row>
        <row r="151">
          <cell r="A151">
            <v>2512</v>
          </cell>
          <cell r="B151" t="str">
            <v>Inst. Pipe/s Below P.L upto 10m Wide.</v>
          </cell>
          <cell r="C151" t="str">
            <v>Each</v>
          </cell>
          <cell r="D151">
            <v>6719.21</v>
          </cell>
          <cell r="E151">
            <v>6719.21</v>
          </cell>
        </row>
        <row r="152">
          <cell r="A152">
            <v>2513</v>
          </cell>
          <cell r="B152" t="str">
            <v>Inst. Pipe/s Below P.L upto 15m Wide.</v>
          </cell>
          <cell r="C152" t="str">
            <v>Each</v>
          </cell>
          <cell r="D152">
            <v>11758.62</v>
          </cell>
          <cell r="E152">
            <v>11758.62</v>
          </cell>
        </row>
        <row r="153">
          <cell r="A153">
            <v>2514</v>
          </cell>
          <cell r="B153" t="str">
            <v>Inst. Pipe/s Below P.L upto 20m Wide.</v>
          </cell>
          <cell r="C153" t="str">
            <v>Each</v>
          </cell>
          <cell r="D153">
            <v>14558.31</v>
          </cell>
          <cell r="E153">
            <v>14558.31</v>
          </cell>
        </row>
        <row r="154">
          <cell r="A154">
            <v>2515</v>
          </cell>
          <cell r="B154" t="str">
            <v>Inst. Pipe/s Below P.L upto 25m Wide.</v>
          </cell>
          <cell r="C154" t="str">
            <v>Each</v>
          </cell>
          <cell r="D154">
            <v>21277.53</v>
          </cell>
          <cell r="E154">
            <v>21277.54</v>
          </cell>
        </row>
        <row r="155">
          <cell r="A155">
            <v>2516</v>
          </cell>
          <cell r="B155" t="str">
            <v>Inst. Pipe/s Below P.L &gt;50m Wide.</v>
          </cell>
          <cell r="C155" t="str">
            <v>Each</v>
          </cell>
          <cell r="D155">
            <v>26000</v>
          </cell>
        </row>
        <row r="156">
          <cell r="A156">
            <v>3001</v>
          </cell>
          <cell r="B156" t="str">
            <v>Wire Joint 0.4/0.5/0.65 not in service</v>
          </cell>
          <cell r="C156" t="str">
            <v>Pair</v>
          </cell>
          <cell r="D156">
            <v>0.43</v>
          </cell>
        </row>
        <row r="157">
          <cell r="A157">
            <v>3002</v>
          </cell>
          <cell r="B157" t="str">
            <v>Wire Joint 0.9 not in service</v>
          </cell>
          <cell r="C157" t="str">
            <v>Pair</v>
          </cell>
          <cell r="D157">
            <v>0.42</v>
          </cell>
        </row>
        <row r="158">
          <cell r="A158">
            <v>3011</v>
          </cell>
          <cell r="B158" t="str">
            <v>Wire Joint 0.4, 0.5, 0.65 mm in service</v>
          </cell>
          <cell r="C158" t="str">
            <v>Pair</v>
          </cell>
          <cell r="D158">
            <v>0.76</v>
          </cell>
        </row>
        <row r="159">
          <cell r="A159">
            <v>3012</v>
          </cell>
          <cell r="B159" t="str">
            <v>Wire Joint 0.9 mm in service</v>
          </cell>
          <cell r="C159" t="str">
            <v>Pair</v>
          </cell>
          <cell r="D159">
            <v>0.85</v>
          </cell>
        </row>
        <row r="160">
          <cell r="A160">
            <v>3111</v>
          </cell>
          <cell r="B160" t="str">
            <v>Str.Joint encl (M/H) A.S. Cable Gr 1&amp; 2</v>
          </cell>
          <cell r="C160" t="str">
            <v>Each</v>
          </cell>
          <cell r="D160">
            <v>165.54</v>
          </cell>
        </row>
        <row r="161">
          <cell r="A161">
            <v>3112</v>
          </cell>
          <cell r="B161" t="str">
            <v>Str.Joint encl (M/H) A.S. Cable Gr 3</v>
          </cell>
          <cell r="C161" t="str">
            <v>Each</v>
          </cell>
          <cell r="D161">
            <v>294.20999999999998</v>
          </cell>
        </row>
        <row r="162">
          <cell r="A162">
            <v>3113</v>
          </cell>
          <cell r="B162" t="str">
            <v>Str.Joint encl (M/H) A.S. Cable Gr 4</v>
          </cell>
          <cell r="C162" t="str">
            <v>Each</v>
          </cell>
          <cell r="D162">
            <v>340.52</v>
          </cell>
        </row>
        <row r="163">
          <cell r="A163">
            <v>3114</v>
          </cell>
          <cell r="B163" t="str">
            <v>Str.Joint encl (M/H) A.S. Cable Gr 5</v>
          </cell>
          <cell r="C163" t="str">
            <v>Each</v>
          </cell>
          <cell r="D163">
            <v>406.65</v>
          </cell>
        </row>
        <row r="164">
          <cell r="A164">
            <v>3121</v>
          </cell>
          <cell r="B164" t="str">
            <v>Str.Joint encl (D/B) A.S. Cable Gr 2</v>
          </cell>
          <cell r="C164" t="str">
            <v>Each</v>
          </cell>
          <cell r="D164">
            <v>129.58000000000001</v>
          </cell>
        </row>
        <row r="165">
          <cell r="A165">
            <v>3122</v>
          </cell>
          <cell r="B165" t="str">
            <v>Str.Joint encl (D/B) A.S. Cable Gr 3</v>
          </cell>
          <cell r="C165" t="str">
            <v>Each</v>
          </cell>
          <cell r="D165">
            <v>252.16</v>
          </cell>
        </row>
        <row r="166">
          <cell r="A166">
            <v>3123</v>
          </cell>
          <cell r="B166" t="str">
            <v>Str.Joint encl (D/B) A.S. Cable Gr 4</v>
          </cell>
          <cell r="C166" t="str">
            <v>Each</v>
          </cell>
          <cell r="D166">
            <v>304.69</v>
          </cell>
        </row>
        <row r="167">
          <cell r="A167">
            <v>3131</v>
          </cell>
          <cell r="B167" t="str">
            <v>Branch Jt. Encl (M/H) A.S. Cable Gr 1 &amp; 2</v>
          </cell>
          <cell r="C167" t="str">
            <v>Each</v>
          </cell>
          <cell r="D167">
            <v>218.77</v>
          </cell>
        </row>
        <row r="168">
          <cell r="A168">
            <v>3132</v>
          </cell>
          <cell r="B168" t="str">
            <v>Branch Jt. Encl (M/H) A.S. Cable Gr 3</v>
          </cell>
          <cell r="C168" t="str">
            <v>Each</v>
          </cell>
          <cell r="D168">
            <v>344.95</v>
          </cell>
        </row>
        <row r="169">
          <cell r="A169">
            <v>3133</v>
          </cell>
          <cell r="B169" t="str">
            <v>Branch Jt. Encl (M/H) A.S. Cable Gr 4</v>
          </cell>
          <cell r="C169" t="str">
            <v>Each</v>
          </cell>
          <cell r="D169">
            <v>375.26</v>
          </cell>
        </row>
        <row r="170">
          <cell r="A170">
            <v>3134</v>
          </cell>
          <cell r="B170" t="str">
            <v>Branch Jt. Encl (M/H) A.S. Cable Gr 5</v>
          </cell>
          <cell r="C170" t="str">
            <v>Each</v>
          </cell>
          <cell r="D170">
            <v>462.1</v>
          </cell>
        </row>
        <row r="171">
          <cell r="A171">
            <v>3141</v>
          </cell>
          <cell r="B171" t="str">
            <v>Branch Jt. Encl (D/B) A.S. Cable Gr 1 &amp; 2</v>
          </cell>
          <cell r="C171" t="str">
            <v>Each</v>
          </cell>
          <cell r="D171">
            <v>182.11</v>
          </cell>
        </row>
        <row r="172">
          <cell r="A172">
            <v>3142</v>
          </cell>
          <cell r="B172" t="str">
            <v>Branch Jt. Encl (D/B) A.S. Cable Gr  3</v>
          </cell>
          <cell r="C172" t="str">
            <v>Each</v>
          </cell>
          <cell r="D172">
            <v>304.69</v>
          </cell>
        </row>
        <row r="173">
          <cell r="A173">
            <v>3143</v>
          </cell>
          <cell r="B173" t="str">
            <v>Branch Jt. Encl (D/B) A.S. Cable Gr  4</v>
          </cell>
          <cell r="C173" t="str">
            <v>Each</v>
          </cell>
          <cell r="D173">
            <v>357.22</v>
          </cell>
        </row>
        <row r="174">
          <cell r="A174">
            <v>3151</v>
          </cell>
          <cell r="B174" t="str">
            <v>Str.Joint encl (M/H) Filled Cable Gr 1</v>
          </cell>
          <cell r="C174" t="str">
            <v>Each</v>
          </cell>
          <cell r="D174">
            <v>113.82</v>
          </cell>
        </row>
        <row r="175">
          <cell r="A175">
            <v>3152</v>
          </cell>
          <cell r="B175" t="str">
            <v>Str.Joint encl (M/H) Filled Cable Gr 2</v>
          </cell>
          <cell r="C175" t="str">
            <v>Each</v>
          </cell>
          <cell r="D175">
            <v>160.94</v>
          </cell>
        </row>
        <row r="176">
          <cell r="A176">
            <v>3153</v>
          </cell>
          <cell r="B176" t="str">
            <v>Str.Joint encl (M/H) Filled Cable Gr 3</v>
          </cell>
          <cell r="C176" t="str">
            <v>Each</v>
          </cell>
          <cell r="D176">
            <v>167.17</v>
          </cell>
        </row>
        <row r="177">
          <cell r="A177">
            <v>3154</v>
          </cell>
          <cell r="B177" t="str">
            <v>Str.Joint encl (M/H) Filled Cable Gr 4</v>
          </cell>
          <cell r="C177" t="str">
            <v>Each</v>
          </cell>
          <cell r="D177">
            <v>256.83</v>
          </cell>
        </row>
        <row r="178">
          <cell r="A178">
            <v>3155</v>
          </cell>
          <cell r="B178" t="str">
            <v>Str.Joint encl (M/H) Filled Cable Gr 5</v>
          </cell>
          <cell r="C178" t="str">
            <v>Each</v>
          </cell>
          <cell r="D178">
            <v>303.37</v>
          </cell>
        </row>
        <row r="179">
          <cell r="A179">
            <v>3161</v>
          </cell>
          <cell r="B179" t="str">
            <v>Str.Joint encl (D/B) Filled Cable Gr 1</v>
          </cell>
          <cell r="C179" t="str">
            <v>Each</v>
          </cell>
          <cell r="D179">
            <v>85.8</v>
          </cell>
        </row>
        <row r="180">
          <cell r="A180">
            <v>3162</v>
          </cell>
          <cell r="B180" t="str">
            <v>Str.Joint encl (D/B) Filled Cable Gr 2</v>
          </cell>
          <cell r="C180" t="str">
            <v>Each</v>
          </cell>
          <cell r="D180">
            <v>120.08</v>
          </cell>
        </row>
        <row r="181">
          <cell r="A181">
            <v>3163</v>
          </cell>
          <cell r="B181" t="str">
            <v>Str.Joint encl (D/B) Filled Cable Gr 3</v>
          </cell>
          <cell r="C181" t="str">
            <v>Each</v>
          </cell>
          <cell r="D181">
            <v>156.76</v>
          </cell>
        </row>
        <row r="182">
          <cell r="A182">
            <v>3164</v>
          </cell>
          <cell r="B182" t="str">
            <v>Str.Joint encl (D/B) Filled Cable Gr 4</v>
          </cell>
          <cell r="C182" t="str">
            <v>Each</v>
          </cell>
          <cell r="D182">
            <v>266.83999999999997</v>
          </cell>
        </row>
        <row r="183">
          <cell r="A183">
            <v>3171</v>
          </cell>
          <cell r="B183" t="str">
            <v>Branch Joint encl (M/H) Filled Cable Gr 1</v>
          </cell>
          <cell r="C183" t="str">
            <v>Each</v>
          </cell>
          <cell r="D183">
            <v>129.58000000000001</v>
          </cell>
        </row>
        <row r="184">
          <cell r="A184">
            <v>3172</v>
          </cell>
          <cell r="B184" t="str">
            <v>Branch Joint encl (M/H) Filled Cable Gr 2</v>
          </cell>
          <cell r="C184" t="str">
            <v>Each</v>
          </cell>
          <cell r="D184">
            <v>176.78</v>
          </cell>
        </row>
        <row r="185">
          <cell r="A185">
            <v>3173</v>
          </cell>
          <cell r="B185" t="str">
            <v>Branch Joint encl (M/H) Filled Cable Gr 3</v>
          </cell>
          <cell r="C185" t="str">
            <v>Each</v>
          </cell>
          <cell r="D185">
            <v>213.46</v>
          </cell>
        </row>
        <row r="186">
          <cell r="A186">
            <v>3174</v>
          </cell>
          <cell r="B186" t="str">
            <v>Branch Joint encl (M/H) Filled Cable Gr 4</v>
          </cell>
          <cell r="C186" t="str">
            <v>Each</v>
          </cell>
          <cell r="D186">
            <v>326.87</v>
          </cell>
        </row>
        <row r="187">
          <cell r="A187">
            <v>3181</v>
          </cell>
          <cell r="B187" t="str">
            <v>Branch Joint encl (D/B) Filled Cable Gr 1</v>
          </cell>
          <cell r="C187" t="str">
            <v>Each</v>
          </cell>
          <cell r="D187">
            <v>101.56</v>
          </cell>
        </row>
        <row r="188">
          <cell r="A188">
            <v>3182</v>
          </cell>
          <cell r="B188" t="str">
            <v>Branch Joint encl (D/B) Filled Cable Gr 2</v>
          </cell>
          <cell r="C188" t="str">
            <v>Each</v>
          </cell>
          <cell r="D188">
            <v>143.41999999999999</v>
          </cell>
        </row>
        <row r="189">
          <cell r="A189">
            <v>3183</v>
          </cell>
          <cell r="B189" t="str">
            <v>Branch Joint encl (D/B) Filled Cable Gr 3</v>
          </cell>
          <cell r="C189" t="str">
            <v>Each</v>
          </cell>
          <cell r="D189">
            <v>186.78</v>
          </cell>
        </row>
        <row r="190">
          <cell r="A190">
            <v>3184</v>
          </cell>
          <cell r="B190" t="str">
            <v>Branch Joint encl (D/B) Filled Cable Gr 4</v>
          </cell>
          <cell r="C190" t="str">
            <v>Each</v>
          </cell>
          <cell r="D190">
            <v>304.54000000000002</v>
          </cell>
        </row>
        <row r="191">
          <cell r="A191">
            <v>3190</v>
          </cell>
          <cell r="B191" t="str">
            <v>Joint encl Filled Cable in Pedestal HSG.</v>
          </cell>
          <cell r="C191" t="str">
            <v>Each</v>
          </cell>
          <cell r="D191">
            <v>22.63</v>
          </cell>
        </row>
        <row r="192">
          <cell r="A192">
            <v>3196</v>
          </cell>
          <cell r="B192" t="str">
            <v>Open/Reclose T. Joint encl Filled Cable Gr 1</v>
          </cell>
          <cell r="C192" t="str">
            <v>Each</v>
          </cell>
          <cell r="D192">
            <v>32.979999999999997</v>
          </cell>
        </row>
        <row r="193">
          <cell r="A193">
            <v>3197</v>
          </cell>
          <cell r="B193" t="str">
            <v>Open/Reclose T. Joint encl Filled Cable Gr 2</v>
          </cell>
          <cell r="C193" t="str">
            <v>Each</v>
          </cell>
          <cell r="D193">
            <v>45.47</v>
          </cell>
        </row>
        <row r="194">
          <cell r="A194">
            <v>3198</v>
          </cell>
          <cell r="B194" t="str">
            <v>Open/Reclose T. Joint encl Filled Cable Gr 3</v>
          </cell>
          <cell r="C194" t="str">
            <v>Each</v>
          </cell>
          <cell r="D194">
            <v>79.09</v>
          </cell>
        </row>
        <row r="195">
          <cell r="A195">
            <v>3199</v>
          </cell>
          <cell r="B195" t="str">
            <v>Open/Reclose T. Joint encl Filled Cable Gr 4</v>
          </cell>
          <cell r="C195" t="str">
            <v>Each</v>
          </cell>
          <cell r="D195">
            <v>146.35</v>
          </cell>
        </row>
        <row r="196">
          <cell r="A196">
            <v>3231</v>
          </cell>
          <cell r="B196" t="str">
            <v>Open/Reclose St. Joint (M/H) ASC. Gr 1&amp;2</v>
          </cell>
          <cell r="C196" t="str">
            <v>Each</v>
          </cell>
          <cell r="D196">
            <v>246.56</v>
          </cell>
        </row>
        <row r="197">
          <cell r="A197">
            <v>3232</v>
          </cell>
          <cell r="B197" t="str">
            <v>Open/Reclose St. Joint (M/H) ASC. Gr 3</v>
          </cell>
          <cell r="C197" t="str">
            <v>Each</v>
          </cell>
          <cell r="D197">
            <v>369.85</v>
          </cell>
        </row>
        <row r="198">
          <cell r="A198">
            <v>3233</v>
          </cell>
          <cell r="B198" t="str">
            <v>Open/Reclose St. Joint (M/H) ASC. Gr 4</v>
          </cell>
          <cell r="C198" t="str">
            <v>Each</v>
          </cell>
          <cell r="D198">
            <v>462.3</v>
          </cell>
        </row>
        <row r="199">
          <cell r="A199">
            <v>3241</v>
          </cell>
          <cell r="B199" t="str">
            <v>Open/Reclose St. Joint (D/B) ASC. Gr 1&amp;2</v>
          </cell>
          <cell r="C199" t="str">
            <v>Each</v>
          </cell>
          <cell r="D199">
            <v>224.14</v>
          </cell>
        </row>
        <row r="200">
          <cell r="A200">
            <v>3242</v>
          </cell>
          <cell r="B200" t="str">
            <v>Open/Reclose St. Joint (D/B) ASC. Gr 3</v>
          </cell>
          <cell r="C200" t="str">
            <v>Each</v>
          </cell>
          <cell r="D200">
            <v>347.42</v>
          </cell>
        </row>
        <row r="201">
          <cell r="A201">
            <v>3243</v>
          </cell>
          <cell r="B201" t="str">
            <v>Open/Reclose St. Joint (D/B) ASC. Gr 4</v>
          </cell>
          <cell r="C201" t="str">
            <v>Each</v>
          </cell>
          <cell r="D201">
            <v>439.88</v>
          </cell>
        </row>
        <row r="202">
          <cell r="A202">
            <v>3251</v>
          </cell>
          <cell r="B202" t="str">
            <v>Open/Recolse Br. Joint (M/H) ASC. Gr 1&amp;2</v>
          </cell>
          <cell r="C202" t="str">
            <v>Each</v>
          </cell>
          <cell r="D202">
            <v>277.37</v>
          </cell>
        </row>
        <row r="203">
          <cell r="A203">
            <v>3252</v>
          </cell>
          <cell r="B203" t="str">
            <v>Open/Recolse Br. Joint (M/H) ASC. Gr 3</v>
          </cell>
          <cell r="C203" t="str">
            <v>Each</v>
          </cell>
          <cell r="D203">
            <v>385.24</v>
          </cell>
        </row>
        <row r="204">
          <cell r="A204">
            <v>3253</v>
          </cell>
          <cell r="B204" t="str">
            <v>Open/Recolse Br. Joint (M/H) ASC. Gr 4</v>
          </cell>
          <cell r="C204" t="str">
            <v>Each</v>
          </cell>
          <cell r="D204">
            <v>493.11</v>
          </cell>
        </row>
        <row r="205">
          <cell r="A205">
            <v>3261</v>
          </cell>
          <cell r="B205" t="str">
            <v>Open/Recolse Br. Joint (D/B) ASC. Gr 1&amp;2</v>
          </cell>
          <cell r="C205" t="str">
            <v>Each</v>
          </cell>
          <cell r="D205">
            <v>254.96</v>
          </cell>
        </row>
        <row r="206">
          <cell r="A206">
            <v>3262</v>
          </cell>
          <cell r="B206" t="str">
            <v>Open/Recolse Br. Joint (D/B) ASC. Gr 3</v>
          </cell>
          <cell r="C206" t="str">
            <v>Each</v>
          </cell>
          <cell r="D206">
            <v>362.83</v>
          </cell>
        </row>
        <row r="207">
          <cell r="A207">
            <v>3263</v>
          </cell>
          <cell r="B207" t="str">
            <v>Open/Recolse Br. Joint (D/B) ASC. Gr 4</v>
          </cell>
          <cell r="C207" t="str">
            <v>Each</v>
          </cell>
          <cell r="D207">
            <v>470.67</v>
          </cell>
        </row>
        <row r="208">
          <cell r="A208">
            <v>3271</v>
          </cell>
          <cell r="B208" t="str">
            <v>Open/Recolse St. Joint (M/H) F.C. Gr 1</v>
          </cell>
          <cell r="C208" t="str">
            <v>Each</v>
          </cell>
          <cell r="D208">
            <v>126.08</v>
          </cell>
        </row>
        <row r="209">
          <cell r="A209">
            <v>3272</v>
          </cell>
          <cell r="B209" t="str">
            <v>Open/Recolse St. Joint (M/H) F.C. Gr 2</v>
          </cell>
          <cell r="C209" t="str">
            <v>Each</v>
          </cell>
          <cell r="D209">
            <v>224.14</v>
          </cell>
        </row>
        <row r="210">
          <cell r="A210">
            <v>3273</v>
          </cell>
          <cell r="B210" t="str">
            <v>Open/Recolse St. Joint (M/H) F.C. Gr 3</v>
          </cell>
          <cell r="C210" t="str">
            <v>Each</v>
          </cell>
          <cell r="D210">
            <v>336.21</v>
          </cell>
        </row>
        <row r="211">
          <cell r="A211">
            <v>3274</v>
          </cell>
          <cell r="B211" t="str">
            <v>Open/Recolse St. Joint (M/H) F.C. Gr 4</v>
          </cell>
          <cell r="C211" t="str">
            <v>Each</v>
          </cell>
          <cell r="D211">
            <v>420.26</v>
          </cell>
        </row>
        <row r="212">
          <cell r="A212">
            <v>3275</v>
          </cell>
          <cell r="B212" t="str">
            <v>Open/Recolse St. Joint (M/H) F.C. Gr 5</v>
          </cell>
          <cell r="C212" t="str">
            <v>Each</v>
          </cell>
          <cell r="D212">
            <v>675</v>
          </cell>
        </row>
        <row r="213">
          <cell r="A213">
            <v>3281</v>
          </cell>
          <cell r="B213" t="str">
            <v>Open/Recolse St. Joint (D/B) F.C. Gr 1</v>
          </cell>
          <cell r="C213" t="str">
            <v>Each</v>
          </cell>
          <cell r="D213">
            <v>106.46</v>
          </cell>
        </row>
        <row r="214">
          <cell r="A214">
            <v>3282</v>
          </cell>
          <cell r="B214" t="str">
            <v>Open/Recolse St. Joint (D/B) F.C. Gr 2</v>
          </cell>
          <cell r="C214" t="str">
            <v>Each</v>
          </cell>
          <cell r="D214">
            <v>203.13</v>
          </cell>
        </row>
        <row r="215">
          <cell r="A215">
            <v>3283</v>
          </cell>
          <cell r="B215" t="str">
            <v>Open/Recolse St. Joint (D/B) F.C. Gr 3</v>
          </cell>
          <cell r="C215" t="str">
            <v>Each</v>
          </cell>
          <cell r="D215">
            <v>316.61</v>
          </cell>
        </row>
        <row r="216">
          <cell r="A216">
            <v>3284</v>
          </cell>
          <cell r="B216" t="str">
            <v>Open/Recolse St. Joint (D/B) F.C. Gr 4</v>
          </cell>
          <cell r="C216" t="str">
            <v>Each</v>
          </cell>
          <cell r="D216">
            <v>383.84</v>
          </cell>
        </row>
        <row r="217">
          <cell r="A217">
            <v>3285</v>
          </cell>
          <cell r="B217" t="str">
            <v>Open/Recolse St. Joint (D/B) F.C. Gr 5</v>
          </cell>
          <cell r="C217" t="str">
            <v>Each</v>
          </cell>
          <cell r="D217">
            <v>634.61</v>
          </cell>
        </row>
        <row r="218">
          <cell r="A218">
            <v>3291</v>
          </cell>
          <cell r="B218" t="str">
            <v>Open/Recolse Br. Joint (M/H) F.C. Gr 1</v>
          </cell>
          <cell r="C218" t="str">
            <v>Each</v>
          </cell>
          <cell r="D218">
            <v>134.49</v>
          </cell>
        </row>
        <row r="219">
          <cell r="A219">
            <v>3292</v>
          </cell>
          <cell r="B219" t="str">
            <v>Open/Recolse Br. Joint (M/H) F.C. Gr 2</v>
          </cell>
          <cell r="C219" t="str">
            <v>Each</v>
          </cell>
          <cell r="D219">
            <v>252.16</v>
          </cell>
        </row>
        <row r="220">
          <cell r="A220">
            <v>3293</v>
          </cell>
          <cell r="B220" t="str">
            <v>Open/Recolse Br. Joint (M/H) F.C. Gr 3</v>
          </cell>
          <cell r="C220" t="str">
            <v>Each</v>
          </cell>
          <cell r="D220">
            <v>350.22</v>
          </cell>
        </row>
        <row r="221">
          <cell r="A221">
            <v>3294</v>
          </cell>
          <cell r="B221" t="str">
            <v>Open/Recolse Br. Joint (M/H) F.C. Gr 4</v>
          </cell>
          <cell r="C221" t="str">
            <v>Each</v>
          </cell>
          <cell r="D221">
            <v>448.29</v>
          </cell>
        </row>
        <row r="222">
          <cell r="A222">
            <v>3295</v>
          </cell>
          <cell r="B222" t="str">
            <v>Open/Recolse Br. Joint (M/H) F.C. Gr 5</v>
          </cell>
          <cell r="C222" t="str">
            <v>Each</v>
          </cell>
          <cell r="D222">
            <v>700.43</v>
          </cell>
        </row>
        <row r="223">
          <cell r="A223">
            <v>3301</v>
          </cell>
          <cell r="B223" t="str">
            <v>Open/Recolse Br. Joint (D/B) F.C. Gr 1</v>
          </cell>
          <cell r="C223" t="str">
            <v>Each</v>
          </cell>
          <cell r="D223">
            <v>112.07</v>
          </cell>
        </row>
        <row r="224">
          <cell r="A224">
            <v>3302</v>
          </cell>
          <cell r="B224" t="str">
            <v>Open/Recolse Br. Joint (D/B) F.C. Gr 2</v>
          </cell>
          <cell r="C224" t="str">
            <v>Each</v>
          </cell>
          <cell r="D224">
            <v>229.74</v>
          </cell>
        </row>
        <row r="225">
          <cell r="A225">
            <v>3303</v>
          </cell>
          <cell r="B225" t="str">
            <v>Open/Recolse Br. Joint (D/B) F.C. Gr 3</v>
          </cell>
          <cell r="C225" t="str">
            <v>Each</v>
          </cell>
          <cell r="D225">
            <v>327.81</v>
          </cell>
        </row>
        <row r="226">
          <cell r="A226">
            <v>3304</v>
          </cell>
          <cell r="B226" t="str">
            <v>Open/Recolse Br. Joint (D/B) F.C. Gr 4</v>
          </cell>
          <cell r="C226" t="str">
            <v>Each</v>
          </cell>
          <cell r="D226">
            <v>424.46</v>
          </cell>
        </row>
        <row r="227">
          <cell r="A227">
            <v>3305</v>
          </cell>
          <cell r="B227" t="str">
            <v>Open/Recolse Br. Joint (D/B) F.C. Gr 5</v>
          </cell>
          <cell r="C227" t="str">
            <v>Each</v>
          </cell>
          <cell r="D227">
            <v>675.22</v>
          </cell>
        </row>
        <row r="228">
          <cell r="A228">
            <v>3421</v>
          </cell>
          <cell r="B228" t="str">
            <v>St.Joint upto 10 Fiber Cable in Manhole</v>
          </cell>
          <cell r="C228" t="str">
            <v>Each</v>
          </cell>
          <cell r="D228">
            <v>150</v>
          </cell>
          <cell r="E228">
            <v>140.09</v>
          </cell>
        </row>
        <row r="229">
          <cell r="A229">
            <v>3422</v>
          </cell>
          <cell r="B229" t="str">
            <v>St.Joint 11-20 Fiber Cable in Manhole</v>
          </cell>
          <cell r="C229" t="str">
            <v>Each</v>
          </cell>
          <cell r="D229">
            <v>252.39</v>
          </cell>
          <cell r="E229">
            <v>224.33</v>
          </cell>
        </row>
        <row r="230">
          <cell r="A230">
            <v>3423</v>
          </cell>
          <cell r="B230" t="str">
            <v>St.Joint 21-30 Fiber Cable in Manhole</v>
          </cell>
          <cell r="C230" t="str">
            <v>Each</v>
          </cell>
          <cell r="D230">
            <v>449.02</v>
          </cell>
          <cell r="E230">
            <v>449.02</v>
          </cell>
        </row>
        <row r="231">
          <cell r="A231">
            <v>3424</v>
          </cell>
          <cell r="B231" t="str">
            <v>St.Joint 31-40 Fiber Cable in Manhole</v>
          </cell>
          <cell r="C231" t="str">
            <v>Each</v>
          </cell>
          <cell r="D231">
            <v>673.37</v>
          </cell>
          <cell r="E231">
            <v>673.37</v>
          </cell>
        </row>
        <row r="232">
          <cell r="A232">
            <v>3425</v>
          </cell>
          <cell r="B232" t="str">
            <v>St.Joint 41-50 Fiber Cable in Manhole</v>
          </cell>
          <cell r="C232" t="str">
            <v>Each</v>
          </cell>
          <cell r="D232">
            <v>897.71</v>
          </cell>
          <cell r="E232">
            <v>897.71</v>
          </cell>
        </row>
        <row r="233">
          <cell r="A233">
            <v>3441</v>
          </cell>
          <cell r="B233" t="str">
            <v>Br.Joint upto 10 Fiber Cable in Manhole</v>
          </cell>
          <cell r="C233" t="str">
            <v>Each</v>
          </cell>
          <cell r="D233">
            <v>173.21</v>
          </cell>
          <cell r="E233">
            <v>153.96</v>
          </cell>
        </row>
        <row r="234">
          <cell r="A234">
            <v>3442</v>
          </cell>
          <cell r="B234" t="str">
            <v>Br.Joint 11-20 Fiber Cable in Manhole</v>
          </cell>
          <cell r="C234" t="str">
            <v>Each</v>
          </cell>
          <cell r="D234">
            <v>277.89</v>
          </cell>
          <cell r="E234">
            <v>247.02</v>
          </cell>
        </row>
        <row r="235">
          <cell r="A235">
            <v>3443</v>
          </cell>
          <cell r="B235" t="str">
            <v>Br.Joint 21-30 Fiber Cable in Manhole</v>
          </cell>
          <cell r="C235" t="str">
            <v>Each</v>
          </cell>
          <cell r="D235">
            <v>494.02</v>
          </cell>
          <cell r="E235">
            <v>494.02</v>
          </cell>
        </row>
        <row r="236">
          <cell r="A236">
            <v>3444</v>
          </cell>
          <cell r="B236" t="str">
            <v>Br.Joint 31-40 Fiber Cable in Manhole</v>
          </cell>
          <cell r="C236" t="str">
            <v>Each</v>
          </cell>
          <cell r="D236">
            <v>740.7</v>
          </cell>
          <cell r="E236">
            <v>740.7</v>
          </cell>
        </row>
        <row r="237">
          <cell r="A237">
            <v>3445</v>
          </cell>
          <cell r="B237" t="str">
            <v>Br.Joint 41-50 Fiber Cable in Manhole</v>
          </cell>
          <cell r="C237" t="str">
            <v>Each</v>
          </cell>
          <cell r="D237">
            <v>987.37</v>
          </cell>
          <cell r="E237">
            <v>987.37</v>
          </cell>
        </row>
        <row r="238">
          <cell r="A238">
            <v>3461</v>
          </cell>
          <cell r="B238" t="str">
            <v>St.Joint upto 10 Fiber Cable D/B</v>
          </cell>
          <cell r="C238" t="str">
            <v>Each</v>
          </cell>
          <cell r="D238">
            <v>141.99</v>
          </cell>
          <cell r="E238">
            <v>126.22</v>
          </cell>
        </row>
        <row r="239">
          <cell r="A239">
            <v>3462</v>
          </cell>
          <cell r="B239" t="str">
            <v>St.Joint 11-20 Fiber Cable D/B</v>
          </cell>
          <cell r="C239" t="str">
            <v>Each</v>
          </cell>
          <cell r="D239">
            <v>226.87</v>
          </cell>
          <cell r="E239">
            <v>201.66</v>
          </cell>
        </row>
        <row r="240">
          <cell r="A240">
            <v>3463</v>
          </cell>
          <cell r="B240" t="str">
            <v>St.Joint 21-30 Fiber Cable D/B</v>
          </cell>
          <cell r="C240" t="str">
            <v>Each</v>
          </cell>
          <cell r="D240">
            <v>404.02</v>
          </cell>
          <cell r="E240">
            <v>404.02</v>
          </cell>
        </row>
        <row r="241">
          <cell r="A241">
            <v>3464</v>
          </cell>
          <cell r="B241" t="str">
            <v>St.Joint 31-40 Fiber Cable D/B</v>
          </cell>
          <cell r="C241" t="str">
            <v>Each</v>
          </cell>
          <cell r="D241">
            <v>604.76</v>
          </cell>
          <cell r="E241">
            <v>604.76</v>
          </cell>
        </row>
        <row r="242">
          <cell r="A242">
            <v>3465</v>
          </cell>
          <cell r="B242" t="str">
            <v>St.Joint 41-50 Fiber Cable D/B</v>
          </cell>
          <cell r="C242" t="str">
            <v>Each</v>
          </cell>
          <cell r="D242">
            <v>807.7</v>
          </cell>
          <cell r="E242">
            <v>807.7</v>
          </cell>
        </row>
        <row r="243">
          <cell r="A243">
            <v>3481</v>
          </cell>
          <cell r="B243" t="str">
            <v>Br.Joint upto 10 Fiber Cable D/B</v>
          </cell>
          <cell r="C243" t="str">
            <v>Each</v>
          </cell>
          <cell r="D243">
            <v>157.6</v>
          </cell>
          <cell r="E243">
            <v>140.09</v>
          </cell>
        </row>
        <row r="244">
          <cell r="A244">
            <v>3482</v>
          </cell>
          <cell r="B244" t="str">
            <v>Br.Joint 11-20 Fiber Cable D/B</v>
          </cell>
          <cell r="C244" t="str">
            <v>Each</v>
          </cell>
          <cell r="D244">
            <v>252.39</v>
          </cell>
          <cell r="E244">
            <v>224.33</v>
          </cell>
        </row>
        <row r="245">
          <cell r="A245">
            <v>3483</v>
          </cell>
          <cell r="B245" t="str">
            <v>Br.Joint 21-30 Fiber Cable D/B</v>
          </cell>
          <cell r="C245" t="str">
            <v>Each</v>
          </cell>
          <cell r="D245">
            <v>449.02</v>
          </cell>
          <cell r="E245">
            <v>449.02</v>
          </cell>
        </row>
        <row r="246">
          <cell r="A246">
            <v>3484</v>
          </cell>
          <cell r="B246" t="str">
            <v>St.Joint 31-40 Fiber Cable D/B</v>
          </cell>
          <cell r="C246" t="str">
            <v>Each</v>
          </cell>
          <cell r="D246">
            <v>673.37</v>
          </cell>
          <cell r="E246">
            <v>673.37</v>
          </cell>
        </row>
        <row r="247">
          <cell r="A247">
            <v>3485</v>
          </cell>
          <cell r="B247" t="str">
            <v>St.Joint 41-50 Fiber Cable D/B</v>
          </cell>
          <cell r="C247" t="str">
            <v>Each</v>
          </cell>
          <cell r="D247">
            <v>796.2</v>
          </cell>
          <cell r="E247">
            <v>796.2</v>
          </cell>
        </row>
        <row r="248">
          <cell r="A248">
            <v>3491</v>
          </cell>
          <cell r="B248" t="str">
            <v>Joint Aerial O.F. Cable upto 10 Fiber</v>
          </cell>
          <cell r="C248" t="str">
            <v>Each</v>
          </cell>
          <cell r="D248">
            <v>157.6</v>
          </cell>
        </row>
        <row r="249">
          <cell r="A249">
            <v>3492</v>
          </cell>
          <cell r="B249" t="str">
            <v>Joint Aerial O.F. Cable 11-20 Fiber</v>
          </cell>
          <cell r="C249" t="str">
            <v>Each</v>
          </cell>
          <cell r="D249">
            <v>252.39</v>
          </cell>
        </row>
        <row r="250">
          <cell r="A250">
            <v>3499</v>
          </cell>
          <cell r="B250" t="str">
            <v>O/Reclose Jt.in O.F. Cable, 10/125 &amp; 50/125</v>
          </cell>
          <cell r="C250" t="str">
            <v>Each</v>
          </cell>
          <cell r="D250">
            <v>449.02</v>
          </cell>
        </row>
        <row r="251">
          <cell r="A251">
            <v>3511</v>
          </cell>
          <cell r="B251" t="str">
            <v>Inst. IDC Terminal Block in MDF, 100 PR</v>
          </cell>
          <cell r="C251" t="str">
            <v>Each</v>
          </cell>
          <cell r="D251">
            <v>52.06</v>
          </cell>
        </row>
        <row r="252">
          <cell r="A252">
            <v>3512</v>
          </cell>
          <cell r="B252" t="str">
            <v>Inst. IDC Terminal Block in MDF, 200 PR</v>
          </cell>
          <cell r="C252" t="str">
            <v>Each</v>
          </cell>
          <cell r="D252">
            <v>93.13</v>
          </cell>
        </row>
        <row r="253">
          <cell r="A253">
            <v>3521</v>
          </cell>
          <cell r="B253" t="str">
            <v>Terminate Cable IDC Block in MDF</v>
          </cell>
          <cell r="C253" t="str">
            <v>Pair</v>
          </cell>
          <cell r="D253">
            <v>0.55000000000000004</v>
          </cell>
        </row>
        <row r="254">
          <cell r="A254">
            <v>3531</v>
          </cell>
          <cell r="B254" t="str">
            <v>Cable Vault Term, Joint GR 2</v>
          </cell>
          <cell r="C254" t="str">
            <v>Each</v>
          </cell>
          <cell r="D254">
            <v>152.27000000000001</v>
          </cell>
        </row>
        <row r="255">
          <cell r="A255">
            <v>3532</v>
          </cell>
          <cell r="B255" t="str">
            <v>Cable Vault Term, Joint GR 3</v>
          </cell>
          <cell r="C255" t="str">
            <v>Each</v>
          </cell>
          <cell r="D255">
            <v>196.73</v>
          </cell>
        </row>
        <row r="256">
          <cell r="A256">
            <v>3533</v>
          </cell>
          <cell r="B256" t="str">
            <v>Cable Vault Term, Joint GR 4</v>
          </cell>
          <cell r="C256" t="str">
            <v>Each</v>
          </cell>
          <cell r="D256">
            <v>260.13</v>
          </cell>
        </row>
        <row r="257">
          <cell r="A257">
            <v>3534</v>
          </cell>
          <cell r="B257" t="str">
            <v>Cable Vault Term, Joint GR 5</v>
          </cell>
          <cell r="C257" t="str">
            <v>Each</v>
          </cell>
          <cell r="D257">
            <v>417.89</v>
          </cell>
        </row>
        <row r="258">
          <cell r="A258">
            <v>3611</v>
          </cell>
          <cell r="B258" t="str">
            <v>Install STD. 300 PR. Outdoor Cab</v>
          </cell>
          <cell r="C258" t="str">
            <v>Each</v>
          </cell>
          <cell r="D258">
            <v>53.32</v>
          </cell>
        </row>
        <row r="259">
          <cell r="A259">
            <v>3613</v>
          </cell>
          <cell r="B259" t="str">
            <v>Install STD. 1200 PR. Outdoor Cab</v>
          </cell>
          <cell r="C259" t="str">
            <v>Each</v>
          </cell>
          <cell r="D259">
            <v>76</v>
          </cell>
        </row>
        <row r="260">
          <cell r="A260">
            <v>3616</v>
          </cell>
          <cell r="B260" t="str">
            <v>Install HRISLU Cabinet on Base</v>
          </cell>
          <cell r="C260" t="str">
            <v>Each</v>
          </cell>
          <cell r="D260">
            <v>166</v>
          </cell>
        </row>
        <row r="261">
          <cell r="A261">
            <v>3618</v>
          </cell>
          <cell r="B261" t="str">
            <v>Install Electric unit cabinet connect BSW</v>
          </cell>
          <cell r="C261" t="str">
            <v>Each</v>
          </cell>
          <cell r="D261">
            <v>439.97</v>
          </cell>
        </row>
        <row r="262">
          <cell r="A262">
            <v>3622</v>
          </cell>
          <cell r="B262" t="str">
            <v>Install 900 Pair Indoor Cabinet</v>
          </cell>
          <cell r="C262" t="str">
            <v>Each</v>
          </cell>
          <cell r="D262">
            <v>190.88</v>
          </cell>
        </row>
        <row r="263">
          <cell r="A263">
            <v>3631</v>
          </cell>
          <cell r="B263" t="str">
            <v>Install Primary Cable &amp; 1 Block in Cabinet</v>
          </cell>
          <cell r="C263" t="str">
            <v>Set</v>
          </cell>
          <cell r="D263">
            <v>246.97</v>
          </cell>
        </row>
        <row r="264">
          <cell r="A264">
            <v>3632</v>
          </cell>
          <cell r="B264" t="str">
            <v>Install Primary Cable &amp; 2 Block in Cabinet</v>
          </cell>
          <cell r="C264" t="str">
            <v>Set</v>
          </cell>
          <cell r="D264">
            <v>448.19</v>
          </cell>
        </row>
        <row r="265">
          <cell r="A265">
            <v>3633</v>
          </cell>
          <cell r="B265" t="str">
            <v>Install Primary Cable &amp; 3 Block in Cabinet</v>
          </cell>
          <cell r="C265" t="str">
            <v>Set</v>
          </cell>
          <cell r="D265">
            <v>593.99</v>
          </cell>
        </row>
        <row r="266">
          <cell r="A266">
            <v>3641</v>
          </cell>
          <cell r="B266" t="str">
            <v>Install Two 50 Pair Secondary Cable &amp; 1 Ter.Block</v>
          </cell>
          <cell r="C266" t="str">
            <v>Set</v>
          </cell>
          <cell r="D266">
            <v>96.44</v>
          </cell>
        </row>
        <row r="267">
          <cell r="A267">
            <v>3642</v>
          </cell>
          <cell r="B267" t="str">
            <v>Install 100 Pair Secondary Cable &amp; 1 Ter.Block</v>
          </cell>
          <cell r="C267" t="str">
            <v>Set</v>
          </cell>
          <cell r="D267">
            <v>72.150000000000006</v>
          </cell>
        </row>
        <row r="268">
          <cell r="A268">
            <v>3643</v>
          </cell>
          <cell r="B268" t="str">
            <v>Install 200 Pair Secondary Cable &amp; 1 Ter.Block</v>
          </cell>
          <cell r="C268" t="str">
            <v>Set</v>
          </cell>
          <cell r="D268">
            <v>148.97</v>
          </cell>
        </row>
        <row r="269">
          <cell r="A269">
            <v>3644</v>
          </cell>
          <cell r="B269" t="str">
            <v>Install 300 Pair Secondary Cable &amp; 1 Ter.Block</v>
          </cell>
          <cell r="C269" t="str">
            <v>Set</v>
          </cell>
          <cell r="D269">
            <v>223.45</v>
          </cell>
        </row>
        <row r="270">
          <cell r="A270">
            <v>3711</v>
          </cell>
          <cell r="B270" t="str">
            <v>Install 10 Pair Indoor DP</v>
          </cell>
          <cell r="C270" t="str">
            <v>Each</v>
          </cell>
          <cell r="D270">
            <v>217.58</v>
          </cell>
        </row>
        <row r="271">
          <cell r="A271">
            <v>3712</v>
          </cell>
          <cell r="B271" t="str">
            <v>Install 20 Pair Indoor DP</v>
          </cell>
          <cell r="C271" t="str">
            <v>Each</v>
          </cell>
          <cell r="D271">
            <v>193.33</v>
          </cell>
        </row>
        <row r="272">
          <cell r="A272">
            <v>3713</v>
          </cell>
          <cell r="B272" t="str">
            <v>Install 30 Pair Indoor DP</v>
          </cell>
          <cell r="C272" t="str">
            <v>Each</v>
          </cell>
          <cell r="D272">
            <v>224</v>
          </cell>
        </row>
        <row r="273">
          <cell r="A273">
            <v>3714</v>
          </cell>
          <cell r="B273" t="str">
            <v>Install 50 Pair Indoor DP</v>
          </cell>
          <cell r="C273" t="str">
            <v>Each</v>
          </cell>
          <cell r="D273">
            <v>227</v>
          </cell>
        </row>
        <row r="274">
          <cell r="A274">
            <v>3721</v>
          </cell>
          <cell r="B274" t="str">
            <v>Install 10 Pair Pole DP</v>
          </cell>
          <cell r="C274" t="str">
            <v>Each</v>
          </cell>
          <cell r="D274">
            <v>183.06</v>
          </cell>
        </row>
        <row r="275">
          <cell r="A275">
            <v>3731</v>
          </cell>
          <cell r="B275" t="str">
            <v>Install 10 Pair Wall DP</v>
          </cell>
          <cell r="C275" t="str">
            <v>Each</v>
          </cell>
          <cell r="D275">
            <v>177.3</v>
          </cell>
        </row>
        <row r="276">
          <cell r="A276">
            <v>3741</v>
          </cell>
          <cell r="B276" t="str">
            <v>Install OF Pillar without Block</v>
          </cell>
          <cell r="C276" t="str">
            <v>Each</v>
          </cell>
          <cell r="D276">
            <v>42.98</v>
          </cell>
        </row>
        <row r="277">
          <cell r="A277">
            <v>3742</v>
          </cell>
          <cell r="B277" t="str">
            <v>Install OF Pillar without one 10 Pair DP Block</v>
          </cell>
          <cell r="C277" t="str">
            <v>Each</v>
          </cell>
          <cell r="D277">
            <v>52.41</v>
          </cell>
        </row>
        <row r="278">
          <cell r="A278">
            <v>3743</v>
          </cell>
          <cell r="B278" t="str">
            <v>Install OF Pillar without Two 10 Pair DP Block</v>
          </cell>
          <cell r="C278" t="str">
            <v>Each</v>
          </cell>
          <cell r="D278">
            <v>76.81</v>
          </cell>
        </row>
        <row r="279">
          <cell r="A279">
            <v>3745</v>
          </cell>
          <cell r="B279" t="str">
            <v>Construct In-Situ Concrete DP Base</v>
          </cell>
          <cell r="C279" t="str">
            <v>Each</v>
          </cell>
          <cell r="D279">
            <v>37.39</v>
          </cell>
          <cell r="E279" t="str">
            <v>N/A</v>
          </cell>
        </row>
        <row r="280">
          <cell r="A280">
            <v>3761</v>
          </cell>
          <cell r="B280" t="str">
            <v>Install of one 10 Pair Block in Existing Pillar</v>
          </cell>
          <cell r="C280" t="str">
            <v>Each</v>
          </cell>
          <cell r="D280">
            <v>41.92</v>
          </cell>
        </row>
        <row r="281">
          <cell r="A281">
            <v>3771</v>
          </cell>
          <cell r="B281" t="str">
            <v>Install Overvaltage Prot. In New DP</v>
          </cell>
          <cell r="C281" t="str">
            <v>Each</v>
          </cell>
          <cell r="D281">
            <v>3.38</v>
          </cell>
        </row>
        <row r="282">
          <cell r="A282">
            <v>3781</v>
          </cell>
          <cell r="B282" t="str">
            <v>Install one BSW at one Location.</v>
          </cell>
          <cell r="C282" t="str">
            <v>Each</v>
          </cell>
          <cell r="D282">
            <v>7.99</v>
          </cell>
        </row>
        <row r="283">
          <cell r="A283">
            <v>3782</v>
          </cell>
          <cell r="B283" t="str">
            <v>Install Two BSW at one Location.</v>
          </cell>
          <cell r="C283" t="str">
            <v>Each</v>
          </cell>
          <cell r="D283">
            <v>9.32</v>
          </cell>
        </row>
        <row r="284">
          <cell r="A284">
            <v>3783</v>
          </cell>
          <cell r="B284" t="str">
            <v>Install 1,2 Pair ST Box at 1 Location</v>
          </cell>
          <cell r="C284" t="str">
            <v>Each</v>
          </cell>
          <cell r="D284">
            <v>11.18</v>
          </cell>
        </row>
        <row r="285">
          <cell r="A285">
            <v>3791</v>
          </cell>
          <cell r="B285" t="str">
            <v>Install of Pay Teleph.Booth - Uotdoor</v>
          </cell>
          <cell r="C285" t="str">
            <v>Each</v>
          </cell>
          <cell r="D285">
            <v>473.24</v>
          </cell>
        </row>
        <row r="286">
          <cell r="A286">
            <v>3792</v>
          </cell>
          <cell r="B286" t="str">
            <v>Install of Pay Teleph.Booth - Indoor</v>
          </cell>
          <cell r="C286" t="str">
            <v>Each</v>
          </cell>
          <cell r="D286">
            <v>138.11000000000001</v>
          </cell>
        </row>
        <row r="287">
          <cell r="A287">
            <v>3793</v>
          </cell>
          <cell r="B287" t="str">
            <v>Install of Extended Power Feed</v>
          </cell>
          <cell r="C287" t="str">
            <v>M</v>
          </cell>
          <cell r="D287">
            <v>9</v>
          </cell>
        </row>
        <row r="288">
          <cell r="A288">
            <v>3901</v>
          </cell>
          <cell r="B288" t="str">
            <v>Install upto 10, O.F. Term. In Bldgs.</v>
          </cell>
          <cell r="C288" t="str">
            <v>Each</v>
          </cell>
          <cell r="D288">
            <v>987.21</v>
          </cell>
          <cell r="E288">
            <v>987.2</v>
          </cell>
        </row>
        <row r="289">
          <cell r="A289">
            <v>3902</v>
          </cell>
          <cell r="B289" t="str">
            <v>Install 11-20, O.F. Termination in Bldgs.</v>
          </cell>
          <cell r="C289" t="str">
            <v>Each</v>
          </cell>
          <cell r="D289">
            <v>1930.66</v>
          </cell>
          <cell r="E289">
            <v>1930.66</v>
          </cell>
        </row>
        <row r="290">
          <cell r="A290">
            <v>3903</v>
          </cell>
          <cell r="B290" t="str">
            <v>Install 21-30, O.F. Termination in Bldgs.</v>
          </cell>
          <cell r="C290" t="str">
            <v>Each</v>
          </cell>
          <cell r="D290">
            <v>2874.12</v>
          </cell>
          <cell r="E290">
            <v>2874.13</v>
          </cell>
        </row>
        <row r="291">
          <cell r="A291">
            <v>3904</v>
          </cell>
          <cell r="B291" t="str">
            <v>Install 31-40, O.F. Termination in Bldgs.</v>
          </cell>
          <cell r="C291" t="str">
            <v>Each</v>
          </cell>
          <cell r="D291">
            <v>3817.74</v>
          </cell>
          <cell r="E291">
            <v>3817.76</v>
          </cell>
        </row>
        <row r="292">
          <cell r="A292">
            <v>3905</v>
          </cell>
          <cell r="B292" t="str">
            <v>Install 41-50, O.F. Termination in Bldgs.</v>
          </cell>
          <cell r="C292" t="str">
            <v>Each</v>
          </cell>
          <cell r="D292">
            <v>4761.1899999999996</v>
          </cell>
          <cell r="E292">
            <v>4761.1899999999996</v>
          </cell>
        </row>
        <row r="293">
          <cell r="A293">
            <v>4011</v>
          </cell>
          <cell r="B293" t="str">
            <v>Install Pressurisation, Alarm &amp; Mon.System</v>
          </cell>
          <cell r="C293" t="str">
            <v>Unit</v>
          </cell>
          <cell r="D293">
            <v>1522.69</v>
          </cell>
        </row>
        <row r="294">
          <cell r="A294">
            <v>4012</v>
          </cell>
          <cell r="B294" t="str">
            <v>Install Extention to Pams</v>
          </cell>
          <cell r="C294" t="str">
            <v>Unit</v>
          </cell>
          <cell r="D294">
            <v>913.61</v>
          </cell>
        </row>
        <row r="295">
          <cell r="A295">
            <v>4021</v>
          </cell>
          <cell r="B295" t="str">
            <v>Install Pressure Distribution Panel (10 Circuit)</v>
          </cell>
          <cell r="C295" t="str">
            <v>Unit</v>
          </cell>
          <cell r="D295">
            <v>913.61</v>
          </cell>
        </row>
        <row r="296">
          <cell r="A296">
            <v>4022</v>
          </cell>
          <cell r="B296" t="str">
            <v>Install Additional Pressure Distribution Panel (10 Circuit)</v>
          </cell>
          <cell r="C296" t="str">
            <v>Unit</v>
          </cell>
          <cell r="D296">
            <v>533.61</v>
          </cell>
        </row>
        <row r="297">
          <cell r="A297">
            <v>4031</v>
          </cell>
          <cell r="B297" t="str">
            <v>Install Air Compressor or Drier 3700 g/hr</v>
          </cell>
          <cell r="C297" t="str">
            <v>Unit</v>
          </cell>
          <cell r="D297">
            <v>539.28</v>
          </cell>
        </row>
        <row r="298">
          <cell r="A298">
            <v>4032</v>
          </cell>
          <cell r="B298" t="str">
            <v>Install Air Compressor or Drier 17600 g/hr</v>
          </cell>
          <cell r="C298" t="str">
            <v>Unit</v>
          </cell>
          <cell r="D298">
            <v>761.34</v>
          </cell>
        </row>
        <row r="299">
          <cell r="A299">
            <v>4101</v>
          </cell>
          <cell r="B299" t="str">
            <v>Connection of Air Circuit at Station</v>
          </cell>
          <cell r="C299" t="str">
            <v>Set</v>
          </cell>
          <cell r="D299">
            <v>1522.69</v>
          </cell>
        </row>
        <row r="300">
          <cell r="A300">
            <v>4201</v>
          </cell>
          <cell r="B300" t="str">
            <v>Supply &amp; Install Air Pipe, Emp, Duct/Sub-D.</v>
          </cell>
          <cell r="C300" t="str">
            <v>M</v>
          </cell>
          <cell r="D300">
            <v>2.64</v>
          </cell>
        </row>
        <row r="301">
          <cell r="A301">
            <v>4202</v>
          </cell>
          <cell r="B301" t="str">
            <v>Supply &amp; Install Air Pipe, Occup. Duct</v>
          </cell>
          <cell r="C301" t="str">
            <v>M</v>
          </cell>
          <cell r="D301">
            <v>4.0999999999999996</v>
          </cell>
        </row>
        <row r="302">
          <cell r="A302">
            <v>4203</v>
          </cell>
          <cell r="B302" t="str">
            <v>Supply &amp; Install Air Pipe, Simut. Or new Cable</v>
          </cell>
          <cell r="C302" t="str">
            <v>M</v>
          </cell>
          <cell r="D302">
            <v>2.65</v>
          </cell>
        </row>
        <row r="303">
          <cell r="A303">
            <v>4204</v>
          </cell>
          <cell r="B303" t="str">
            <v>Supply &amp; Install Air Pipe, in Open Trench</v>
          </cell>
          <cell r="C303" t="str">
            <v>M</v>
          </cell>
          <cell r="D303">
            <v>2.4300000000000002</v>
          </cell>
        </row>
        <row r="304">
          <cell r="A304">
            <v>4209</v>
          </cell>
          <cell r="B304" t="str">
            <v>Supply &amp; Install 1 or More Add Air Pipes</v>
          </cell>
          <cell r="C304" t="str">
            <v>M</v>
          </cell>
          <cell r="D304">
            <v>2.8</v>
          </cell>
        </row>
        <row r="305">
          <cell r="A305">
            <v>4301</v>
          </cell>
          <cell r="B305" t="str">
            <v>Supply &amp; Install Pressure feed in Manhole</v>
          </cell>
          <cell r="C305" t="str">
            <v>Each</v>
          </cell>
          <cell r="D305">
            <v>218.58</v>
          </cell>
        </row>
        <row r="306">
          <cell r="A306">
            <v>4311</v>
          </cell>
          <cell r="B306" t="str">
            <v>Supply &amp; Install Pressure Mainfold in Manhole</v>
          </cell>
          <cell r="C306" t="str">
            <v>Each</v>
          </cell>
          <cell r="D306">
            <v>343.55</v>
          </cell>
        </row>
        <row r="307">
          <cell r="A307">
            <v>4321</v>
          </cell>
          <cell r="B307" t="str">
            <v>Supply &amp; Install Pressure Transd.in Manhole</v>
          </cell>
          <cell r="C307" t="str">
            <v>Each</v>
          </cell>
          <cell r="D307">
            <v>512.32000000000005</v>
          </cell>
        </row>
        <row r="308">
          <cell r="A308">
            <v>4331</v>
          </cell>
          <cell r="B308" t="str">
            <v>Supply &amp; Install Pressure Transd.in Cabinet</v>
          </cell>
          <cell r="C308" t="str">
            <v>Each</v>
          </cell>
          <cell r="D308">
            <v>478.18</v>
          </cell>
        </row>
        <row r="309">
          <cell r="A309">
            <v>4401</v>
          </cell>
          <cell r="B309" t="str">
            <v>Install Pressure Plug in Cbale Gr. 1 - 2</v>
          </cell>
          <cell r="C309" t="str">
            <v>Each</v>
          </cell>
          <cell r="D309">
            <v>18.739999999999998</v>
          </cell>
        </row>
        <row r="310">
          <cell r="A310">
            <v>4402</v>
          </cell>
          <cell r="B310" t="str">
            <v>Install Pressure Plug in Cbale Gr. 3 - 5</v>
          </cell>
          <cell r="C310" t="str">
            <v>Each</v>
          </cell>
          <cell r="D310">
            <v>28.93</v>
          </cell>
        </row>
        <row r="311">
          <cell r="A311">
            <v>4501</v>
          </cell>
          <cell r="B311" t="str">
            <v>Commissioning of new Gas Pressure System</v>
          </cell>
          <cell r="C311" t="str">
            <v>Each</v>
          </cell>
          <cell r="D311">
            <v>1522.69</v>
          </cell>
        </row>
        <row r="312">
          <cell r="A312">
            <v>4502</v>
          </cell>
          <cell r="B312" t="str">
            <v>Commissioning of Ext.to Gas Pressure System</v>
          </cell>
          <cell r="C312" t="str">
            <v>Each</v>
          </cell>
          <cell r="D312">
            <v>361.33</v>
          </cell>
        </row>
        <row r="313">
          <cell r="A313">
            <v>5101</v>
          </cell>
          <cell r="B313" t="str">
            <v>Rehabilitation of Manhole Type A</v>
          </cell>
          <cell r="C313" t="str">
            <v>Each</v>
          </cell>
          <cell r="D313">
            <v>590.37</v>
          </cell>
        </row>
        <row r="314">
          <cell r="A314">
            <v>5102</v>
          </cell>
          <cell r="B314" t="str">
            <v>Rehabilitation of Manhole Type B</v>
          </cell>
          <cell r="C314" t="str">
            <v>Each</v>
          </cell>
          <cell r="D314">
            <v>619.15</v>
          </cell>
        </row>
        <row r="315">
          <cell r="A315">
            <v>5103</v>
          </cell>
          <cell r="B315" t="str">
            <v>Rehabilitation of Manhole Type C</v>
          </cell>
          <cell r="C315" t="str">
            <v>Each</v>
          </cell>
          <cell r="D315">
            <v>640.99</v>
          </cell>
        </row>
        <row r="316">
          <cell r="A316">
            <v>5104</v>
          </cell>
          <cell r="B316" t="str">
            <v>Rehabilitation of Manhole Type D</v>
          </cell>
          <cell r="C316" t="str">
            <v>Each</v>
          </cell>
          <cell r="D316">
            <v>662.83</v>
          </cell>
        </row>
        <row r="317">
          <cell r="A317">
            <v>5118</v>
          </cell>
          <cell r="B317" t="str">
            <v>Supply &amp; Install Manhole Furniture</v>
          </cell>
          <cell r="C317" t="str">
            <v>Each MH</v>
          </cell>
          <cell r="D317">
            <v>899.26</v>
          </cell>
        </row>
        <row r="318">
          <cell r="A318">
            <v>5119</v>
          </cell>
          <cell r="B318" t="str">
            <v>Supply &amp; Install Handhole Furniture</v>
          </cell>
          <cell r="C318" t="str">
            <v>Each MH</v>
          </cell>
          <cell r="D318">
            <v>516.53</v>
          </cell>
        </row>
        <row r="319">
          <cell r="A319">
            <v>5127</v>
          </cell>
          <cell r="B319" t="str">
            <v>Replace Handhole entrance cover</v>
          </cell>
          <cell r="C319" t="str">
            <v>Each</v>
          </cell>
          <cell r="D319">
            <v>275.25</v>
          </cell>
        </row>
        <row r="320">
          <cell r="A320">
            <v>5201</v>
          </cell>
          <cell r="B320" t="str">
            <v>Testing Exist. Empty Duct</v>
          </cell>
          <cell r="C320" t="str">
            <v>Each</v>
          </cell>
          <cell r="D320">
            <v>156</v>
          </cell>
        </row>
        <row r="321">
          <cell r="A321">
            <v>5202</v>
          </cell>
          <cell r="B321" t="str">
            <v>Testing Exist. Occuoied Duct</v>
          </cell>
          <cell r="C321" t="str">
            <v>Each</v>
          </cell>
          <cell r="D321">
            <v>195</v>
          </cell>
        </row>
        <row r="322">
          <cell r="A322">
            <v>5210</v>
          </cell>
          <cell r="B322" t="str">
            <v>Replace Ex. Emp/Occ. Duct Enc. In Concr.</v>
          </cell>
          <cell r="C322" t="str">
            <v>Each</v>
          </cell>
          <cell r="D322">
            <v>175.5</v>
          </cell>
        </row>
        <row r="323">
          <cell r="A323">
            <v>5211</v>
          </cell>
          <cell r="B323" t="str">
            <v>Replace Add. Emp/Occ. Duct Enc. In Concr.</v>
          </cell>
          <cell r="C323" t="str">
            <v>Each</v>
          </cell>
          <cell r="D323">
            <v>201.5</v>
          </cell>
        </row>
        <row r="324">
          <cell r="A324">
            <v>5212</v>
          </cell>
          <cell r="B324" t="str">
            <v>Replace Ex. Emp/Occ. Duct Enc. In Sand</v>
          </cell>
          <cell r="C324" t="str">
            <v>Each</v>
          </cell>
          <cell r="D324">
            <v>143</v>
          </cell>
        </row>
        <row r="325">
          <cell r="A325">
            <v>5213</v>
          </cell>
          <cell r="B325" t="str">
            <v>Replace Add. Emp/Occ. Duct Enc. In Sand</v>
          </cell>
          <cell r="C325" t="str">
            <v>Each</v>
          </cell>
          <cell r="D325">
            <v>156</v>
          </cell>
        </row>
        <row r="326">
          <cell r="A326">
            <v>5811</v>
          </cell>
          <cell r="B326" t="str">
            <v>Recover Duct Installed Cable Gr. 1</v>
          </cell>
          <cell r="C326" t="str">
            <v>M</v>
          </cell>
          <cell r="D326">
            <v>0.64</v>
          </cell>
        </row>
        <row r="327">
          <cell r="A327">
            <v>5812</v>
          </cell>
          <cell r="B327" t="str">
            <v>Recover Duct Installed Cable Gr. 2</v>
          </cell>
          <cell r="C327" t="str">
            <v>M</v>
          </cell>
          <cell r="D327">
            <v>0.76</v>
          </cell>
        </row>
        <row r="328">
          <cell r="A328">
            <v>5813</v>
          </cell>
          <cell r="B328" t="str">
            <v>Recover Duct Installed Cable Gr. 3</v>
          </cell>
          <cell r="C328" t="str">
            <v>M</v>
          </cell>
          <cell r="D328">
            <v>0.89</v>
          </cell>
        </row>
        <row r="329">
          <cell r="A329">
            <v>5814</v>
          </cell>
          <cell r="B329" t="str">
            <v>Recover Duct Installed Cable Gr. 4</v>
          </cell>
          <cell r="C329" t="str">
            <v>M</v>
          </cell>
          <cell r="D329">
            <v>1.1200000000000001</v>
          </cell>
        </row>
        <row r="330">
          <cell r="A330">
            <v>5815</v>
          </cell>
          <cell r="B330" t="str">
            <v>Recover Duct Installed Cable Gr. 5</v>
          </cell>
          <cell r="C330" t="str">
            <v>M</v>
          </cell>
          <cell r="D330">
            <v>1.25</v>
          </cell>
        </row>
        <row r="331">
          <cell r="A331">
            <v>7071</v>
          </cell>
          <cell r="B331" t="str">
            <v>Std Wall Fixed Cable Brackets-1000mm</v>
          </cell>
          <cell r="C331" t="str">
            <v>Each</v>
          </cell>
          <cell r="D331">
            <v>18.579999999999998</v>
          </cell>
          <cell r="E331">
            <v>18.579999999999998</v>
          </cell>
        </row>
        <row r="332">
          <cell r="A332">
            <v>7076</v>
          </cell>
          <cell r="B332" t="str">
            <v>Std Cable Bearer - 250mm</v>
          </cell>
          <cell r="C332" t="str">
            <v>Each</v>
          </cell>
          <cell r="D332" t="str">
            <v>N/A</v>
          </cell>
          <cell r="E332">
            <v>5.57</v>
          </cell>
        </row>
        <row r="333">
          <cell r="A333">
            <v>7080</v>
          </cell>
          <cell r="B333" t="str">
            <v>Cable Trench Warning Tape (500m)</v>
          </cell>
          <cell r="C333" t="str">
            <v>Each</v>
          </cell>
          <cell r="D333" t="str">
            <v>N/A</v>
          </cell>
          <cell r="E333">
            <v>28.44</v>
          </cell>
        </row>
        <row r="334">
          <cell r="A334">
            <v>7721</v>
          </cell>
          <cell r="B334" t="str">
            <v>Joint Closure 4 Cables 28mm OD.30 Fibers</v>
          </cell>
          <cell r="C334" t="str">
            <v>Each</v>
          </cell>
          <cell r="D334" t="str">
            <v>N/A</v>
          </cell>
          <cell r="E334">
            <v>595.09</v>
          </cell>
        </row>
        <row r="335">
          <cell r="A335">
            <v>7721.1</v>
          </cell>
          <cell r="B335" t="str">
            <v>Joint Closure 4 Cables Ariel Application</v>
          </cell>
          <cell r="C335" t="str">
            <v>Each</v>
          </cell>
          <cell r="D335" t="str">
            <v>N/A</v>
          </cell>
          <cell r="E335">
            <v>634.92999999999995</v>
          </cell>
        </row>
        <row r="336">
          <cell r="A336">
            <v>7721.2</v>
          </cell>
          <cell r="B336" t="str">
            <v>Joint Closure 4 Cables Manhole Application</v>
          </cell>
          <cell r="C336" t="str">
            <v>Each</v>
          </cell>
          <cell r="D336" t="str">
            <v>N/A</v>
          </cell>
          <cell r="E336">
            <v>634.92999999999995</v>
          </cell>
        </row>
        <row r="337">
          <cell r="A337">
            <v>8111</v>
          </cell>
          <cell r="B337" t="str">
            <v>Excavation in Light Soil &lt; 1.5m depth</v>
          </cell>
          <cell r="C337" t="str">
            <v>Cum</v>
          </cell>
          <cell r="D337">
            <v>2.4900000000000002</v>
          </cell>
        </row>
        <row r="338">
          <cell r="A338">
            <v>8112</v>
          </cell>
          <cell r="B338" t="str">
            <v>Excavation in Light Soil 1.5m - 3.0 depth</v>
          </cell>
          <cell r="C338" t="str">
            <v>Cum</v>
          </cell>
          <cell r="D338">
            <v>3.19</v>
          </cell>
        </row>
        <row r="339">
          <cell r="A339">
            <v>8113</v>
          </cell>
          <cell r="B339" t="str">
            <v>Excavation in Light Soil 3.0m - 5.0 depth</v>
          </cell>
          <cell r="C339" t="str">
            <v>Cum</v>
          </cell>
          <cell r="D339">
            <v>3.68</v>
          </cell>
        </row>
        <row r="340">
          <cell r="A340">
            <v>8121</v>
          </cell>
          <cell r="B340" t="str">
            <v>Excavation in Hard Soil &lt; 1.5m depth</v>
          </cell>
          <cell r="C340" t="str">
            <v>Cum</v>
          </cell>
          <cell r="D340">
            <v>3.96</v>
          </cell>
        </row>
        <row r="341">
          <cell r="A341">
            <v>8122</v>
          </cell>
          <cell r="B341" t="str">
            <v>Excavation in Hard Soil 1.5m - 3.0 depth</v>
          </cell>
          <cell r="C341" t="str">
            <v>Cum</v>
          </cell>
          <cell r="D341">
            <v>5.87</v>
          </cell>
        </row>
        <row r="342">
          <cell r="A342">
            <v>8131</v>
          </cell>
          <cell r="B342" t="str">
            <v>Excavation Hard Rock 1.5m depth</v>
          </cell>
          <cell r="C342" t="str">
            <v>Cum</v>
          </cell>
          <cell r="D342">
            <v>35.85</v>
          </cell>
          <cell r="E342">
            <v>35.85</v>
          </cell>
        </row>
        <row r="343">
          <cell r="A343">
            <v>8132</v>
          </cell>
          <cell r="B343" t="str">
            <v>Excavation in Hard Rock 1.5m - 3.0 depth</v>
          </cell>
          <cell r="C343" t="str">
            <v>Cum</v>
          </cell>
          <cell r="D343">
            <v>49.1</v>
          </cell>
        </row>
        <row r="344">
          <cell r="A344">
            <v>8133</v>
          </cell>
          <cell r="B344" t="str">
            <v>Excavation in Hard Rock 3.0m - 5.0 depth</v>
          </cell>
          <cell r="C344" t="str">
            <v>Cum</v>
          </cell>
          <cell r="D344">
            <v>62.98</v>
          </cell>
        </row>
        <row r="345">
          <cell r="A345">
            <v>9101</v>
          </cell>
          <cell r="B345" t="str">
            <v>Disposal of Waste Water</v>
          </cell>
          <cell r="C345" t="str">
            <v>Cum</v>
          </cell>
          <cell r="D345">
            <v>2.5</v>
          </cell>
          <cell r="E345">
            <v>2.5</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ry-work"/>
      <sheetName val="Abstract -Bill"/>
      <sheetName val="Comparative"/>
      <sheetName val="Detail for bill1"/>
      <sheetName val="Steel-wt"/>
      <sheetName val="Steel"/>
      <sheetName val="Certificate"/>
      <sheetName val="Bill-Form1"/>
      <sheetName val="check"/>
      <sheetName val="Super check"/>
      <sheetName val="Gen Ab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ry-work"/>
      <sheetName val="Abstract -Bill"/>
      <sheetName val="Comparative"/>
      <sheetName val="Detail for bill1"/>
      <sheetName val="Steel-wt"/>
      <sheetName val="Steel"/>
      <sheetName val="Certificate"/>
      <sheetName val="Bill-Form1"/>
      <sheetName val="check"/>
      <sheetName val="Super check"/>
      <sheetName val="Gen Ab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43"/>
  <sheetViews>
    <sheetView view="pageBreakPreview" zoomScale="80" zoomScaleSheetLayoutView="80" workbookViewId="0">
      <selection activeCell="F39" sqref="F39:I39"/>
    </sheetView>
  </sheetViews>
  <sheetFormatPr defaultColWidth="8.86328125" defaultRowHeight="14.25" x14ac:dyDescent="0.45"/>
  <cols>
    <col min="1" max="7" width="8.86328125" style="112"/>
    <col min="8" max="8" width="12.3984375" style="112" customWidth="1"/>
    <col min="9" max="9" width="8.86328125" style="112"/>
    <col min="10" max="10" width="11.86328125" style="112" customWidth="1"/>
    <col min="11" max="16384" width="8.86328125" style="112"/>
  </cols>
  <sheetData>
    <row r="1" spans="1:10" x14ac:dyDescent="0.45">
      <c r="A1" s="109"/>
      <c r="B1" s="110"/>
      <c r="C1" s="110"/>
      <c r="D1" s="110"/>
      <c r="E1" s="110"/>
      <c r="F1" s="110"/>
      <c r="G1" s="110"/>
      <c r="H1" s="110"/>
      <c r="I1" s="110"/>
      <c r="J1" s="111"/>
    </row>
    <row r="2" spans="1:10" x14ac:dyDescent="0.45">
      <c r="A2" s="113"/>
      <c r="B2" s="233"/>
      <c r="C2" s="233"/>
      <c r="D2" s="233"/>
      <c r="E2" s="233"/>
      <c r="F2" s="233"/>
      <c r="G2" s="233"/>
      <c r="H2" s="233"/>
      <c r="I2" s="233"/>
      <c r="J2" s="114"/>
    </row>
    <row r="3" spans="1:10" x14ac:dyDescent="0.45">
      <c r="A3" s="113"/>
      <c r="B3" s="233"/>
      <c r="C3" s="233"/>
      <c r="D3" s="233"/>
      <c r="E3" s="233"/>
      <c r="F3" s="233"/>
      <c r="G3" s="233"/>
      <c r="H3" s="233"/>
      <c r="I3" s="233"/>
      <c r="J3" s="114"/>
    </row>
    <row r="4" spans="1:10" x14ac:dyDescent="0.45">
      <c r="A4" s="113"/>
      <c r="B4" s="233"/>
      <c r="C4" s="233"/>
      <c r="D4" s="233"/>
      <c r="E4" s="233"/>
      <c r="F4" s="233"/>
      <c r="G4" s="233"/>
      <c r="H4" s="233"/>
      <c r="I4" s="233"/>
      <c r="J4" s="114"/>
    </row>
    <row r="5" spans="1:10" x14ac:dyDescent="0.45">
      <c r="A5" s="113"/>
      <c r="B5" s="233"/>
      <c r="C5" s="233"/>
      <c r="D5" s="233"/>
      <c r="E5" s="233"/>
      <c r="F5" s="233"/>
      <c r="G5" s="233"/>
      <c r="H5" s="233"/>
      <c r="I5" s="233"/>
      <c r="J5" s="114"/>
    </row>
    <row r="6" spans="1:10" x14ac:dyDescent="0.45">
      <c r="A6" s="113"/>
      <c r="B6" s="233"/>
      <c r="C6" s="233"/>
      <c r="D6" s="233"/>
      <c r="E6" s="233"/>
      <c r="F6" s="233"/>
      <c r="G6" s="233"/>
      <c r="H6" s="233"/>
      <c r="I6" s="233"/>
      <c r="J6" s="114"/>
    </row>
    <row r="7" spans="1:10" x14ac:dyDescent="0.45">
      <c r="A7" s="113"/>
      <c r="B7" s="233"/>
      <c r="C7" s="233"/>
      <c r="D7" s="233"/>
      <c r="E7" s="233"/>
      <c r="F7" s="233"/>
      <c r="G7" s="233"/>
      <c r="H7" s="233"/>
      <c r="I7" s="233"/>
      <c r="J7" s="114"/>
    </row>
    <row r="8" spans="1:10" x14ac:dyDescent="0.45">
      <c r="A8" s="113"/>
      <c r="B8" s="233"/>
      <c r="C8" s="233"/>
      <c r="D8" s="233"/>
      <c r="E8" s="233"/>
      <c r="F8" s="233"/>
      <c r="G8" s="233"/>
      <c r="H8" s="233"/>
      <c r="I8" s="233"/>
      <c r="J8" s="114"/>
    </row>
    <row r="9" spans="1:10" x14ac:dyDescent="0.45">
      <c r="A9" s="113"/>
      <c r="B9" s="233"/>
      <c r="C9" s="233"/>
      <c r="D9" s="233"/>
      <c r="E9" s="233"/>
      <c r="F9" s="233"/>
      <c r="G9" s="233"/>
      <c r="H9" s="233"/>
      <c r="I9" s="233"/>
      <c r="J9" s="114"/>
    </row>
    <row r="10" spans="1:10" ht="15" x14ac:dyDescent="0.45">
      <c r="A10" s="115"/>
      <c r="B10" s="233"/>
      <c r="C10" s="233"/>
      <c r="D10" s="233"/>
      <c r="E10" s="233"/>
      <c r="F10" s="233"/>
      <c r="G10" s="233"/>
      <c r="H10" s="233"/>
      <c r="I10" s="233"/>
      <c r="J10" s="114"/>
    </row>
    <row r="11" spans="1:10" ht="27.6" customHeight="1" x14ac:dyDescent="0.45">
      <c r="A11" s="115"/>
      <c r="B11" s="233"/>
      <c r="C11" s="233"/>
      <c r="D11" s="233"/>
      <c r="E11" s="233"/>
      <c r="F11" s="233"/>
      <c r="G11" s="233"/>
      <c r="H11" s="233"/>
      <c r="I11" s="233"/>
      <c r="J11" s="114"/>
    </row>
    <row r="12" spans="1:10" ht="45" customHeight="1" x14ac:dyDescent="0.45">
      <c r="A12" s="244" t="s">
        <v>196</v>
      </c>
      <c r="B12" s="245"/>
      <c r="C12" s="245"/>
      <c r="D12" s="234"/>
      <c r="E12" s="234"/>
      <c r="F12" s="234"/>
      <c r="G12" s="234"/>
      <c r="H12" s="234"/>
      <c r="I12" s="234"/>
      <c r="J12" s="116"/>
    </row>
    <row r="13" spans="1:10" ht="15.4" x14ac:dyDescent="0.45">
      <c r="A13" s="117" t="s">
        <v>186</v>
      </c>
      <c r="B13" s="235" t="s">
        <v>431</v>
      </c>
      <c r="C13" s="235"/>
      <c r="D13" s="235"/>
      <c r="E13" s="235"/>
      <c r="F13" s="235"/>
      <c r="G13" s="235"/>
      <c r="H13" s="235"/>
      <c r="I13" s="235"/>
      <c r="J13" s="118"/>
    </row>
    <row r="14" spans="1:10" ht="15" x14ac:dyDescent="0.45">
      <c r="A14" s="119" t="s">
        <v>197</v>
      </c>
      <c r="B14" s="234"/>
      <c r="C14" s="234"/>
      <c r="D14" s="234"/>
      <c r="E14" s="234"/>
      <c r="F14" s="234"/>
      <c r="G14" s="234"/>
      <c r="H14" s="234"/>
      <c r="I14" s="234"/>
      <c r="J14" s="116"/>
    </row>
    <row r="15" spans="1:10" ht="15.4" x14ac:dyDescent="0.45">
      <c r="A15" s="246" t="s">
        <v>198</v>
      </c>
      <c r="B15" s="247"/>
      <c r="C15" s="247"/>
      <c r="D15" s="247"/>
      <c r="E15" s="234"/>
      <c r="F15" s="234"/>
      <c r="G15" s="234"/>
      <c r="H15" s="234"/>
      <c r="I15" s="234"/>
      <c r="J15" s="116"/>
    </row>
    <row r="16" spans="1:10" ht="15.4" x14ac:dyDescent="0.45">
      <c r="A16" s="246" t="s">
        <v>199</v>
      </c>
      <c r="B16" s="247"/>
      <c r="C16" s="247"/>
      <c r="D16" s="247"/>
      <c r="E16" s="234"/>
      <c r="F16" s="234"/>
      <c r="G16" s="234"/>
      <c r="H16" s="234"/>
      <c r="I16" s="234"/>
      <c r="J16" s="116"/>
    </row>
    <row r="17" spans="1:14" ht="15.4" x14ac:dyDescent="0.45">
      <c r="A17" s="246" t="s">
        <v>200</v>
      </c>
      <c r="B17" s="247"/>
      <c r="C17" s="247"/>
      <c r="D17" s="247"/>
      <c r="E17" s="234"/>
      <c r="F17" s="234"/>
      <c r="G17" s="234"/>
      <c r="H17" s="234"/>
      <c r="I17" s="234"/>
      <c r="J17" s="116"/>
    </row>
    <row r="18" spans="1:14" x14ac:dyDescent="0.45">
      <c r="A18" s="248" t="s">
        <v>201</v>
      </c>
      <c r="B18" s="249"/>
      <c r="C18" s="249"/>
      <c r="D18" s="249"/>
      <c r="E18" s="234"/>
      <c r="F18" s="233"/>
      <c r="G18" s="234"/>
      <c r="H18" s="234"/>
      <c r="I18" s="234"/>
      <c r="J18" s="116"/>
    </row>
    <row r="19" spans="1:14" ht="15.4" x14ac:dyDescent="0.45">
      <c r="A19" s="120" t="s">
        <v>202</v>
      </c>
      <c r="B19" s="234"/>
      <c r="C19" s="234"/>
      <c r="D19" s="234"/>
      <c r="E19" s="234"/>
      <c r="F19" s="234"/>
      <c r="G19" s="234"/>
      <c r="H19" s="234"/>
      <c r="I19" s="234"/>
      <c r="J19" s="116"/>
    </row>
    <row r="20" spans="1:14" ht="63" customHeight="1" x14ac:dyDescent="0.45">
      <c r="A20" s="121" t="s">
        <v>203</v>
      </c>
      <c r="B20" s="250" t="s">
        <v>432</v>
      </c>
      <c r="C20" s="250"/>
      <c r="D20" s="250"/>
      <c r="E20" s="250"/>
      <c r="F20" s="250"/>
      <c r="G20" s="250"/>
      <c r="H20" s="250"/>
      <c r="I20" s="250"/>
      <c r="J20" s="251"/>
    </row>
    <row r="21" spans="1:14" x14ac:dyDescent="0.45">
      <c r="A21" s="122"/>
      <c r="B21" s="234"/>
      <c r="C21" s="234"/>
      <c r="D21" s="234"/>
      <c r="E21" s="234"/>
      <c r="F21" s="234"/>
      <c r="G21" s="234"/>
      <c r="H21" s="234"/>
      <c r="I21" s="234"/>
      <c r="J21" s="116"/>
    </row>
    <row r="22" spans="1:14" x14ac:dyDescent="0.45">
      <c r="A22" s="252" t="s">
        <v>214</v>
      </c>
      <c r="B22" s="253"/>
      <c r="C22" s="253"/>
      <c r="D22" s="253"/>
      <c r="E22" s="253"/>
      <c r="F22" s="253"/>
      <c r="G22" s="253"/>
      <c r="H22" s="253"/>
      <c r="I22" s="253"/>
      <c r="J22" s="254"/>
    </row>
    <row r="23" spans="1:14" ht="15.4" x14ac:dyDescent="0.45">
      <c r="A23" s="123"/>
      <c r="B23" s="234"/>
      <c r="C23" s="234"/>
      <c r="D23" s="234"/>
      <c r="E23" s="234"/>
      <c r="F23" s="234"/>
      <c r="G23" s="234"/>
      <c r="H23" s="234"/>
      <c r="I23" s="234"/>
      <c r="J23" s="116"/>
    </row>
    <row r="24" spans="1:14" ht="38.450000000000003" customHeight="1" x14ac:dyDescent="0.45">
      <c r="A24" s="255" t="s">
        <v>215</v>
      </c>
      <c r="B24" s="256"/>
      <c r="C24" s="256"/>
      <c r="D24" s="256"/>
      <c r="E24" s="256"/>
      <c r="F24" s="256"/>
      <c r="G24" s="256"/>
      <c r="H24" s="256"/>
      <c r="I24" s="256"/>
      <c r="J24" s="257"/>
      <c r="N24" s="112" t="str">
        <f>UPPER(B27)</f>
        <v>CONSTRUCTION OF NEW TALUK OPERATIONAL GODOWN OF 2500M.T (1X1500MT, 1X1000MT) CAPACITY IN TNCSC CAMPUS AT SURVEY NO.2347/1 TO AN EXTENT OF 1.21.44 HECTARE AT NELLIYALAM VILLAGE IN PANDALUR TALUK IN NILGIRIS DISTRICT.</v>
      </c>
    </row>
    <row r="25" spans="1:14" x14ac:dyDescent="0.45">
      <c r="A25" s="124"/>
      <c r="B25" s="234"/>
      <c r="C25" s="234"/>
      <c r="D25" s="234"/>
      <c r="E25" s="234"/>
      <c r="F25" s="234"/>
      <c r="G25" s="234"/>
      <c r="H25" s="234"/>
      <c r="I25" s="234"/>
      <c r="J25" s="116"/>
    </row>
    <row r="26" spans="1:14" ht="15" x14ac:dyDescent="0.45">
      <c r="A26" s="125" t="s">
        <v>64</v>
      </c>
      <c r="B26" s="258" t="s">
        <v>204</v>
      </c>
      <c r="C26" s="259"/>
      <c r="D26" s="259"/>
      <c r="E26" s="259"/>
      <c r="F26" s="259"/>
      <c r="G26" s="259"/>
      <c r="H26" s="259"/>
      <c r="I26" s="260"/>
      <c r="J26" s="116"/>
    </row>
    <row r="27" spans="1:14" ht="65.45" customHeight="1" x14ac:dyDescent="0.45">
      <c r="A27" s="126">
        <v>1</v>
      </c>
      <c r="B27" s="261" t="s">
        <v>219</v>
      </c>
      <c r="C27" s="262"/>
      <c r="D27" s="262"/>
      <c r="E27" s="262"/>
      <c r="F27" s="262"/>
      <c r="G27" s="262"/>
      <c r="H27" s="262"/>
      <c r="I27" s="263"/>
      <c r="J27" s="116"/>
    </row>
    <row r="28" spans="1:14" x14ac:dyDescent="0.45">
      <c r="A28" s="124"/>
      <c r="B28" s="234"/>
      <c r="C28" s="234"/>
      <c r="D28" s="234"/>
      <c r="E28" s="234"/>
      <c r="F28" s="234"/>
      <c r="G28" s="234"/>
      <c r="H28" s="234"/>
      <c r="I28" s="234"/>
      <c r="J28" s="116"/>
    </row>
    <row r="29" spans="1:14" ht="15.4" x14ac:dyDescent="0.45">
      <c r="A29" s="124"/>
      <c r="B29" s="234"/>
      <c r="C29" s="234"/>
      <c r="D29" s="264" t="s">
        <v>205</v>
      </c>
      <c r="E29" s="264"/>
      <c r="F29" s="264"/>
      <c r="G29" s="234"/>
      <c r="H29" s="234"/>
      <c r="I29" s="234"/>
      <c r="J29" s="116"/>
    </row>
    <row r="30" spans="1:14" x14ac:dyDescent="0.45">
      <c r="A30" s="124"/>
      <c r="B30" s="234"/>
      <c r="C30" s="234"/>
      <c r="D30" s="234"/>
      <c r="E30" s="234"/>
      <c r="F30" s="234"/>
      <c r="G30" s="234"/>
      <c r="H30" s="234"/>
      <c r="I30" s="234"/>
      <c r="J30" s="116"/>
    </row>
    <row r="31" spans="1:14" ht="15.4" x14ac:dyDescent="0.45">
      <c r="A31" s="120" t="s">
        <v>206</v>
      </c>
      <c r="B31" s="234"/>
      <c r="C31" s="234"/>
      <c r="D31" s="234"/>
      <c r="E31" s="234"/>
      <c r="F31" s="234"/>
      <c r="G31" s="236" t="s">
        <v>207</v>
      </c>
      <c r="H31" s="234"/>
      <c r="I31" s="234"/>
      <c r="J31" s="116"/>
    </row>
    <row r="32" spans="1:14" ht="19.350000000000001" customHeight="1" x14ac:dyDescent="0.45">
      <c r="A32" s="127" t="s">
        <v>430</v>
      </c>
      <c r="B32" s="237"/>
      <c r="C32" s="237"/>
      <c r="D32" s="234"/>
      <c r="E32" s="234"/>
      <c r="F32" s="236" t="s">
        <v>208</v>
      </c>
      <c r="G32" s="234"/>
      <c r="H32" s="234"/>
      <c r="I32" s="234"/>
      <c r="J32" s="116"/>
    </row>
    <row r="33" spans="1:10" x14ac:dyDescent="0.45">
      <c r="A33" s="124"/>
      <c r="B33" s="234"/>
      <c r="C33" s="234"/>
      <c r="D33" s="234"/>
      <c r="E33" s="234"/>
      <c r="F33" s="234"/>
      <c r="G33" s="234"/>
      <c r="H33" s="234"/>
      <c r="I33" s="234"/>
      <c r="J33" s="116"/>
    </row>
    <row r="34" spans="1:10" x14ac:dyDescent="0.45">
      <c r="A34" s="124"/>
      <c r="B34" s="234"/>
      <c r="C34" s="234"/>
      <c r="D34" s="234"/>
      <c r="E34" s="234"/>
      <c r="F34" s="234"/>
      <c r="G34" s="234"/>
      <c r="H34" s="234"/>
      <c r="I34" s="234"/>
      <c r="J34" s="116"/>
    </row>
    <row r="35" spans="1:10" ht="15.4" x14ac:dyDescent="0.45">
      <c r="A35" s="120"/>
      <c r="B35" s="234"/>
      <c r="C35" s="234"/>
      <c r="D35" s="234"/>
      <c r="E35" s="234"/>
      <c r="F35" s="243" t="s">
        <v>209</v>
      </c>
      <c r="G35" s="243"/>
      <c r="H35" s="243"/>
      <c r="I35" s="243"/>
      <c r="J35" s="118"/>
    </row>
    <row r="36" spans="1:10" ht="15.4" x14ac:dyDescent="0.45">
      <c r="A36" s="120"/>
      <c r="B36" s="234"/>
      <c r="C36" s="234"/>
      <c r="D36" s="234"/>
      <c r="E36" s="234"/>
      <c r="F36" s="238"/>
      <c r="G36" s="243" t="s">
        <v>210</v>
      </c>
      <c r="H36" s="243"/>
      <c r="I36" s="243"/>
      <c r="J36" s="118"/>
    </row>
    <row r="37" spans="1:10" ht="21.6" customHeight="1" thickBot="1" x14ac:dyDescent="0.5">
      <c r="A37" s="265" t="s">
        <v>211</v>
      </c>
      <c r="B37" s="266"/>
      <c r="C37" s="266"/>
      <c r="D37" s="266"/>
      <c r="E37" s="266"/>
      <c r="F37" s="266"/>
      <c r="G37" s="266"/>
      <c r="H37" s="239"/>
      <c r="I37" s="239"/>
      <c r="J37" s="240"/>
    </row>
    <row r="38" spans="1:10" x14ac:dyDescent="0.45">
      <c r="A38" s="128" t="s">
        <v>212</v>
      </c>
      <c r="B38" s="129"/>
      <c r="C38" s="129"/>
      <c r="D38" s="129"/>
      <c r="E38" s="129"/>
      <c r="F38" s="129"/>
      <c r="G38" s="129"/>
      <c r="H38" s="129"/>
      <c r="I38" s="129"/>
      <c r="J38" s="130"/>
    </row>
    <row r="39" spans="1:10" ht="15.4" x14ac:dyDescent="0.45">
      <c r="A39" s="131"/>
      <c r="B39" s="129"/>
      <c r="C39" s="129"/>
      <c r="D39" s="129"/>
      <c r="E39" s="129"/>
      <c r="F39" s="267"/>
      <c r="G39" s="267"/>
      <c r="H39" s="267"/>
      <c r="I39" s="267"/>
      <c r="J39" s="132"/>
    </row>
    <row r="40" spans="1:10" ht="15.4" x14ac:dyDescent="0.45">
      <c r="A40" s="131"/>
      <c r="B40" s="129"/>
      <c r="C40" s="129"/>
      <c r="D40" s="129"/>
      <c r="E40" s="129"/>
      <c r="F40" s="129"/>
      <c r="G40" s="129"/>
      <c r="H40" s="129"/>
      <c r="I40" s="129"/>
      <c r="J40" s="130"/>
    </row>
    <row r="41" spans="1:10" ht="15" x14ac:dyDescent="0.45">
      <c r="A41" s="268" t="s">
        <v>213</v>
      </c>
      <c r="B41" s="269"/>
      <c r="C41" s="269"/>
      <c r="D41" s="269"/>
      <c r="E41" s="129"/>
      <c r="F41" s="129"/>
      <c r="G41" s="129"/>
      <c r="H41" s="129"/>
      <c r="I41" s="129"/>
      <c r="J41" s="130"/>
    </row>
    <row r="42" spans="1:10" ht="15" x14ac:dyDescent="0.45">
      <c r="A42" s="268" t="s">
        <v>216</v>
      </c>
      <c r="B42" s="269"/>
      <c r="C42" s="269"/>
      <c r="D42" s="269"/>
      <c r="E42" s="129"/>
      <c r="F42" s="129"/>
      <c r="G42" s="129"/>
      <c r="H42" s="129"/>
      <c r="I42" s="129"/>
      <c r="J42" s="130"/>
    </row>
    <row r="43" spans="1:10" ht="15.75" thickBot="1" x14ac:dyDescent="0.5">
      <c r="A43" s="133"/>
      <c r="B43" s="134"/>
      <c r="C43" s="134"/>
      <c r="D43" s="134"/>
      <c r="E43" s="134"/>
      <c r="F43" s="134"/>
      <c r="G43" s="134"/>
      <c r="H43" s="134"/>
      <c r="I43" s="134"/>
      <c r="J43" s="135"/>
    </row>
  </sheetData>
  <mergeCells count="17">
    <mergeCell ref="G36:I36"/>
    <mergeCell ref="A37:G37"/>
    <mergeCell ref="F39:I39"/>
    <mergeCell ref="A41:D41"/>
    <mergeCell ref="A42:D42"/>
    <mergeCell ref="F35:I35"/>
    <mergeCell ref="A12:C12"/>
    <mergeCell ref="A15:D15"/>
    <mergeCell ref="A16:D16"/>
    <mergeCell ref="A17:D17"/>
    <mergeCell ref="A18:D18"/>
    <mergeCell ref="B20:J20"/>
    <mergeCell ref="A22:J22"/>
    <mergeCell ref="A24:J24"/>
    <mergeCell ref="B26:I26"/>
    <mergeCell ref="B27:I27"/>
    <mergeCell ref="D29:F29"/>
  </mergeCells>
  <printOptions horizontalCentered="1"/>
  <pageMargins left="0.31496062992125984" right="0.31496062992125984" top="0.39370078740157483" bottom="0.35433070866141736" header="0.11811023622047245" footer="0.19685039370078741"/>
  <pageSetup paperSize="9" fitToHeight="0" orientation="portrait" r:id="rId1"/>
  <rowBreaks count="1" manualBreakCount="1">
    <brk id="37"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6"/>
  <sheetViews>
    <sheetView workbookViewId="0">
      <pane ySplit="3" topLeftCell="A29" activePane="bottomLeft" state="frozen"/>
      <selection activeCell="D41" sqref="D41"/>
      <selection pane="bottomLeft" activeCell="H22" sqref="H22"/>
    </sheetView>
  </sheetViews>
  <sheetFormatPr defaultColWidth="9.1328125" defaultRowHeight="17.45" customHeight="1" x14ac:dyDescent="0.45"/>
  <cols>
    <col min="1" max="1" width="7.265625" style="159" bestFit="1" customWidth="1"/>
    <col min="2" max="2" width="64" style="72" customWidth="1"/>
    <col min="3" max="3" width="13" style="166" bestFit="1" customWidth="1"/>
    <col min="4" max="4" width="7" style="69" customWidth="1"/>
    <col min="5" max="5" width="13" style="166" bestFit="1" customWidth="1"/>
    <col min="6" max="6" width="18.86328125" style="166" bestFit="1" customWidth="1"/>
    <col min="7" max="7" width="9.1328125" style="162"/>
    <col min="8" max="8" width="11.73046875" style="162" bestFit="1" customWidth="1"/>
    <col min="9" max="9" width="12.265625" style="162" bestFit="1" customWidth="1"/>
    <col min="10" max="16384" width="9.1328125" style="162"/>
  </cols>
  <sheetData>
    <row r="1" spans="1:9" ht="33.6" customHeight="1" x14ac:dyDescent="0.45">
      <c r="A1" s="271" t="s">
        <v>62</v>
      </c>
      <c r="B1" s="272"/>
      <c r="C1" s="272"/>
      <c r="D1" s="272"/>
      <c r="E1" s="272"/>
      <c r="F1" s="273"/>
    </row>
    <row r="2" spans="1:9" ht="17.45" customHeight="1" x14ac:dyDescent="0.45">
      <c r="A2" s="270" t="s">
        <v>63</v>
      </c>
      <c r="B2" s="270"/>
      <c r="C2" s="270"/>
      <c r="D2" s="270"/>
      <c r="E2" s="270"/>
      <c r="F2" s="270"/>
    </row>
    <row r="3" spans="1:9" ht="17.45" customHeight="1" x14ac:dyDescent="0.45">
      <c r="A3" s="157" t="s">
        <v>64</v>
      </c>
      <c r="B3" s="58" t="s">
        <v>0</v>
      </c>
      <c r="C3" s="163" t="s">
        <v>1</v>
      </c>
      <c r="D3" s="59" t="s">
        <v>2</v>
      </c>
      <c r="E3" s="163" t="s">
        <v>61</v>
      </c>
      <c r="F3" s="163" t="s">
        <v>3</v>
      </c>
    </row>
    <row r="4" spans="1:9" ht="17.45" customHeight="1" x14ac:dyDescent="0.45">
      <c r="A4" s="158">
        <v>1.01</v>
      </c>
      <c r="B4" s="60" t="s">
        <v>65</v>
      </c>
      <c r="C4" s="61">
        <v>4000</v>
      </c>
      <c r="D4" s="62" t="s">
        <v>8</v>
      </c>
      <c r="E4" s="161">
        <v>7.55</v>
      </c>
      <c r="F4" s="164">
        <f>E4*C4</f>
        <v>30200</v>
      </c>
    </row>
    <row r="5" spans="1:9" ht="17.45" customHeight="1" x14ac:dyDescent="0.45">
      <c r="A5" s="158">
        <v>1.02</v>
      </c>
      <c r="B5" s="60" t="s">
        <v>66</v>
      </c>
      <c r="C5" s="61">
        <v>447</v>
      </c>
      <c r="D5" s="62" t="s">
        <v>6</v>
      </c>
      <c r="E5" s="161">
        <v>279.85000000000002</v>
      </c>
      <c r="F5" s="164">
        <f t="shared" ref="F5:F58" si="0">E5*C5</f>
        <v>125092.95000000001</v>
      </c>
    </row>
    <row r="6" spans="1:9" ht="17.45" customHeight="1" x14ac:dyDescent="0.45">
      <c r="A6" s="158">
        <v>1.03</v>
      </c>
      <c r="B6" s="60" t="s">
        <v>67</v>
      </c>
      <c r="C6" s="61">
        <v>273</v>
      </c>
      <c r="D6" s="62" t="s">
        <v>6</v>
      </c>
      <c r="E6" s="161">
        <v>54.55</v>
      </c>
      <c r="F6" s="164">
        <f t="shared" si="0"/>
        <v>14892.15</v>
      </c>
    </row>
    <row r="7" spans="1:9" ht="17.45" customHeight="1" x14ac:dyDescent="0.45">
      <c r="A7" s="158">
        <v>1.04</v>
      </c>
      <c r="B7" s="60" t="s">
        <v>68</v>
      </c>
      <c r="C7" s="61">
        <v>450</v>
      </c>
      <c r="D7" s="62" t="s">
        <v>6</v>
      </c>
      <c r="E7" s="161">
        <v>2347</v>
      </c>
      <c r="F7" s="164">
        <f t="shared" si="0"/>
        <v>1056150</v>
      </c>
    </row>
    <row r="8" spans="1:9" ht="17.45" customHeight="1" x14ac:dyDescent="0.45">
      <c r="A8" s="158">
        <v>1.05</v>
      </c>
      <c r="B8" s="60" t="s">
        <v>69</v>
      </c>
      <c r="C8" s="61">
        <v>824</v>
      </c>
      <c r="D8" s="62" t="s">
        <v>6</v>
      </c>
      <c r="E8" s="161">
        <v>278.3</v>
      </c>
      <c r="F8" s="164">
        <f t="shared" si="0"/>
        <v>229319.2</v>
      </c>
    </row>
    <row r="9" spans="1:9" ht="17.45" customHeight="1" x14ac:dyDescent="0.45">
      <c r="A9" s="158">
        <v>1.06</v>
      </c>
      <c r="B9" s="60" t="s">
        <v>70</v>
      </c>
      <c r="C9" s="61">
        <v>300</v>
      </c>
      <c r="D9" s="62" t="s">
        <v>6</v>
      </c>
      <c r="E9" s="161">
        <v>4269.95</v>
      </c>
      <c r="F9" s="164">
        <f t="shared" si="0"/>
        <v>1280985</v>
      </c>
      <c r="H9" s="165"/>
      <c r="I9" s="165"/>
    </row>
    <row r="10" spans="1:9" ht="17.45" customHeight="1" x14ac:dyDescent="0.45">
      <c r="A10" s="158">
        <v>1.07</v>
      </c>
      <c r="B10" s="60" t="s">
        <v>4</v>
      </c>
      <c r="C10" s="61">
        <v>270</v>
      </c>
      <c r="D10" s="62" t="s">
        <v>6</v>
      </c>
      <c r="E10" s="161">
        <v>8093</v>
      </c>
      <c r="F10" s="164">
        <f t="shared" si="0"/>
        <v>2185110</v>
      </c>
      <c r="H10" s="165"/>
      <c r="I10" s="165"/>
    </row>
    <row r="11" spans="1:9" ht="17.45" customHeight="1" x14ac:dyDescent="0.45">
      <c r="A11" s="158">
        <v>1.08</v>
      </c>
      <c r="B11" s="60" t="s">
        <v>71</v>
      </c>
      <c r="C11" s="61">
        <v>141</v>
      </c>
      <c r="D11" s="62" t="s">
        <v>6</v>
      </c>
      <c r="E11" s="161">
        <v>7536.75</v>
      </c>
      <c r="F11" s="164">
        <f t="shared" si="0"/>
        <v>1062681.75</v>
      </c>
      <c r="H11" s="165"/>
      <c r="I11" s="165"/>
    </row>
    <row r="12" spans="1:9" ht="17.45" customHeight="1" x14ac:dyDescent="0.45">
      <c r="A12" s="158">
        <v>1.0900000000000001</v>
      </c>
      <c r="B12" s="60" t="s">
        <v>72</v>
      </c>
      <c r="C12" s="61">
        <v>243</v>
      </c>
      <c r="D12" s="62" t="s">
        <v>6</v>
      </c>
      <c r="E12" s="161">
        <v>7647.2</v>
      </c>
      <c r="F12" s="164">
        <f t="shared" si="0"/>
        <v>1858269.5999999999</v>
      </c>
    </row>
    <row r="13" spans="1:9" ht="17.45" customHeight="1" x14ac:dyDescent="0.45">
      <c r="A13" s="158">
        <v>1.1000000000000001</v>
      </c>
      <c r="B13" s="60" t="s">
        <v>73</v>
      </c>
      <c r="C13" s="61">
        <v>103</v>
      </c>
      <c r="D13" s="62" t="s">
        <v>6</v>
      </c>
      <c r="E13" s="161">
        <v>7870.19</v>
      </c>
      <c r="F13" s="164">
        <f t="shared" si="0"/>
        <v>810629.57</v>
      </c>
    </row>
    <row r="14" spans="1:9" ht="17.45" customHeight="1" x14ac:dyDescent="0.45">
      <c r="A14" s="158">
        <v>1.1100000000000001</v>
      </c>
      <c r="B14" s="60" t="s">
        <v>74</v>
      </c>
      <c r="C14" s="61">
        <v>715</v>
      </c>
      <c r="D14" s="62" t="s">
        <v>8</v>
      </c>
      <c r="E14" s="161">
        <v>1159.9000000000001</v>
      </c>
      <c r="F14" s="164">
        <f t="shared" si="0"/>
        <v>829328.50000000012</v>
      </c>
    </row>
    <row r="15" spans="1:9" ht="17.45" customHeight="1" x14ac:dyDescent="0.45">
      <c r="A15" s="158">
        <v>1.1200000000000001</v>
      </c>
      <c r="B15" s="60" t="s">
        <v>75</v>
      </c>
      <c r="C15" s="61">
        <v>805</v>
      </c>
      <c r="D15" s="62" t="s">
        <v>8</v>
      </c>
      <c r="E15" s="161">
        <v>1278.8</v>
      </c>
      <c r="F15" s="164">
        <f t="shared" si="0"/>
        <v>1029434</v>
      </c>
    </row>
    <row r="16" spans="1:9" ht="17.45" customHeight="1" x14ac:dyDescent="0.45">
      <c r="A16" s="158">
        <v>1.1299999999999999</v>
      </c>
      <c r="B16" s="60" t="s">
        <v>76</v>
      </c>
      <c r="C16" s="61">
        <v>906</v>
      </c>
      <c r="D16" s="62" t="s">
        <v>8</v>
      </c>
      <c r="E16" s="161">
        <v>1406.65</v>
      </c>
      <c r="F16" s="164">
        <f t="shared" si="0"/>
        <v>1274424.9000000001</v>
      </c>
    </row>
    <row r="17" spans="1:6" ht="17.45" customHeight="1" x14ac:dyDescent="0.45">
      <c r="A17" s="158">
        <v>1.1399999999999999</v>
      </c>
      <c r="B17" s="60" t="s">
        <v>77</v>
      </c>
      <c r="C17" s="61">
        <v>524.6</v>
      </c>
      <c r="D17" s="62" t="s">
        <v>5</v>
      </c>
      <c r="E17" s="161">
        <v>10099.75</v>
      </c>
      <c r="F17" s="164">
        <f t="shared" si="0"/>
        <v>5298328.8500000006</v>
      </c>
    </row>
    <row r="18" spans="1:6" ht="17.45" customHeight="1" x14ac:dyDescent="0.45">
      <c r="A18" s="158">
        <v>1.1499999999999999</v>
      </c>
      <c r="B18" s="60" t="s">
        <v>78</v>
      </c>
      <c r="C18" s="61">
        <v>10</v>
      </c>
      <c r="D18" s="62" t="s">
        <v>79</v>
      </c>
      <c r="E18" s="161">
        <v>14635</v>
      </c>
      <c r="F18" s="164">
        <f t="shared" si="0"/>
        <v>146350</v>
      </c>
    </row>
    <row r="19" spans="1:6" ht="17.45" customHeight="1" x14ac:dyDescent="0.45">
      <c r="A19" s="158">
        <v>1.1599999999999999</v>
      </c>
      <c r="B19" s="60" t="s">
        <v>80</v>
      </c>
      <c r="C19" s="61">
        <v>36</v>
      </c>
      <c r="D19" s="62" t="s">
        <v>79</v>
      </c>
      <c r="E19" s="161">
        <v>3453.2</v>
      </c>
      <c r="F19" s="164">
        <f t="shared" si="0"/>
        <v>124315.2</v>
      </c>
    </row>
    <row r="20" spans="1:6" ht="17.45" customHeight="1" x14ac:dyDescent="0.45">
      <c r="A20" s="158">
        <v>1.17</v>
      </c>
      <c r="B20" s="60" t="s">
        <v>81</v>
      </c>
      <c r="C20" s="61">
        <v>92</v>
      </c>
      <c r="D20" s="62" t="s">
        <v>79</v>
      </c>
      <c r="E20" s="161">
        <v>4250</v>
      </c>
      <c r="F20" s="164">
        <f t="shared" si="0"/>
        <v>391000</v>
      </c>
    </row>
    <row r="21" spans="1:6" ht="17.45" customHeight="1" x14ac:dyDescent="0.45">
      <c r="A21" s="158">
        <v>1.18</v>
      </c>
      <c r="B21" s="60" t="s">
        <v>82</v>
      </c>
      <c r="C21" s="61">
        <v>1503</v>
      </c>
      <c r="D21" s="62" t="s">
        <v>8</v>
      </c>
      <c r="E21" s="161">
        <v>1653.4</v>
      </c>
      <c r="F21" s="164">
        <f t="shared" si="0"/>
        <v>2485060.2000000002</v>
      </c>
    </row>
    <row r="22" spans="1:6" ht="17.45" customHeight="1" x14ac:dyDescent="0.45">
      <c r="A22" s="158">
        <v>1.19</v>
      </c>
      <c r="B22" s="60" t="s">
        <v>83</v>
      </c>
      <c r="C22" s="61">
        <v>3522</v>
      </c>
      <c r="D22" s="62" t="s">
        <v>8</v>
      </c>
      <c r="E22" s="161">
        <v>356.05</v>
      </c>
      <c r="F22" s="164">
        <f t="shared" si="0"/>
        <v>1254008.1000000001</v>
      </c>
    </row>
    <row r="23" spans="1:6" ht="17.45" customHeight="1" x14ac:dyDescent="0.45">
      <c r="A23" s="158">
        <v>1.2</v>
      </c>
      <c r="B23" s="60" t="s">
        <v>84</v>
      </c>
      <c r="C23" s="61">
        <v>1350</v>
      </c>
      <c r="D23" s="62" t="s">
        <v>8</v>
      </c>
      <c r="E23" s="161">
        <v>401.1</v>
      </c>
      <c r="F23" s="164">
        <f t="shared" si="0"/>
        <v>541485</v>
      </c>
    </row>
    <row r="24" spans="1:6" ht="17.45" customHeight="1" x14ac:dyDescent="0.45">
      <c r="A24" s="158">
        <v>1.21</v>
      </c>
      <c r="B24" s="60" t="s">
        <v>85</v>
      </c>
      <c r="C24" s="61">
        <v>3209</v>
      </c>
      <c r="D24" s="62" t="s">
        <v>8</v>
      </c>
      <c r="E24" s="161">
        <v>309.2</v>
      </c>
      <c r="F24" s="164">
        <f t="shared" si="0"/>
        <v>992222.79999999993</v>
      </c>
    </row>
    <row r="25" spans="1:6" ht="17.45" customHeight="1" x14ac:dyDescent="0.45">
      <c r="A25" s="158">
        <v>1.22</v>
      </c>
      <c r="B25" s="60" t="s">
        <v>86</v>
      </c>
      <c r="C25" s="61">
        <v>76.400000000000006</v>
      </c>
      <c r="D25" s="62" t="s">
        <v>7</v>
      </c>
      <c r="E25" s="161">
        <v>1277</v>
      </c>
      <c r="F25" s="164">
        <f t="shared" si="0"/>
        <v>97562.8</v>
      </c>
    </row>
    <row r="26" spans="1:6" ht="17.45" customHeight="1" x14ac:dyDescent="0.45">
      <c r="A26" s="158">
        <v>1.23</v>
      </c>
      <c r="B26" s="60" t="s">
        <v>87</v>
      </c>
      <c r="C26" s="61">
        <v>11</v>
      </c>
      <c r="D26" s="62" t="s">
        <v>79</v>
      </c>
      <c r="E26" s="161">
        <v>18000</v>
      </c>
      <c r="F26" s="164">
        <f t="shared" si="0"/>
        <v>198000</v>
      </c>
    </row>
    <row r="27" spans="1:6" ht="17.45" customHeight="1" x14ac:dyDescent="0.45">
      <c r="A27" s="158">
        <v>1.24</v>
      </c>
      <c r="B27" s="60" t="s">
        <v>88</v>
      </c>
      <c r="C27" s="61">
        <v>1911</v>
      </c>
      <c r="D27" s="62" t="s">
        <v>8</v>
      </c>
      <c r="E27" s="161">
        <v>1198.1500000000001</v>
      </c>
      <c r="F27" s="164">
        <f t="shared" si="0"/>
        <v>2289664.6500000004</v>
      </c>
    </row>
    <row r="28" spans="1:6" ht="17.45" customHeight="1" x14ac:dyDescent="0.45">
      <c r="A28" s="158">
        <v>1.25</v>
      </c>
      <c r="B28" s="60" t="s">
        <v>89</v>
      </c>
      <c r="C28" s="61">
        <v>107</v>
      </c>
      <c r="D28" s="62" t="s">
        <v>7</v>
      </c>
      <c r="E28" s="161">
        <v>656.5</v>
      </c>
      <c r="F28" s="164">
        <f t="shared" si="0"/>
        <v>70245.5</v>
      </c>
    </row>
    <row r="29" spans="1:6" ht="17.45" customHeight="1" x14ac:dyDescent="0.45">
      <c r="A29" s="158">
        <v>1.26</v>
      </c>
      <c r="B29" s="60" t="s">
        <v>90</v>
      </c>
      <c r="C29" s="61">
        <v>34</v>
      </c>
      <c r="D29" s="62" t="s">
        <v>8</v>
      </c>
      <c r="E29" s="161">
        <v>1427.85</v>
      </c>
      <c r="F29" s="164">
        <f t="shared" si="0"/>
        <v>48546.899999999994</v>
      </c>
    </row>
    <row r="30" spans="1:6" ht="17.45" customHeight="1" x14ac:dyDescent="0.45">
      <c r="A30" s="158">
        <v>1.27</v>
      </c>
      <c r="B30" s="60" t="s">
        <v>91</v>
      </c>
      <c r="C30" s="61">
        <v>1865</v>
      </c>
      <c r="D30" s="62" t="s">
        <v>8</v>
      </c>
      <c r="E30" s="161">
        <v>197.75</v>
      </c>
      <c r="F30" s="164">
        <f t="shared" si="0"/>
        <v>368803.75</v>
      </c>
    </row>
    <row r="31" spans="1:6" ht="17.45" customHeight="1" x14ac:dyDescent="0.45">
      <c r="A31" s="158">
        <v>1.28</v>
      </c>
      <c r="B31" s="60" t="s">
        <v>92</v>
      </c>
      <c r="C31" s="61">
        <v>842</v>
      </c>
      <c r="D31" s="62" t="s">
        <v>7</v>
      </c>
      <c r="E31" s="161">
        <v>241.35</v>
      </c>
      <c r="F31" s="164">
        <f t="shared" si="0"/>
        <v>203216.69999999998</v>
      </c>
    </row>
    <row r="32" spans="1:6" ht="17.45" customHeight="1" x14ac:dyDescent="0.45">
      <c r="A32" s="159">
        <v>1.29</v>
      </c>
      <c r="B32" s="60" t="s">
        <v>93</v>
      </c>
      <c r="C32" s="166">
        <v>35811</v>
      </c>
      <c r="D32" s="69" t="s">
        <v>94</v>
      </c>
      <c r="E32" s="161">
        <v>145.19999999999999</v>
      </c>
      <c r="F32" s="164">
        <f t="shared" si="0"/>
        <v>5199757.1999999993</v>
      </c>
    </row>
    <row r="33" spans="1:6" ht="17.45" customHeight="1" x14ac:dyDescent="0.45">
      <c r="A33" s="158">
        <v>1.3</v>
      </c>
      <c r="B33" s="60" t="s">
        <v>95</v>
      </c>
      <c r="C33" s="61">
        <v>154</v>
      </c>
      <c r="D33" s="62" t="s">
        <v>6</v>
      </c>
      <c r="E33" s="166">
        <v>12500.45</v>
      </c>
      <c r="F33" s="164">
        <f t="shared" si="0"/>
        <v>1925069.3</v>
      </c>
    </row>
    <row r="34" spans="1:6" ht="17.45" customHeight="1" x14ac:dyDescent="0.45">
      <c r="A34" s="158">
        <v>1.31</v>
      </c>
      <c r="B34" s="60" t="s">
        <v>72</v>
      </c>
      <c r="C34" s="61">
        <v>72</v>
      </c>
      <c r="D34" s="62" t="s">
        <v>6</v>
      </c>
      <c r="E34" s="161">
        <v>12668.25</v>
      </c>
      <c r="F34" s="164">
        <f t="shared" si="0"/>
        <v>912114</v>
      </c>
    </row>
    <row r="35" spans="1:6" ht="17.45" customHeight="1" x14ac:dyDescent="0.45">
      <c r="A35" s="158">
        <v>1.32</v>
      </c>
      <c r="B35" s="60" t="s">
        <v>96</v>
      </c>
      <c r="C35" s="61">
        <v>69</v>
      </c>
      <c r="D35" s="62" t="s">
        <v>6</v>
      </c>
      <c r="E35" s="161">
        <v>12998.75</v>
      </c>
      <c r="F35" s="164">
        <f t="shared" si="0"/>
        <v>896913.75</v>
      </c>
    </row>
    <row r="36" spans="1:6" ht="17.45" customHeight="1" x14ac:dyDescent="0.45">
      <c r="A36" s="158">
        <v>1.33</v>
      </c>
      <c r="B36" s="60" t="s">
        <v>97</v>
      </c>
      <c r="C36" s="61">
        <v>16</v>
      </c>
      <c r="D36" s="62" t="s">
        <v>6</v>
      </c>
      <c r="E36" s="161">
        <v>3455.65</v>
      </c>
      <c r="F36" s="164">
        <f t="shared" si="0"/>
        <v>55290.400000000001</v>
      </c>
    </row>
    <row r="37" spans="1:6" ht="17.45" customHeight="1" x14ac:dyDescent="0.45">
      <c r="A37" s="158">
        <v>1.34</v>
      </c>
      <c r="B37" s="60" t="s">
        <v>98</v>
      </c>
      <c r="C37" s="61">
        <v>6</v>
      </c>
      <c r="D37" s="62" t="s">
        <v>6</v>
      </c>
      <c r="E37" s="161">
        <v>11812.25</v>
      </c>
      <c r="F37" s="164">
        <f t="shared" si="0"/>
        <v>70873.5</v>
      </c>
    </row>
    <row r="38" spans="1:6" ht="17.45" customHeight="1" x14ac:dyDescent="0.45">
      <c r="A38" s="158">
        <v>1.35</v>
      </c>
      <c r="B38" s="60" t="s">
        <v>99</v>
      </c>
      <c r="C38" s="61">
        <v>5</v>
      </c>
      <c r="D38" s="62" t="s">
        <v>6</v>
      </c>
      <c r="E38" s="161">
        <v>11980</v>
      </c>
      <c r="F38" s="164">
        <f t="shared" si="0"/>
        <v>59900</v>
      </c>
    </row>
    <row r="39" spans="1:6" ht="17.45" customHeight="1" x14ac:dyDescent="0.45">
      <c r="A39" s="159">
        <v>1.36</v>
      </c>
      <c r="B39" s="60" t="s">
        <v>100</v>
      </c>
      <c r="C39" s="166">
        <v>3</v>
      </c>
      <c r="D39" s="62" t="s">
        <v>8</v>
      </c>
      <c r="E39" s="161">
        <v>1514.45</v>
      </c>
      <c r="F39" s="164">
        <f t="shared" si="0"/>
        <v>4543.3500000000004</v>
      </c>
    </row>
    <row r="40" spans="1:6" ht="17.45" customHeight="1" x14ac:dyDescent="0.45">
      <c r="A40" s="158">
        <v>1.37</v>
      </c>
      <c r="B40" s="60" t="s">
        <v>101</v>
      </c>
      <c r="C40" s="61">
        <v>1.2</v>
      </c>
      <c r="D40" s="62" t="s">
        <v>8</v>
      </c>
      <c r="E40" s="161">
        <v>8106</v>
      </c>
      <c r="F40" s="164">
        <f t="shared" si="0"/>
        <v>9727.1999999999989</v>
      </c>
    </row>
    <row r="41" spans="1:6" ht="17.45" customHeight="1" x14ac:dyDescent="0.45">
      <c r="A41" s="158">
        <v>1.38</v>
      </c>
      <c r="B41" s="60" t="s">
        <v>102</v>
      </c>
      <c r="C41" s="61">
        <v>100</v>
      </c>
      <c r="D41" s="62" t="s">
        <v>9</v>
      </c>
      <c r="E41" s="166">
        <v>114.95</v>
      </c>
      <c r="F41" s="164">
        <f t="shared" si="0"/>
        <v>11495</v>
      </c>
    </row>
    <row r="42" spans="1:6" ht="17.45" customHeight="1" x14ac:dyDescent="0.45">
      <c r="A42" s="158">
        <v>1.39</v>
      </c>
      <c r="B42" s="60" t="s">
        <v>103</v>
      </c>
      <c r="C42" s="61">
        <v>5</v>
      </c>
      <c r="D42" s="62" t="s">
        <v>79</v>
      </c>
      <c r="E42" s="161">
        <v>3325</v>
      </c>
      <c r="F42" s="164">
        <f t="shared" si="0"/>
        <v>16625</v>
      </c>
    </row>
    <row r="43" spans="1:6" ht="17.45" customHeight="1" x14ac:dyDescent="0.45">
      <c r="A43" s="158">
        <v>1.4</v>
      </c>
      <c r="B43" s="60" t="s">
        <v>104</v>
      </c>
      <c r="C43" s="61">
        <v>3</v>
      </c>
      <c r="D43" s="62" t="s">
        <v>79</v>
      </c>
      <c r="E43" s="161">
        <v>7546.3</v>
      </c>
      <c r="F43" s="164">
        <f t="shared" si="0"/>
        <v>22638.9</v>
      </c>
    </row>
    <row r="44" spans="1:6" ht="17.45" customHeight="1" x14ac:dyDescent="0.45">
      <c r="A44" s="158">
        <v>1.41</v>
      </c>
      <c r="B44" s="60" t="s">
        <v>105</v>
      </c>
      <c r="C44" s="61">
        <v>16</v>
      </c>
      <c r="D44" s="62" t="s">
        <v>8</v>
      </c>
      <c r="E44" s="161">
        <v>1191.7</v>
      </c>
      <c r="F44" s="164">
        <f t="shared" si="0"/>
        <v>19067.2</v>
      </c>
    </row>
    <row r="45" spans="1:6" ht="17.45" customHeight="1" x14ac:dyDescent="0.45">
      <c r="A45" s="158">
        <v>1.42</v>
      </c>
      <c r="B45" s="60" t="s">
        <v>106</v>
      </c>
      <c r="C45" s="61">
        <v>65</v>
      </c>
      <c r="D45" s="62" t="s">
        <v>8</v>
      </c>
      <c r="E45" s="161">
        <v>1401</v>
      </c>
      <c r="F45" s="164">
        <f t="shared" si="0"/>
        <v>91065</v>
      </c>
    </row>
    <row r="46" spans="1:6" ht="17.45" customHeight="1" x14ac:dyDescent="0.45">
      <c r="A46" s="158">
        <v>1.43</v>
      </c>
      <c r="B46" s="60" t="s">
        <v>107</v>
      </c>
      <c r="C46" s="61">
        <v>1.5</v>
      </c>
      <c r="D46" s="62" t="s">
        <v>6</v>
      </c>
      <c r="E46" s="161">
        <v>6904.1</v>
      </c>
      <c r="F46" s="164">
        <f t="shared" si="0"/>
        <v>10356.150000000001</v>
      </c>
    </row>
    <row r="47" spans="1:6" ht="17.45" customHeight="1" x14ac:dyDescent="0.45">
      <c r="A47" s="158">
        <v>1.44</v>
      </c>
      <c r="B47" s="60" t="s">
        <v>108</v>
      </c>
      <c r="C47" s="61">
        <v>21</v>
      </c>
      <c r="D47" s="62" t="s">
        <v>8</v>
      </c>
      <c r="E47" s="161">
        <v>1562.75</v>
      </c>
      <c r="F47" s="164">
        <f t="shared" si="0"/>
        <v>32817.75</v>
      </c>
    </row>
    <row r="48" spans="1:6" ht="17.45" customHeight="1" x14ac:dyDescent="0.45">
      <c r="A48" s="158">
        <v>1.45</v>
      </c>
      <c r="B48" s="60" t="s">
        <v>109</v>
      </c>
      <c r="C48" s="61">
        <v>10</v>
      </c>
      <c r="D48" s="62" t="s">
        <v>8</v>
      </c>
      <c r="E48" s="161">
        <v>174.65</v>
      </c>
      <c r="F48" s="164">
        <f t="shared" si="0"/>
        <v>1746.5</v>
      </c>
    </row>
    <row r="49" spans="1:6" ht="17.45" customHeight="1" x14ac:dyDescent="0.45">
      <c r="A49" s="159">
        <v>1.46</v>
      </c>
      <c r="B49" s="60" t="s">
        <v>110</v>
      </c>
      <c r="C49" s="166">
        <v>2</v>
      </c>
      <c r="D49" s="62" t="s">
        <v>79</v>
      </c>
      <c r="E49" s="161">
        <v>2903</v>
      </c>
      <c r="F49" s="164">
        <f t="shared" si="0"/>
        <v>5806</v>
      </c>
    </row>
    <row r="50" spans="1:6" ht="17.45" customHeight="1" x14ac:dyDescent="0.45">
      <c r="A50" s="158">
        <v>1.47</v>
      </c>
      <c r="B50" s="60" t="s">
        <v>111</v>
      </c>
      <c r="C50" s="61">
        <v>4</v>
      </c>
      <c r="D50" s="62" t="s">
        <v>79</v>
      </c>
      <c r="E50" s="161">
        <v>837</v>
      </c>
      <c r="F50" s="164">
        <f t="shared" si="0"/>
        <v>3348</v>
      </c>
    </row>
    <row r="51" spans="1:6" ht="17.45" customHeight="1" x14ac:dyDescent="0.45">
      <c r="A51" s="158">
        <v>1.48</v>
      </c>
      <c r="B51" s="60" t="s">
        <v>112</v>
      </c>
      <c r="C51" s="61">
        <v>4</v>
      </c>
      <c r="D51" s="62" t="s">
        <v>79</v>
      </c>
      <c r="E51" s="166">
        <v>6352</v>
      </c>
      <c r="F51" s="164">
        <f t="shared" si="0"/>
        <v>25408</v>
      </c>
    </row>
    <row r="52" spans="1:6" ht="17.45" customHeight="1" x14ac:dyDescent="0.45">
      <c r="A52" s="158">
        <v>1.49</v>
      </c>
      <c r="B52" s="60" t="s">
        <v>113</v>
      </c>
      <c r="C52" s="61">
        <v>50</v>
      </c>
      <c r="D52" s="62" t="s">
        <v>7</v>
      </c>
      <c r="E52" s="161">
        <v>350.8</v>
      </c>
      <c r="F52" s="164">
        <f t="shared" si="0"/>
        <v>17540</v>
      </c>
    </row>
    <row r="53" spans="1:6" ht="17.45" customHeight="1" x14ac:dyDescent="0.45">
      <c r="A53" s="158">
        <v>1.5</v>
      </c>
      <c r="B53" s="60" t="s">
        <v>114</v>
      </c>
      <c r="C53" s="61">
        <v>25</v>
      </c>
      <c r="D53" s="62" t="s">
        <v>7</v>
      </c>
      <c r="E53" s="161">
        <v>238.8</v>
      </c>
      <c r="F53" s="164">
        <f t="shared" si="0"/>
        <v>5970</v>
      </c>
    </row>
    <row r="54" spans="1:6" ht="17.45" customHeight="1" x14ac:dyDescent="0.45">
      <c r="A54" s="158">
        <v>1.51</v>
      </c>
      <c r="B54" s="60" t="s">
        <v>115</v>
      </c>
      <c r="C54" s="61">
        <v>20</v>
      </c>
      <c r="D54" s="62" t="s">
        <v>7</v>
      </c>
      <c r="E54" s="161">
        <v>552</v>
      </c>
      <c r="F54" s="164">
        <f t="shared" si="0"/>
        <v>11040</v>
      </c>
    </row>
    <row r="55" spans="1:6" ht="17.45" customHeight="1" x14ac:dyDescent="0.45">
      <c r="A55" s="158">
        <v>1.52</v>
      </c>
      <c r="B55" s="60" t="s">
        <v>116</v>
      </c>
      <c r="C55" s="61">
        <v>1</v>
      </c>
      <c r="D55" s="62" t="s">
        <v>79</v>
      </c>
      <c r="E55" s="161">
        <v>10050</v>
      </c>
      <c r="F55" s="164">
        <f t="shared" si="0"/>
        <v>10050</v>
      </c>
    </row>
    <row r="56" spans="1:6" ht="17.45" customHeight="1" x14ac:dyDescent="0.45">
      <c r="A56" s="158">
        <v>1.53</v>
      </c>
      <c r="B56" s="60" t="s">
        <v>117</v>
      </c>
      <c r="C56" s="61">
        <v>2</v>
      </c>
      <c r="D56" s="62" t="s">
        <v>79</v>
      </c>
      <c r="E56" s="161">
        <v>4636</v>
      </c>
      <c r="F56" s="164">
        <f t="shared" si="0"/>
        <v>9272</v>
      </c>
    </row>
    <row r="57" spans="1:6" ht="17.45" customHeight="1" x14ac:dyDescent="0.45">
      <c r="A57" s="158">
        <v>1.54</v>
      </c>
      <c r="B57" s="60" t="s">
        <v>118</v>
      </c>
      <c r="C57" s="61">
        <v>5</v>
      </c>
      <c r="D57" s="62" t="s">
        <v>7</v>
      </c>
      <c r="E57" s="161">
        <v>638.70000000000005</v>
      </c>
      <c r="F57" s="164">
        <f t="shared" si="0"/>
        <v>3193.5</v>
      </c>
    </row>
    <row r="58" spans="1:6" ht="17.45" customHeight="1" x14ac:dyDescent="0.45">
      <c r="A58" s="158">
        <v>1.55</v>
      </c>
      <c r="B58" s="60" t="s">
        <v>119</v>
      </c>
      <c r="C58" s="61">
        <v>3.5</v>
      </c>
      <c r="D58" s="62" t="s">
        <v>7</v>
      </c>
      <c r="E58" s="161">
        <v>859.7</v>
      </c>
      <c r="F58" s="164">
        <f t="shared" si="0"/>
        <v>3008.9500000000003</v>
      </c>
    </row>
    <row r="59" spans="1:6" s="167" customFormat="1" ht="17.45" customHeight="1" x14ac:dyDescent="0.45">
      <c r="A59" s="160"/>
      <c r="B59" s="274" t="s">
        <v>10</v>
      </c>
      <c r="C59" s="275"/>
      <c r="D59" s="275"/>
      <c r="E59" s="276"/>
      <c r="F59" s="70">
        <f>SUM(F4:F58)</f>
        <v>35729964.719999999</v>
      </c>
    </row>
    <row r="60" spans="1:6" s="167" customFormat="1" ht="17.45" customHeight="1" x14ac:dyDescent="0.45">
      <c r="A60" s="160"/>
      <c r="B60" s="274" t="s">
        <v>42</v>
      </c>
      <c r="C60" s="275"/>
      <c r="D60" s="275"/>
      <c r="E60" s="276"/>
      <c r="F60" s="70">
        <f>F59*0.18</f>
        <v>6431393.6495999992</v>
      </c>
    </row>
    <row r="61" spans="1:6" s="167" customFormat="1" ht="17.45" customHeight="1" x14ac:dyDescent="0.45">
      <c r="A61" s="160"/>
      <c r="B61" s="274" t="s">
        <v>120</v>
      </c>
      <c r="C61" s="275"/>
      <c r="D61" s="275"/>
      <c r="E61" s="276"/>
      <c r="F61" s="70">
        <f>F59+F60</f>
        <v>42161358.369599998</v>
      </c>
    </row>
    <row r="64" spans="1:6" s="167" customFormat="1" ht="17.45" customHeight="1" x14ac:dyDescent="0.45">
      <c r="A64" s="160"/>
      <c r="B64" s="270" t="s">
        <v>121</v>
      </c>
      <c r="C64" s="270"/>
      <c r="D64" s="270"/>
      <c r="E64" s="270"/>
      <c r="F64" s="70">
        <v>42169769.409999996</v>
      </c>
    </row>
    <row r="65" spans="1:9" s="167" customFormat="1" ht="17.45" customHeight="1" x14ac:dyDescent="0.45">
      <c r="A65" s="160"/>
      <c r="B65" s="270" t="s">
        <v>122</v>
      </c>
      <c r="C65" s="270"/>
      <c r="D65" s="270"/>
      <c r="E65" s="270"/>
      <c r="F65" s="70">
        <f>F61-F64</f>
        <v>-8411.0403999984264</v>
      </c>
    </row>
    <row r="66" spans="1:9" s="167" customFormat="1" ht="17.45" customHeight="1" x14ac:dyDescent="0.45">
      <c r="A66" s="160"/>
      <c r="B66" s="270" t="s">
        <v>53</v>
      </c>
      <c r="C66" s="270"/>
      <c r="D66" s="270"/>
      <c r="E66" s="270"/>
      <c r="F66" s="71">
        <f>F65/F61</f>
        <v>-1.9949642813366086E-4</v>
      </c>
      <c r="I66" s="168"/>
    </row>
  </sheetData>
  <mergeCells count="8">
    <mergeCell ref="B65:E65"/>
    <mergeCell ref="B66:E66"/>
    <mergeCell ref="A1:F1"/>
    <mergeCell ref="A2:F2"/>
    <mergeCell ref="B59:E59"/>
    <mergeCell ref="B60:E60"/>
    <mergeCell ref="B61:E61"/>
    <mergeCell ref="B64:E64"/>
  </mergeCells>
  <pageMargins left="0.7" right="0.7" top="0.75" bottom="0.75" header="0.3" footer="0.3"/>
  <pageSetup scale="73" fitToHeight="0" orientation="portrait" r:id="rId1"/>
  <headerFoot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75"/>
  <sheetViews>
    <sheetView view="pageBreakPreview" zoomScale="70" zoomScaleNormal="70" zoomScaleSheetLayoutView="70" workbookViewId="0">
      <pane ySplit="5" topLeftCell="A6" activePane="bottomLeft" state="frozen"/>
      <selection pane="bottomLeft" activeCell="G39" sqref="G39"/>
    </sheetView>
  </sheetViews>
  <sheetFormatPr defaultColWidth="9.1328125" defaultRowHeight="20.100000000000001" customHeight="1" x14ac:dyDescent="0.45"/>
  <cols>
    <col min="1" max="1" width="6.3984375" style="2" customWidth="1"/>
    <col min="2" max="2" width="56" style="5" customWidth="1"/>
    <col min="3" max="3" width="12.59765625" style="2" customWidth="1"/>
    <col min="4" max="4" width="6.86328125" style="2" bestFit="1" customWidth="1"/>
    <col min="5" max="5" width="13.59765625" style="2" bestFit="1" customWidth="1"/>
    <col min="6" max="6" width="20" style="35" bestFit="1" customWidth="1"/>
    <col min="7" max="7" width="13" style="35" bestFit="1" customWidth="1"/>
    <col min="8" max="8" width="20" style="35" bestFit="1" customWidth="1"/>
    <col min="9" max="9" width="13" style="2" bestFit="1" customWidth="1"/>
    <col min="10" max="10" width="12.86328125" style="2" bestFit="1" customWidth="1"/>
    <col min="11" max="11" width="15.73046875" style="35" customWidth="1"/>
    <col min="12" max="12" width="11.59765625" style="2" customWidth="1"/>
    <col min="13" max="13" width="9.59765625" style="2" bestFit="1" customWidth="1"/>
    <col min="14" max="14" width="17" style="35" customWidth="1"/>
    <col min="15" max="16384" width="9.1328125" style="2"/>
  </cols>
  <sheetData>
    <row r="1" spans="1:14" ht="20.100000000000001" customHeight="1" x14ac:dyDescent="0.45">
      <c r="A1" s="284" t="s">
        <v>23</v>
      </c>
      <c r="B1" s="285"/>
      <c r="C1" s="285"/>
      <c r="D1" s="285"/>
      <c r="E1" s="285"/>
      <c r="F1" s="285"/>
      <c r="G1" s="285"/>
      <c r="H1" s="285"/>
      <c r="I1" s="285"/>
      <c r="J1" s="285"/>
      <c r="K1" s="285"/>
      <c r="L1" s="285"/>
      <c r="M1" s="285"/>
      <c r="N1" s="286"/>
    </row>
    <row r="2" spans="1:14" ht="30.95" customHeight="1" x14ac:dyDescent="0.45">
      <c r="A2" s="287" t="s">
        <v>218</v>
      </c>
      <c r="B2" s="288"/>
      <c r="C2" s="288"/>
      <c r="D2" s="288"/>
      <c r="E2" s="288"/>
      <c r="F2" s="288"/>
      <c r="G2" s="288"/>
      <c r="H2" s="288"/>
      <c r="I2" s="288"/>
      <c r="J2" s="288"/>
      <c r="K2" s="288"/>
      <c r="L2" s="288"/>
      <c r="M2" s="288"/>
      <c r="N2" s="289"/>
    </row>
    <row r="3" spans="1:14" s="3" customFormat="1" ht="20.100000000000001" customHeight="1" thickBot="1" x14ac:dyDescent="0.5">
      <c r="A3" s="42"/>
      <c r="B3" s="290">
        <v>450</v>
      </c>
      <c r="C3" s="290"/>
      <c r="D3" s="290"/>
      <c r="E3" s="291">
        <v>3622324</v>
      </c>
      <c r="F3" s="291"/>
      <c r="G3" s="291"/>
      <c r="H3" s="280">
        <v>1752324</v>
      </c>
      <c r="I3" s="280"/>
      <c r="J3" s="280"/>
      <c r="K3" s="93"/>
      <c r="L3" s="43"/>
      <c r="M3" s="43"/>
      <c r="N3" s="94"/>
    </row>
    <row r="4" spans="1:14" s="4" customFormat="1" ht="20.100000000000001" customHeight="1" x14ac:dyDescent="0.45">
      <c r="A4" s="292" t="s">
        <v>24</v>
      </c>
      <c r="B4" s="281" t="s">
        <v>25</v>
      </c>
      <c r="C4" s="281" t="s">
        <v>26</v>
      </c>
      <c r="D4" s="282" t="s">
        <v>27</v>
      </c>
      <c r="E4" s="281" t="s">
        <v>28</v>
      </c>
      <c r="F4" s="281"/>
      <c r="G4" s="281" t="s">
        <v>29</v>
      </c>
      <c r="H4" s="281"/>
      <c r="I4" s="282" t="s">
        <v>30</v>
      </c>
      <c r="J4" s="282"/>
      <c r="K4" s="282"/>
      <c r="L4" s="282" t="s">
        <v>12</v>
      </c>
      <c r="M4" s="282"/>
      <c r="N4" s="283"/>
    </row>
    <row r="5" spans="1:14" s="4" customFormat="1" ht="20.100000000000001" customHeight="1" x14ac:dyDescent="0.45">
      <c r="A5" s="293"/>
      <c r="B5" s="294"/>
      <c r="C5" s="294"/>
      <c r="D5" s="295"/>
      <c r="E5" s="53" t="s">
        <v>13</v>
      </c>
      <c r="F5" s="32" t="s">
        <v>3</v>
      </c>
      <c r="G5" s="32" t="s">
        <v>13</v>
      </c>
      <c r="H5" s="32" t="s">
        <v>3</v>
      </c>
      <c r="I5" s="53" t="s">
        <v>13</v>
      </c>
      <c r="J5" s="53" t="s">
        <v>53</v>
      </c>
      <c r="K5" s="32" t="s">
        <v>3</v>
      </c>
      <c r="L5" s="53" t="s">
        <v>13</v>
      </c>
      <c r="M5" s="53" t="s">
        <v>53</v>
      </c>
      <c r="N5" s="95" t="s">
        <v>3</v>
      </c>
    </row>
    <row r="6" spans="1:14" ht="20.100000000000001" customHeight="1" x14ac:dyDescent="0.5">
      <c r="A6" s="74">
        <v>1.01</v>
      </c>
      <c r="B6" s="60" t="s">
        <v>65</v>
      </c>
      <c r="C6" s="63">
        <v>7.55</v>
      </c>
      <c r="D6" s="1" t="s">
        <v>8</v>
      </c>
      <c r="E6" s="61">
        <v>4000</v>
      </c>
      <c r="F6" s="34">
        <f>C6*E6</f>
        <v>30200</v>
      </c>
      <c r="G6" s="34">
        <f>'Bill Abs'!C8</f>
        <v>4000</v>
      </c>
      <c r="H6" s="34">
        <f>G6*C6</f>
        <v>30200</v>
      </c>
      <c r="I6" s="91">
        <f>IF(E6&lt;G6,G6-E6,)</f>
        <v>0</v>
      </c>
      <c r="J6" s="92">
        <f t="shared" ref="J6" si="0">I6/E6</f>
        <v>0</v>
      </c>
      <c r="K6" s="34">
        <f>I6*C6</f>
        <v>0</v>
      </c>
      <c r="L6" s="91">
        <f>IF(E6&gt;G6,E6-G6,)</f>
        <v>0</v>
      </c>
      <c r="M6" s="92">
        <f>L6/E6</f>
        <v>0</v>
      </c>
      <c r="N6" s="96">
        <f>L6*C6</f>
        <v>0</v>
      </c>
    </row>
    <row r="7" spans="1:14" ht="20.100000000000001" customHeight="1" x14ac:dyDescent="0.5">
      <c r="A7" s="74">
        <v>1.02</v>
      </c>
      <c r="B7" s="60" t="s">
        <v>217</v>
      </c>
      <c r="C7" s="63">
        <v>279.85000000000002</v>
      </c>
      <c r="D7" s="1" t="s">
        <v>6</v>
      </c>
      <c r="E7" s="61">
        <v>447</v>
      </c>
      <c r="F7" s="34">
        <f t="shared" ref="F7:F60" si="1">C7*E7</f>
        <v>125092.95000000001</v>
      </c>
      <c r="G7" s="34">
        <f>'Bill Abs'!C9</f>
        <v>566.32000000000005</v>
      </c>
      <c r="H7" s="34">
        <f t="shared" ref="H7:H60" si="2">G7*C7</f>
        <v>158484.65200000003</v>
      </c>
      <c r="I7" s="91">
        <f t="shared" ref="I7:I60" si="3">IF(E7&lt;G7,G7-E7,)</f>
        <v>119.32000000000005</v>
      </c>
      <c r="J7" s="92">
        <f t="shared" ref="J7:J60" si="4">I7/E7</f>
        <v>0.26693512304250572</v>
      </c>
      <c r="K7" s="34">
        <f t="shared" ref="K7:K60" si="5">I7*C7</f>
        <v>33391.702000000019</v>
      </c>
      <c r="L7" s="91">
        <f t="shared" ref="L7:L60" si="6">IF(E7&gt;G7,E7-G7,)</f>
        <v>0</v>
      </c>
      <c r="M7" s="92">
        <f t="shared" ref="M7:M60" si="7">L7/E7</f>
        <v>0</v>
      </c>
      <c r="N7" s="96">
        <f t="shared" ref="N7:N60" si="8">L7*C7</f>
        <v>0</v>
      </c>
    </row>
    <row r="8" spans="1:14" ht="20.100000000000001" customHeight="1" x14ac:dyDescent="0.5">
      <c r="A8" s="74">
        <v>1.03</v>
      </c>
      <c r="B8" s="60" t="s">
        <v>67</v>
      </c>
      <c r="C8" s="63">
        <v>54.55</v>
      </c>
      <c r="D8" s="1" t="s">
        <v>6</v>
      </c>
      <c r="E8" s="61">
        <v>273</v>
      </c>
      <c r="F8" s="34">
        <f t="shared" si="1"/>
        <v>14892.15</v>
      </c>
      <c r="G8" s="34">
        <f>'Bill Abs'!C10</f>
        <v>269.33</v>
      </c>
      <c r="H8" s="34">
        <f t="shared" si="2"/>
        <v>14691.951499999999</v>
      </c>
      <c r="I8" s="91">
        <f t="shared" si="3"/>
        <v>0</v>
      </c>
      <c r="J8" s="92">
        <f t="shared" si="4"/>
        <v>0</v>
      </c>
      <c r="K8" s="34">
        <f t="shared" si="5"/>
        <v>0</v>
      </c>
      <c r="L8" s="91">
        <f t="shared" si="6"/>
        <v>3.6700000000000159</v>
      </c>
      <c r="M8" s="92">
        <f t="shared" si="7"/>
        <v>1.3443223443223502E-2</v>
      </c>
      <c r="N8" s="96">
        <f t="shared" si="8"/>
        <v>200.19850000000085</v>
      </c>
    </row>
    <row r="9" spans="1:14" ht="20.100000000000001" customHeight="1" x14ac:dyDescent="0.5">
      <c r="A9" s="74">
        <v>1.04</v>
      </c>
      <c r="B9" s="60" t="s">
        <v>68</v>
      </c>
      <c r="C9" s="63">
        <v>2347</v>
      </c>
      <c r="D9" s="1" t="s">
        <v>6</v>
      </c>
      <c r="E9" s="61">
        <v>450</v>
      </c>
      <c r="F9" s="34">
        <f t="shared" si="1"/>
        <v>1056150</v>
      </c>
      <c r="G9" s="34">
        <f>'Bill Abs'!C11</f>
        <v>927.68</v>
      </c>
      <c r="H9" s="34">
        <f t="shared" si="2"/>
        <v>2177264.96</v>
      </c>
      <c r="I9" s="91">
        <f t="shared" si="3"/>
        <v>477.67999999999995</v>
      </c>
      <c r="J9" s="92">
        <f t="shared" si="4"/>
        <v>1.0615111111111111</v>
      </c>
      <c r="K9" s="34">
        <f t="shared" si="5"/>
        <v>1121114.96</v>
      </c>
      <c r="L9" s="91">
        <f t="shared" si="6"/>
        <v>0</v>
      </c>
      <c r="M9" s="92">
        <f t="shared" si="7"/>
        <v>0</v>
      </c>
      <c r="N9" s="96">
        <f t="shared" si="8"/>
        <v>0</v>
      </c>
    </row>
    <row r="10" spans="1:14" ht="20.100000000000001" customHeight="1" x14ac:dyDescent="0.5">
      <c r="A10" s="74">
        <v>1.05</v>
      </c>
      <c r="B10" s="60" t="s">
        <v>69</v>
      </c>
      <c r="C10" s="63">
        <v>278.3</v>
      </c>
      <c r="D10" s="1" t="s">
        <v>6</v>
      </c>
      <c r="E10" s="61">
        <v>824</v>
      </c>
      <c r="F10" s="34">
        <f t="shared" si="1"/>
        <v>229319.2</v>
      </c>
      <c r="G10" s="34">
        <f>'Bill Abs'!C12</f>
        <v>822.94</v>
      </c>
      <c r="H10" s="34">
        <f t="shared" si="2"/>
        <v>229024.20200000002</v>
      </c>
      <c r="I10" s="91">
        <f t="shared" si="3"/>
        <v>0</v>
      </c>
      <c r="J10" s="92">
        <f t="shared" si="4"/>
        <v>0</v>
      </c>
      <c r="K10" s="34">
        <f t="shared" si="5"/>
        <v>0</v>
      </c>
      <c r="L10" s="91">
        <f t="shared" si="6"/>
        <v>1.0599999999999454</v>
      </c>
      <c r="M10" s="92">
        <f t="shared" si="7"/>
        <v>1.2864077669902251E-3</v>
      </c>
      <c r="N10" s="96">
        <f t="shared" si="8"/>
        <v>294.99799999998481</v>
      </c>
    </row>
    <row r="11" spans="1:14" ht="20.100000000000001" customHeight="1" x14ac:dyDescent="0.5">
      <c r="A11" s="74">
        <v>1.06</v>
      </c>
      <c r="B11" s="60" t="s">
        <v>70</v>
      </c>
      <c r="C11" s="63">
        <v>4269.95</v>
      </c>
      <c r="D11" s="1" t="s">
        <v>6</v>
      </c>
      <c r="E11" s="61">
        <v>300</v>
      </c>
      <c r="F11" s="34">
        <f t="shared" si="1"/>
        <v>1280985</v>
      </c>
      <c r="G11" s="34">
        <f>'Bill Abs'!C13</f>
        <v>209.48</v>
      </c>
      <c r="H11" s="34">
        <f t="shared" si="2"/>
        <v>894469.12599999993</v>
      </c>
      <c r="I11" s="91">
        <f t="shared" si="3"/>
        <v>0</v>
      </c>
      <c r="J11" s="92">
        <f t="shared" si="4"/>
        <v>0</v>
      </c>
      <c r="K11" s="34">
        <f t="shared" si="5"/>
        <v>0</v>
      </c>
      <c r="L11" s="91">
        <f t="shared" si="6"/>
        <v>90.52000000000001</v>
      </c>
      <c r="M11" s="92">
        <f t="shared" si="7"/>
        <v>0.30173333333333335</v>
      </c>
      <c r="N11" s="96">
        <f t="shared" si="8"/>
        <v>386515.87400000001</v>
      </c>
    </row>
    <row r="12" spans="1:14" ht="20.100000000000001" customHeight="1" x14ac:dyDescent="0.5">
      <c r="A12" s="74">
        <v>1.07</v>
      </c>
      <c r="B12" s="60" t="s">
        <v>4</v>
      </c>
      <c r="C12" s="63">
        <v>8093</v>
      </c>
      <c r="D12" s="1" t="s">
        <v>6</v>
      </c>
      <c r="E12" s="61">
        <v>270</v>
      </c>
      <c r="F12" s="34">
        <f t="shared" si="1"/>
        <v>2185110</v>
      </c>
      <c r="G12" s="34">
        <f>'Bill Abs'!C14</f>
        <v>173.76000000000002</v>
      </c>
      <c r="H12" s="34">
        <f t="shared" si="2"/>
        <v>1406239.6800000002</v>
      </c>
      <c r="I12" s="91">
        <f t="shared" si="3"/>
        <v>0</v>
      </c>
      <c r="J12" s="92">
        <f t="shared" si="4"/>
        <v>0</v>
      </c>
      <c r="K12" s="34">
        <f t="shared" si="5"/>
        <v>0</v>
      </c>
      <c r="L12" s="91">
        <f t="shared" si="6"/>
        <v>96.239999999999981</v>
      </c>
      <c r="M12" s="92">
        <f t="shared" si="7"/>
        <v>0.3564444444444444</v>
      </c>
      <c r="N12" s="96">
        <f t="shared" si="8"/>
        <v>778870.31999999983</v>
      </c>
    </row>
    <row r="13" spans="1:14" ht="20.100000000000001" customHeight="1" x14ac:dyDescent="0.5">
      <c r="A13" s="74">
        <v>1.08</v>
      </c>
      <c r="B13" s="60" t="s">
        <v>71</v>
      </c>
      <c r="C13" s="63">
        <v>7536.75</v>
      </c>
      <c r="D13" s="1" t="s">
        <v>6</v>
      </c>
      <c r="E13" s="61">
        <v>141</v>
      </c>
      <c r="F13" s="34">
        <f t="shared" si="1"/>
        <v>1062681.75</v>
      </c>
      <c r="G13" s="34">
        <f>'Bill Abs'!C15</f>
        <v>181.41</v>
      </c>
      <c r="H13" s="34">
        <f t="shared" si="2"/>
        <v>1367241.8174999999</v>
      </c>
      <c r="I13" s="91">
        <f t="shared" si="3"/>
        <v>40.409999999999997</v>
      </c>
      <c r="J13" s="92">
        <f t="shared" si="4"/>
        <v>0.28659574468085103</v>
      </c>
      <c r="K13" s="34">
        <f t="shared" si="5"/>
        <v>304560.06749999995</v>
      </c>
      <c r="L13" s="91">
        <f t="shared" si="6"/>
        <v>0</v>
      </c>
      <c r="M13" s="92">
        <f t="shared" si="7"/>
        <v>0</v>
      </c>
      <c r="N13" s="96">
        <f t="shared" si="8"/>
        <v>0</v>
      </c>
    </row>
    <row r="14" spans="1:14" ht="20.100000000000001" customHeight="1" x14ac:dyDescent="0.5">
      <c r="A14" s="74">
        <v>1.0900000000000001</v>
      </c>
      <c r="B14" s="60" t="s">
        <v>72</v>
      </c>
      <c r="C14" s="64">
        <v>7647.2</v>
      </c>
      <c r="D14" s="1" t="s">
        <v>6</v>
      </c>
      <c r="E14" s="61">
        <v>243</v>
      </c>
      <c r="F14" s="34">
        <f t="shared" si="1"/>
        <v>1858269.5999999999</v>
      </c>
      <c r="G14" s="34">
        <f>'Bill Abs'!C16</f>
        <v>247.35</v>
      </c>
      <c r="H14" s="34">
        <f t="shared" si="2"/>
        <v>1891534.92</v>
      </c>
      <c r="I14" s="91">
        <f t="shared" si="3"/>
        <v>4.3499999999999943</v>
      </c>
      <c r="J14" s="92">
        <f t="shared" si="4"/>
        <v>1.7901234567901211E-2</v>
      </c>
      <c r="K14" s="34">
        <f t="shared" si="5"/>
        <v>33265.319999999956</v>
      </c>
      <c r="L14" s="91">
        <f t="shared" si="6"/>
        <v>0</v>
      </c>
      <c r="M14" s="92">
        <f t="shared" si="7"/>
        <v>0</v>
      </c>
      <c r="N14" s="96">
        <f t="shared" si="8"/>
        <v>0</v>
      </c>
    </row>
    <row r="15" spans="1:14" ht="20.100000000000001" customHeight="1" x14ac:dyDescent="0.5">
      <c r="A15" s="74">
        <v>1.1000000000000001</v>
      </c>
      <c r="B15" s="60" t="s">
        <v>73</v>
      </c>
      <c r="C15" s="64">
        <v>7870.19</v>
      </c>
      <c r="D15" s="1" t="s">
        <v>6</v>
      </c>
      <c r="E15" s="65">
        <v>103</v>
      </c>
      <c r="F15" s="34">
        <f t="shared" si="1"/>
        <v>810629.57</v>
      </c>
      <c r="G15" s="34">
        <f>'Bill Abs'!C17</f>
        <v>81.180000000000007</v>
      </c>
      <c r="H15" s="34">
        <f t="shared" si="2"/>
        <v>638902.02419999999</v>
      </c>
      <c r="I15" s="91">
        <f t="shared" si="3"/>
        <v>0</v>
      </c>
      <c r="J15" s="92">
        <f t="shared" si="4"/>
        <v>0</v>
      </c>
      <c r="K15" s="34">
        <f t="shared" si="5"/>
        <v>0</v>
      </c>
      <c r="L15" s="91">
        <f t="shared" si="6"/>
        <v>21.819999999999993</v>
      </c>
      <c r="M15" s="92">
        <f t="shared" si="7"/>
        <v>0.21184466019417469</v>
      </c>
      <c r="N15" s="96">
        <f t="shared" si="8"/>
        <v>171727.54579999993</v>
      </c>
    </row>
    <row r="16" spans="1:14" ht="20.100000000000001" customHeight="1" x14ac:dyDescent="0.5">
      <c r="A16" s="74">
        <v>1.1100000000000001</v>
      </c>
      <c r="B16" s="60" t="s">
        <v>74</v>
      </c>
      <c r="C16" s="63">
        <v>1159.9000000000001</v>
      </c>
      <c r="D16" s="1" t="s">
        <v>8</v>
      </c>
      <c r="E16" s="61">
        <v>715</v>
      </c>
      <c r="F16" s="34">
        <f t="shared" si="1"/>
        <v>829328.50000000012</v>
      </c>
      <c r="G16" s="34">
        <f>'Bill Abs'!C18</f>
        <v>743.97</v>
      </c>
      <c r="H16" s="34">
        <f t="shared" si="2"/>
        <v>862930.80300000007</v>
      </c>
      <c r="I16" s="91">
        <f t="shared" si="3"/>
        <v>28.970000000000027</v>
      </c>
      <c r="J16" s="92">
        <f t="shared" si="4"/>
        <v>4.0517482517482557E-2</v>
      </c>
      <c r="K16" s="34">
        <f t="shared" si="5"/>
        <v>33602.303000000036</v>
      </c>
      <c r="L16" s="91">
        <f t="shared" si="6"/>
        <v>0</v>
      </c>
      <c r="M16" s="92">
        <f t="shared" si="7"/>
        <v>0</v>
      </c>
      <c r="N16" s="96">
        <f t="shared" si="8"/>
        <v>0</v>
      </c>
    </row>
    <row r="17" spans="1:17" ht="20.100000000000001" customHeight="1" x14ac:dyDescent="0.5">
      <c r="A17" s="74">
        <v>1.1200000000000001</v>
      </c>
      <c r="B17" s="60" t="s">
        <v>75</v>
      </c>
      <c r="C17" s="63">
        <v>1278.8</v>
      </c>
      <c r="D17" s="1" t="s">
        <v>8</v>
      </c>
      <c r="E17" s="61">
        <v>805</v>
      </c>
      <c r="F17" s="34">
        <f t="shared" si="1"/>
        <v>1029434</v>
      </c>
      <c r="G17" s="34">
        <f>'Bill Abs'!C19</f>
        <v>661.02</v>
      </c>
      <c r="H17" s="34">
        <f t="shared" si="2"/>
        <v>845312.37599999993</v>
      </c>
      <c r="I17" s="91">
        <f t="shared" si="3"/>
        <v>0</v>
      </c>
      <c r="J17" s="92">
        <f t="shared" si="4"/>
        <v>0</v>
      </c>
      <c r="K17" s="34">
        <f t="shared" si="5"/>
        <v>0</v>
      </c>
      <c r="L17" s="91">
        <f t="shared" si="6"/>
        <v>143.98000000000002</v>
      </c>
      <c r="M17" s="92">
        <f t="shared" si="7"/>
        <v>0.17885714285714288</v>
      </c>
      <c r="N17" s="96">
        <f t="shared" si="8"/>
        <v>184121.62400000001</v>
      </c>
      <c r="Q17" s="2">
        <f>487*0.25</f>
        <v>121.75</v>
      </c>
    </row>
    <row r="18" spans="1:17" ht="20.100000000000001" customHeight="1" x14ac:dyDescent="0.5">
      <c r="A18" s="74">
        <v>1.1299999999999999</v>
      </c>
      <c r="B18" s="60" t="s">
        <v>76</v>
      </c>
      <c r="C18" s="63">
        <v>1406.65</v>
      </c>
      <c r="D18" s="1" t="s">
        <v>8</v>
      </c>
      <c r="E18" s="66">
        <v>906</v>
      </c>
      <c r="F18" s="34">
        <f t="shared" si="1"/>
        <v>1274424.9000000001</v>
      </c>
      <c r="G18" s="34">
        <f>'Bill Abs'!C20</f>
        <v>953.6</v>
      </c>
      <c r="H18" s="34">
        <f t="shared" si="2"/>
        <v>1341381.4400000002</v>
      </c>
      <c r="I18" s="91">
        <f t="shared" si="3"/>
        <v>47.600000000000023</v>
      </c>
      <c r="J18" s="92">
        <f t="shared" si="4"/>
        <v>5.2538631346578393E-2</v>
      </c>
      <c r="K18" s="34">
        <f t="shared" si="5"/>
        <v>66956.540000000037</v>
      </c>
      <c r="L18" s="91">
        <f t="shared" si="6"/>
        <v>0</v>
      </c>
      <c r="M18" s="92">
        <f t="shared" si="7"/>
        <v>0</v>
      </c>
      <c r="N18" s="96">
        <f t="shared" si="8"/>
        <v>0</v>
      </c>
    </row>
    <row r="19" spans="1:17" ht="20.100000000000001" customHeight="1" x14ac:dyDescent="0.5">
      <c r="A19" s="74">
        <v>1.1399999999999999</v>
      </c>
      <c r="B19" s="60" t="s">
        <v>77</v>
      </c>
      <c r="C19" s="63">
        <v>10099.75</v>
      </c>
      <c r="D19" s="1" t="s">
        <v>5</v>
      </c>
      <c r="E19" s="66">
        <v>524.6</v>
      </c>
      <c r="F19" s="34">
        <f t="shared" si="1"/>
        <v>5298328.8500000006</v>
      </c>
      <c r="G19" s="34">
        <f>'Bill Abs'!C21</f>
        <v>388.26122120000002</v>
      </c>
      <c r="H19" s="34">
        <f t="shared" si="2"/>
        <v>3921341.2688147002</v>
      </c>
      <c r="I19" s="91">
        <f t="shared" si="3"/>
        <v>0</v>
      </c>
      <c r="J19" s="92">
        <f t="shared" si="4"/>
        <v>0</v>
      </c>
      <c r="K19" s="34">
        <f t="shared" si="5"/>
        <v>0</v>
      </c>
      <c r="L19" s="91">
        <f t="shared" si="6"/>
        <v>136.3387788</v>
      </c>
      <c r="M19" s="92">
        <f t="shared" si="7"/>
        <v>0.25989092413267251</v>
      </c>
      <c r="N19" s="96">
        <f t="shared" si="8"/>
        <v>1376987.5811852999</v>
      </c>
    </row>
    <row r="20" spans="1:17" ht="20.100000000000001" customHeight="1" x14ac:dyDescent="0.5">
      <c r="A20" s="74">
        <v>1.1499999999999999</v>
      </c>
      <c r="B20" s="60" t="s">
        <v>78</v>
      </c>
      <c r="C20" s="63">
        <v>14635</v>
      </c>
      <c r="D20" s="1" t="s">
        <v>79</v>
      </c>
      <c r="E20" s="66">
        <v>10</v>
      </c>
      <c r="F20" s="34">
        <f t="shared" si="1"/>
        <v>146350</v>
      </c>
      <c r="G20" s="34">
        <f>'Bill Abs'!C22</f>
        <v>12</v>
      </c>
      <c r="H20" s="34">
        <f t="shared" si="2"/>
        <v>175620</v>
      </c>
      <c r="I20" s="91">
        <f t="shared" si="3"/>
        <v>2</v>
      </c>
      <c r="J20" s="92">
        <f t="shared" si="4"/>
        <v>0.2</v>
      </c>
      <c r="K20" s="34">
        <f t="shared" si="5"/>
        <v>29270</v>
      </c>
      <c r="L20" s="91">
        <f t="shared" si="6"/>
        <v>0</v>
      </c>
      <c r="M20" s="92">
        <f t="shared" si="7"/>
        <v>0</v>
      </c>
      <c r="N20" s="96">
        <f t="shared" si="8"/>
        <v>0</v>
      </c>
    </row>
    <row r="21" spans="1:17" ht="20.100000000000001" customHeight="1" x14ac:dyDescent="0.5">
      <c r="A21" s="74">
        <v>1.1599999999999999</v>
      </c>
      <c r="B21" s="60" t="s">
        <v>80</v>
      </c>
      <c r="C21" s="63">
        <v>3453.2</v>
      </c>
      <c r="D21" s="1" t="s">
        <v>79</v>
      </c>
      <c r="E21" s="66">
        <v>36</v>
      </c>
      <c r="F21" s="34">
        <f t="shared" si="1"/>
        <v>124315.2</v>
      </c>
      <c r="G21" s="34">
        <f>'Bill Abs'!C23</f>
        <v>34</v>
      </c>
      <c r="H21" s="34">
        <f t="shared" si="2"/>
        <v>117408.79999999999</v>
      </c>
      <c r="I21" s="91">
        <f t="shared" si="3"/>
        <v>0</v>
      </c>
      <c r="J21" s="92">
        <f t="shared" si="4"/>
        <v>0</v>
      </c>
      <c r="K21" s="34">
        <f t="shared" si="5"/>
        <v>0</v>
      </c>
      <c r="L21" s="91">
        <f t="shared" si="6"/>
        <v>2</v>
      </c>
      <c r="M21" s="92">
        <f t="shared" si="7"/>
        <v>5.5555555555555552E-2</v>
      </c>
      <c r="N21" s="96">
        <f t="shared" si="8"/>
        <v>6906.4</v>
      </c>
    </row>
    <row r="22" spans="1:17" ht="20.100000000000001" customHeight="1" x14ac:dyDescent="0.5">
      <c r="A22" s="74">
        <v>1.17</v>
      </c>
      <c r="B22" s="60" t="s">
        <v>81</v>
      </c>
      <c r="C22" s="63">
        <v>4250</v>
      </c>
      <c r="D22" s="1" t="s">
        <v>79</v>
      </c>
      <c r="E22" s="66">
        <v>92</v>
      </c>
      <c r="F22" s="34">
        <f t="shared" si="1"/>
        <v>391000</v>
      </c>
      <c r="G22" s="34">
        <f>'Bill Abs'!C24</f>
        <v>92</v>
      </c>
      <c r="H22" s="34">
        <f t="shared" si="2"/>
        <v>391000</v>
      </c>
      <c r="I22" s="91">
        <f t="shared" si="3"/>
        <v>0</v>
      </c>
      <c r="J22" s="92">
        <f t="shared" si="4"/>
        <v>0</v>
      </c>
      <c r="K22" s="34">
        <f t="shared" si="5"/>
        <v>0</v>
      </c>
      <c r="L22" s="91">
        <f t="shared" si="6"/>
        <v>0</v>
      </c>
      <c r="M22" s="92">
        <f t="shared" si="7"/>
        <v>0</v>
      </c>
      <c r="N22" s="96">
        <f t="shared" si="8"/>
        <v>0</v>
      </c>
    </row>
    <row r="23" spans="1:17" ht="20.100000000000001" customHeight="1" x14ac:dyDescent="0.5">
      <c r="A23" s="74">
        <v>1.18</v>
      </c>
      <c r="B23" s="60" t="s">
        <v>82</v>
      </c>
      <c r="C23" s="63">
        <v>1653.4</v>
      </c>
      <c r="D23" s="1" t="s">
        <v>8</v>
      </c>
      <c r="E23" s="67">
        <v>1503</v>
      </c>
      <c r="F23" s="34">
        <f t="shared" si="1"/>
        <v>2485060.2000000002</v>
      </c>
      <c r="G23" s="34">
        <f>'Bill Abs'!C25</f>
        <v>0</v>
      </c>
      <c r="H23" s="34">
        <f t="shared" si="2"/>
        <v>0</v>
      </c>
      <c r="I23" s="91">
        <f t="shared" si="3"/>
        <v>0</v>
      </c>
      <c r="J23" s="92">
        <f t="shared" si="4"/>
        <v>0</v>
      </c>
      <c r="K23" s="34">
        <f t="shared" si="5"/>
        <v>0</v>
      </c>
      <c r="L23" s="91">
        <f t="shared" si="6"/>
        <v>1503</v>
      </c>
      <c r="M23" s="92">
        <f t="shared" si="7"/>
        <v>1</v>
      </c>
      <c r="N23" s="96">
        <f t="shared" si="8"/>
        <v>2485060.2000000002</v>
      </c>
    </row>
    <row r="24" spans="1:17" ht="20.100000000000001" customHeight="1" x14ac:dyDescent="0.5">
      <c r="A24" s="74">
        <v>1.19</v>
      </c>
      <c r="B24" s="60" t="s">
        <v>83</v>
      </c>
      <c r="C24" s="63">
        <v>356.05</v>
      </c>
      <c r="D24" s="1" t="s">
        <v>8</v>
      </c>
      <c r="E24" s="67">
        <v>3522</v>
      </c>
      <c r="F24" s="34">
        <f t="shared" si="1"/>
        <v>1254008.1000000001</v>
      </c>
      <c r="G24" s="34">
        <f>'Bill Abs'!C26</f>
        <v>1480.4</v>
      </c>
      <c r="H24" s="34">
        <f t="shared" si="2"/>
        <v>527096.42000000004</v>
      </c>
      <c r="I24" s="91">
        <f t="shared" si="3"/>
        <v>0</v>
      </c>
      <c r="J24" s="92">
        <f t="shared" si="4"/>
        <v>0</v>
      </c>
      <c r="K24" s="34">
        <f t="shared" si="5"/>
        <v>0</v>
      </c>
      <c r="L24" s="91">
        <f t="shared" si="6"/>
        <v>2041.6</v>
      </c>
      <c r="M24" s="92">
        <f t="shared" si="7"/>
        <v>0.57967064168086313</v>
      </c>
      <c r="N24" s="96">
        <f t="shared" si="8"/>
        <v>726911.67999999993</v>
      </c>
    </row>
    <row r="25" spans="1:17" ht="20.100000000000001" customHeight="1" x14ac:dyDescent="0.5">
      <c r="A25" s="74">
        <v>1.2</v>
      </c>
      <c r="B25" s="60" t="s">
        <v>84</v>
      </c>
      <c r="C25" s="63">
        <v>401.1</v>
      </c>
      <c r="D25" s="1" t="s">
        <v>8</v>
      </c>
      <c r="E25" s="67">
        <v>1350</v>
      </c>
      <c r="F25" s="34">
        <f t="shared" si="1"/>
        <v>541485</v>
      </c>
      <c r="G25" s="34">
        <f>'Bill Abs'!C27</f>
        <v>539.80999999999995</v>
      </c>
      <c r="H25" s="34">
        <f t="shared" si="2"/>
        <v>216517.791</v>
      </c>
      <c r="I25" s="91">
        <f t="shared" si="3"/>
        <v>0</v>
      </c>
      <c r="J25" s="92">
        <f t="shared" si="4"/>
        <v>0</v>
      </c>
      <c r="K25" s="34">
        <f t="shared" si="5"/>
        <v>0</v>
      </c>
      <c r="L25" s="91">
        <f t="shared" si="6"/>
        <v>810.19</v>
      </c>
      <c r="M25" s="92">
        <f t="shared" si="7"/>
        <v>0.60014074074074075</v>
      </c>
      <c r="N25" s="96">
        <f t="shared" si="8"/>
        <v>324967.20900000003</v>
      </c>
    </row>
    <row r="26" spans="1:17" ht="20.100000000000001" customHeight="1" x14ac:dyDescent="0.5">
      <c r="A26" s="74">
        <v>1.21</v>
      </c>
      <c r="B26" s="60" t="s">
        <v>85</v>
      </c>
      <c r="C26" s="63">
        <v>309.2</v>
      </c>
      <c r="D26" s="1" t="s">
        <v>8</v>
      </c>
      <c r="E26" s="67">
        <v>3209</v>
      </c>
      <c r="F26" s="34">
        <f t="shared" si="1"/>
        <v>992222.79999999993</v>
      </c>
      <c r="G26" s="34">
        <f>'Bill Abs'!C28</f>
        <v>0</v>
      </c>
      <c r="H26" s="34">
        <f t="shared" si="2"/>
        <v>0</v>
      </c>
      <c r="I26" s="91">
        <f t="shared" si="3"/>
        <v>0</v>
      </c>
      <c r="J26" s="92">
        <f t="shared" si="4"/>
        <v>0</v>
      </c>
      <c r="K26" s="34">
        <f t="shared" si="5"/>
        <v>0</v>
      </c>
      <c r="L26" s="91">
        <f t="shared" si="6"/>
        <v>3209</v>
      </c>
      <c r="M26" s="92">
        <f t="shared" si="7"/>
        <v>1</v>
      </c>
      <c r="N26" s="96">
        <f t="shared" si="8"/>
        <v>992222.79999999993</v>
      </c>
    </row>
    <row r="27" spans="1:17" ht="20.100000000000001" customHeight="1" x14ac:dyDescent="0.5">
      <c r="A27" s="74">
        <v>1.22</v>
      </c>
      <c r="B27" s="60" t="s">
        <v>86</v>
      </c>
      <c r="C27" s="63">
        <v>1277</v>
      </c>
      <c r="D27" s="1" t="s">
        <v>7</v>
      </c>
      <c r="E27" s="66">
        <v>76.400000000000006</v>
      </c>
      <c r="F27" s="34">
        <f t="shared" si="1"/>
        <v>97562.8</v>
      </c>
      <c r="G27" s="34">
        <f>'Bill Abs'!C29</f>
        <v>81.5</v>
      </c>
      <c r="H27" s="34">
        <f t="shared" si="2"/>
        <v>104075.5</v>
      </c>
      <c r="I27" s="91">
        <f t="shared" si="3"/>
        <v>5.0999999999999943</v>
      </c>
      <c r="J27" s="92">
        <f t="shared" si="4"/>
        <v>6.6753926701570598E-2</v>
      </c>
      <c r="K27" s="34">
        <f t="shared" si="5"/>
        <v>6512.6999999999925</v>
      </c>
      <c r="L27" s="91">
        <f t="shared" si="6"/>
        <v>0</v>
      </c>
      <c r="M27" s="92">
        <f t="shared" si="7"/>
        <v>0</v>
      </c>
      <c r="N27" s="96">
        <f t="shared" si="8"/>
        <v>0</v>
      </c>
    </row>
    <row r="28" spans="1:17" ht="20.100000000000001" customHeight="1" x14ac:dyDescent="0.5">
      <c r="A28" s="74">
        <v>1.23</v>
      </c>
      <c r="B28" s="60" t="s">
        <v>87</v>
      </c>
      <c r="C28" s="63">
        <v>18000</v>
      </c>
      <c r="D28" s="1" t="s">
        <v>79</v>
      </c>
      <c r="E28" s="66">
        <v>11</v>
      </c>
      <c r="F28" s="34">
        <f t="shared" si="1"/>
        <v>198000</v>
      </c>
      <c r="G28" s="34">
        <f>'Bill Abs'!C30</f>
        <v>0</v>
      </c>
      <c r="H28" s="34">
        <f t="shared" si="2"/>
        <v>0</v>
      </c>
      <c r="I28" s="91">
        <f t="shared" si="3"/>
        <v>0</v>
      </c>
      <c r="J28" s="92">
        <f t="shared" si="4"/>
        <v>0</v>
      </c>
      <c r="K28" s="34">
        <f t="shared" si="5"/>
        <v>0</v>
      </c>
      <c r="L28" s="91">
        <f t="shared" si="6"/>
        <v>11</v>
      </c>
      <c r="M28" s="92">
        <f t="shared" si="7"/>
        <v>1</v>
      </c>
      <c r="N28" s="96">
        <f t="shared" si="8"/>
        <v>198000</v>
      </c>
    </row>
    <row r="29" spans="1:17" ht="20.100000000000001" customHeight="1" x14ac:dyDescent="0.5">
      <c r="A29" s="74">
        <v>1.24</v>
      </c>
      <c r="B29" s="60" t="s">
        <v>88</v>
      </c>
      <c r="C29" s="242">
        <f>1198.15</f>
        <v>1198.1500000000001</v>
      </c>
      <c r="D29" s="1" t="s">
        <v>8</v>
      </c>
      <c r="E29" s="66">
        <v>1911</v>
      </c>
      <c r="F29" s="34">
        <f t="shared" si="1"/>
        <v>2289664.6500000004</v>
      </c>
      <c r="G29" s="34">
        <f>'Bill Abs'!C31</f>
        <v>1897.96</v>
      </c>
      <c r="H29" s="241">
        <f>G29*C29*0.7</f>
        <v>1591828.5418</v>
      </c>
      <c r="I29" s="91">
        <f t="shared" si="3"/>
        <v>0</v>
      </c>
      <c r="J29" s="92">
        <f t="shared" si="4"/>
        <v>0</v>
      </c>
      <c r="K29" s="34">
        <f t="shared" si="5"/>
        <v>0</v>
      </c>
      <c r="L29" s="91">
        <f t="shared" si="6"/>
        <v>13.039999999999964</v>
      </c>
      <c r="M29" s="92">
        <f t="shared" si="7"/>
        <v>6.8236525379382334E-3</v>
      </c>
      <c r="N29" s="96">
        <f t="shared" si="8"/>
        <v>15623.875999999958</v>
      </c>
    </row>
    <row r="30" spans="1:17" ht="20.100000000000001" customHeight="1" x14ac:dyDescent="0.5">
      <c r="A30" s="74">
        <v>1.25</v>
      </c>
      <c r="B30" s="60" t="s">
        <v>89</v>
      </c>
      <c r="C30" s="242">
        <f>656.5</f>
        <v>656.5</v>
      </c>
      <c r="D30" s="1" t="s">
        <v>7</v>
      </c>
      <c r="E30" s="66">
        <v>107</v>
      </c>
      <c r="F30" s="34">
        <f t="shared" si="1"/>
        <v>70245.5</v>
      </c>
      <c r="G30" s="34">
        <f>'Bill Abs'!C32</f>
        <v>105.92</v>
      </c>
      <c r="H30" s="241">
        <f>G30*C30*0.7</f>
        <v>48675.535999999993</v>
      </c>
      <c r="I30" s="91">
        <f t="shared" si="3"/>
        <v>0</v>
      </c>
      <c r="J30" s="92">
        <f t="shared" si="4"/>
        <v>0</v>
      </c>
      <c r="K30" s="34">
        <f t="shared" si="5"/>
        <v>0</v>
      </c>
      <c r="L30" s="91">
        <f t="shared" si="6"/>
        <v>1.0799999999999983</v>
      </c>
      <c r="M30" s="92">
        <f t="shared" si="7"/>
        <v>1.0093457943925218E-2</v>
      </c>
      <c r="N30" s="96">
        <f t="shared" si="8"/>
        <v>709.01999999999884</v>
      </c>
    </row>
    <row r="31" spans="1:17" ht="20.100000000000001" customHeight="1" x14ac:dyDescent="0.5">
      <c r="A31" s="74">
        <v>1.26</v>
      </c>
      <c r="B31" s="60" t="s">
        <v>90</v>
      </c>
      <c r="C31" s="63">
        <v>1427.85</v>
      </c>
      <c r="D31" s="1" t="s">
        <v>8</v>
      </c>
      <c r="E31" s="66">
        <v>34</v>
      </c>
      <c r="F31" s="34">
        <f t="shared" si="1"/>
        <v>48546.899999999994</v>
      </c>
      <c r="G31" s="34">
        <f>'Bill Abs'!C33</f>
        <v>0</v>
      </c>
      <c r="H31" s="34">
        <f t="shared" si="2"/>
        <v>0</v>
      </c>
      <c r="I31" s="91">
        <f t="shared" si="3"/>
        <v>0</v>
      </c>
      <c r="J31" s="92">
        <f t="shared" si="4"/>
        <v>0</v>
      </c>
      <c r="K31" s="34">
        <f t="shared" si="5"/>
        <v>0</v>
      </c>
      <c r="L31" s="91">
        <f t="shared" si="6"/>
        <v>34</v>
      </c>
      <c r="M31" s="92">
        <f t="shared" si="7"/>
        <v>1</v>
      </c>
      <c r="N31" s="96">
        <f t="shared" si="8"/>
        <v>48546.899999999994</v>
      </c>
    </row>
    <row r="32" spans="1:17" ht="20.100000000000001" customHeight="1" x14ac:dyDescent="0.5">
      <c r="A32" s="74">
        <v>1.27</v>
      </c>
      <c r="B32" s="60" t="s">
        <v>91</v>
      </c>
      <c r="C32" s="63">
        <v>197.75</v>
      </c>
      <c r="D32" s="1" t="s">
        <v>8</v>
      </c>
      <c r="E32" s="67">
        <v>1865</v>
      </c>
      <c r="F32" s="34">
        <f t="shared" si="1"/>
        <v>368803.75</v>
      </c>
      <c r="G32" s="34">
        <f>'Bill Abs'!C34</f>
        <v>0</v>
      </c>
      <c r="H32" s="34">
        <f t="shared" si="2"/>
        <v>0</v>
      </c>
      <c r="I32" s="91">
        <f t="shared" si="3"/>
        <v>0</v>
      </c>
      <c r="J32" s="92">
        <f t="shared" si="4"/>
        <v>0</v>
      </c>
      <c r="K32" s="34">
        <f t="shared" si="5"/>
        <v>0</v>
      </c>
      <c r="L32" s="91">
        <f t="shared" si="6"/>
        <v>1865</v>
      </c>
      <c r="M32" s="92">
        <f t="shared" si="7"/>
        <v>1</v>
      </c>
      <c r="N32" s="96">
        <f t="shared" si="8"/>
        <v>368803.75</v>
      </c>
    </row>
    <row r="33" spans="1:14" ht="20.100000000000001" customHeight="1" x14ac:dyDescent="0.5">
      <c r="A33" s="74">
        <v>1.28</v>
      </c>
      <c r="B33" s="60" t="s">
        <v>92</v>
      </c>
      <c r="C33" s="63">
        <v>241.35</v>
      </c>
      <c r="D33" s="1" t="s">
        <v>7</v>
      </c>
      <c r="E33" s="66">
        <v>842</v>
      </c>
      <c r="F33" s="34">
        <f t="shared" si="1"/>
        <v>203216.69999999998</v>
      </c>
      <c r="G33" s="34">
        <f>'Bill Abs'!C35</f>
        <v>0</v>
      </c>
      <c r="H33" s="34">
        <f t="shared" si="2"/>
        <v>0</v>
      </c>
      <c r="I33" s="91">
        <f t="shared" si="3"/>
        <v>0</v>
      </c>
      <c r="J33" s="92">
        <f t="shared" si="4"/>
        <v>0</v>
      </c>
      <c r="K33" s="34">
        <f t="shared" si="5"/>
        <v>0</v>
      </c>
      <c r="L33" s="91">
        <f t="shared" si="6"/>
        <v>842</v>
      </c>
      <c r="M33" s="92">
        <f t="shared" si="7"/>
        <v>1</v>
      </c>
      <c r="N33" s="96">
        <f t="shared" si="8"/>
        <v>203216.69999999998</v>
      </c>
    </row>
    <row r="34" spans="1:14" ht="20.100000000000001" customHeight="1" x14ac:dyDescent="0.5">
      <c r="A34" s="75">
        <v>1.29</v>
      </c>
      <c r="B34" s="60" t="s">
        <v>93</v>
      </c>
      <c r="C34" s="242">
        <f>145.2</f>
        <v>145.19999999999999</v>
      </c>
      <c r="D34" s="73" t="s">
        <v>94</v>
      </c>
      <c r="E34" s="68">
        <v>35811</v>
      </c>
      <c r="F34" s="34">
        <f t="shared" si="1"/>
        <v>5199757.1999999993</v>
      </c>
      <c r="G34" s="34">
        <f>'Bill Abs'!C36</f>
        <v>35731</v>
      </c>
      <c r="H34" s="241">
        <f>G34*C34*0.7</f>
        <v>3631698.8399999994</v>
      </c>
      <c r="I34" s="91">
        <f t="shared" si="3"/>
        <v>0</v>
      </c>
      <c r="J34" s="92">
        <f t="shared" si="4"/>
        <v>0</v>
      </c>
      <c r="K34" s="34">
        <f t="shared" si="5"/>
        <v>0</v>
      </c>
      <c r="L34" s="91">
        <f t="shared" si="6"/>
        <v>80</v>
      </c>
      <c r="M34" s="92">
        <f t="shared" si="7"/>
        <v>2.2339504621485019E-3</v>
      </c>
      <c r="N34" s="96">
        <f t="shared" si="8"/>
        <v>11616</v>
      </c>
    </row>
    <row r="35" spans="1:14" ht="20.100000000000001" customHeight="1" x14ac:dyDescent="0.5">
      <c r="A35" s="74">
        <v>1.3</v>
      </c>
      <c r="B35" s="60" t="s">
        <v>95</v>
      </c>
      <c r="C35" s="68">
        <v>12500.45</v>
      </c>
      <c r="D35" s="1" t="s">
        <v>6</v>
      </c>
      <c r="E35" s="61">
        <v>154</v>
      </c>
      <c r="F35" s="34">
        <f t="shared" si="1"/>
        <v>1925069.3</v>
      </c>
      <c r="G35" s="34">
        <f>'Bill Abs'!C37</f>
        <v>230.02999999999997</v>
      </c>
      <c r="H35" s="34">
        <f t="shared" si="2"/>
        <v>2875478.5134999999</v>
      </c>
      <c r="I35" s="91">
        <f t="shared" si="3"/>
        <v>76.029999999999973</v>
      </c>
      <c r="J35" s="92">
        <f t="shared" si="4"/>
        <v>0.49370129870129853</v>
      </c>
      <c r="K35" s="34">
        <f t="shared" si="5"/>
        <v>950409.21349999972</v>
      </c>
      <c r="L35" s="91">
        <f t="shared" si="6"/>
        <v>0</v>
      </c>
      <c r="M35" s="92">
        <f t="shared" si="7"/>
        <v>0</v>
      </c>
      <c r="N35" s="96">
        <f t="shared" si="8"/>
        <v>0</v>
      </c>
    </row>
    <row r="36" spans="1:14" ht="20.100000000000001" customHeight="1" x14ac:dyDescent="0.5">
      <c r="A36" s="74">
        <v>1.31</v>
      </c>
      <c r="B36" s="60" t="s">
        <v>72</v>
      </c>
      <c r="C36" s="63">
        <v>12668.25</v>
      </c>
      <c r="D36" s="1" t="s">
        <v>6</v>
      </c>
      <c r="E36" s="61">
        <v>72</v>
      </c>
      <c r="F36" s="34">
        <f t="shared" si="1"/>
        <v>912114</v>
      </c>
      <c r="G36" s="34">
        <f>'Bill Abs'!C38</f>
        <v>81.88</v>
      </c>
      <c r="H36" s="34">
        <f t="shared" si="2"/>
        <v>1037276.3099999999</v>
      </c>
      <c r="I36" s="91">
        <f t="shared" si="3"/>
        <v>9.8799999999999955</v>
      </c>
      <c r="J36" s="92">
        <f t="shared" si="4"/>
        <v>0.13722222222222216</v>
      </c>
      <c r="K36" s="34">
        <f t="shared" si="5"/>
        <v>125162.30999999994</v>
      </c>
      <c r="L36" s="91">
        <f t="shared" si="6"/>
        <v>0</v>
      </c>
      <c r="M36" s="92">
        <f t="shared" si="7"/>
        <v>0</v>
      </c>
      <c r="N36" s="96">
        <f t="shared" si="8"/>
        <v>0</v>
      </c>
    </row>
    <row r="37" spans="1:14" ht="20.100000000000001" customHeight="1" x14ac:dyDescent="0.5">
      <c r="A37" s="74">
        <v>1.32</v>
      </c>
      <c r="B37" s="60" t="s">
        <v>96</v>
      </c>
      <c r="C37" s="63">
        <v>12998.75</v>
      </c>
      <c r="D37" s="1" t="s">
        <v>6</v>
      </c>
      <c r="E37" s="61">
        <v>69</v>
      </c>
      <c r="F37" s="34">
        <f t="shared" si="1"/>
        <v>896913.75</v>
      </c>
      <c r="G37" s="34">
        <f>'Bill Abs'!C39</f>
        <v>64.19</v>
      </c>
      <c r="H37" s="34">
        <f t="shared" si="2"/>
        <v>834389.76249999995</v>
      </c>
      <c r="I37" s="91">
        <f t="shared" si="3"/>
        <v>0</v>
      </c>
      <c r="J37" s="92">
        <f t="shared" si="4"/>
        <v>0</v>
      </c>
      <c r="K37" s="34">
        <f t="shared" si="5"/>
        <v>0</v>
      </c>
      <c r="L37" s="91">
        <f t="shared" si="6"/>
        <v>4.8100000000000023</v>
      </c>
      <c r="M37" s="92">
        <f t="shared" si="7"/>
        <v>6.9710144927536272E-2</v>
      </c>
      <c r="N37" s="96">
        <f t="shared" si="8"/>
        <v>62523.987500000032</v>
      </c>
    </row>
    <row r="38" spans="1:14" ht="20.100000000000001" customHeight="1" x14ac:dyDescent="0.5">
      <c r="A38" s="74">
        <v>1.33</v>
      </c>
      <c r="B38" s="60" t="s">
        <v>97</v>
      </c>
      <c r="C38" s="64">
        <v>3455.65</v>
      </c>
      <c r="D38" s="1" t="s">
        <v>6</v>
      </c>
      <c r="E38" s="61">
        <v>16</v>
      </c>
      <c r="F38" s="34">
        <f t="shared" si="1"/>
        <v>55290.400000000001</v>
      </c>
      <c r="G38" s="34">
        <f>'Bill Abs'!C40</f>
        <v>0</v>
      </c>
      <c r="H38" s="34">
        <f t="shared" si="2"/>
        <v>0</v>
      </c>
      <c r="I38" s="91">
        <f t="shared" si="3"/>
        <v>0</v>
      </c>
      <c r="J38" s="92">
        <f t="shared" si="4"/>
        <v>0</v>
      </c>
      <c r="K38" s="34">
        <f t="shared" si="5"/>
        <v>0</v>
      </c>
      <c r="L38" s="91">
        <f t="shared" si="6"/>
        <v>16</v>
      </c>
      <c r="M38" s="92">
        <f t="shared" si="7"/>
        <v>1</v>
      </c>
      <c r="N38" s="96">
        <f t="shared" si="8"/>
        <v>55290.400000000001</v>
      </c>
    </row>
    <row r="39" spans="1:14" ht="20.100000000000001" customHeight="1" x14ac:dyDescent="0.5">
      <c r="A39" s="74">
        <v>1.34</v>
      </c>
      <c r="B39" s="60" t="s">
        <v>98</v>
      </c>
      <c r="C39" s="63">
        <v>11812.25</v>
      </c>
      <c r="D39" s="1" t="s">
        <v>6</v>
      </c>
      <c r="E39" s="61">
        <v>6</v>
      </c>
      <c r="F39" s="34">
        <f t="shared" si="1"/>
        <v>70873.5</v>
      </c>
      <c r="G39" s="34">
        <f>'Bill Abs'!C41</f>
        <v>0</v>
      </c>
      <c r="H39" s="34">
        <f t="shared" si="2"/>
        <v>0</v>
      </c>
      <c r="I39" s="91">
        <f t="shared" si="3"/>
        <v>0</v>
      </c>
      <c r="J39" s="92">
        <f t="shared" si="4"/>
        <v>0</v>
      </c>
      <c r="K39" s="34">
        <f t="shared" si="5"/>
        <v>0</v>
      </c>
      <c r="L39" s="91">
        <f t="shared" si="6"/>
        <v>6</v>
      </c>
      <c r="M39" s="92">
        <f t="shared" si="7"/>
        <v>1</v>
      </c>
      <c r="N39" s="96">
        <f t="shared" si="8"/>
        <v>70873.5</v>
      </c>
    </row>
    <row r="40" spans="1:14" ht="20.100000000000001" customHeight="1" x14ac:dyDescent="0.5">
      <c r="A40" s="74">
        <v>1.35</v>
      </c>
      <c r="B40" s="60" t="s">
        <v>99</v>
      </c>
      <c r="C40" s="63">
        <v>11980</v>
      </c>
      <c r="D40" s="1" t="s">
        <v>6</v>
      </c>
      <c r="E40" s="61">
        <v>5</v>
      </c>
      <c r="F40" s="34">
        <f t="shared" si="1"/>
        <v>59900</v>
      </c>
      <c r="G40" s="34">
        <f>'Bill Abs'!C42</f>
        <v>0</v>
      </c>
      <c r="H40" s="34">
        <f t="shared" si="2"/>
        <v>0</v>
      </c>
      <c r="I40" s="91">
        <f t="shared" si="3"/>
        <v>0</v>
      </c>
      <c r="J40" s="92">
        <f t="shared" si="4"/>
        <v>0</v>
      </c>
      <c r="K40" s="34">
        <f t="shared" si="5"/>
        <v>0</v>
      </c>
      <c r="L40" s="91">
        <f t="shared" si="6"/>
        <v>5</v>
      </c>
      <c r="M40" s="92">
        <f t="shared" si="7"/>
        <v>1</v>
      </c>
      <c r="N40" s="96">
        <f t="shared" si="8"/>
        <v>59900</v>
      </c>
    </row>
    <row r="41" spans="1:14" ht="20.100000000000001" customHeight="1" x14ac:dyDescent="0.5">
      <c r="A41" s="75">
        <v>1.36</v>
      </c>
      <c r="B41" s="60" t="s">
        <v>100</v>
      </c>
      <c r="C41" s="63">
        <v>1514.45</v>
      </c>
      <c r="D41" s="1" t="s">
        <v>8</v>
      </c>
      <c r="E41" s="68">
        <v>3</v>
      </c>
      <c r="F41" s="34">
        <f t="shared" si="1"/>
        <v>4543.3500000000004</v>
      </c>
      <c r="G41" s="34">
        <f>'Bill Abs'!C43</f>
        <v>0</v>
      </c>
      <c r="H41" s="34">
        <f t="shared" si="2"/>
        <v>0</v>
      </c>
      <c r="I41" s="91">
        <f t="shared" si="3"/>
        <v>0</v>
      </c>
      <c r="J41" s="92">
        <f t="shared" si="4"/>
        <v>0</v>
      </c>
      <c r="K41" s="34">
        <f t="shared" si="5"/>
        <v>0</v>
      </c>
      <c r="L41" s="91">
        <f t="shared" si="6"/>
        <v>3</v>
      </c>
      <c r="M41" s="92">
        <f t="shared" si="7"/>
        <v>1</v>
      </c>
      <c r="N41" s="96">
        <f t="shared" si="8"/>
        <v>4543.3500000000004</v>
      </c>
    </row>
    <row r="42" spans="1:14" ht="20.100000000000001" customHeight="1" x14ac:dyDescent="0.5">
      <c r="A42" s="74">
        <v>1.37</v>
      </c>
      <c r="B42" s="60" t="s">
        <v>101</v>
      </c>
      <c r="C42" s="63">
        <v>8106</v>
      </c>
      <c r="D42" s="1" t="s">
        <v>8</v>
      </c>
      <c r="E42" s="61">
        <v>1.2</v>
      </c>
      <c r="F42" s="34">
        <f t="shared" si="1"/>
        <v>9727.1999999999989</v>
      </c>
      <c r="G42" s="34">
        <f>'Bill Abs'!C44</f>
        <v>0</v>
      </c>
      <c r="H42" s="34">
        <f t="shared" si="2"/>
        <v>0</v>
      </c>
      <c r="I42" s="91">
        <f t="shared" si="3"/>
        <v>0</v>
      </c>
      <c r="J42" s="92">
        <f t="shared" si="4"/>
        <v>0</v>
      </c>
      <c r="K42" s="34">
        <f t="shared" si="5"/>
        <v>0</v>
      </c>
      <c r="L42" s="91">
        <f t="shared" si="6"/>
        <v>1.2</v>
      </c>
      <c r="M42" s="92">
        <f t="shared" si="7"/>
        <v>1</v>
      </c>
      <c r="N42" s="96">
        <f t="shared" si="8"/>
        <v>9727.1999999999989</v>
      </c>
    </row>
    <row r="43" spans="1:14" ht="20.100000000000001" customHeight="1" x14ac:dyDescent="0.5">
      <c r="A43" s="74">
        <v>1.38</v>
      </c>
      <c r="B43" s="60" t="s">
        <v>102</v>
      </c>
      <c r="C43" s="68">
        <v>114.95</v>
      </c>
      <c r="D43" s="1" t="s">
        <v>9</v>
      </c>
      <c r="E43" s="61">
        <v>100</v>
      </c>
      <c r="F43" s="34">
        <f t="shared" si="1"/>
        <v>11495</v>
      </c>
      <c r="G43" s="34">
        <f>'Bill Abs'!C45</f>
        <v>0</v>
      </c>
      <c r="H43" s="34">
        <f t="shared" si="2"/>
        <v>0</v>
      </c>
      <c r="I43" s="91">
        <f t="shared" si="3"/>
        <v>0</v>
      </c>
      <c r="J43" s="92">
        <f t="shared" si="4"/>
        <v>0</v>
      </c>
      <c r="K43" s="34">
        <f t="shared" si="5"/>
        <v>0</v>
      </c>
      <c r="L43" s="91">
        <f t="shared" si="6"/>
        <v>100</v>
      </c>
      <c r="M43" s="92">
        <f t="shared" si="7"/>
        <v>1</v>
      </c>
      <c r="N43" s="96">
        <f t="shared" si="8"/>
        <v>11495</v>
      </c>
    </row>
    <row r="44" spans="1:14" ht="20.100000000000001" customHeight="1" x14ac:dyDescent="0.5">
      <c r="A44" s="74">
        <v>1.39</v>
      </c>
      <c r="B44" s="60" t="s">
        <v>103</v>
      </c>
      <c r="C44" s="63">
        <v>3325</v>
      </c>
      <c r="D44" s="1" t="s">
        <v>79</v>
      </c>
      <c r="E44" s="61">
        <v>5</v>
      </c>
      <c r="F44" s="34">
        <f t="shared" si="1"/>
        <v>16625</v>
      </c>
      <c r="G44" s="34">
        <f>'Bill Abs'!C46</f>
        <v>0</v>
      </c>
      <c r="H44" s="34">
        <f t="shared" si="2"/>
        <v>0</v>
      </c>
      <c r="I44" s="91">
        <f t="shared" si="3"/>
        <v>0</v>
      </c>
      <c r="J44" s="92">
        <f t="shared" si="4"/>
        <v>0</v>
      </c>
      <c r="K44" s="34">
        <f t="shared" si="5"/>
        <v>0</v>
      </c>
      <c r="L44" s="91">
        <f t="shared" si="6"/>
        <v>5</v>
      </c>
      <c r="M44" s="92">
        <f t="shared" si="7"/>
        <v>1</v>
      </c>
      <c r="N44" s="96">
        <f t="shared" si="8"/>
        <v>16625</v>
      </c>
    </row>
    <row r="45" spans="1:14" ht="20.100000000000001" customHeight="1" x14ac:dyDescent="0.5">
      <c r="A45" s="74">
        <v>1.4</v>
      </c>
      <c r="B45" s="60" t="s">
        <v>104</v>
      </c>
      <c r="C45" s="63">
        <v>7546.3</v>
      </c>
      <c r="D45" s="1" t="s">
        <v>79</v>
      </c>
      <c r="E45" s="61">
        <v>3</v>
      </c>
      <c r="F45" s="34">
        <f t="shared" si="1"/>
        <v>22638.9</v>
      </c>
      <c r="G45" s="34">
        <f>'Bill Abs'!C47</f>
        <v>0</v>
      </c>
      <c r="H45" s="34">
        <f t="shared" si="2"/>
        <v>0</v>
      </c>
      <c r="I45" s="91">
        <f t="shared" si="3"/>
        <v>0</v>
      </c>
      <c r="J45" s="92">
        <f t="shared" si="4"/>
        <v>0</v>
      </c>
      <c r="K45" s="34">
        <f t="shared" si="5"/>
        <v>0</v>
      </c>
      <c r="L45" s="91">
        <f t="shared" si="6"/>
        <v>3</v>
      </c>
      <c r="M45" s="92">
        <f t="shared" si="7"/>
        <v>1</v>
      </c>
      <c r="N45" s="96">
        <f t="shared" si="8"/>
        <v>22638.9</v>
      </c>
    </row>
    <row r="46" spans="1:14" ht="20.100000000000001" customHeight="1" x14ac:dyDescent="0.5">
      <c r="A46" s="74">
        <v>1.41</v>
      </c>
      <c r="B46" s="60" t="s">
        <v>105</v>
      </c>
      <c r="C46" s="63">
        <v>1191.7</v>
      </c>
      <c r="D46" s="1" t="s">
        <v>8</v>
      </c>
      <c r="E46" s="61">
        <v>16</v>
      </c>
      <c r="F46" s="34">
        <f t="shared" si="1"/>
        <v>19067.2</v>
      </c>
      <c r="G46" s="34">
        <f>'Bill Abs'!C48</f>
        <v>0</v>
      </c>
      <c r="H46" s="34">
        <f t="shared" si="2"/>
        <v>0</v>
      </c>
      <c r="I46" s="91">
        <f t="shared" si="3"/>
        <v>0</v>
      </c>
      <c r="J46" s="92">
        <f t="shared" si="4"/>
        <v>0</v>
      </c>
      <c r="K46" s="34">
        <f t="shared" si="5"/>
        <v>0</v>
      </c>
      <c r="L46" s="91">
        <f t="shared" si="6"/>
        <v>16</v>
      </c>
      <c r="M46" s="92">
        <f t="shared" si="7"/>
        <v>1</v>
      </c>
      <c r="N46" s="96">
        <f t="shared" si="8"/>
        <v>19067.2</v>
      </c>
    </row>
    <row r="47" spans="1:14" ht="20.100000000000001" customHeight="1" x14ac:dyDescent="0.5">
      <c r="A47" s="74">
        <v>1.42</v>
      </c>
      <c r="B47" s="60" t="s">
        <v>106</v>
      </c>
      <c r="C47" s="63">
        <v>1401</v>
      </c>
      <c r="D47" s="1" t="s">
        <v>8</v>
      </c>
      <c r="E47" s="61">
        <v>65</v>
      </c>
      <c r="F47" s="34">
        <f t="shared" si="1"/>
        <v>91065</v>
      </c>
      <c r="G47" s="34">
        <f>'Bill Abs'!C49</f>
        <v>0</v>
      </c>
      <c r="H47" s="34">
        <f t="shared" si="2"/>
        <v>0</v>
      </c>
      <c r="I47" s="91">
        <f t="shared" si="3"/>
        <v>0</v>
      </c>
      <c r="J47" s="92">
        <f t="shared" si="4"/>
        <v>0</v>
      </c>
      <c r="K47" s="34">
        <f t="shared" si="5"/>
        <v>0</v>
      </c>
      <c r="L47" s="91">
        <f t="shared" si="6"/>
        <v>65</v>
      </c>
      <c r="M47" s="92">
        <f t="shared" si="7"/>
        <v>1</v>
      </c>
      <c r="N47" s="96">
        <f t="shared" si="8"/>
        <v>91065</v>
      </c>
    </row>
    <row r="48" spans="1:14" ht="20.100000000000001" customHeight="1" x14ac:dyDescent="0.5">
      <c r="A48" s="74">
        <v>1.43</v>
      </c>
      <c r="B48" s="60" t="s">
        <v>107</v>
      </c>
      <c r="C48" s="63">
        <v>6904.1</v>
      </c>
      <c r="D48" s="1" t="s">
        <v>6</v>
      </c>
      <c r="E48" s="61">
        <v>1.5</v>
      </c>
      <c r="F48" s="34">
        <f t="shared" si="1"/>
        <v>10356.150000000001</v>
      </c>
      <c r="G48" s="34">
        <f>'Bill Abs'!C50</f>
        <v>0</v>
      </c>
      <c r="H48" s="34">
        <f t="shared" si="2"/>
        <v>0</v>
      </c>
      <c r="I48" s="91">
        <f t="shared" si="3"/>
        <v>0</v>
      </c>
      <c r="J48" s="92">
        <f t="shared" si="4"/>
        <v>0</v>
      </c>
      <c r="K48" s="34">
        <f t="shared" si="5"/>
        <v>0</v>
      </c>
      <c r="L48" s="91">
        <f t="shared" si="6"/>
        <v>1.5</v>
      </c>
      <c r="M48" s="92">
        <f t="shared" si="7"/>
        <v>1</v>
      </c>
      <c r="N48" s="96">
        <f t="shared" si="8"/>
        <v>10356.150000000001</v>
      </c>
    </row>
    <row r="49" spans="1:14" ht="20.100000000000001" customHeight="1" x14ac:dyDescent="0.5">
      <c r="A49" s="74">
        <v>1.44</v>
      </c>
      <c r="B49" s="60" t="s">
        <v>108</v>
      </c>
      <c r="C49" s="63">
        <v>1562.75</v>
      </c>
      <c r="D49" s="1" t="s">
        <v>8</v>
      </c>
      <c r="E49" s="61">
        <v>21</v>
      </c>
      <c r="F49" s="34">
        <f t="shared" si="1"/>
        <v>32817.75</v>
      </c>
      <c r="G49" s="34">
        <f>'Bill Abs'!C51</f>
        <v>0</v>
      </c>
      <c r="H49" s="34">
        <f t="shared" si="2"/>
        <v>0</v>
      </c>
      <c r="I49" s="91">
        <f t="shared" si="3"/>
        <v>0</v>
      </c>
      <c r="J49" s="92">
        <f t="shared" si="4"/>
        <v>0</v>
      </c>
      <c r="K49" s="34">
        <f t="shared" si="5"/>
        <v>0</v>
      </c>
      <c r="L49" s="91">
        <f t="shared" si="6"/>
        <v>21</v>
      </c>
      <c r="M49" s="92">
        <f t="shared" si="7"/>
        <v>1</v>
      </c>
      <c r="N49" s="96">
        <f t="shared" si="8"/>
        <v>32817.75</v>
      </c>
    </row>
    <row r="50" spans="1:14" ht="20.100000000000001" customHeight="1" x14ac:dyDescent="0.5">
      <c r="A50" s="74">
        <v>1.45</v>
      </c>
      <c r="B50" s="60" t="s">
        <v>109</v>
      </c>
      <c r="C50" s="63">
        <v>174.65</v>
      </c>
      <c r="D50" s="1" t="s">
        <v>8</v>
      </c>
      <c r="E50" s="61">
        <v>10</v>
      </c>
      <c r="F50" s="34">
        <f t="shared" si="1"/>
        <v>1746.5</v>
      </c>
      <c r="G50" s="34">
        <f>'Bill Abs'!C52</f>
        <v>0</v>
      </c>
      <c r="H50" s="34">
        <f t="shared" si="2"/>
        <v>0</v>
      </c>
      <c r="I50" s="91">
        <f t="shared" si="3"/>
        <v>0</v>
      </c>
      <c r="J50" s="92">
        <f t="shared" si="4"/>
        <v>0</v>
      </c>
      <c r="K50" s="34">
        <f t="shared" si="5"/>
        <v>0</v>
      </c>
      <c r="L50" s="91">
        <f t="shared" si="6"/>
        <v>10</v>
      </c>
      <c r="M50" s="92">
        <f t="shared" si="7"/>
        <v>1</v>
      </c>
      <c r="N50" s="96">
        <f t="shared" si="8"/>
        <v>1746.5</v>
      </c>
    </row>
    <row r="51" spans="1:14" ht="20.100000000000001" customHeight="1" x14ac:dyDescent="0.5">
      <c r="A51" s="75">
        <v>1.46</v>
      </c>
      <c r="B51" s="60" t="s">
        <v>110</v>
      </c>
      <c r="C51" s="63">
        <v>2903</v>
      </c>
      <c r="D51" s="1" t="s">
        <v>79</v>
      </c>
      <c r="E51" s="68">
        <v>2</v>
      </c>
      <c r="F51" s="34">
        <f t="shared" si="1"/>
        <v>5806</v>
      </c>
      <c r="G51" s="34">
        <f>'Bill Abs'!C53</f>
        <v>0</v>
      </c>
      <c r="H51" s="34">
        <f t="shared" si="2"/>
        <v>0</v>
      </c>
      <c r="I51" s="91">
        <f t="shared" si="3"/>
        <v>0</v>
      </c>
      <c r="J51" s="92">
        <f t="shared" si="4"/>
        <v>0</v>
      </c>
      <c r="K51" s="34">
        <f t="shared" si="5"/>
        <v>0</v>
      </c>
      <c r="L51" s="91">
        <f t="shared" si="6"/>
        <v>2</v>
      </c>
      <c r="M51" s="92">
        <f t="shared" si="7"/>
        <v>1</v>
      </c>
      <c r="N51" s="96">
        <f t="shared" si="8"/>
        <v>5806</v>
      </c>
    </row>
    <row r="52" spans="1:14" ht="20.100000000000001" customHeight="1" x14ac:dyDescent="0.5">
      <c r="A52" s="74">
        <v>1.47</v>
      </c>
      <c r="B52" s="60" t="s">
        <v>111</v>
      </c>
      <c r="C52" s="63">
        <v>837</v>
      </c>
      <c r="D52" s="1" t="s">
        <v>79</v>
      </c>
      <c r="E52" s="61">
        <v>4</v>
      </c>
      <c r="F52" s="34">
        <f t="shared" si="1"/>
        <v>3348</v>
      </c>
      <c r="G52" s="34">
        <f>'Bill Abs'!C54</f>
        <v>0</v>
      </c>
      <c r="H52" s="34">
        <f t="shared" si="2"/>
        <v>0</v>
      </c>
      <c r="I52" s="91">
        <f t="shared" si="3"/>
        <v>0</v>
      </c>
      <c r="J52" s="92">
        <f t="shared" si="4"/>
        <v>0</v>
      </c>
      <c r="K52" s="34">
        <f t="shared" si="5"/>
        <v>0</v>
      </c>
      <c r="L52" s="91">
        <f t="shared" si="6"/>
        <v>4</v>
      </c>
      <c r="M52" s="92">
        <f t="shared" si="7"/>
        <v>1</v>
      </c>
      <c r="N52" s="96">
        <f t="shared" si="8"/>
        <v>3348</v>
      </c>
    </row>
    <row r="53" spans="1:14" ht="20.100000000000001" customHeight="1" x14ac:dyDescent="0.5">
      <c r="A53" s="74">
        <v>1.48</v>
      </c>
      <c r="B53" s="60" t="s">
        <v>112</v>
      </c>
      <c r="C53" s="68">
        <v>6352</v>
      </c>
      <c r="D53" s="1" t="s">
        <v>79</v>
      </c>
      <c r="E53" s="61">
        <v>4</v>
      </c>
      <c r="F53" s="34">
        <f t="shared" si="1"/>
        <v>25408</v>
      </c>
      <c r="G53" s="34">
        <f>'Bill Abs'!C55</f>
        <v>0</v>
      </c>
      <c r="H53" s="34">
        <f t="shared" si="2"/>
        <v>0</v>
      </c>
      <c r="I53" s="91">
        <f t="shared" si="3"/>
        <v>0</v>
      </c>
      <c r="J53" s="92">
        <f t="shared" si="4"/>
        <v>0</v>
      </c>
      <c r="K53" s="34">
        <f t="shared" si="5"/>
        <v>0</v>
      </c>
      <c r="L53" s="91">
        <f t="shared" si="6"/>
        <v>4</v>
      </c>
      <c r="M53" s="92">
        <f t="shared" si="7"/>
        <v>1</v>
      </c>
      <c r="N53" s="96">
        <f t="shared" si="8"/>
        <v>25408</v>
      </c>
    </row>
    <row r="54" spans="1:14" ht="20.100000000000001" customHeight="1" x14ac:dyDescent="0.5">
      <c r="A54" s="74">
        <v>1.49</v>
      </c>
      <c r="B54" s="60" t="s">
        <v>113</v>
      </c>
      <c r="C54" s="63">
        <v>350.8</v>
      </c>
      <c r="D54" s="1" t="s">
        <v>7</v>
      </c>
      <c r="E54" s="61">
        <v>50</v>
      </c>
      <c r="F54" s="34">
        <f t="shared" si="1"/>
        <v>17540</v>
      </c>
      <c r="G54" s="34">
        <f>'Bill Abs'!C56</f>
        <v>0</v>
      </c>
      <c r="H54" s="34">
        <f t="shared" si="2"/>
        <v>0</v>
      </c>
      <c r="I54" s="91">
        <f t="shared" si="3"/>
        <v>0</v>
      </c>
      <c r="J54" s="92">
        <f t="shared" si="4"/>
        <v>0</v>
      </c>
      <c r="K54" s="34">
        <f t="shared" si="5"/>
        <v>0</v>
      </c>
      <c r="L54" s="91">
        <f t="shared" si="6"/>
        <v>50</v>
      </c>
      <c r="M54" s="92">
        <f t="shared" si="7"/>
        <v>1</v>
      </c>
      <c r="N54" s="96">
        <f t="shared" si="8"/>
        <v>17540</v>
      </c>
    </row>
    <row r="55" spans="1:14" ht="20.100000000000001" customHeight="1" x14ac:dyDescent="0.5">
      <c r="A55" s="74">
        <v>1.5</v>
      </c>
      <c r="B55" s="60" t="s">
        <v>114</v>
      </c>
      <c r="C55" s="63">
        <v>238.8</v>
      </c>
      <c r="D55" s="1" t="s">
        <v>7</v>
      </c>
      <c r="E55" s="61">
        <v>25</v>
      </c>
      <c r="F55" s="34">
        <f t="shared" si="1"/>
        <v>5970</v>
      </c>
      <c r="G55" s="34">
        <f>'Bill Abs'!C57</f>
        <v>0</v>
      </c>
      <c r="H55" s="34">
        <f t="shared" si="2"/>
        <v>0</v>
      </c>
      <c r="I55" s="91">
        <f t="shared" si="3"/>
        <v>0</v>
      </c>
      <c r="J55" s="92">
        <f t="shared" si="4"/>
        <v>0</v>
      </c>
      <c r="K55" s="34">
        <f t="shared" si="5"/>
        <v>0</v>
      </c>
      <c r="L55" s="91">
        <f t="shared" si="6"/>
        <v>25</v>
      </c>
      <c r="M55" s="92">
        <f t="shared" si="7"/>
        <v>1</v>
      </c>
      <c r="N55" s="96">
        <f t="shared" si="8"/>
        <v>5970</v>
      </c>
    </row>
    <row r="56" spans="1:14" ht="20.100000000000001" customHeight="1" x14ac:dyDescent="0.5">
      <c r="A56" s="74">
        <v>1.51</v>
      </c>
      <c r="B56" s="60" t="s">
        <v>115</v>
      </c>
      <c r="C56" s="63">
        <v>552</v>
      </c>
      <c r="D56" s="1" t="s">
        <v>7</v>
      </c>
      <c r="E56" s="61">
        <v>20</v>
      </c>
      <c r="F56" s="34">
        <f t="shared" si="1"/>
        <v>11040</v>
      </c>
      <c r="G56" s="34">
        <f>'Bill Abs'!C58</f>
        <v>0</v>
      </c>
      <c r="H56" s="34">
        <f t="shared" si="2"/>
        <v>0</v>
      </c>
      <c r="I56" s="91">
        <f t="shared" si="3"/>
        <v>0</v>
      </c>
      <c r="J56" s="92">
        <f t="shared" si="4"/>
        <v>0</v>
      </c>
      <c r="K56" s="34">
        <f t="shared" si="5"/>
        <v>0</v>
      </c>
      <c r="L56" s="91">
        <f t="shared" si="6"/>
        <v>20</v>
      </c>
      <c r="M56" s="92">
        <f t="shared" si="7"/>
        <v>1</v>
      </c>
      <c r="N56" s="96">
        <f t="shared" si="8"/>
        <v>11040</v>
      </c>
    </row>
    <row r="57" spans="1:14" ht="20.100000000000001" customHeight="1" x14ac:dyDescent="0.5">
      <c r="A57" s="74">
        <v>1.52</v>
      </c>
      <c r="B57" s="60" t="s">
        <v>116</v>
      </c>
      <c r="C57" s="63">
        <v>10050</v>
      </c>
      <c r="D57" s="1" t="s">
        <v>79</v>
      </c>
      <c r="E57" s="61">
        <v>1</v>
      </c>
      <c r="F57" s="34">
        <f t="shared" si="1"/>
        <v>10050</v>
      </c>
      <c r="G57" s="34">
        <f>'Bill Abs'!C59</f>
        <v>0</v>
      </c>
      <c r="H57" s="34">
        <f t="shared" si="2"/>
        <v>0</v>
      </c>
      <c r="I57" s="91">
        <f t="shared" si="3"/>
        <v>0</v>
      </c>
      <c r="J57" s="92">
        <f t="shared" si="4"/>
        <v>0</v>
      </c>
      <c r="K57" s="34">
        <f t="shared" si="5"/>
        <v>0</v>
      </c>
      <c r="L57" s="91">
        <f t="shared" si="6"/>
        <v>1</v>
      </c>
      <c r="M57" s="92">
        <f t="shared" si="7"/>
        <v>1</v>
      </c>
      <c r="N57" s="96">
        <f t="shared" si="8"/>
        <v>10050</v>
      </c>
    </row>
    <row r="58" spans="1:14" ht="20.100000000000001" customHeight="1" x14ac:dyDescent="0.5">
      <c r="A58" s="74">
        <v>1.53</v>
      </c>
      <c r="B58" s="60" t="s">
        <v>117</v>
      </c>
      <c r="C58" s="63">
        <v>4636</v>
      </c>
      <c r="D58" s="1" t="s">
        <v>79</v>
      </c>
      <c r="E58" s="61">
        <v>2</v>
      </c>
      <c r="F58" s="34">
        <f t="shared" si="1"/>
        <v>9272</v>
      </c>
      <c r="G58" s="34">
        <f>'Bill Abs'!C60</f>
        <v>0</v>
      </c>
      <c r="H58" s="34">
        <f t="shared" si="2"/>
        <v>0</v>
      </c>
      <c r="I58" s="91">
        <f t="shared" si="3"/>
        <v>0</v>
      </c>
      <c r="J58" s="92">
        <f t="shared" si="4"/>
        <v>0</v>
      </c>
      <c r="K58" s="34">
        <f t="shared" si="5"/>
        <v>0</v>
      </c>
      <c r="L58" s="91">
        <f t="shared" si="6"/>
        <v>2</v>
      </c>
      <c r="M58" s="92">
        <f t="shared" si="7"/>
        <v>1</v>
      </c>
      <c r="N58" s="96">
        <f t="shared" si="8"/>
        <v>9272</v>
      </c>
    </row>
    <row r="59" spans="1:14" ht="20.100000000000001" customHeight="1" x14ac:dyDescent="0.5">
      <c r="A59" s="74">
        <v>1.54</v>
      </c>
      <c r="B59" s="60" t="s">
        <v>118</v>
      </c>
      <c r="C59" s="63">
        <v>638.70000000000005</v>
      </c>
      <c r="D59" s="1" t="s">
        <v>7</v>
      </c>
      <c r="E59" s="61">
        <v>5</v>
      </c>
      <c r="F59" s="34">
        <f t="shared" si="1"/>
        <v>3193.5</v>
      </c>
      <c r="G59" s="34">
        <f>'Bill Abs'!C61</f>
        <v>0</v>
      </c>
      <c r="H59" s="34">
        <f t="shared" si="2"/>
        <v>0</v>
      </c>
      <c r="I59" s="91">
        <f t="shared" si="3"/>
        <v>0</v>
      </c>
      <c r="J59" s="92">
        <f t="shared" si="4"/>
        <v>0</v>
      </c>
      <c r="K59" s="34">
        <f t="shared" si="5"/>
        <v>0</v>
      </c>
      <c r="L59" s="91">
        <f t="shared" si="6"/>
        <v>5</v>
      </c>
      <c r="M59" s="92">
        <f t="shared" si="7"/>
        <v>1</v>
      </c>
      <c r="N59" s="96">
        <f t="shared" si="8"/>
        <v>3193.5</v>
      </c>
    </row>
    <row r="60" spans="1:14" ht="20.100000000000001" customHeight="1" x14ac:dyDescent="0.5">
      <c r="A60" s="74">
        <v>1.55</v>
      </c>
      <c r="B60" s="60" t="s">
        <v>119</v>
      </c>
      <c r="C60" s="63">
        <v>859.7</v>
      </c>
      <c r="D60" s="1" t="s">
        <v>7</v>
      </c>
      <c r="E60" s="61">
        <v>3.5</v>
      </c>
      <c r="F60" s="34">
        <f t="shared" si="1"/>
        <v>3008.9500000000003</v>
      </c>
      <c r="G60" s="34">
        <f>'Bill Abs'!C62</f>
        <v>0</v>
      </c>
      <c r="H60" s="34">
        <f t="shared" si="2"/>
        <v>0</v>
      </c>
      <c r="I60" s="91">
        <f t="shared" si="3"/>
        <v>0</v>
      </c>
      <c r="J60" s="92">
        <f t="shared" si="4"/>
        <v>0</v>
      </c>
      <c r="K60" s="34">
        <f t="shared" si="5"/>
        <v>0</v>
      </c>
      <c r="L60" s="91">
        <f t="shared" si="6"/>
        <v>3.5</v>
      </c>
      <c r="M60" s="92">
        <f t="shared" si="7"/>
        <v>1</v>
      </c>
      <c r="N60" s="96">
        <f t="shared" si="8"/>
        <v>3008.9500000000003</v>
      </c>
    </row>
    <row r="61" spans="1:14" ht="20.100000000000001" customHeight="1" x14ac:dyDescent="0.45">
      <c r="A61" s="76"/>
      <c r="B61" s="278" t="s">
        <v>10</v>
      </c>
      <c r="C61" s="278"/>
      <c r="D61" s="278"/>
      <c r="E61" s="278"/>
      <c r="F61" s="34">
        <f>SUM(F6:F60)</f>
        <v>35729964.719999999</v>
      </c>
      <c r="G61" s="34"/>
      <c r="H61" s="34">
        <f>SUM(H6:H60)</f>
        <v>27330085.235814698</v>
      </c>
      <c r="I61" s="6"/>
      <c r="J61" s="6"/>
      <c r="K61" s="34">
        <f>SUM(K6:K60)</f>
        <v>2704245.1159999999</v>
      </c>
      <c r="L61" s="6"/>
      <c r="M61" s="6"/>
      <c r="N61" s="96">
        <f>SUM(N6:N60)</f>
        <v>8844609.0639852975</v>
      </c>
    </row>
    <row r="62" spans="1:14" ht="20.100000000000001" customHeight="1" x14ac:dyDescent="0.45">
      <c r="A62" s="76"/>
      <c r="B62" s="278" t="s">
        <v>42</v>
      </c>
      <c r="C62" s="278"/>
      <c r="D62" s="278"/>
      <c r="E62" s="278"/>
      <c r="F62" s="34">
        <f>F61*0.18</f>
        <v>6431393.6495999992</v>
      </c>
      <c r="G62" s="34"/>
      <c r="H62" s="34">
        <f>H61*0.18</f>
        <v>4919415.3424466457</v>
      </c>
      <c r="I62" s="6"/>
      <c r="J62" s="6"/>
      <c r="K62" s="34">
        <f>K61*0.18</f>
        <v>486764.12087999994</v>
      </c>
      <c r="L62" s="6"/>
      <c r="M62" s="6"/>
      <c r="N62" s="96">
        <f>N61*0.18</f>
        <v>1592029.6315173535</v>
      </c>
    </row>
    <row r="63" spans="1:14" ht="20.100000000000001" customHeight="1" thickBot="1" x14ac:dyDescent="0.5">
      <c r="A63" s="77"/>
      <c r="B63" s="279" t="s">
        <v>120</v>
      </c>
      <c r="C63" s="279"/>
      <c r="D63" s="279"/>
      <c r="E63" s="279"/>
      <c r="F63" s="78">
        <f>F61+F62</f>
        <v>42161358.369599998</v>
      </c>
      <c r="G63" s="78"/>
      <c r="H63" s="78">
        <f>H61+H62</f>
        <v>32249500.578261346</v>
      </c>
      <c r="I63" s="79"/>
      <c r="J63" s="79"/>
      <c r="K63" s="78">
        <f>K61+K62</f>
        <v>3191009.2368799997</v>
      </c>
      <c r="L63" s="79"/>
      <c r="M63" s="79"/>
      <c r="N63" s="97">
        <f>N61+N62</f>
        <v>10436638.69550265</v>
      </c>
    </row>
    <row r="65" spans="1:17" s="136" customFormat="1" ht="15.4" x14ac:dyDescent="0.45">
      <c r="B65" s="136" t="s">
        <v>221</v>
      </c>
      <c r="I65" s="137"/>
      <c r="J65" s="138"/>
      <c r="L65" s="137"/>
      <c r="Q65" s="139"/>
    </row>
    <row r="66" spans="1:17" s="136" customFormat="1" ht="15.4" x14ac:dyDescent="0.45">
      <c r="A66" s="136">
        <v>1</v>
      </c>
      <c r="B66" s="136" t="s">
        <v>439</v>
      </c>
      <c r="I66" s="137"/>
      <c r="J66" s="138"/>
      <c r="L66" s="137"/>
      <c r="Q66" s="139"/>
    </row>
    <row r="67" spans="1:17" s="136" customFormat="1" ht="15.4" x14ac:dyDescent="0.45">
      <c r="A67" s="136">
        <f>A66+1</f>
        <v>2</v>
      </c>
      <c r="B67" s="136" t="s">
        <v>222</v>
      </c>
      <c r="H67" s="147"/>
      <c r="I67" s="148"/>
      <c r="J67" s="149"/>
      <c r="K67" s="146"/>
      <c r="L67" s="137"/>
      <c r="Q67" s="139"/>
    </row>
    <row r="68" spans="1:17" s="136" customFormat="1" ht="15.4" x14ac:dyDescent="0.45">
      <c r="A68" s="136">
        <f>A67+1</f>
        <v>3</v>
      </c>
      <c r="B68" s="136" t="s">
        <v>223</v>
      </c>
      <c r="H68" s="147"/>
      <c r="J68" s="150"/>
      <c r="L68" s="139"/>
      <c r="Q68" s="139"/>
    </row>
    <row r="69" spans="1:17" s="136" customFormat="1" ht="15.4" x14ac:dyDescent="0.45">
      <c r="A69" s="136">
        <f>A68+1</f>
        <v>4</v>
      </c>
      <c r="B69" s="136" t="s">
        <v>224</v>
      </c>
      <c r="H69" s="147"/>
      <c r="J69" s="150"/>
      <c r="L69" s="139"/>
      <c r="Q69" s="139"/>
    </row>
    <row r="70" spans="1:17" s="136" customFormat="1" ht="15.4" x14ac:dyDescent="0.45">
      <c r="A70" s="140"/>
      <c r="B70" s="140"/>
      <c r="C70" s="140"/>
      <c r="D70" s="140"/>
      <c r="E70" s="140"/>
      <c r="F70" s="140"/>
      <c r="G70" s="140"/>
      <c r="J70" s="150"/>
      <c r="L70" s="139"/>
      <c r="Q70" s="139"/>
    </row>
    <row r="71" spans="1:17" s="136" customFormat="1" ht="15.4" x14ac:dyDescent="0.45">
      <c r="A71" s="140"/>
      <c r="B71" s="140"/>
      <c r="C71" s="140"/>
      <c r="D71" s="140"/>
      <c r="E71" s="140"/>
      <c r="F71" s="140"/>
      <c r="G71" s="140"/>
      <c r="J71" s="150"/>
      <c r="L71" s="139"/>
      <c r="Q71" s="139"/>
    </row>
    <row r="72" spans="1:17" s="136" customFormat="1" ht="57" customHeight="1" x14ac:dyDescent="0.45">
      <c r="A72" s="140"/>
      <c r="B72" s="140"/>
      <c r="C72" s="140"/>
      <c r="D72" s="140"/>
      <c r="E72" s="140"/>
      <c r="F72" s="140"/>
      <c r="G72" s="140"/>
      <c r="J72" s="139"/>
      <c r="L72" s="139"/>
      <c r="Q72" s="139"/>
    </row>
    <row r="73" spans="1:17" s="136" customFormat="1" ht="15.4" x14ac:dyDescent="0.4">
      <c r="A73" s="141"/>
      <c r="B73" s="142" t="s">
        <v>225</v>
      </c>
      <c r="C73" s="143"/>
      <c r="D73" s="143"/>
      <c r="E73" s="277" t="s">
        <v>226</v>
      </c>
      <c r="F73" s="277"/>
      <c r="G73" s="143"/>
      <c r="H73" s="144"/>
      <c r="I73" s="144"/>
      <c r="J73" s="143"/>
      <c r="K73" s="277" t="s">
        <v>227</v>
      </c>
      <c r="L73" s="277"/>
      <c r="M73" s="144"/>
      <c r="N73" s="145"/>
      <c r="Q73" s="139"/>
    </row>
    <row r="74" spans="1:17" s="136" customFormat="1" ht="15.4" x14ac:dyDescent="0.4">
      <c r="A74" s="141"/>
      <c r="B74" s="142" t="s">
        <v>210</v>
      </c>
      <c r="C74" s="143"/>
      <c r="D74" s="143"/>
      <c r="E74" s="277" t="s">
        <v>210</v>
      </c>
      <c r="F74" s="277"/>
      <c r="G74" s="143"/>
      <c r="H74" s="144"/>
      <c r="I74" s="144"/>
      <c r="J74" s="143"/>
      <c r="K74" s="277" t="s">
        <v>228</v>
      </c>
      <c r="L74" s="277"/>
      <c r="M74" s="144"/>
      <c r="N74" s="145"/>
      <c r="Q74" s="139"/>
    </row>
    <row r="75" spans="1:17" s="7" customFormat="1" ht="16.5" customHeight="1" x14ac:dyDescent="0.45">
      <c r="C75" s="14"/>
      <c r="J75" s="14"/>
      <c r="L75" s="14"/>
      <c r="Q75" s="14"/>
    </row>
  </sheetData>
  <mergeCells count="20">
    <mergeCell ref="H3:J3"/>
    <mergeCell ref="G4:H4"/>
    <mergeCell ref="I4:K4"/>
    <mergeCell ref="L4:N4"/>
    <mergeCell ref="A1:N1"/>
    <mergeCell ref="A2:N2"/>
    <mergeCell ref="B3:D3"/>
    <mergeCell ref="E3:G3"/>
    <mergeCell ref="A4:A5"/>
    <mergeCell ref="B4:B5"/>
    <mergeCell ref="C4:C5"/>
    <mergeCell ref="D4:D5"/>
    <mergeCell ref="E4:F4"/>
    <mergeCell ref="E73:F73"/>
    <mergeCell ref="K73:L73"/>
    <mergeCell ref="E74:F74"/>
    <mergeCell ref="K74:L74"/>
    <mergeCell ref="B61:E61"/>
    <mergeCell ref="B62:E62"/>
    <mergeCell ref="B63:E63"/>
  </mergeCells>
  <pageMargins left="0.70866141732283472" right="0.70866141732283472" top="0.74803149606299213" bottom="0.74803149606299213" header="0.31496062992125984" footer="0.31496062992125984"/>
  <pageSetup paperSize="9" scale="57" fitToHeight="0" orientation="landscape" r:id="rId1"/>
  <headerFoot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XFD76"/>
  <sheetViews>
    <sheetView tabSelected="1" view="pageBreakPreview" zoomScale="80" zoomScaleNormal="70" zoomScaleSheetLayoutView="80" workbookViewId="0">
      <pane ySplit="7" topLeftCell="A8" activePane="bottomLeft" state="frozen"/>
      <selection activeCell="I57" sqref="I57"/>
      <selection pane="bottomLeft" activeCell="G8" sqref="G8"/>
    </sheetView>
  </sheetViews>
  <sheetFormatPr defaultColWidth="9.1328125" defaultRowHeight="16.5" customHeight="1" x14ac:dyDescent="0.45"/>
  <cols>
    <col min="1" max="1" width="6.86328125" style="7" bestFit="1" customWidth="1"/>
    <col min="2" max="2" width="58.1328125" style="7" customWidth="1"/>
    <col min="3" max="3" width="10.73046875" style="14" customWidth="1"/>
    <col min="4" max="4" width="6.3984375" style="7" customWidth="1"/>
    <col min="5" max="5" width="14" style="7" bestFit="1" customWidth="1"/>
    <col min="6" max="6" width="20" style="7" customWidth="1"/>
    <col min="7" max="7" width="13.3984375" style="7" bestFit="1" customWidth="1"/>
    <col min="8" max="8" width="11.73046875" style="7" bestFit="1" customWidth="1"/>
    <col min="9" max="9" width="17.86328125" style="7" bestFit="1" customWidth="1"/>
    <col min="10" max="10" width="13" style="14" bestFit="1" customWidth="1"/>
    <col min="11" max="11" width="6.73046875" style="7" bestFit="1" customWidth="1"/>
    <col min="12" max="12" width="19.59765625" style="14" customWidth="1"/>
    <col min="13" max="13" width="13.3984375" style="7" customWidth="1"/>
    <col min="14" max="14" width="15.73046875" style="7" customWidth="1"/>
    <col min="15" max="16" width="9.1328125" style="7"/>
    <col min="17" max="17" width="12.86328125" style="14" bestFit="1" customWidth="1"/>
    <col min="18" max="16384" width="9.1328125" style="7"/>
  </cols>
  <sheetData>
    <row r="1" spans="1:16384" ht="16.5" customHeight="1" x14ac:dyDescent="0.45">
      <c r="A1" s="309" t="s">
        <v>231</v>
      </c>
      <c r="B1" s="310"/>
      <c r="C1" s="310"/>
      <c r="D1" s="310"/>
      <c r="E1" s="310"/>
      <c r="F1" s="310"/>
      <c r="G1" s="310"/>
      <c r="H1" s="310"/>
      <c r="I1" s="310"/>
      <c r="J1" s="310"/>
      <c r="K1" s="310"/>
      <c r="L1" s="310"/>
      <c r="M1" s="311"/>
    </row>
    <row r="2" spans="1:16384" ht="29.1" customHeight="1" x14ac:dyDescent="0.45">
      <c r="A2" s="312" t="str">
        <f>Comparative!A2</f>
        <v>Name of Work :Construction of New Taluk operational godown of 2500M.T(1X1500MT, 1X1000MT) capacity in TNCSC campus at Survey No.2347/1 to an extent of 1.21.44 Hectare at Nelliyalam Village in Pandalur Taluk in Nilgiris District.</v>
      </c>
      <c r="B2" s="302"/>
      <c r="C2" s="302"/>
      <c r="D2" s="302"/>
      <c r="E2" s="302"/>
      <c r="F2" s="302"/>
      <c r="G2" s="302"/>
      <c r="H2" s="302"/>
      <c r="I2" s="302"/>
      <c r="J2" s="302"/>
      <c r="K2" s="302"/>
      <c r="L2" s="302"/>
      <c r="M2" s="303"/>
      <c r="N2" s="299"/>
      <c r="O2" s="299"/>
      <c r="P2" s="299"/>
      <c r="Q2" s="299"/>
      <c r="R2" s="299"/>
      <c r="S2" s="299"/>
      <c r="T2" s="299"/>
      <c r="U2" s="299"/>
      <c r="V2" s="299"/>
      <c r="W2" s="299"/>
      <c r="X2" s="299"/>
      <c r="Y2" s="299"/>
      <c r="Z2" s="299"/>
      <c r="AA2" s="299"/>
      <c r="AB2" s="299"/>
      <c r="AC2" s="299"/>
      <c r="AD2" s="299"/>
      <c r="AE2" s="299"/>
      <c r="AF2" s="299"/>
      <c r="AG2" s="299"/>
      <c r="AH2" s="299"/>
      <c r="AI2" s="299"/>
      <c r="AJ2" s="299"/>
      <c r="AK2" s="299"/>
      <c r="AL2" s="299"/>
      <c r="AM2" s="299"/>
      <c r="AN2" s="299"/>
      <c r="AO2" s="299"/>
      <c r="AP2" s="299"/>
      <c r="AQ2" s="299"/>
      <c r="AR2" s="299"/>
      <c r="AS2" s="299"/>
      <c r="AT2" s="299"/>
      <c r="AU2" s="299"/>
      <c r="AV2" s="299"/>
      <c r="AW2" s="299"/>
      <c r="AX2" s="299"/>
      <c r="AY2" s="299"/>
      <c r="AZ2" s="299"/>
      <c r="BA2" s="299"/>
      <c r="BB2" s="299"/>
      <c r="BC2" s="299"/>
      <c r="BD2" s="299"/>
      <c r="BE2" s="299"/>
      <c r="BF2" s="299"/>
      <c r="BG2" s="299"/>
      <c r="BH2" s="299"/>
      <c r="BI2" s="299"/>
      <c r="BJ2" s="299"/>
      <c r="BK2" s="299"/>
      <c r="BL2" s="299"/>
      <c r="BM2" s="299"/>
      <c r="BN2" s="299"/>
      <c r="BO2" s="299"/>
      <c r="BP2" s="299"/>
      <c r="BQ2" s="299"/>
      <c r="BR2" s="299"/>
      <c r="BS2" s="299"/>
      <c r="BT2" s="299"/>
      <c r="BU2" s="299"/>
      <c r="BV2" s="299"/>
      <c r="BW2" s="299"/>
      <c r="BX2" s="299"/>
      <c r="BY2" s="299"/>
      <c r="BZ2" s="299"/>
      <c r="CA2" s="299"/>
      <c r="CB2" s="299"/>
      <c r="CC2" s="299"/>
      <c r="CD2" s="299"/>
      <c r="CE2" s="299"/>
      <c r="CF2" s="299"/>
      <c r="CG2" s="299"/>
      <c r="CH2" s="299"/>
      <c r="CI2" s="299"/>
      <c r="CJ2" s="299"/>
      <c r="CK2" s="299"/>
      <c r="CL2" s="299"/>
      <c r="CM2" s="299"/>
      <c r="CN2" s="299"/>
      <c r="CO2" s="299"/>
      <c r="CP2" s="299"/>
      <c r="CQ2" s="299"/>
      <c r="CR2" s="299"/>
      <c r="CS2" s="299"/>
      <c r="CT2" s="299"/>
      <c r="CU2" s="299"/>
      <c r="CV2" s="299"/>
      <c r="CW2" s="299"/>
      <c r="CX2" s="299"/>
      <c r="CY2" s="299"/>
      <c r="CZ2" s="299"/>
      <c r="DA2" s="299"/>
      <c r="DB2" s="299"/>
      <c r="DC2" s="299"/>
      <c r="DD2" s="299"/>
      <c r="DE2" s="299"/>
      <c r="DF2" s="299"/>
      <c r="DG2" s="299"/>
      <c r="DH2" s="299"/>
      <c r="DI2" s="299"/>
      <c r="DJ2" s="299"/>
      <c r="DK2" s="299"/>
      <c r="DL2" s="299"/>
      <c r="DM2" s="299"/>
      <c r="DN2" s="299"/>
      <c r="DO2" s="299"/>
      <c r="DP2" s="299"/>
      <c r="DQ2" s="299"/>
      <c r="DR2" s="299"/>
      <c r="DS2" s="299"/>
      <c r="DT2" s="299"/>
      <c r="DU2" s="299"/>
      <c r="DV2" s="299"/>
      <c r="DW2" s="299"/>
      <c r="DX2" s="299"/>
      <c r="DY2" s="299"/>
      <c r="DZ2" s="299"/>
      <c r="EA2" s="299"/>
      <c r="EB2" s="299"/>
      <c r="EC2" s="299"/>
      <c r="ED2" s="299"/>
      <c r="EE2" s="299"/>
      <c r="EF2" s="299"/>
      <c r="EG2" s="299"/>
      <c r="EH2" s="299"/>
      <c r="EI2" s="299"/>
      <c r="EJ2" s="299"/>
      <c r="EK2" s="299"/>
      <c r="EL2" s="299"/>
      <c r="EM2" s="299"/>
      <c r="EN2" s="299"/>
      <c r="EO2" s="299"/>
      <c r="EP2" s="299"/>
      <c r="EQ2" s="299"/>
      <c r="ER2" s="299"/>
      <c r="ES2" s="299"/>
      <c r="ET2" s="299"/>
      <c r="EU2" s="299"/>
      <c r="EV2" s="299"/>
      <c r="EW2" s="299"/>
      <c r="EX2" s="299"/>
      <c r="EY2" s="299"/>
      <c r="EZ2" s="299"/>
      <c r="FA2" s="299"/>
      <c r="FB2" s="299"/>
      <c r="FC2" s="299"/>
      <c r="FD2" s="299"/>
      <c r="FE2" s="299"/>
      <c r="FF2" s="299"/>
      <c r="FG2" s="299"/>
      <c r="FH2" s="299"/>
      <c r="FI2" s="299"/>
      <c r="FJ2" s="299"/>
      <c r="FK2" s="299"/>
      <c r="FL2" s="299"/>
      <c r="FM2" s="299"/>
      <c r="FN2" s="299"/>
      <c r="FO2" s="299"/>
      <c r="FP2" s="299"/>
      <c r="FQ2" s="299"/>
      <c r="FR2" s="299"/>
      <c r="FS2" s="299"/>
      <c r="FT2" s="299"/>
      <c r="FU2" s="299"/>
      <c r="FV2" s="299"/>
      <c r="FW2" s="299"/>
      <c r="FX2" s="299"/>
      <c r="FY2" s="299"/>
      <c r="FZ2" s="299"/>
      <c r="GA2" s="299"/>
      <c r="GB2" s="299"/>
      <c r="GC2" s="299"/>
      <c r="GD2" s="299"/>
      <c r="GE2" s="299"/>
      <c r="GF2" s="299"/>
      <c r="GG2" s="299"/>
      <c r="GH2" s="299"/>
      <c r="GI2" s="299"/>
      <c r="GJ2" s="299"/>
      <c r="GK2" s="299"/>
      <c r="GL2" s="299"/>
      <c r="GM2" s="299"/>
      <c r="GN2" s="299"/>
      <c r="GO2" s="299"/>
      <c r="GP2" s="299"/>
      <c r="GQ2" s="299"/>
      <c r="GR2" s="299"/>
      <c r="GS2" s="299"/>
      <c r="GT2" s="299"/>
      <c r="GU2" s="299"/>
      <c r="GV2" s="299"/>
      <c r="GW2" s="299"/>
      <c r="GX2" s="299"/>
      <c r="GY2" s="299"/>
      <c r="GZ2" s="299"/>
      <c r="HA2" s="299"/>
      <c r="HB2" s="299"/>
      <c r="HC2" s="299"/>
      <c r="HD2" s="299"/>
      <c r="HE2" s="299"/>
      <c r="HF2" s="299"/>
      <c r="HG2" s="299"/>
      <c r="HH2" s="299"/>
      <c r="HI2" s="299"/>
      <c r="HJ2" s="299"/>
      <c r="HK2" s="299"/>
      <c r="HL2" s="299"/>
      <c r="HM2" s="299"/>
      <c r="HN2" s="299"/>
      <c r="HO2" s="299"/>
      <c r="HP2" s="299"/>
      <c r="HQ2" s="299"/>
      <c r="HR2" s="299"/>
      <c r="HS2" s="299"/>
      <c r="HT2" s="299"/>
      <c r="HU2" s="299"/>
      <c r="HV2" s="299"/>
      <c r="HW2" s="299"/>
      <c r="HX2" s="299"/>
      <c r="HY2" s="299"/>
      <c r="HZ2" s="299"/>
      <c r="IA2" s="299"/>
      <c r="IB2" s="299"/>
      <c r="IC2" s="299"/>
      <c r="ID2" s="299"/>
      <c r="IE2" s="299"/>
      <c r="IF2" s="299"/>
      <c r="IG2" s="299"/>
      <c r="IH2" s="299"/>
      <c r="II2" s="299"/>
      <c r="IJ2" s="299"/>
      <c r="IK2" s="299"/>
      <c r="IL2" s="299"/>
      <c r="IM2" s="299"/>
      <c r="IN2" s="299"/>
      <c r="IO2" s="299"/>
      <c r="IP2" s="299"/>
      <c r="IQ2" s="299"/>
      <c r="IR2" s="299"/>
      <c r="IS2" s="299"/>
      <c r="IT2" s="299"/>
      <c r="IU2" s="299"/>
      <c r="IV2" s="299"/>
      <c r="IW2" s="299"/>
      <c r="IX2" s="299"/>
      <c r="IY2" s="299"/>
      <c r="IZ2" s="299"/>
      <c r="JA2" s="299"/>
      <c r="JB2" s="299"/>
      <c r="JC2" s="299"/>
      <c r="JD2" s="299"/>
      <c r="JE2" s="299"/>
      <c r="JF2" s="299"/>
      <c r="JG2" s="299"/>
      <c r="JH2" s="299"/>
      <c r="JI2" s="299"/>
      <c r="JJ2" s="299"/>
      <c r="JK2" s="299"/>
      <c r="JL2" s="299"/>
      <c r="JM2" s="299"/>
      <c r="JN2" s="299"/>
      <c r="JO2" s="299"/>
      <c r="JP2" s="299"/>
      <c r="JQ2" s="299"/>
      <c r="JR2" s="299"/>
      <c r="JS2" s="299"/>
      <c r="JT2" s="299"/>
      <c r="JU2" s="299"/>
      <c r="JV2" s="299"/>
      <c r="JW2" s="299"/>
      <c r="JX2" s="299"/>
      <c r="JY2" s="299"/>
      <c r="JZ2" s="299"/>
      <c r="KA2" s="299"/>
      <c r="KB2" s="299"/>
      <c r="KC2" s="299"/>
      <c r="KD2" s="299"/>
      <c r="KE2" s="299"/>
      <c r="KF2" s="299"/>
      <c r="KG2" s="299"/>
      <c r="KH2" s="299"/>
      <c r="KI2" s="299"/>
      <c r="KJ2" s="299"/>
      <c r="KK2" s="299"/>
      <c r="KL2" s="299"/>
      <c r="KM2" s="299"/>
      <c r="KN2" s="299"/>
      <c r="KO2" s="299"/>
      <c r="KP2" s="299"/>
      <c r="KQ2" s="299"/>
      <c r="KR2" s="299"/>
      <c r="KS2" s="299"/>
      <c r="KT2" s="299"/>
      <c r="KU2" s="299"/>
      <c r="KV2" s="299"/>
      <c r="KW2" s="299"/>
      <c r="KX2" s="299"/>
      <c r="KY2" s="299"/>
      <c r="KZ2" s="299"/>
      <c r="LA2" s="299"/>
      <c r="LB2" s="299"/>
      <c r="LC2" s="299"/>
      <c r="LD2" s="299"/>
      <c r="LE2" s="299"/>
      <c r="LF2" s="299"/>
      <c r="LG2" s="299"/>
      <c r="LH2" s="299"/>
      <c r="LI2" s="299"/>
      <c r="LJ2" s="299"/>
      <c r="LK2" s="299"/>
      <c r="LL2" s="299"/>
      <c r="LM2" s="299"/>
      <c r="LN2" s="299"/>
      <c r="LO2" s="299"/>
      <c r="LP2" s="299"/>
      <c r="LQ2" s="299"/>
      <c r="LR2" s="299"/>
      <c r="LS2" s="299"/>
      <c r="LT2" s="299"/>
      <c r="LU2" s="299"/>
      <c r="LV2" s="299"/>
      <c r="LW2" s="299"/>
      <c r="LX2" s="299"/>
      <c r="LY2" s="299"/>
      <c r="LZ2" s="299"/>
      <c r="MA2" s="299"/>
      <c r="MB2" s="299"/>
      <c r="MC2" s="299"/>
      <c r="MD2" s="299"/>
      <c r="ME2" s="299"/>
      <c r="MF2" s="299"/>
      <c r="MG2" s="299"/>
      <c r="MH2" s="299"/>
      <c r="MI2" s="299"/>
      <c r="MJ2" s="299"/>
      <c r="MK2" s="299"/>
      <c r="ML2" s="299"/>
      <c r="MM2" s="299"/>
      <c r="MN2" s="299"/>
      <c r="MO2" s="299"/>
      <c r="MP2" s="299"/>
      <c r="MQ2" s="299"/>
      <c r="MR2" s="299"/>
      <c r="MS2" s="299"/>
      <c r="MT2" s="299"/>
      <c r="MU2" s="299"/>
      <c r="MV2" s="299"/>
      <c r="MW2" s="299"/>
      <c r="MX2" s="299"/>
      <c r="MY2" s="299"/>
      <c r="MZ2" s="299"/>
      <c r="NA2" s="299"/>
      <c r="NB2" s="299"/>
      <c r="NC2" s="299"/>
      <c r="ND2" s="299"/>
      <c r="NE2" s="299"/>
      <c r="NF2" s="299"/>
      <c r="NG2" s="299"/>
      <c r="NH2" s="299"/>
      <c r="NI2" s="299"/>
      <c r="NJ2" s="299"/>
      <c r="NK2" s="299"/>
      <c r="NL2" s="299"/>
      <c r="NM2" s="299"/>
      <c r="NN2" s="299"/>
      <c r="NO2" s="299"/>
      <c r="NP2" s="299"/>
      <c r="NQ2" s="299"/>
      <c r="NR2" s="299"/>
      <c r="NS2" s="299"/>
      <c r="NT2" s="299"/>
      <c r="NU2" s="299"/>
      <c r="NV2" s="299"/>
      <c r="NW2" s="299"/>
      <c r="NX2" s="299"/>
      <c r="NY2" s="299"/>
      <c r="NZ2" s="299"/>
      <c r="OA2" s="299"/>
      <c r="OB2" s="299"/>
      <c r="OC2" s="299"/>
      <c r="OD2" s="299"/>
      <c r="OE2" s="299"/>
      <c r="OF2" s="299"/>
      <c r="OG2" s="299"/>
      <c r="OH2" s="299"/>
      <c r="OI2" s="299"/>
      <c r="OJ2" s="299"/>
      <c r="OK2" s="299"/>
      <c r="OL2" s="299"/>
      <c r="OM2" s="299"/>
      <c r="ON2" s="299"/>
      <c r="OO2" s="299"/>
      <c r="OP2" s="299"/>
      <c r="OQ2" s="299"/>
      <c r="OR2" s="299"/>
      <c r="OS2" s="299"/>
      <c r="OT2" s="299"/>
      <c r="OU2" s="299"/>
      <c r="OV2" s="299"/>
      <c r="OW2" s="299"/>
      <c r="OX2" s="299"/>
      <c r="OY2" s="299"/>
      <c r="OZ2" s="299"/>
      <c r="PA2" s="299"/>
      <c r="PB2" s="299"/>
      <c r="PC2" s="299"/>
      <c r="PD2" s="299"/>
      <c r="PE2" s="299"/>
      <c r="PF2" s="299"/>
      <c r="PG2" s="299"/>
      <c r="PH2" s="299"/>
      <c r="PI2" s="299"/>
      <c r="PJ2" s="299"/>
      <c r="PK2" s="299"/>
      <c r="PL2" s="299"/>
      <c r="PM2" s="299"/>
      <c r="PN2" s="299"/>
      <c r="PO2" s="299"/>
      <c r="PP2" s="299"/>
      <c r="PQ2" s="299"/>
      <c r="PR2" s="299"/>
      <c r="PS2" s="299"/>
      <c r="PT2" s="299"/>
      <c r="PU2" s="299"/>
      <c r="PV2" s="299"/>
      <c r="PW2" s="299"/>
      <c r="PX2" s="299"/>
      <c r="PY2" s="299"/>
      <c r="PZ2" s="299"/>
      <c r="QA2" s="299"/>
      <c r="QB2" s="299"/>
      <c r="QC2" s="299"/>
      <c r="QD2" s="299"/>
      <c r="QE2" s="299"/>
      <c r="QF2" s="299"/>
      <c r="QG2" s="299"/>
      <c r="QH2" s="299"/>
      <c r="QI2" s="299"/>
      <c r="QJ2" s="299"/>
      <c r="QK2" s="299"/>
      <c r="QL2" s="299"/>
      <c r="QM2" s="299"/>
      <c r="QN2" s="299"/>
      <c r="QO2" s="299"/>
      <c r="QP2" s="299"/>
      <c r="QQ2" s="299"/>
      <c r="QR2" s="299"/>
      <c r="QS2" s="299"/>
      <c r="QT2" s="299"/>
      <c r="QU2" s="299"/>
      <c r="QV2" s="299"/>
      <c r="QW2" s="299"/>
      <c r="QX2" s="299"/>
      <c r="QY2" s="299"/>
      <c r="QZ2" s="299"/>
      <c r="RA2" s="299"/>
      <c r="RB2" s="299"/>
      <c r="RC2" s="299"/>
      <c r="RD2" s="299"/>
      <c r="RE2" s="299"/>
      <c r="RF2" s="299"/>
      <c r="RG2" s="299"/>
      <c r="RH2" s="299"/>
      <c r="RI2" s="299"/>
      <c r="RJ2" s="299"/>
      <c r="RK2" s="299"/>
      <c r="RL2" s="299"/>
      <c r="RM2" s="299"/>
      <c r="RN2" s="299"/>
      <c r="RO2" s="299"/>
      <c r="RP2" s="299"/>
      <c r="RQ2" s="299"/>
      <c r="RR2" s="299"/>
      <c r="RS2" s="299"/>
      <c r="RT2" s="299"/>
      <c r="RU2" s="299"/>
      <c r="RV2" s="299"/>
      <c r="RW2" s="299"/>
      <c r="RX2" s="299"/>
      <c r="RY2" s="299"/>
      <c r="RZ2" s="299"/>
      <c r="SA2" s="299"/>
      <c r="SB2" s="299"/>
      <c r="SC2" s="299"/>
      <c r="SD2" s="299"/>
      <c r="SE2" s="299"/>
      <c r="SF2" s="299"/>
      <c r="SG2" s="299"/>
      <c r="SH2" s="299"/>
      <c r="SI2" s="299"/>
      <c r="SJ2" s="299"/>
      <c r="SK2" s="299"/>
      <c r="SL2" s="299"/>
      <c r="SM2" s="299"/>
      <c r="SN2" s="299"/>
      <c r="SO2" s="299"/>
      <c r="SP2" s="299"/>
      <c r="SQ2" s="299"/>
      <c r="SR2" s="299"/>
      <c r="SS2" s="299"/>
      <c r="ST2" s="299"/>
      <c r="SU2" s="299"/>
      <c r="SV2" s="299"/>
      <c r="SW2" s="299"/>
      <c r="SX2" s="299"/>
      <c r="SY2" s="299"/>
      <c r="SZ2" s="299"/>
      <c r="TA2" s="299"/>
      <c r="TB2" s="299"/>
      <c r="TC2" s="299"/>
      <c r="TD2" s="299"/>
      <c r="TE2" s="299"/>
      <c r="TF2" s="299"/>
      <c r="TG2" s="299"/>
      <c r="TH2" s="299"/>
      <c r="TI2" s="299"/>
      <c r="TJ2" s="299"/>
      <c r="TK2" s="299"/>
      <c r="TL2" s="299"/>
      <c r="TM2" s="299"/>
      <c r="TN2" s="299"/>
      <c r="TO2" s="299"/>
      <c r="TP2" s="299"/>
      <c r="TQ2" s="299"/>
      <c r="TR2" s="299"/>
      <c r="TS2" s="299"/>
      <c r="TT2" s="299"/>
      <c r="TU2" s="299"/>
      <c r="TV2" s="299"/>
      <c r="TW2" s="299"/>
      <c r="TX2" s="299"/>
      <c r="TY2" s="299"/>
      <c r="TZ2" s="299"/>
      <c r="UA2" s="299"/>
      <c r="UB2" s="299"/>
      <c r="UC2" s="299"/>
      <c r="UD2" s="299"/>
      <c r="UE2" s="299"/>
      <c r="UF2" s="299"/>
      <c r="UG2" s="299"/>
      <c r="UH2" s="299"/>
      <c r="UI2" s="299"/>
      <c r="UJ2" s="299"/>
      <c r="UK2" s="299"/>
      <c r="UL2" s="299"/>
      <c r="UM2" s="299"/>
      <c r="UN2" s="299"/>
      <c r="UO2" s="299"/>
      <c r="UP2" s="299"/>
      <c r="UQ2" s="299"/>
      <c r="UR2" s="299"/>
      <c r="US2" s="299"/>
      <c r="UT2" s="299"/>
      <c r="UU2" s="299"/>
      <c r="UV2" s="299"/>
      <c r="UW2" s="299"/>
      <c r="UX2" s="299"/>
      <c r="UY2" s="299"/>
      <c r="UZ2" s="299"/>
      <c r="VA2" s="299"/>
      <c r="VB2" s="299"/>
      <c r="VC2" s="299"/>
      <c r="VD2" s="299"/>
      <c r="VE2" s="299"/>
      <c r="VF2" s="299"/>
      <c r="VG2" s="299"/>
      <c r="VH2" s="299"/>
      <c r="VI2" s="299"/>
      <c r="VJ2" s="299"/>
      <c r="VK2" s="299"/>
      <c r="VL2" s="299"/>
      <c r="VM2" s="299"/>
      <c r="VN2" s="299"/>
      <c r="VO2" s="299"/>
      <c r="VP2" s="299"/>
      <c r="VQ2" s="299"/>
      <c r="VR2" s="299"/>
      <c r="VS2" s="299"/>
      <c r="VT2" s="299"/>
      <c r="VU2" s="299"/>
      <c r="VV2" s="299"/>
      <c r="VW2" s="299"/>
      <c r="VX2" s="299"/>
      <c r="VY2" s="299"/>
      <c r="VZ2" s="299"/>
      <c r="WA2" s="299"/>
      <c r="WB2" s="299"/>
      <c r="WC2" s="299"/>
      <c r="WD2" s="299"/>
      <c r="WE2" s="299"/>
      <c r="WF2" s="299"/>
      <c r="WG2" s="299"/>
      <c r="WH2" s="299"/>
      <c r="WI2" s="299"/>
      <c r="WJ2" s="299"/>
      <c r="WK2" s="299"/>
      <c r="WL2" s="299"/>
      <c r="WM2" s="299"/>
      <c r="WN2" s="299"/>
      <c r="WO2" s="299"/>
      <c r="WP2" s="299"/>
      <c r="WQ2" s="299"/>
      <c r="WR2" s="299"/>
      <c r="WS2" s="299"/>
      <c r="WT2" s="299"/>
      <c r="WU2" s="299"/>
      <c r="WV2" s="299"/>
      <c r="WW2" s="299"/>
      <c r="WX2" s="299"/>
      <c r="WY2" s="299"/>
      <c r="WZ2" s="299"/>
      <c r="XA2" s="299"/>
      <c r="XB2" s="299"/>
      <c r="XC2" s="299"/>
      <c r="XD2" s="299"/>
      <c r="XE2" s="299"/>
      <c r="XF2" s="299"/>
      <c r="XG2" s="299"/>
      <c r="XH2" s="299"/>
      <c r="XI2" s="299"/>
      <c r="XJ2" s="299"/>
      <c r="XK2" s="299"/>
      <c r="XL2" s="299"/>
      <c r="XM2" s="299"/>
      <c r="XN2" s="299"/>
      <c r="XO2" s="299"/>
      <c r="XP2" s="299"/>
      <c r="XQ2" s="299"/>
      <c r="XR2" s="299"/>
      <c r="XS2" s="299"/>
      <c r="XT2" s="299"/>
      <c r="XU2" s="299"/>
      <c r="XV2" s="299"/>
      <c r="XW2" s="299"/>
      <c r="XX2" s="299"/>
      <c r="XY2" s="299"/>
      <c r="XZ2" s="299"/>
      <c r="YA2" s="299"/>
      <c r="YB2" s="299"/>
      <c r="YC2" s="299"/>
      <c r="YD2" s="299"/>
      <c r="YE2" s="299"/>
      <c r="YF2" s="299"/>
      <c r="YG2" s="299"/>
      <c r="YH2" s="299"/>
      <c r="YI2" s="299"/>
      <c r="YJ2" s="299"/>
      <c r="YK2" s="299"/>
      <c r="YL2" s="299"/>
      <c r="YM2" s="299"/>
      <c r="YN2" s="299"/>
      <c r="YO2" s="299"/>
      <c r="YP2" s="299"/>
      <c r="YQ2" s="299"/>
      <c r="YR2" s="299"/>
      <c r="YS2" s="299"/>
      <c r="YT2" s="299"/>
      <c r="YU2" s="299"/>
      <c r="YV2" s="299"/>
      <c r="YW2" s="299"/>
      <c r="YX2" s="299"/>
      <c r="YY2" s="299"/>
      <c r="YZ2" s="299"/>
      <c r="ZA2" s="299"/>
      <c r="ZB2" s="299"/>
      <c r="ZC2" s="299"/>
      <c r="ZD2" s="299"/>
      <c r="ZE2" s="299"/>
      <c r="ZF2" s="299"/>
      <c r="ZG2" s="299"/>
      <c r="ZH2" s="299"/>
      <c r="ZI2" s="299"/>
      <c r="ZJ2" s="299"/>
      <c r="ZK2" s="299"/>
      <c r="ZL2" s="299"/>
      <c r="ZM2" s="299"/>
      <c r="ZN2" s="299"/>
      <c r="ZO2" s="299"/>
      <c r="ZP2" s="299"/>
      <c r="ZQ2" s="299"/>
      <c r="ZR2" s="299"/>
      <c r="ZS2" s="299"/>
      <c r="ZT2" s="299"/>
      <c r="ZU2" s="299"/>
      <c r="ZV2" s="299"/>
      <c r="ZW2" s="299"/>
      <c r="ZX2" s="299"/>
      <c r="ZY2" s="299"/>
      <c r="ZZ2" s="299"/>
      <c r="AAA2" s="299"/>
      <c r="AAB2" s="299"/>
      <c r="AAC2" s="299"/>
      <c r="AAD2" s="299"/>
      <c r="AAE2" s="299"/>
      <c r="AAF2" s="299"/>
      <c r="AAG2" s="299"/>
      <c r="AAH2" s="299"/>
      <c r="AAI2" s="299"/>
      <c r="AAJ2" s="299"/>
      <c r="AAK2" s="299"/>
      <c r="AAL2" s="299"/>
      <c r="AAM2" s="299"/>
      <c r="AAN2" s="299"/>
      <c r="AAO2" s="299"/>
      <c r="AAP2" s="299"/>
      <c r="AAQ2" s="299"/>
      <c r="AAR2" s="299"/>
      <c r="AAS2" s="299"/>
      <c r="AAT2" s="299"/>
      <c r="AAU2" s="299"/>
      <c r="AAV2" s="299"/>
      <c r="AAW2" s="299"/>
      <c r="AAX2" s="299"/>
      <c r="AAY2" s="299"/>
      <c r="AAZ2" s="299"/>
      <c r="ABA2" s="299"/>
      <c r="ABB2" s="299"/>
      <c r="ABC2" s="299"/>
      <c r="ABD2" s="299"/>
      <c r="ABE2" s="299"/>
      <c r="ABF2" s="299"/>
      <c r="ABG2" s="299"/>
      <c r="ABH2" s="299"/>
      <c r="ABI2" s="299"/>
      <c r="ABJ2" s="299"/>
      <c r="ABK2" s="299"/>
      <c r="ABL2" s="299"/>
      <c r="ABM2" s="299"/>
      <c r="ABN2" s="299"/>
      <c r="ABO2" s="299"/>
      <c r="ABP2" s="299"/>
      <c r="ABQ2" s="299"/>
      <c r="ABR2" s="299"/>
      <c r="ABS2" s="299"/>
      <c r="ABT2" s="299"/>
      <c r="ABU2" s="299"/>
      <c r="ABV2" s="299"/>
      <c r="ABW2" s="299"/>
      <c r="ABX2" s="299"/>
      <c r="ABY2" s="299"/>
      <c r="ABZ2" s="299"/>
      <c r="ACA2" s="299"/>
      <c r="ACB2" s="299"/>
      <c r="ACC2" s="299"/>
      <c r="ACD2" s="299"/>
      <c r="ACE2" s="299"/>
      <c r="ACF2" s="299"/>
      <c r="ACG2" s="299"/>
      <c r="ACH2" s="299"/>
      <c r="ACI2" s="299"/>
      <c r="ACJ2" s="299"/>
      <c r="ACK2" s="299"/>
      <c r="ACL2" s="299"/>
      <c r="ACM2" s="299"/>
      <c r="ACN2" s="299"/>
      <c r="ACO2" s="299"/>
      <c r="ACP2" s="299"/>
      <c r="ACQ2" s="299"/>
      <c r="ACR2" s="299"/>
      <c r="ACS2" s="299"/>
      <c r="ACT2" s="299"/>
      <c r="ACU2" s="299"/>
      <c r="ACV2" s="299"/>
      <c r="ACW2" s="299"/>
      <c r="ACX2" s="299"/>
      <c r="ACY2" s="299"/>
      <c r="ACZ2" s="299"/>
      <c r="ADA2" s="299"/>
      <c r="ADB2" s="299"/>
      <c r="ADC2" s="299"/>
      <c r="ADD2" s="299"/>
      <c r="ADE2" s="299"/>
      <c r="ADF2" s="299"/>
      <c r="ADG2" s="299"/>
      <c r="ADH2" s="299"/>
      <c r="ADI2" s="299"/>
      <c r="ADJ2" s="299"/>
      <c r="ADK2" s="299"/>
      <c r="ADL2" s="299"/>
      <c r="ADM2" s="299"/>
      <c r="ADN2" s="299"/>
      <c r="ADO2" s="299"/>
      <c r="ADP2" s="299"/>
      <c r="ADQ2" s="299"/>
      <c r="ADR2" s="299"/>
      <c r="ADS2" s="299"/>
      <c r="ADT2" s="299"/>
      <c r="ADU2" s="299"/>
      <c r="ADV2" s="299"/>
      <c r="ADW2" s="299"/>
      <c r="ADX2" s="299"/>
      <c r="ADY2" s="299"/>
      <c r="ADZ2" s="299"/>
      <c r="AEA2" s="299"/>
      <c r="AEB2" s="299"/>
      <c r="AEC2" s="299"/>
      <c r="AED2" s="299"/>
      <c r="AEE2" s="299"/>
      <c r="AEF2" s="299"/>
      <c r="AEG2" s="299"/>
      <c r="AEH2" s="299"/>
      <c r="AEI2" s="299"/>
      <c r="AEJ2" s="299"/>
      <c r="AEK2" s="299"/>
      <c r="AEL2" s="299"/>
      <c r="AEM2" s="299"/>
      <c r="AEN2" s="299"/>
      <c r="AEO2" s="299"/>
      <c r="AEP2" s="299"/>
      <c r="AEQ2" s="299"/>
      <c r="AER2" s="299"/>
      <c r="AES2" s="299"/>
      <c r="AET2" s="299"/>
      <c r="AEU2" s="299"/>
      <c r="AEV2" s="299"/>
      <c r="AEW2" s="299"/>
      <c r="AEX2" s="299"/>
      <c r="AEY2" s="299"/>
      <c r="AEZ2" s="299"/>
      <c r="AFA2" s="299"/>
      <c r="AFB2" s="299"/>
      <c r="AFC2" s="299"/>
      <c r="AFD2" s="299"/>
      <c r="AFE2" s="299"/>
      <c r="AFF2" s="299"/>
      <c r="AFG2" s="299"/>
      <c r="AFH2" s="299"/>
      <c r="AFI2" s="299"/>
      <c r="AFJ2" s="299"/>
      <c r="AFK2" s="299"/>
      <c r="AFL2" s="299"/>
      <c r="AFM2" s="299"/>
      <c r="AFN2" s="299"/>
      <c r="AFO2" s="299"/>
      <c r="AFP2" s="299"/>
      <c r="AFQ2" s="299"/>
      <c r="AFR2" s="299"/>
      <c r="AFS2" s="299"/>
      <c r="AFT2" s="299"/>
      <c r="AFU2" s="299"/>
      <c r="AFV2" s="299"/>
      <c r="AFW2" s="299"/>
      <c r="AFX2" s="299"/>
      <c r="AFY2" s="299"/>
      <c r="AFZ2" s="299"/>
      <c r="AGA2" s="299"/>
      <c r="AGB2" s="299"/>
      <c r="AGC2" s="299"/>
      <c r="AGD2" s="299"/>
      <c r="AGE2" s="299"/>
      <c r="AGF2" s="299"/>
      <c r="AGG2" s="299"/>
      <c r="AGH2" s="299"/>
      <c r="AGI2" s="299"/>
      <c r="AGJ2" s="299"/>
      <c r="AGK2" s="299"/>
      <c r="AGL2" s="299"/>
      <c r="AGM2" s="299"/>
      <c r="AGN2" s="299"/>
      <c r="AGO2" s="299"/>
      <c r="AGP2" s="299"/>
      <c r="AGQ2" s="299"/>
      <c r="AGR2" s="299"/>
      <c r="AGS2" s="299"/>
      <c r="AGT2" s="299"/>
      <c r="AGU2" s="299"/>
      <c r="AGV2" s="299"/>
      <c r="AGW2" s="299"/>
      <c r="AGX2" s="299"/>
      <c r="AGY2" s="299"/>
      <c r="AGZ2" s="299"/>
      <c r="AHA2" s="299"/>
      <c r="AHB2" s="299"/>
      <c r="AHC2" s="299"/>
      <c r="AHD2" s="299"/>
      <c r="AHE2" s="299"/>
      <c r="AHF2" s="299"/>
      <c r="AHG2" s="299"/>
      <c r="AHH2" s="299"/>
      <c r="AHI2" s="299"/>
      <c r="AHJ2" s="299"/>
      <c r="AHK2" s="299"/>
      <c r="AHL2" s="299"/>
      <c r="AHM2" s="299"/>
      <c r="AHN2" s="299"/>
      <c r="AHO2" s="299"/>
      <c r="AHP2" s="299"/>
      <c r="AHQ2" s="299"/>
      <c r="AHR2" s="299"/>
      <c r="AHS2" s="299"/>
      <c r="AHT2" s="299"/>
      <c r="AHU2" s="299"/>
      <c r="AHV2" s="299"/>
      <c r="AHW2" s="299"/>
      <c r="AHX2" s="299"/>
      <c r="AHY2" s="299"/>
      <c r="AHZ2" s="299"/>
      <c r="AIA2" s="299"/>
      <c r="AIB2" s="299"/>
      <c r="AIC2" s="299"/>
      <c r="AID2" s="299"/>
      <c r="AIE2" s="299"/>
      <c r="AIF2" s="299"/>
      <c r="AIG2" s="299"/>
      <c r="AIH2" s="299"/>
      <c r="AII2" s="299"/>
      <c r="AIJ2" s="299"/>
      <c r="AIK2" s="299"/>
      <c r="AIL2" s="299"/>
      <c r="AIM2" s="299"/>
      <c r="AIN2" s="299"/>
      <c r="AIO2" s="299"/>
      <c r="AIP2" s="299"/>
      <c r="AIQ2" s="299"/>
      <c r="AIR2" s="299"/>
      <c r="AIS2" s="299"/>
      <c r="AIT2" s="299"/>
      <c r="AIU2" s="299"/>
      <c r="AIV2" s="299"/>
      <c r="AIW2" s="299"/>
      <c r="AIX2" s="299"/>
      <c r="AIY2" s="299"/>
      <c r="AIZ2" s="299"/>
      <c r="AJA2" s="299"/>
      <c r="AJB2" s="299"/>
      <c r="AJC2" s="299"/>
      <c r="AJD2" s="299"/>
      <c r="AJE2" s="299"/>
      <c r="AJF2" s="299"/>
      <c r="AJG2" s="299"/>
      <c r="AJH2" s="299"/>
      <c r="AJI2" s="299"/>
      <c r="AJJ2" s="299"/>
      <c r="AJK2" s="299"/>
      <c r="AJL2" s="299"/>
      <c r="AJM2" s="299"/>
      <c r="AJN2" s="299"/>
      <c r="AJO2" s="299"/>
      <c r="AJP2" s="299"/>
      <c r="AJQ2" s="299"/>
      <c r="AJR2" s="299"/>
      <c r="AJS2" s="299"/>
      <c r="AJT2" s="299"/>
      <c r="AJU2" s="299"/>
      <c r="AJV2" s="299"/>
      <c r="AJW2" s="299"/>
      <c r="AJX2" s="299"/>
      <c r="AJY2" s="299"/>
      <c r="AJZ2" s="299"/>
      <c r="AKA2" s="299"/>
      <c r="AKB2" s="299"/>
      <c r="AKC2" s="299"/>
      <c r="AKD2" s="299"/>
      <c r="AKE2" s="299"/>
      <c r="AKF2" s="299"/>
      <c r="AKG2" s="299"/>
      <c r="AKH2" s="299"/>
      <c r="AKI2" s="299"/>
      <c r="AKJ2" s="299"/>
      <c r="AKK2" s="299"/>
      <c r="AKL2" s="299"/>
      <c r="AKM2" s="299"/>
      <c r="AKN2" s="299"/>
      <c r="AKO2" s="299"/>
      <c r="AKP2" s="299"/>
      <c r="AKQ2" s="299"/>
      <c r="AKR2" s="299"/>
      <c r="AKS2" s="299"/>
      <c r="AKT2" s="299"/>
      <c r="AKU2" s="299"/>
      <c r="AKV2" s="299"/>
      <c r="AKW2" s="299"/>
      <c r="AKX2" s="299"/>
      <c r="AKY2" s="299"/>
      <c r="AKZ2" s="299"/>
      <c r="ALA2" s="299"/>
      <c r="ALB2" s="299"/>
      <c r="ALC2" s="299"/>
      <c r="ALD2" s="299"/>
      <c r="ALE2" s="299"/>
      <c r="ALF2" s="299"/>
      <c r="ALG2" s="299"/>
      <c r="ALH2" s="299"/>
      <c r="ALI2" s="299"/>
      <c r="ALJ2" s="299"/>
      <c r="ALK2" s="299"/>
      <c r="ALL2" s="299"/>
      <c r="ALM2" s="299"/>
      <c r="ALN2" s="299"/>
      <c r="ALO2" s="299"/>
      <c r="ALP2" s="299"/>
      <c r="ALQ2" s="299"/>
      <c r="ALR2" s="299"/>
      <c r="ALS2" s="299"/>
      <c r="ALT2" s="299"/>
      <c r="ALU2" s="299"/>
      <c r="ALV2" s="299"/>
      <c r="ALW2" s="299"/>
      <c r="ALX2" s="299"/>
      <c r="ALY2" s="299"/>
      <c r="ALZ2" s="299"/>
      <c r="AMA2" s="299"/>
      <c r="AMB2" s="299"/>
      <c r="AMC2" s="299"/>
      <c r="AMD2" s="299"/>
      <c r="AME2" s="299"/>
      <c r="AMF2" s="299"/>
      <c r="AMG2" s="299"/>
      <c r="AMH2" s="299"/>
      <c r="AMI2" s="299"/>
      <c r="AMJ2" s="299"/>
      <c r="AMK2" s="299"/>
      <c r="AML2" s="299"/>
      <c r="AMM2" s="299"/>
      <c r="AMN2" s="299"/>
      <c r="AMO2" s="299"/>
      <c r="AMP2" s="299"/>
      <c r="AMQ2" s="299"/>
      <c r="AMR2" s="299"/>
      <c r="AMS2" s="299"/>
      <c r="AMT2" s="299"/>
      <c r="AMU2" s="299"/>
      <c r="AMV2" s="299"/>
      <c r="AMW2" s="299"/>
      <c r="AMX2" s="299"/>
      <c r="AMY2" s="299"/>
      <c r="AMZ2" s="299"/>
      <c r="ANA2" s="299"/>
      <c r="ANB2" s="299"/>
      <c r="ANC2" s="299"/>
      <c r="AND2" s="299"/>
      <c r="ANE2" s="299"/>
      <c r="ANF2" s="299"/>
      <c r="ANG2" s="299"/>
      <c r="ANH2" s="299"/>
      <c r="ANI2" s="299"/>
      <c r="ANJ2" s="299"/>
      <c r="ANK2" s="299"/>
      <c r="ANL2" s="299"/>
      <c r="ANM2" s="299"/>
      <c r="ANN2" s="299"/>
      <c r="ANO2" s="299"/>
      <c r="ANP2" s="299"/>
      <c r="ANQ2" s="299"/>
      <c r="ANR2" s="299"/>
      <c r="ANS2" s="299"/>
      <c r="ANT2" s="299"/>
      <c r="ANU2" s="299"/>
      <c r="ANV2" s="299"/>
      <c r="ANW2" s="299"/>
      <c r="ANX2" s="299"/>
      <c r="ANY2" s="299"/>
      <c r="ANZ2" s="299"/>
      <c r="AOA2" s="299"/>
      <c r="AOB2" s="299"/>
      <c r="AOC2" s="299"/>
      <c r="AOD2" s="299"/>
      <c r="AOE2" s="299"/>
      <c r="AOF2" s="299"/>
      <c r="AOG2" s="299"/>
      <c r="AOH2" s="299"/>
      <c r="AOI2" s="299"/>
      <c r="AOJ2" s="299"/>
      <c r="AOK2" s="299"/>
      <c r="AOL2" s="299"/>
      <c r="AOM2" s="299"/>
      <c r="AON2" s="299"/>
      <c r="AOO2" s="299"/>
      <c r="AOP2" s="299"/>
      <c r="AOQ2" s="299"/>
      <c r="AOR2" s="299"/>
      <c r="AOS2" s="299"/>
      <c r="AOT2" s="299"/>
      <c r="AOU2" s="299"/>
      <c r="AOV2" s="299"/>
      <c r="AOW2" s="299"/>
      <c r="AOX2" s="299"/>
      <c r="AOY2" s="299"/>
      <c r="AOZ2" s="299"/>
      <c r="APA2" s="299"/>
      <c r="APB2" s="299"/>
      <c r="APC2" s="299"/>
      <c r="APD2" s="299"/>
      <c r="APE2" s="299"/>
      <c r="APF2" s="299"/>
      <c r="APG2" s="299"/>
      <c r="APH2" s="299"/>
      <c r="API2" s="299"/>
      <c r="APJ2" s="299"/>
      <c r="APK2" s="299"/>
      <c r="APL2" s="299"/>
      <c r="APM2" s="299"/>
      <c r="APN2" s="299"/>
      <c r="APO2" s="299"/>
      <c r="APP2" s="299"/>
      <c r="APQ2" s="299"/>
      <c r="APR2" s="299"/>
      <c r="APS2" s="299"/>
      <c r="APT2" s="299"/>
      <c r="APU2" s="299"/>
      <c r="APV2" s="299"/>
      <c r="APW2" s="299"/>
      <c r="APX2" s="299"/>
      <c r="APY2" s="299"/>
      <c r="APZ2" s="299"/>
      <c r="AQA2" s="299"/>
      <c r="AQB2" s="299"/>
      <c r="AQC2" s="299"/>
      <c r="AQD2" s="299"/>
      <c r="AQE2" s="299"/>
      <c r="AQF2" s="299"/>
      <c r="AQG2" s="299"/>
      <c r="AQH2" s="299"/>
      <c r="AQI2" s="299"/>
      <c r="AQJ2" s="299"/>
      <c r="AQK2" s="299"/>
      <c r="AQL2" s="299"/>
      <c r="AQM2" s="299"/>
      <c r="AQN2" s="299"/>
      <c r="AQO2" s="299"/>
      <c r="AQP2" s="299"/>
      <c r="AQQ2" s="299"/>
      <c r="AQR2" s="299"/>
      <c r="AQS2" s="299"/>
      <c r="AQT2" s="299"/>
      <c r="AQU2" s="299"/>
      <c r="AQV2" s="299"/>
      <c r="AQW2" s="299"/>
      <c r="AQX2" s="299"/>
      <c r="AQY2" s="299"/>
      <c r="AQZ2" s="299"/>
      <c r="ARA2" s="299"/>
      <c r="ARB2" s="299"/>
      <c r="ARC2" s="299"/>
      <c r="ARD2" s="299"/>
      <c r="ARE2" s="299"/>
      <c r="ARF2" s="299"/>
      <c r="ARG2" s="299"/>
      <c r="ARH2" s="299"/>
      <c r="ARI2" s="299"/>
      <c r="ARJ2" s="299"/>
      <c r="ARK2" s="299"/>
      <c r="ARL2" s="299"/>
      <c r="ARM2" s="299"/>
      <c r="ARN2" s="299"/>
      <c r="ARO2" s="299"/>
      <c r="ARP2" s="299"/>
      <c r="ARQ2" s="299"/>
      <c r="ARR2" s="299"/>
      <c r="ARS2" s="299"/>
      <c r="ART2" s="299"/>
      <c r="ARU2" s="299"/>
      <c r="ARV2" s="299"/>
      <c r="ARW2" s="299"/>
      <c r="ARX2" s="299"/>
      <c r="ARY2" s="299"/>
      <c r="ARZ2" s="299"/>
      <c r="ASA2" s="299"/>
      <c r="ASB2" s="299"/>
      <c r="ASC2" s="299"/>
      <c r="ASD2" s="299"/>
      <c r="ASE2" s="299"/>
      <c r="ASF2" s="299"/>
      <c r="ASG2" s="299"/>
      <c r="ASH2" s="299"/>
      <c r="ASI2" s="299"/>
      <c r="ASJ2" s="299"/>
      <c r="ASK2" s="299"/>
      <c r="ASL2" s="299"/>
      <c r="ASM2" s="299"/>
      <c r="ASN2" s="299"/>
      <c r="ASO2" s="299"/>
      <c r="ASP2" s="299"/>
      <c r="ASQ2" s="299"/>
      <c r="ASR2" s="299"/>
      <c r="ASS2" s="299"/>
      <c r="AST2" s="299"/>
      <c r="ASU2" s="299"/>
      <c r="ASV2" s="299"/>
      <c r="ASW2" s="299"/>
      <c r="ASX2" s="299"/>
      <c r="ASY2" s="299"/>
      <c r="ASZ2" s="299"/>
      <c r="ATA2" s="299"/>
      <c r="ATB2" s="299"/>
      <c r="ATC2" s="299"/>
      <c r="ATD2" s="299"/>
      <c r="ATE2" s="299"/>
      <c r="ATF2" s="299"/>
      <c r="ATG2" s="299"/>
      <c r="ATH2" s="299"/>
      <c r="ATI2" s="299"/>
      <c r="ATJ2" s="299"/>
      <c r="ATK2" s="299"/>
      <c r="ATL2" s="299"/>
      <c r="ATM2" s="299"/>
      <c r="ATN2" s="299"/>
      <c r="ATO2" s="299"/>
      <c r="ATP2" s="299"/>
      <c r="ATQ2" s="299"/>
      <c r="ATR2" s="299"/>
      <c r="ATS2" s="299"/>
      <c r="ATT2" s="299"/>
      <c r="ATU2" s="299"/>
      <c r="ATV2" s="299"/>
      <c r="ATW2" s="299"/>
      <c r="ATX2" s="299"/>
      <c r="ATY2" s="299"/>
      <c r="ATZ2" s="299"/>
      <c r="AUA2" s="299"/>
      <c r="AUB2" s="299"/>
      <c r="AUC2" s="299"/>
      <c r="AUD2" s="299"/>
      <c r="AUE2" s="299"/>
      <c r="AUF2" s="299"/>
      <c r="AUG2" s="299"/>
      <c r="AUH2" s="299"/>
      <c r="AUI2" s="299"/>
      <c r="AUJ2" s="299"/>
      <c r="AUK2" s="299"/>
      <c r="AUL2" s="299"/>
      <c r="AUM2" s="299"/>
      <c r="AUN2" s="299"/>
      <c r="AUO2" s="299"/>
      <c r="AUP2" s="299"/>
      <c r="AUQ2" s="299"/>
      <c r="AUR2" s="299"/>
      <c r="AUS2" s="299"/>
      <c r="AUT2" s="299"/>
      <c r="AUU2" s="299"/>
      <c r="AUV2" s="299"/>
      <c r="AUW2" s="299"/>
      <c r="AUX2" s="299"/>
      <c r="AUY2" s="299"/>
      <c r="AUZ2" s="299"/>
      <c r="AVA2" s="299"/>
      <c r="AVB2" s="299"/>
      <c r="AVC2" s="299"/>
      <c r="AVD2" s="299"/>
      <c r="AVE2" s="299"/>
      <c r="AVF2" s="299"/>
      <c r="AVG2" s="299"/>
      <c r="AVH2" s="299"/>
      <c r="AVI2" s="299"/>
      <c r="AVJ2" s="299"/>
      <c r="AVK2" s="299"/>
      <c r="AVL2" s="299"/>
      <c r="AVM2" s="299"/>
      <c r="AVN2" s="299"/>
      <c r="AVO2" s="299"/>
      <c r="AVP2" s="299"/>
      <c r="AVQ2" s="299"/>
      <c r="AVR2" s="299"/>
      <c r="AVS2" s="299"/>
      <c r="AVT2" s="299"/>
      <c r="AVU2" s="299"/>
      <c r="AVV2" s="299"/>
      <c r="AVW2" s="299"/>
      <c r="AVX2" s="299"/>
      <c r="AVY2" s="299"/>
      <c r="AVZ2" s="299"/>
      <c r="AWA2" s="299"/>
      <c r="AWB2" s="299"/>
      <c r="AWC2" s="299"/>
      <c r="AWD2" s="299"/>
      <c r="AWE2" s="299"/>
      <c r="AWF2" s="299"/>
      <c r="AWG2" s="299"/>
      <c r="AWH2" s="299"/>
      <c r="AWI2" s="299"/>
      <c r="AWJ2" s="299"/>
      <c r="AWK2" s="299"/>
      <c r="AWL2" s="299"/>
      <c r="AWM2" s="299"/>
      <c r="AWN2" s="299"/>
      <c r="AWO2" s="299"/>
      <c r="AWP2" s="299"/>
      <c r="AWQ2" s="299"/>
      <c r="AWR2" s="299"/>
      <c r="AWS2" s="299"/>
      <c r="AWT2" s="299"/>
      <c r="AWU2" s="299"/>
      <c r="AWV2" s="299"/>
      <c r="AWW2" s="299"/>
      <c r="AWX2" s="299"/>
      <c r="AWY2" s="299"/>
      <c r="AWZ2" s="299"/>
      <c r="AXA2" s="299"/>
      <c r="AXB2" s="299"/>
      <c r="AXC2" s="299"/>
      <c r="AXD2" s="299"/>
      <c r="AXE2" s="299"/>
      <c r="AXF2" s="299"/>
      <c r="AXG2" s="299"/>
      <c r="AXH2" s="299"/>
      <c r="AXI2" s="299"/>
      <c r="AXJ2" s="299"/>
      <c r="AXK2" s="299"/>
      <c r="AXL2" s="299"/>
      <c r="AXM2" s="299"/>
      <c r="AXN2" s="299"/>
      <c r="AXO2" s="299"/>
      <c r="AXP2" s="299"/>
      <c r="AXQ2" s="299"/>
      <c r="AXR2" s="299"/>
      <c r="AXS2" s="299"/>
      <c r="AXT2" s="299"/>
      <c r="AXU2" s="299"/>
      <c r="AXV2" s="299"/>
      <c r="AXW2" s="299"/>
      <c r="AXX2" s="299"/>
      <c r="AXY2" s="299"/>
      <c r="AXZ2" s="299"/>
      <c r="AYA2" s="299"/>
      <c r="AYB2" s="299"/>
      <c r="AYC2" s="299"/>
      <c r="AYD2" s="299"/>
      <c r="AYE2" s="299"/>
      <c r="AYF2" s="299"/>
      <c r="AYG2" s="299"/>
      <c r="AYH2" s="299"/>
      <c r="AYI2" s="299"/>
      <c r="AYJ2" s="299"/>
      <c r="AYK2" s="299"/>
      <c r="AYL2" s="299"/>
      <c r="AYM2" s="299"/>
      <c r="AYN2" s="299"/>
      <c r="AYO2" s="299"/>
      <c r="AYP2" s="299"/>
      <c r="AYQ2" s="299"/>
      <c r="AYR2" s="299"/>
      <c r="AYS2" s="299"/>
      <c r="AYT2" s="299"/>
      <c r="AYU2" s="299"/>
      <c r="AYV2" s="299"/>
      <c r="AYW2" s="299"/>
      <c r="AYX2" s="299"/>
      <c r="AYY2" s="299"/>
      <c r="AYZ2" s="299"/>
      <c r="AZA2" s="299"/>
      <c r="AZB2" s="299"/>
      <c r="AZC2" s="299"/>
      <c r="AZD2" s="299"/>
      <c r="AZE2" s="299"/>
      <c r="AZF2" s="299"/>
      <c r="AZG2" s="299"/>
      <c r="AZH2" s="299"/>
      <c r="AZI2" s="299"/>
      <c r="AZJ2" s="299"/>
      <c r="AZK2" s="299"/>
      <c r="AZL2" s="299"/>
      <c r="AZM2" s="299"/>
      <c r="AZN2" s="299"/>
      <c r="AZO2" s="299"/>
      <c r="AZP2" s="299"/>
      <c r="AZQ2" s="299"/>
      <c r="AZR2" s="299"/>
      <c r="AZS2" s="299"/>
      <c r="AZT2" s="299"/>
      <c r="AZU2" s="299"/>
      <c r="AZV2" s="299"/>
      <c r="AZW2" s="299"/>
      <c r="AZX2" s="299"/>
      <c r="AZY2" s="299"/>
      <c r="AZZ2" s="299"/>
      <c r="BAA2" s="299"/>
      <c r="BAB2" s="299"/>
      <c r="BAC2" s="299"/>
      <c r="BAD2" s="299"/>
      <c r="BAE2" s="299"/>
      <c r="BAF2" s="299"/>
      <c r="BAG2" s="299"/>
      <c r="BAH2" s="299"/>
      <c r="BAI2" s="299"/>
      <c r="BAJ2" s="299"/>
      <c r="BAK2" s="299"/>
      <c r="BAL2" s="299"/>
      <c r="BAM2" s="299"/>
      <c r="BAN2" s="299"/>
      <c r="BAO2" s="299"/>
      <c r="BAP2" s="299"/>
      <c r="BAQ2" s="299"/>
      <c r="BAR2" s="299"/>
      <c r="BAS2" s="299"/>
      <c r="BAT2" s="299"/>
      <c r="BAU2" s="299"/>
      <c r="BAV2" s="299"/>
      <c r="BAW2" s="299"/>
      <c r="BAX2" s="299"/>
      <c r="BAY2" s="299"/>
      <c r="BAZ2" s="299"/>
      <c r="BBA2" s="299"/>
      <c r="BBB2" s="299"/>
      <c r="BBC2" s="299"/>
      <c r="BBD2" s="299"/>
      <c r="BBE2" s="299"/>
      <c r="BBF2" s="299"/>
      <c r="BBG2" s="299"/>
      <c r="BBH2" s="299"/>
      <c r="BBI2" s="299"/>
      <c r="BBJ2" s="299"/>
      <c r="BBK2" s="299"/>
      <c r="BBL2" s="299"/>
      <c r="BBM2" s="299"/>
      <c r="BBN2" s="299"/>
      <c r="BBO2" s="299"/>
      <c r="BBP2" s="299"/>
      <c r="BBQ2" s="299"/>
      <c r="BBR2" s="299"/>
      <c r="BBS2" s="299"/>
      <c r="BBT2" s="299"/>
      <c r="BBU2" s="299"/>
      <c r="BBV2" s="299"/>
      <c r="BBW2" s="299"/>
      <c r="BBX2" s="299"/>
      <c r="BBY2" s="299"/>
      <c r="BBZ2" s="299"/>
      <c r="BCA2" s="299"/>
      <c r="BCB2" s="299"/>
      <c r="BCC2" s="299"/>
      <c r="BCD2" s="299"/>
      <c r="BCE2" s="299"/>
      <c r="BCF2" s="299"/>
      <c r="BCG2" s="299"/>
      <c r="BCH2" s="299"/>
      <c r="BCI2" s="299"/>
      <c r="BCJ2" s="299"/>
      <c r="BCK2" s="299"/>
      <c r="BCL2" s="299"/>
      <c r="BCM2" s="299"/>
      <c r="BCN2" s="299"/>
      <c r="BCO2" s="299"/>
      <c r="BCP2" s="299"/>
      <c r="BCQ2" s="299"/>
      <c r="BCR2" s="299"/>
      <c r="BCS2" s="299"/>
      <c r="BCT2" s="299"/>
      <c r="BCU2" s="299"/>
      <c r="BCV2" s="299"/>
      <c r="BCW2" s="299"/>
      <c r="BCX2" s="299"/>
      <c r="BCY2" s="299"/>
      <c r="BCZ2" s="299"/>
      <c r="BDA2" s="299"/>
      <c r="BDB2" s="299"/>
      <c r="BDC2" s="299"/>
      <c r="BDD2" s="299"/>
      <c r="BDE2" s="299"/>
      <c r="BDF2" s="299"/>
      <c r="BDG2" s="299"/>
      <c r="BDH2" s="299"/>
      <c r="BDI2" s="299"/>
      <c r="BDJ2" s="299"/>
      <c r="BDK2" s="299"/>
      <c r="BDL2" s="299"/>
      <c r="BDM2" s="299"/>
      <c r="BDN2" s="299"/>
      <c r="BDO2" s="299"/>
      <c r="BDP2" s="299"/>
      <c r="BDQ2" s="299"/>
      <c r="BDR2" s="299"/>
      <c r="BDS2" s="299"/>
      <c r="BDT2" s="299"/>
      <c r="BDU2" s="299"/>
      <c r="BDV2" s="299"/>
      <c r="BDW2" s="299"/>
      <c r="BDX2" s="299"/>
      <c r="BDY2" s="299"/>
      <c r="BDZ2" s="299"/>
      <c r="BEA2" s="299"/>
      <c r="BEB2" s="299"/>
      <c r="BEC2" s="299"/>
      <c r="BED2" s="299"/>
      <c r="BEE2" s="299"/>
      <c r="BEF2" s="299"/>
      <c r="BEG2" s="299"/>
      <c r="BEH2" s="299"/>
      <c r="BEI2" s="299"/>
      <c r="BEJ2" s="299"/>
      <c r="BEK2" s="299"/>
      <c r="BEL2" s="299"/>
      <c r="BEM2" s="299"/>
      <c r="BEN2" s="299"/>
      <c r="BEO2" s="299"/>
      <c r="BEP2" s="299"/>
      <c r="BEQ2" s="299"/>
      <c r="BER2" s="299"/>
      <c r="BES2" s="299"/>
      <c r="BET2" s="299"/>
      <c r="BEU2" s="299"/>
      <c r="BEV2" s="299"/>
      <c r="BEW2" s="299"/>
      <c r="BEX2" s="299"/>
      <c r="BEY2" s="299"/>
      <c r="BEZ2" s="299"/>
      <c r="BFA2" s="299"/>
      <c r="BFB2" s="299"/>
      <c r="BFC2" s="299"/>
      <c r="BFD2" s="299"/>
      <c r="BFE2" s="299"/>
      <c r="BFF2" s="299"/>
      <c r="BFG2" s="299"/>
      <c r="BFH2" s="299"/>
      <c r="BFI2" s="299"/>
      <c r="BFJ2" s="299"/>
      <c r="BFK2" s="299"/>
      <c r="BFL2" s="299"/>
      <c r="BFM2" s="299"/>
      <c r="BFN2" s="299"/>
      <c r="BFO2" s="299"/>
      <c r="BFP2" s="299"/>
      <c r="BFQ2" s="299"/>
      <c r="BFR2" s="299"/>
      <c r="BFS2" s="299"/>
      <c r="BFT2" s="299"/>
      <c r="BFU2" s="299"/>
      <c r="BFV2" s="299"/>
      <c r="BFW2" s="299"/>
      <c r="BFX2" s="299"/>
      <c r="BFY2" s="299"/>
      <c r="BFZ2" s="299"/>
      <c r="BGA2" s="299"/>
      <c r="BGB2" s="299"/>
      <c r="BGC2" s="299"/>
      <c r="BGD2" s="299"/>
      <c r="BGE2" s="299"/>
      <c r="BGF2" s="299"/>
      <c r="BGG2" s="299"/>
      <c r="BGH2" s="299"/>
      <c r="BGI2" s="299"/>
      <c r="BGJ2" s="299"/>
      <c r="BGK2" s="299"/>
      <c r="BGL2" s="299"/>
      <c r="BGM2" s="299"/>
      <c r="BGN2" s="299"/>
      <c r="BGO2" s="299"/>
      <c r="BGP2" s="299"/>
      <c r="BGQ2" s="299"/>
      <c r="BGR2" s="299"/>
      <c r="BGS2" s="299"/>
      <c r="BGT2" s="299"/>
      <c r="BGU2" s="299"/>
      <c r="BGV2" s="299"/>
      <c r="BGW2" s="299"/>
      <c r="BGX2" s="299"/>
      <c r="BGY2" s="299"/>
      <c r="BGZ2" s="299"/>
      <c r="BHA2" s="299"/>
      <c r="BHB2" s="299"/>
      <c r="BHC2" s="299"/>
      <c r="BHD2" s="299"/>
      <c r="BHE2" s="299"/>
      <c r="BHF2" s="299"/>
      <c r="BHG2" s="299"/>
      <c r="BHH2" s="299"/>
      <c r="BHI2" s="299"/>
      <c r="BHJ2" s="299"/>
      <c r="BHK2" s="299"/>
      <c r="BHL2" s="299"/>
      <c r="BHM2" s="299"/>
      <c r="BHN2" s="299"/>
      <c r="BHO2" s="299"/>
      <c r="BHP2" s="299"/>
      <c r="BHQ2" s="299"/>
      <c r="BHR2" s="299"/>
      <c r="BHS2" s="299"/>
      <c r="BHT2" s="299"/>
      <c r="BHU2" s="299"/>
      <c r="BHV2" s="299"/>
      <c r="BHW2" s="299"/>
      <c r="BHX2" s="299"/>
      <c r="BHY2" s="299"/>
      <c r="BHZ2" s="299"/>
      <c r="BIA2" s="299"/>
      <c r="BIB2" s="299"/>
      <c r="BIC2" s="299"/>
      <c r="BID2" s="299"/>
      <c r="BIE2" s="299"/>
      <c r="BIF2" s="299"/>
      <c r="BIG2" s="299"/>
      <c r="BIH2" s="299"/>
      <c r="BII2" s="299"/>
      <c r="BIJ2" s="299"/>
      <c r="BIK2" s="299"/>
      <c r="BIL2" s="299"/>
      <c r="BIM2" s="299"/>
      <c r="BIN2" s="299"/>
      <c r="BIO2" s="299"/>
      <c r="BIP2" s="299"/>
      <c r="BIQ2" s="299"/>
      <c r="BIR2" s="299"/>
      <c r="BIS2" s="299"/>
      <c r="BIT2" s="299"/>
      <c r="BIU2" s="299"/>
      <c r="BIV2" s="299"/>
      <c r="BIW2" s="299"/>
      <c r="BIX2" s="299"/>
      <c r="BIY2" s="299"/>
      <c r="BIZ2" s="299"/>
      <c r="BJA2" s="299"/>
      <c r="BJB2" s="299"/>
      <c r="BJC2" s="299"/>
      <c r="BJD2" s="299"/>
      <c r="BJE2" s="299"/>
      <c r="BJF2" s="299"/>
      <c r="BJG2" s="299"/>
      <c r="BJH2" s="299"/>
      <c r="BJI2" s="299"/>
      <c r="BJJ2" s="299"/>
      <c r="BJK2" s="299"/>
      <c r="BJL2" s="299"/>
      <c r="BJM2" s="299"/>
      <c r="BJN2" s="299"/>
      <c r="BJO2" s="299"/>
      <c r="BJP2" s="299"/>
      <c r="BJQ2" s="299"/>
      <c r="BJR2" s="299"/>
      <c r="BJS2" s="299"/>
      <c r="BJT2" s="299"/>
      <c r="BJU2" s="299"/>
      <c r="BJV2" s="299"/>
      <c r="BJW2" s="299"/>
      <c r="BJX2" s="299"/>
      <c r="BJY2" s="299"/>
      <c r="BJZ2" s="299"/>
      <c r="BKA2" s="299"/>
      <c r="BKB2" s="299"/>
      <c r="BKC2" s="299"/>
      <c r="BKD2" s="299"/>
      <c r="BKE2" s="299"/>
      <c r="BKF2" s="299"/>
      <c r="BKG2" s="299"/>
      <c r="BKH2" s="299"/>
      <c r="BKI2" s="299"/>
      <c r="BKJ2" s="299"/>
      <c r="BKK2" s="299"/>
      <c r="BKL2" s="299"/>
      <c r="BKM2" s="299"/>
      <c r="BKN2" s="299"/>
      <c r="BKO2" s="299"/>
      <c r="BKP2" s="299"/>
      <c r="BKQ2" s="299"/>
      <c r="BKR2" s="299"/>
      <c r="BKS2" s="299"/>
      <c r="BKT2" s="299"/>
      <c r="BKU2" s="299"/>
      <c r="BKV2" s="299"/>
      <c r="BKW2" s="299"/>
      <c r="BKX2" s="299"/>
      <c r="BKY2" s="299"/>
      <c r="BKZ2" s="299"/>
      <c r="BLA2" s="299"/>
      <c r="BLB2" s="299"/>
      <c r="BLC2" s="299"/>
      <c r="BLD2" s="299"/>
      <c r="BLE2" s="299"/>
      <c r="BLF2" s="299"/>
      <c r="BLG2" s="299"/>
      <c r="BLH2" s="299"/>
      <c r="BLI2" s="299"/>
      <c r="BLJ2" s="299"/>
      <c r="BLK2" s="299"/>
      <c r="BLL2" s="299"/>
      <c r="BLM2" s="299"/>
      <c r="BLN2" s="299"/>
      <c r="BLO2" s="299"/>
      <c r="BLP2" s="299"/>
      <c r="BLQ2" s="299"/>
      <c r="BLR2" s="299"/>
      <c r="BLS2" s="299"/>
      <c r="BLT2" s="299"/>
      <c r="BLU2" s="299"/>
      <c r="BLV2" s="299"/>
      <c r="BLW2" s="299"/>
      <c r="BLX2" s="299"/>
      <c r="BLY2" s="299"/>
      <c r="BLZ2" s="299"/>
      <c r="BMA2" s="299"/>
      <c r="BMB2" s="299"/>
      <c r="BMC2" s="299"/>
      <c r="BMD2" s="299"/>
      <c r="BME2" s="299"/>
      <c r="BMF2" s="299"/>
      <c r="BMG2" s="299"/>
      <c r="BMH2" s="299"/>
      <c r="BMI2" s="299"/>
      <c r="BMJ2" s="299"/>
      <c r="BMK2" s="299"/>
      <c r="BML2" s="299"/>
      <c r="BMM2" s="299"/>
      <c r="BMN2" s="299"/>
      <c r="BMO2" s="299"/>
      <c r="BMP2" s="299"/>
      <c r="BMQ2" s="299"/>
      <c r="BMR2" s="299"/>
      <c r="BMS2" s="299"/>
      <c r="BMT2" s="299"/>
      <c r="BMU2" s="299"/>
      <c r="BMV2" s="299"/>
      <c r="BMW2" s="299"/>
      <c r="BMX2" s="299"/>
      <c r="BMY2" s="299"/>
      <c r="BMZ2" s="299"/>
      <c r="BNA2" s="299"/>
      <c r="BNB2" s="299"/>
      <c r="BNC2" s="299"/>
      <c r="BND2" s="299"/>
      <c r="BNE2" s="299"/>
      <c r="BNF2" s="299"/>
      <c r="BNG2" s="299"/>
      <c r="BNH2" s="299"/>
      <c r="BNI2" s="299"/>
      <c r="BNJ2" s="299"/>
      <c r="BNK2" s="299"/>
      <c r="BNL2" s="299"/>
      <c r="BNM2" s="299"/>
      <c r="BNN2" s="299"/>
      <c r="BNO2" s="299"/>
      <c r="BNP2" s="299"/>
      <c r="BNQ2" s="299"/>
      <c r="BNR2" s="299"/>
      <c r="BNS2" s="299"/>
      <c r="BNT2" s="299"/>
      <c r="BNU2" s="299"/>
      <c r="BNV2" s="299"/>
      <c r="BNW2" s="299"/>
      <c r="BNX2" s="299"/>
      <c r="BNY2" s="299"/>
      <c r="BNZ2" s="299"/>
      <c r="BOA2" s="299"/>
      <c r="BOB2" s="299"/>
      <c r="BOC2" s="299"/>
      <c r="BOD2" s="299"/>
      <c r="BOE2" s="299"/>
      <c r="BOF2" s="299"/>
      <c r="BOG2" s="299"/>
      <c r="BOH2" s="299"/>
      <c r="BOI2" s="299"/>
      <c r="BOJ2" s="299"/>
      <c r="BOK2" s="299"/>
      <c r="BOL2" s="299"/>
      <c r="BOM2" s="299"/>
      <c r="BON2" s="299"/>
      <c r="BOO2" s="299"/>
      <c r="BOP2" s="299"/>
      <c r="BOQ2" s="299"/>
      <c r="BOR2" s="299"/>
      <c r="BOS2" s="299"/>
      <c r="BOT2" s="299"/>
      <c r="BOU2" s="299"/>
      <c r="BOV2" s="299"/>
      <c r="BOW2" s="299"/>
      <c r="BOX2" s="299"/>
      <c r="BOY2" s="299"/>
      <c r="BOZ2" s="299"/>
      <c r="BPA2" s="299"/>
      <c r="BPB2" s="299"/>
      <c r="BPC2" s="299"/>
      <c r="BPD2" s="299"/>
      <c r="BPE2" s="299"/>
      <c r="BPF2" s="299"/>
      <c r="BPG2" s="299"/>
      <c r="BPH2" s="299"/>
      <c r="BPI2" s="299"/>
      <c r="BPJ2" s="299"/>
      <c r="BPK2" s="299"/>
      <c r="BPL2" s="299"/>
      <c r="BPM2" s="299"/>
      <c r="BPN2" s="299"/>
      <c r="BPO2" s="299"/>
      <c r="BPP2" s="299"/>
      <c r="BPQ2" s="299"/>
      <c r="BPR2" s="299"/>
      <c r="BPS2" s="299"/>
      <c r="BPT2" s="299"/>
      <c r="BPU2" s="299"/>
      <c r="BPV2" s="299"/>
      <c r="BPW2" s="299"/>
      <c r="BPX2" s="299"/>
      <c r="BPY2" s="299"/>
      <c r="BPZ2" s="299"/>
      <c r="BQA2" s="299"/>
      <c r="BQB2" s="299"/>
      <c r="BQC2" s="299"/>
      <c r="BQD2" s="299"/>
      <c r="BQE2" s="299"/>
      <c r="BQF2" s="299"/>
      <c r="BQG2" s="299"/>
      <c r="BQH2" s="299"/>
      <c r="BQI2" s="299"/>
      <c r="BQJ2" s="299"/>
      <c r="BQK2" s="299"/>
      <c r="BQL2" s="299"/>
      <c r="BQM2" s="299"/>
      <c r="BQN2" s="299"/>
      <c r="BQO2" s="299"/>
      <c r="BQP2" s="299"/>
      <c r="BQQ2" s="299"/>
      <c r="BQR2" s="299"/>
      <c r="BQS2" s="299"/>
      <c r="BQT2" s="299"/>
      <c r="BQU2" s="299"/>
      <c r="BQV2" s="299"/>
      <c r="BQW2" s="299"/>
      <c r="BQX2" s="299"/>
      <c r="BQY2" s="299"/>
      <c r="BQZ2" s="299"/>
      <c r="BRA2" s="299"/>
      <c r="BRB2" s="299"/>
      <c r="BRC2" s="299"/>
      <c r="BRD2" s="299"/>
      <c r="BRE2" s="299"/>
      <c r="BRF2" s="299"/>
      <c r="BRG2" s="299"/>
      <c r="BRH2" s="299"/>
      <c r="BRI2" s="299"/>
      <c r="BRJ2" s="299"/>
      <c r="BRK2" s="299"/>
      <c r="BRL2" s="299"/>
      <c r="BRM2" s="299"/>
      <c r="BRN2" s="299"/>
      <c r="BRO2" s="299"/>
      <c r="BRP2" s="299"/>
      <c r="BRQ2" s="299"/>
      <c r="BRR2" s="299"/>
      <c r="BRS2" s="299"/>
      <c r="BRT2" s="299"/>
      <c r="BRU2" s="299"/>
      <c r="BRV2" s="299"/>
      <c r="BRW2" s="299"/>
      <c r="BRX2" s="299"/>
      <c r="BRY2" s="299"/>
      <c r="BRZ2" s="299"/>
      <c r="BSA2" s="299"/>
      <c r="BSB2" s="299"/>
      <c r="BSC2" s="299"/>
      <c r="BSD2" s="299"/>
      <c r="BSE2" s="299"/>
      <c r="BSF2" s="299"/>
      <c r="BSG2" s="299"/>
      <c r="BSH2" s="299"/>
      <c r="BSI2" s="299"/>
      <c r="BSJ2" s="299"/>
      <c r="BSK2" s="299"/>
      <c r="BSL2" s="299"/>
      <c r="BSM2" s="299"/>
      <c r="BSN2" s="299"/>
      <c r="BSO2" s="299"/>
      <c r="BSP2" s="299"/>
      <c r="BSQ2" s="299"/>
      <c r="BSR2" s="299"/>
      <c r="BSS2" s="299"/>
      <c r="BST2" s="299"/>
      <c r="BSU2" s="299"/>
      <c r="BSV2" s="299"/>
      <c r="BSW2" s="299"/>
      <c r="BSX2" s="299"/>
      <c r="BSY2" s="299"/>
      <c r="BSZ2" s="299"/>
      <c r="BTA2" s="299"/>
      <c r="BTB2" s="299"/>
      <c r="BTC2" s="299"/>
      <c r="BTD2" s="299"/>
      <c r="BTE2" s="299"/>
      <c r="BTF2" s="299"/>
      <c r="BTG2" s="299"/>
      <c r="BTH2" s="299"/>
      <c r="BTI2" s="299"/>
      <c r="BTJ2" s="299"/>
      <c r="BTK2" s="299"/>
      <c r="BTL2" s="299"/>
      <c r="BTM2" s="299"/>
      <c r="BTN2" s="299"/>
      <c r="BTO2" s="299"/>
      <c r="BTP2" s="299"/>
      <c r="BTQ2" s="299"/>
      <c r="BTR2" s="299"/>
      <c r="BTS2" s="299"/>
      <c r="BTT2" s="299"/>
      <c r="BTU2" s="299"/>
      <c r="BTV2" s="299"/>
      <c r="BTW2" s="299"/>
      <c r="BTX2" s="299"/>
      <c r="BTY2" s="299"/>
      <c r="BTZ2" s="299"/>
      <c r="BUA2" s="299"/>
      <c r="BUB2" s="299"/>
      <c r="BUC2" s="299"/>
      <c r="BUD2" s="299"/>
      <c r="BUE2" s="299"/>
      <c r="BUF2" s="299"/>
      <c r="BUG2" s="299"/>
      <c r="BUH2" s="299"/>
      <c r="BUI2" s="299"/>
      <c r="BUJ2" s="299"/>
      <c r="BUK2" s="299"/>
      <c r="BUL2" s="299"/>
      <c r="BUM2" s="299"/>
      <c r="BUN2" s="299"/>
      <c r="BUO2" s="299"/>
      <c r="BUP2" s="299"/>
      <c r="BUQ2" s="299"/>
      <c r="BUR2" s="299"/>
      <c r="BUS2" s="299"/>
      <c r="BUT2" s="299"/>
      <c r="BUU2" s="299"/>
      <c r="BUV2" s="299"/>
      <c r="BUW2" s="299"/>
      <c r="BUX2" s="299"/>
      <c r="BUY2" s="299"/>
      <c r="BUZ2" s="299"/>
      <c r="BVA2" s="299"/>
      <c r="BVB2" s="299"/>
      <c r="BVC2" s="299"/>
      <c r="BVD2" s="299"/>
      <c r="BVE2" s="299"/>
      <c r="BVF2" s="299"/>
      <c r="BVG2" s="299"/>
      <c r="BVH2" s="299"/>
      <c r="BVI2" s="299"/>
      <c r="BVJ2" s="299"/>
      <c r="BVK2" s="299"/>
      <c r="BVL2" s="299"/>
      <c r="BVM2" s="299"/>
      <c r="BVN2" s="299"/>
      <c r="BVO2" s="299"/>
      <c r="BVP2" s="299"/>
      <c r="BVQ2" s="299"/>
      <c r="BVR2" s="299"/>
      <c r="BVS2" s="299"/>
      <c r="BVT2" s="299"/>
      <c r="BVU2" s="299"/>
      <c r="BVV2" s="299"/>
      <c r="BVW2" s="299"/>
      <c r="BVX2" s="299"/>
      <c r="BVY2" s="299"/>
      <c r="BVZ2" s="299"/>
      <c r="BWA2" s="299"/>
      <c r="BWB2" s="299"/>
      <c r="BWC2" s="299"/>
      <c r="BWD2" s="299"/>
      <c r="BWE2" s="299"/>
      <c r="BWF2" s="299"/>
      <c r="BWG2" s="299"/>
      <c r="BWH2" s="299"/>
      <c r="BWI2" s="299"/>
      <c r="BWJ2" s="299"/>
      <c r="BWK2" s="299"/>
      <c r="BWL2" s="299"/>
      <c r="BWM2" s="299"/>
      <c r="BWN2" s="299"/>
      <c r="BWO2" s="299"/>
      <c r="BWP2" s="299"/>
      <c r="BWQ2" s="299"/>
      <c r="BWR2" s="299"/>
      <c r="BWS2" s="299"/>
      <c r="BWT2" s="299"/>
      <c r="BWU2" s="299"/>
      <c r="BWV2" s="299"/>
      <c r="BWW2" s="299"/>
      <c r="BWX2" s="299"/>
      <c r="BWY2" s="299"/>
      <c r="BWZ2" s="299"/>
      <c r="BXA2" s="299"/>
      <c r="BXB2" s="299"/>
      <c r="BXC2" s="299"/>
      <c r="BXD2" s="299"/>
      <c r="BXE2" s="299"/>
      <c r="BXF2" s="299"/>
      <c r="BXG2" s="299"/>
      <c r="BXH2" s="299"/>
      <c r="BXI2" s="299"/>
      <c r="BXJ2" s="299"/>
      <c r="BXK2" s="299"/>
      <c r="BXL2" s="299"/>
      <c r="BXM2" s="299"/>
      <c r="BXN2" s="299"/>
      <c r="BXO2" s="299"/>
      <c r="BXP2" s="299"/>
      <c r="BXQ2" s="299"/>
      <c r="BXR2" s="299"/>
      <c r="BXS2" s="299"/>
      <c r="BXT2" s="299"/>
      <c r="BXU2" s="299"/>
      <c r="BXV2" s="299"/>
      <c r="BXW2" s="299"/>
      <c r="BXX2" s="299"/>
      <c r="BXY2" s="299"/>
      <c r="BXZ2" s="299"/>
      <c r="BYA2" s="299"/>
      <c r="BYB2" s="299"/>
      <c r="BYC2" s="299"/>
      <c r="BYD2" s="299"/>
      <c r="BYE2" s="299"/>
      <c r="BYF2" s="299"/>
      <c r="BYG2" s="299"/>
      <c r="BYH2" s="299"/>
      <c r="BYI2" s="299"/>
      <c r="BYJ2" s="299"/>
      <c r="BYK2" s="299"/>
      <c r="BYL2" s="299"/>
      <c r="BYM2" s="299"/>
      <c r="BYN2" s="299"/>
      <c r="BYO2" s="299"/>
      <c r="BYP2" s="299"/>
      <c r="BYQ2" s="299"/>
      <c r="BYR2" s="299"/>
      <c r="BYS2" s="299"/>
      <c r="BYT2" s="299"/>
      <c r="BYU2" s="299"/>
      <c r="BYV2" s="299"/>
      <c r="BYW2" s="299"/>
      <c r="BYX2" s="299"/>
      <c r="BYY2" s="299"/>
      <c r="BYZ2" s="299"/>
      <c r="BZA2" s="299"/>
      <c r="BZB2" s="299"/>
      <c r="BZC2" s="299"/>
      <c r="BZD2" s="299"/>
      <c r="BZE2" s="299"/>
      <c r="BZF2" s="299"/>
      <c r="BZG2" s="299"/>
      <c r="BZH2" s="299"/>
      <c r="BZI2" s="299"/>
      <c r="BZJ2" s="299"/>
      <c r="BZK2" s="299"/>
      <c r="BZL2" s="299"/>
      <c r="BZM2" s="299"/>
      <c r="BZN2" s="299"/>
      <c r="BZO2" s="299"/>
      <c r="BZP2" s="299"/>
      <c r="BZQ2" s="299"/>
      <c r="BZR2" s="299"/>
      <c r="BZS2" s="299"/>
      <c r="BZT2" s="299"/>
      <c r="BZU2" s="299"/>
      <c r="BZV2" s="299"/>
      <c r="BZW2" s="299"/>
      <c r="BZX2" s="299"/>
      <c r="BZY2" s="299"/>
      <c r="BZZ2" s="299"/>
      <c r="CAA2" s="299"/>
      <c r="CAB2" s="299"/>
      <c r="CAC2" s="299"/>
      <c r="CAD2" s="299"/>
      <c r="CAE2" s="299"/>
      <c r="CAF2" s="299"/>
      <c r="CAG2" s="299"/>
      <c r="CAH2" s="299"/>
      <c r="CAI2" s="299"/>
      <c r="CAJ2" s="299"/>
      <c r="CAK2" s="299"/>
      <c r="CAL2" s="299"/>
      <c r="CAM2" s="299"/>
      <c r="CAN2" s="299"/>
      <c r="CAO2" s="299"/>
      <c r="CAP2" s="299"/>
      <c r="CAQ2" s="299"/>
      <c r="CAR2" s="299"/>
      <c r="CAS2" s="299"/>
      <c r="CAT2" s="299"/>
      <c r="CAU2" s="299"/>
      <c r="CAV2" s="299"/>
      <c r="CAW2" s="299"/>
      <c r="CAX2" s="299"/>
      <c r="CAY2" s="299"/>
      <c r="CAZ2" s="299"/>
      <c r="CBA2" s="299"/>
      <c r="CBB2" s="299"/>
      <c r="CBC2" s="299"/>
      <c r="CBD2" s="299"/>
      <c r="CBE2" s="299"/>
      <c r="CBF2" s="299"/>
      <c r="CBG2" s="299"/>
      <c r="CBH2" s="299"/>
      <c r="CBI2" s="299"/>
      <c r="CBJ2" s="299"/>
      <c r="CBK2" s="299"/>
      <c r="CBL2" s="299"/>
      <c r="CBM2" s="299"/>
      <c r="CBN2" s="299"/>
      <c r="CBO2" s="299"/>
      <c r="CBP2" s="299"/>
      <c r="CBQ2" s="299"/>
      <c r="CBR2" s="299"/>
      <c r="CBS2" s="299"/>
      <c r="CBT2" s="299"/>
      <c r="CBU2" s="299"/>
      <c r="CBV2" s="299"/>
      <c r="CBW2" s="299"/>
      <c r="CBX2" s="299"/>
      <c r="CBY2" s="299"/>
      <c r="CBZ2" s="299"/>
      <c r="CCA2" s="299"/>
      <c r="CCB2" s="299"/>
      <c r="CCC2" s="299"/>
      <c r="CCD2" s="299"/>
      <c r="CCE2" s="299"/>
      <c r="CCF2" s="299"/>
      <c r="CCG2" s="299"/>
      <c r="CCH2" s="299"/>
      <c r="CCI2" s="299"/>
      <c r="CCJ2" s="299"/>
      <c r="CCK2" s="299"/>
      <c r="CCL2" s="299"/>
      <c r="CCM2" s="299"/>
      <c r="CCN2" s="299"/>
      <c r="CCO2" s="299"/>
      <c r="CCP2" s="299"/>
      <c r="CCQ2" s="299"/>
      <c r="CCR2" s="299"/>
      <c r="CCS2" s="299"/>
      <c r="CCT2" s="299"/>
      <c r="CCU2" s="299"/>
      <c r="CCV2" s="299"/>
      <c r="CCW2" s="299"/>
      <c r="CCX2" s="299"/>
      <c r="CCY2" s="299"/>
      <c r="CCZ2" s="299"/>
      <c r="CDA2" s="299"/>
      <c r="CDB2" s="299"/>
      <c r="CDC2" s="299"/>
      <c r="CDD2" s="299"/>
      <c r="CDE2" s="299"/>
      <c r="CDF2" s="299"/>
      <c r="CDG2" s="299"/>
      <c r="CDH2" s="299"/>
      <c r="CDI2" s="299"/>
      <c r="CDJ2" s="299"/>
      <c r="CDK2" s="299"/>
      <c r="CDL2" s="299"/>
      <c r="CDM2" s="299"/>
      <c r="CDN2" s="299"/>
      <c r="CDO2" s="299"/>
      <c r="CDP2" s="299"/>
      <c r="CDQ2" s="299"/>
      <c r="CDR2" s="299"/>
      <c r="CDS2" s="299"/>
      <c r="CDT2" s="299"/>
      <c r="CDU2" s="299"/>
      <c r="CDV2" s="299"/>
      <c r="CDW2" s="299"/>
      <c r="CDX2" s="299"/>
      <c r="CDY2" s="299"/>
      <c r="CDZ2" s="299"/>
      <c r="CEA2" s="299"/>
      <c r="CEB2" s="299"/>
      <c r="CEC2" s="299"/>
      <c r="CED2" s="299"/>
      <c r="CEE2" s="299"/>
      <c r="CEF2" s="299"/>
      <c r="CEG2" s="299"/>
      <c r="CEH2" s="299"/>
      <c r="CEI2" s="299"/>
      <c r="CEJ2" s="299"/>
      <c r="CEK2" s="299"/>
      <c r="CEL2" s="299"/>
      <c r="CEM2" s="299"/>
      <c r="CEN2" s="299"/>
      <c r="CEO2" s="299"/>
      <c r="CEP2" s="299"/>
      <c r="CEQ2" s="299"/>
      <c r="CER2" s="299"/>
      <c r="CES2" s="299"/>
      <c r="CET2" s="299"/>
      <c r="CEU2" s="299"/>
      <c r="CEV2" s="299"/>
      <c r="CEW2" s="299"/>
      <c r="CEX2" s="299"/>
      <c r="CEY2" s="299"/>
      <c r="CEZ2" s="299"/>
      <c r="CFA2" s="299"/>
      <c r="CFB2" s="299"/>
      <c r="CFC2" s="299"/>
      <c r="CFD2" s="299"/>
      <c r="CFE2" s="299"/>
      <c r="CFF2" s="299"/>
      <c r="CFG2" s="299"/>
      <c r="CFH2" s="299"/>
      <c r="CFI2" s="299"/>
      <c r="CFJ2" s="299"/>
      <c r="CFK2" s="299"/>
      <c r="CFL2" s="299"/>
      <c r="CFM2" s="299"/>
      <c r="CFN2" s="299"/>
      <c r="CFO2" s="299"/>
      <c r="CFP2" s="299"/>
      <c r="CFQ2" s="299"/>
      <c r="CFR2" s="299"/>
      <c r="CFS2" s="299"/>
      <c r="CFT2" s="299"/>
      <c r="CFU2" s="299"/>
      <c r="CFV2" s="299"/>
      <c r="CFW2" s="299"/>
      <c r="CFX2" s="299"/>
      <c r="CFY2" s="299"/>
      <c r="CFZ2" s="299"/>
      <c r="CGA2" s="299"/>
      <c r="CGB2" s="299"/>
      <c r="CGC2" s="299"/>
      <c r="CGD2" s="299"/>
      <c r="CGE2" s="299"/>
      <c r="CGF2" s="299"/>
      <c r="CGG2" s="299"/>
      <c r="CGH2" s="299"/>
      <c r="CGI2" s="299"/>
      <c r="CGJ2" s="299"/>
      <c r="CGK2" s="299"/>
      <c r="CGL2" s="299"/>
      <c r="CGM2" s="299"/>
      <c r="CGN2" s="299"/>
      <c r="CGO2" s="299"/>
      <c r="CGP2" s="299"/>
      <c r="CGQ2" s="299"/>
      <c r="CGR2" s="299"/>
      <c r="CGS2" s="299"/>
      <c r="CGT2" s="299"/>
      <c r="CGU2" s="299"/>
      <c r="CGV2" s="299"/>
      <c r="CGW2" s="299"/>
      <c r="CGX2" s="299"/>
      <c r="CGY2" s="299"/>
      <c r="CGZ2" s="299"/>
      <c r="CHA2" s="299"/>
      <c r="CHB2" s="299"/>
      <c r="CHC2" s="299"/>
      <c r="CHD2" s="299"/>
      <c r="CHE2" s="299"/>
      <c r="CHF2" s="299"/>
      <c r="CHG2" s="299"/>
      <c r="CHH2" s="299"/>
      <c r="CHI2" s="299"/>
      <c r="CHJ2" s="299"/>
      <c r="CHK2" s="299"/>
      <c r="CHL2" s="299"/>
      <c r="CHM2" s="299"/>
      <c r="CHN2" s="299"/>
      <c r="CHO2" s="299"/>
      <c r="CHP2" s="299"/>
      <c r="CHQ2" s="299"/>
      <c r="CHR2" s="299"/>
      <c r="CHS2" s="299"/>
      <c r="CHT2" s="299"/>
      <c r="CHU2" s="299"/>
      <c r="CHV2" s="299"/>
      <c r="CHW2" s="299"/>
      <c r="CHX2" s="299"/>
      <c r="CHY2" s="299"/>
      <c r="CHZ2" s="299"/>
      <c r="CIA2" s="299"/>
      <c r="CIB2" s="299"/>
      <c r="CIC2" s="299"/>
      <c r="CID2" s="299"/>
      <c r="CIE2" s="299"/>
      <c r="CIF2" s="299"/>
      <c r="CIG2" s="299"/>
      <c r="CIH2" s="299"/>
      <c r="CII2" s="299"/>
      <c r="CIJ2" s="299"/>
      <c r="CIK2" s="299"/>
      <c r="CIL2" s="299"/>
      <c r="CIM2" s="299"/>
      <c r="CIN2" s="299"/>
      <c r="CIO2" s="299"/>
      <c r="CIP2" s="299"/>
      <c r="CIQ2" s="299"/>
      <c r="CIR2" s="299"/>
      <c r="CIS2" s="299"/>
      <c r="CIT2" s="299"/>
      <c r="CIU2" s="299"/>
      <c r="CIV2" s="299"/>
      <c r="CIW2" s="299"/>
      <c r="CIX2" s="299"/>
      <c r="CIY2" s="299"/>
      <c r="CIZ2" s="299"/>
      <c r="CJA2" s="299"/>
      <c r="CJB2" s="299"/>
      <c r="CJC2" s="299"/>
      <c r="CJD2" s="299"/>
      <c r="CJE2" s="299"/>
      <c r="CJF2" s="299"/>
      <c r="CJG2" s="299"/>
      <c r="CJH2" s="299"/>
      <c r="CJI2" s="299"/>
      <c r="CJJ2" s="299"/>
      <c r="CJK2" s="299"/>
      <c r="CJL2" s="299"/>
      <c r="CJM2" s="299"/>
      <c r="CJN2" s="299"/>
      <c r="CJO2" s="299"/>
      <c r="CJP2" s="299"/>
      <c r="CJQ2" s="299"/>
      <c r="CJR2" s="299"/>
      <c r="CJS2" s="299"/>
      <c r="CJT2" s="299"/>
      <c r="CJU2" s="299"/>
      <c r="CJV2" s="299"/>
      <c r="CJW2" s="299"/>
      <c r="CJX2" s="299"/>
      <c r="CJY2" s="299"/>
      <c r="CJZ2" s="299"/>
      <c r="CKA2" s="299"/>
      <c r="CKB2" s="299"/>
      <c r="CKC2" s="299"/>
      <c r="CKD2" s="299"/>
      <c r="CKE2" s="299"/>
      <c r="CKF2" s="299"/>
      <c r="CKG2" s="299"/>
      <c r="CKH2" s="299"/>
      <c r="CKI2" s="299"/>
      <c r="CKJ2" s="299"/>
      <c r="CKK2" s="299"/>
      <c r="CKL2" s="299"/>
      <c r="CKM2" s="299"/>
      <c r="CKN2" s="299"/>
      <c r="CKO2" s="299"/>
      <c r="CKP2" s="299"/>
      <c r="CKQ2" s="299"/>
      <c r="CKR2" s="299"/>
      <c r="CKS2" s="299"/>
      <c r="CKT2" s="299"/>
      <c r="CKU2" s="299"/>
      <c r="CKV2" s="299"/>
      <c r="CKW2" s="299"/>
      <c r="CKX2" s="299"/>
      <c r="CKY2" s="299"/>
      <c r="CKZ2" s="299"/>
      <c r="CLA2" s="299"/>
      <c r="CLB2" s="299"/>
      <c r="CLC2" s="299"/>
      <c r="CLD2" s="299"/>
      <c r="CLE2" s="299"/>
      <c r="CLF2" s="299"/>
      <c r="CLG2" s="299"/>
      <c r="CLH2" s="299"/>
      <c r="CLI2" s="299"/>
      <c r="CLJ2" s="299"/>
      <c r="CLK2" s="299"/>
      <c r="CLL2" s="299"/>
      <c r="CLM2" s="299"/>
      <c r="CLN2" s="299"/>
      <c r="CLO2" s="299"/>
      <c r="CLP2" s="299"/>
      <c r="CLQ2" s="299"/>
      <c r="CLR2" s="299"/>
      <c r="CLS2" s="299"/>
      <c r="CLT2" s="299"/>
      <c r="CLU2" s="299"/>
      <c r="CLV2" s="299"/>
      <c r="CLW2" s="299"/>
      <c r="CLX2" s="299"/>
      <c r="CLY2" s="299"/>
      <c r="CLZ2" s="299"/>
      <c r="CMA2" s="299"/>
      <c r="CMB2" s="299"/>
      <c r="CMC2" s="299"/>
      <c r="CMD2" s="299"/>
      <c r="CME2" s="299"/>
      <c r="CMF2" s="299"/>
      <c r="CMG2" s="299"/>
      <c r="CMH2" s="299"/>
      <c r="CMI2" s="299"/>
      <c r="CMJ2" s="299"/>
      <c r="CMK2" s="299"/>
      <c r="CML2" s="299"/>
      <c r="CMM2" s="299"/>
      <c r="CMN2" s="299"/>
      <c r="CMO2" s="299"/>
      <c r="CMP2" s="299"/>
      <c r="CMQ2" s="299"/>
      <c r="CMR2" s="299"/>
      <c r="CMS2" s="299"/>
      <c r="CMT2" s="299"/>
      <c r="CMU2" s="299"/>
      <c r="CMV2" s="299"/>
      <c r="CMW2" s="299"/>
      <c r="CMX2" s="299"/>
      <c r="CMY2" s="299"/>
      <c r="CMZ2" s="299"/>
      <c r="CNA2" s="299"/>
      <c r="CNB2" s="299"/>
      <c r="CNC2" s="299"/>
      <c r="CND2" s="299"/>
      <c r="CNE2" s="299"/>
      <c r="CNF2" s="299"/>
      <c r="CNG2" s="299"/>
      <c r="CNH2" s="299"/>
      <c r="CNI2" s="299"/>
      <c r="CNJ2" s="299"/>
      <c r="CNK2" s="299"/>
      <c r="CNL2" s="299"/>
      <c r="CNM2" s="299"/>
      <c r="CNN2" s="299"/>
      <c r="CNO2" s="299"/>
      <c r="CNP2" s="299"/>
      <c r="CNQ2" s="299"/>
      <c r="CNR2" s="299"/>
      <c r="CNS2" s="299"/>
      <c r="CNT2" s="299"/>
      <c r="CNU2" s="299"/>
      <c r="CNV2" s="299"/>
      <c r="CNW2" s="299"/>
      <c r="CNX2" s="299"/>
      <c r="CNY2" s="299"/>
      <c r="CNZ2" s="299"/>
      <c r="COA2" s="299"/>
      <c r="COB2" s="299"/>
      <c r="COC2" s="299"/>
      <c r="COD2" s="299"/>
      <c r="COE2" s="299"/>
      <c r="COF2" s="299"/>
      <c r="COG2" s="299"/>
      <c r="COH2" s="299"/>
      <c r="COI2" s="299"/>
      <c r="COJ2" s="299"/>
      <c r="COK2" s="299"/>
      <c r="COL2" s="299"/>
      <c r="COM2" s="299"/>
      <c r="CON2" s="299"/>
      <c r="COO2" s="299"/>
      <c r="COP2" s="299"/>
      <c r="COQ2" s="299"/>
      <c r="COR2" s="299"/>
      <c r="COS2" s="299"/>
      <c r="COT2" s="299"/>
      <c r="COU2" s="299"/>
      <c r="COV2" s="299"/>
      <c r="COW2" s="299"/>
      <c r="COX2" s="299"/>
      <c r="COY2" s="299"/>
      <c r="COZ2" s="299"/>
      <c r="CPA2" s="299"/>
      <c r="CPB2" s="299"/>
      <c r="CPC2" s="299"/>
      <c r="CPD2" s="299"/>
      <c r="CPE2" s="299"/>
      <c r="CPF2" s="299"/>
      <c r="CPG2" s="299"/>
      <c r="CPH2" s="299"/>
      <c r="CPI2" s="299"/>
      <c r="CPJ2" s="299"/>
      <c r="CPK2" s="299"/>
      <c r="CPL2" s="299"/>
      <c r="CPM2" s="299"/>
      <c r="CPN2" s="299"/>
      <c r="CPO2" s="299"/>
      <c r="CPP2" s="299"/>
      <c r="CPQ2" s="299"/>
      <c r="CPR2" s="299"/>
      <c r="CPS2" s="299"/>
      <c r="CPT2" s="299"/>
      <c r="CPU2" s="299"/>
      <c r="CPV2" s="299"/>
      <c r="CPW2" s="299"/>
      <c r="CPX2" s="299"/>
      <c r="CPY2" s="299"/>
      <c r="CPZ2" s="299"/>
      <c r="CQA2" s="299"/>
      <c r="CQB2" s="299"/>
      <c r="CQC2" s="299"/>
      <c r="CQD2" s="299"/>
      <c r="CQE2" s="299"/>
      <c r="CQF2" s="299"/>
      <c r="CQG2" s="299"/>
      <c r="CQH2" s="299"/>
      <c r="CQI2" s="299"/>
      <c r="CQJ2" s="299"/>
      <c r="CQK2" s="299"/>
      <c r="CQL2" s="299"/>
      <c r="CQM2" s="299"/>
      <c r="CQN2" s="299"/>
      <c r="CQO2" s="299"/>
      <c r="CQP2" s="299"/>
      <c r="CQQ2" s="299"/>
      <c r="CQR2" s="299"/>
      <c r="CQS2" s="299"/>
      <c r="CQT2" s="299"/>
      <c r="CQU2" s="299"/>
      <c r="CQV2" s="299"/>
      <c r="CQW2" s="299"/>
      <c r="CQX2" s="299"/>
      <c r="CQY2" s="299"/>
      <c r="CQZ2" s="299"/>
      <c r="CRA2" s="299"/>
      <c r="CRB2" s="299"/>
      <c r="CRC2" s="299"/>
      <c r="CRD2" s="299"/>
      <c r="CRE2" s="299"/>
      <c r="CRF2" s="299"/>
      <c r="CRG2" s="299"/>
      <c r="CRH2" s="299"/>
      <c r="CRI2" s="299"/>
      <c r="CRJ2" s="299"/>
      <c r="CRK2" s="299"/>
      <c r="CRL2" s="299"/>
      <c r="CRM2" s="299"/>
      <c r="CRN2" s="299"/>
      <c r="CRO2" s="299"/>
      <c r="CRP2" s="299"/>
      <c r="CRQ2" s="299"/>
      <c r="CRR2" s="299"/>
      <c r="CRS2" s="299"/>
      <c r="CRT2" s="299"/>
      <c r="CRU2" s="299"/>
      <c r="CRV2" s="299"/>
      <c r="CRW2" s="299"/>
      <c r="CRX2" s="299"/>
      <c r="CRY2" s="299"/>
      <c r="CRZ2" s="299"/>
      <c r="CSA2" s="299"/>
      <c r="CSB2" s="299"/>
      <c r="CSC2" s="299"/>
      <c r="CSD2" s="299"/>
      <c r="CSE2" s="299"/>
      <c r="CSF2" s="299"/>
      <c r="CSG2" s="299"/>
      <c r="CSH2" s="299"/>
      <c r="CSI2" s="299"/>
      <c r="CSJ2" s="299"/>
      <c r="CSK2" s="299"/>
      <c r="CSL2" s="299"/>
      <c r="CSM2" s="299"/>
      <c r="CSN2" s="299"/>
      <c r="CSO2" s="299"/>
      <c r="CSP2" s="299"/>
      <c r="CSQ2" s="299"/>
      <c r="CSR2" s="299"/>
      <c r="CSS2" s="299"/>
      <c r="CST2" s="299"/>
      <c r="CSU2" s="299"/>
      <c r="CSV2" s="299"/>
      <c r="CSW2" s="299"/>
      <c r="CSX2" s="299"/>
      <c r="CSY2" s="299"/>
      <c r="CSZ2" s="299"/>
      <c r="CTA2" s="299"/>
      <c r="CTB2" s="299"/>
      <c r="CTC2" s="299"/>
      <c r="CTD2" s="299"/>
      <c r="CTE2" s="299"/>
      <c r="CTF2" s="299"/>
      <c r="CTG2" s="299"/>
      <c r="CTH2" s="299"/>
      <c r="CTI2" s="299"/>
      <c r="CTJ2" s="299"/>
      <c r="CTK2" s="299"/>
      <c r="CTL2" s="299"/>
      <c r="CTM2" s="299"/>
      <c r="CTN2" s="299"/>
      <c r="CTO2" s="299"/>
      <c r="CTP2" s="299"/>
      <c r="CTQ2" s="299"/>
      <c r="CTR2" s="299"/>
      <c r="CTS2" s="299"/>
      <c r="CTT2" s="299"/>
      <c r="CTU2" s="299"/>
      <c r="CTV2" s="299"/>
      <c r="CTW2" s="299"/>
      <c r="CTX2" s="299"/>
      <c r="CTY2" s="299"/>
      <c r="CTZ2" s="299"/>
      <c r="CUA2" s="299"/>
      <c r="CUB2" s="299"/>
      <c r="CUC2" s="299"/>
      <c r="CUD2" s="299"/>
      <c r="CUE2" s="299"/>
      <c r="CUF2" s="299"/>
      <c r="CUG2" s="299"/>
      <c r="CUH2" s="299"/>
      <c r="CUI2" s="299"/>
      <c r="CUJ2" s="299"/>
      <c r="CUK2" s="299"/>
      <c r="CUL2" s="299"/>
      <c r="CUM2" s="299"/>
      <c r="CUN2" s="299"/>
      <c r="CUO2" s="299"/>
      <c r="CUP2" s="299"/>
      <c r="CUQ2" s="299"/>
      <c r="CUR2" s="299"/>
      <c r="CUS2" s="299"/>
      <c r="CUT2" s="299"/>
      <c r="CUU2" s="299"/>
      <c r="CUV2" s="299"/>
      <c r="CUW2" s="299"/>
      <c r="CUX2" s="299"/>
      <c r="CUY2" s="299"/>
      <c r="CUZ2" s="299"/>
      <c r="CVA2" s="299"/>
      <c r="CVB2" s="299"/>
      <c r="CVC2" s="299"/>
      <c r="CVD2" s="299"/>
      <c r="CVE2" s="299"/>
      <c r="CVF2" s="299"/>
      <c r="CVG2" s="299"/>
      <c r="CVH2" s="299"/>
      <c r="CVI2" s="299"/>
      <c r="CVJ2" s="299"/>
      <c r="CVK2" s="299"/>
      <c r="CVL2" s="299"/>
      <c r="CVM2" s="299"/>
      <c r="CVN2" s="299"/>
      <c r="CVO2" s="299"/>
      <c r="CVP2" s="299"/>
      <c r="CVQ2" s="299"/>
      <c r="CVR2" s="299"/>
      <c r="CVS2" s="299"/>
      <c r="CVT2" s="299"/>
      <c r="CVU2" s="299"/>
      <c r="CVV2" s="299"/>
      <c r="CVW2" s="299"/>
      <c r="CVX2" s="299"/>
      <c r="CVY2" s="299"/>
      <c r="CVZ2" s="299"/>
      <c r="CWA2" s="299"/>
      <c r="CWB2" s="299"/>
      <c r="CWC2" s="299"/>
      <c r="CWD2" s="299"/>
      <c r="CWE2" s="299"/>
      <c r="CWF2" s="299"/>
      <c r="CWG2" s="299"/>
      <c r="CWH2" s="299"/>
      <c r="CWI2" s="299"/>
      <c r="CWJ2" s="299"/>
      <c r="CWK2" s="299"/>
      <c r="CWL2" s="299"/>
      <c r="CWM2" s="299"/>
      <c r="CWN2" s="299"/>
      <c r="CWO2" s="299"/>
      <c r="CWP2" s="299"/>
      <c r="CWQ2" s="299"/>
      <c r="CWR2" s="299"/>
      <c r="CWS2" s="299"/>
      <c r="CWT2" s="299"/>
      <c r="CWU2" s="299"/>
      <c r="CWV2" s="299"/>
      <c r="CWW2" s="299"/>
      <c r="CWX2" s="299"/>
      <c r="CWY2" s="299"/>
      <c r="CWZ2" s="299"/>
      <c r="CXA2" s="299"/>
      <c r="CXB2" s="299"/>
      <c r="CXC2" s="299"/>
      <c r="CXD2" s="299"/>
      <c r="CXE2" s="299"/>
      <c r="CXF2" s="299"/>
      <c r="CXG2" s="299"/>
      <c r="CXH2" s="299"/>
      <c r="CXI2" s="299"/>
      <c r="CXJ2" s="299"/>
      <c r="CXK2" s="299"/>
      <c r="CXL2" s="299"/>
      <c r="CXM2" s="299"/>
      <c r="CXN2" s="299"/>
      <c r="CXO2" s="299"/>
      <c r="CXP2" s="299"/>
      <c r="CXQ2" s="299"/>
      <c r="CXR2" s="299"/>
      <c r="CXS2" s="299"/>
      <c r="CXT2" s="299"/>
      <c r="CXU2" s="299"/>
      <c r="CXV2" s="299"/>
      <c r="CXW2" s="299"/>
      <c r="CXX2" s="299"/>
      <c r="CXY2" s="299"/>
      <c r="CXZ2" s="299"/>
      <c r="CYA2" s="299"/>
      <c r="CYB2" s="299"/>
      <c r="CYC2" s="299"/>
      <c r="CYD2" s="299"/>
      <c r="CYE2" s="299"/>
      <c r="CYF2" s="299"/>
      <c r="CYG2" s="299"/>
      <c r="CYH2" s="299"/>
      <c r="CYI2" s="299"/>
      <c r="CYJ2" s="299"/>
      <c r="CYK2" s="299"/>
      <c r="CYL2" s="299"/>
      <c r="CYM2" s="299"/>
      <c r="CYN2" s="299"/>
      <c r="CYO2" s="299"/>
      <c r="CYP2" s="299"/>
      <c r="CYQ2" s="299"/>
      <c r="CYR2" s="299"/>
      <c r="CYS2" s="299"/>
      <c r="CYT2" s="299"/>
      <c r="CYU2" s="299"/>
      <c r="CYV2" s="299"/>
      <c r="CYW2" s="299"/>
      <c r="CYX2" s="299"/>
      <c r="CYY2" s="299"/>
      <c r="CYZ2" s="299"/>
      <c r="CZA2" s="299"/>
      <c r="CZB2" s="299"/>
      <c r="CZC2" s="299"/>
      <c r="CZD2" s="299"/>
      <c r="CZE2" s="299"/>
      <c r="CZF2" s="299"/>
      <c r="CZG2" s="299"/>
      <c r="CZH2" s="299"/>
      <c r="CZI2" s="299"/>
      <c r="CZJ2" s="299"/>
      <c r="CZK2" s="299"/>
      <c r="CZL2" s="299"/>
      <c r="CZM2" s="299"/>
      <c r="CZN2" s="299"/>
      <c r="CZO2" s="299"/>
      <c r="CZP2" s="299"/>
      <c r="CZQ2" s="299"/>
      <c r="CZR2" s="299"/>
      <c r="CZS2" s="299"/>
      <c r="CZT2" s="299"/>
      <c r="CZU2" s="299"/>
      <c r="CZV2" s="299"/>
      <c r="CZW2" s="299"/>
      <c r="CZX2" s="299"/>
      <c r="CZY2" s="299"/>
      <c r="CZZ2" s="299"/>
      <c r="DAA2" s="299"/>
      <c r="DAB2" s="299"/>
      <c r="DAC2" s="299"/>
      <c r="DAD2" s="299"/>
      <c r="DAE2" s="299"/>
      <c r="DAF2" s="299"/>
      <c r="DAG2" s="299"/>
      <c r="DAH2" s="299"/>
      <c r="DAI2" s="299"/>
      <c r="DAJ2" s="299"/>
      <c r="DAK2" s="299"/>
      <c r="DAL2" s="299"/>
      <c r="DAM2" s="299"/>
      <c r="DAN2" s="299"/>
      <c r="DAO2" s="299"/>
      <c r="DAP2" s="299"/>
      <c r="DAQ2" s="299"/>
      <c r="DAR2" s="299"/>
      <c r="DAS2" s="299"/>
      <c r="DAT2" s="299"/>
      <c r="DAU2" s="299"/>
      <c r="DAV2" s="299"/>
      <c r="DAW2" s="299"/>
      <c r="DAX2" s="299"/>
      <c r="DAY2" s="299"/>
      <c r="DAZ2" s="299"/>
      <c r="DBA2" s="299"/>
      <c r="DBB2" s="299"/>
      <c r="DBC2" s="299"/>
      <c r="DBD2" s="299"/>
      <c r="DBE2" s="299"/>
      <c r="DBF2" s="299"/>
      <c r="DBG2" s="299"/>
      <c r="DBH2" s="299"/>
      <c r="DBI2" s="299"/>
      <c r="DBJ2" s="299"/>
      <c r="DBK2" s="299"/>
      <c r="DBL2" s="299"/>
      <c r="DBM2" s="299"/>
      <c r="DBN2" s="299"/>
      <c r="DBO2" s="299"/>
      <c r="DBP2" s="299"/>
      <c r="DBQ2" s="299"/>
      <c r="DBR2" s="299"/>
      <c r="DBS2" s="299"/>
      <c r="DBT2" s="299"/>
      <c r="DBU2" s="299"/>
      <c r="DBV2" s="299"/>
      <c r="DBW2" s="299"/>
      <c r="DBX2" s="299"/>
      <c r="DBY2" s="299"/>
      <c r="DBZ2" s="299"/>
      <c r="DCA2" s="299"/>
      <c r="DCB2" s="299"/>
      <c r="DCC2" s="299"/>
      <c r="DCD2" s="299"/>
      <c r="DCE2" s="299"/>
      <c r="DCF2" s="299"/>
      <c r="DCG2" s="299"/>
      <c r="DCH2" s="299"/>
      <c r="DCI2" s="299"/>
      <c r="DCJ2" s="299"/>
      <c r="DCK2" s="299"/>
      <c r="DCL2" s="299"/>
      <c r="DCM2" s="299"/>
      <c r="DCN2" s="299"/>
      <c r="DCO2" s="299"/>
      <c r="DCP2" s="299"/>
      <c r="DCQ2" s="299"/>
      <c r="DCR2" s="299"/>
      <c r="DCS2" s="299"/>
      <c r="DCT2" s="299"/>
      <c r="DCU2" s="299"/>
      <c r="DCV2" s="299"/>
      <c r="DCW2" s="299"/>
      <c r="DCX2" s="299"/>
      <c r="DCY2" s="299"/>
      <c r="DCZ2" s="299"/>
      <c r="DDA2" s="299"/>
      <c r="DDB2" s="299"/>
      <c r="DDC2" s="299"/>
      <c r="DDD2" s="299"/>
      <c r="DDE2" s="299"/>
      <c r="DDF2" s="299"/>
      <c r="DDG2" s="299"/>
      <c r="DDH2" s="299"/>
      <c r="DDI2" s="299"/>
      <c r="DDJ2" s="299"/>
      <c r="DDK2" s="299"/>
      <c r="DDL2" s="299"/>
      <c r="DDM2" s="299"/>
      <c r="DDN2" s="299"/>
      <c r="DDO2" s="299"/>
      <c r="DDP2" s="299"/>
      <c r="DDQ2" s="299"/>
      <c r="DDR2" s="299"/>
      <c r="DDS2" s="299"/>
      <c r="DDT2" s="299"/>
      <c r="DDU2" s="299"/>
      <c r="DDV2" s="299"/>
      <c r="DDW2" s="299"/>
      <c r="DDX2" s="299"/>
      <c r="DDY2" s="299"/>
      <c r="DDZ2" s="299"/>
      <c r="DEA2" s="299"/>
      <c r="DEB2" s="299"/>
      <c r="DEC2" s="299"/>
      <c r="DED2" s="299"/>
      <c r="DEE2" s="299"/>
      <c r="DEF2" s="299"/>
      <c r="DEG2" s="299"/>
      <c r="DEH2" s="299"/>
      <c r="DEI2" s="299"/>
      <c r="DEJ2" s="299"/>
      <c r="DEK2" s="299"/>
      <c r="DEL2" s="299"/>
      <c r="DEM2" s="299"/>
      <c r="DEN2" s="299"/>
      <c r="DEO2" s="299"/>
      <c r="DEP2" s="299"/>
      <c r="DEQ2" s="299"/>
      <c r="DER2" s="299"/>
      <c r="DES2" s="299"/>
      <c r="DET2" s="299"/>
      <c r="DEU2" s="299"/>
      <c r="DEV2" s="299"/>
      <c r="DEW2" s="299"/>
      <c r="DEX2" s="299"/>
      <c r="DEY2" s="299"/>
      <c r="DEZ2" s="299"/>
      <c r="DFA2" s="299"/>
      <c r="DFB2" s="299"/>
      <c r="DFC2" s="299"/>
      <c r="DFD2" s="299"/>
      <c r="DFE2" s="299"/>
      <c r="DFF2" s="299"/>
      <c r="DFG2" s="299"/>
      <c r="DFH2" s="299"/>
      <c r="DFI2" s="299"/>
      <c r="DFJ2" s="299"/>
      <c r="DFK2" s="299"/>
      <c r="DFL2" s="299"/>
      <c r="DFM2" s="299"/>
      <c r="DFN2" s="299"/>
      <c r="DFO2" s="299"/>
      <c r="DFP2" s="299"/>
      <c r="DFQ2" s="299"/>
      <c r="DFR2" s="299"/>
      <c r="DFS2" s="299"/>
      <c r="DFT2" s="299"/>
      <c r="DFU2" s="299"/>
      <c r="DFV2" s="299"/>
      <c r="DFW2" s="299"/>
      <c r="DFX2" s="299"/>
      <c r="DFY2" s="299"/>
      <c r="DFZ2" s="299"/>
      <c r="DGA2" s="299"/>
      <c r="DGB2" s="299"/>
      <c r="DGC2" s="299"/>
      <c r="DGD2" s="299"/>
      <c r="DGE2" s="299"/>
      <c r="DGF2" s="299"/>
      <c r="DGG2" s="299"/>
      <c r="DGH2" s="299"/>
      <c r="DGI2" s="299"/>
      <c r="DGJ2" s="299"/>
      <c r="DGK2" s="299"/>
      <c r="DGL2" s="299"/>
      <c r="DGM2" s="299"/>
      <c r="DGN2" s="299"/>
      <c r="DGO2" s="299"/>
      <c r="DGP2" s="299"/>
      <c r="DGQ2" s="299"/>
      <c r="DGR2" s="299"/>
      <c r="DGS2" s="299"/>
      <c r="DGT2" s="299"/>
      <c r="DGU2" s="299"/>
      <c r="DGV2" s="299"/>
      <c r="DGW2" s="299"/>
      <c r="DGX2" s="299"/>
      <c r="DGY2" s="299"/>
      <c r="DGZ2" s="299"/>
      <c r="DHA2" s="299"/>
      <c r="DHB2" s="299"/>
      <c r="DHC2" s="299"/>
      <c r="DHD2" s="299"/>
      <c r="DHE2" s="299"/>
      <c r="DHF2" s="299"/>
      <c r="DHG2" s="299"/>
      <c r="DHH2" s="299"/>
      <c r="DHI2" s="299"/>
      <c r="DHJ2" s="299"/>
      <c r="DHK2" s="299"/>
      <c r="DHL2" s="299"/>
      <c r="DHM2" s="299"/>
      <c r="DHN2" s="299"/>
      <c r="DHO2" s="299"/>
      <c r="DHP2" s="299"/>
      <c r="DHQ2" s="299"/>
      <c r="DHR2" s="299"/>
      <c r="DHS2" s="299"/>
      <c r="DHT2" s="299"/>
      <c r="DHU2" s="299"/>
      <c r="DHV2" s="299"/>
      <c r="DHW2" s="299"/>
      <c r="DHX2" s="299"/>
      <c r="DHY2" s="299"/>
      <c r="DHZ2" s="299"/>
      <c r="DIA2" s="299"/>
      <c r="DIB2" s="299"/>
      <c r="DIC2" s="299"/>
      <c r="DID2" s="299"/>
      <c r="DIE2" s="299"/>
      <c r="DIF2" s="299"/>
      <c r="DIG2" s="299"/>
      <c r="DIH2" s="299"/>
      <c r="DII2" s="299"/>
      <c r="DIJ2" s="299"/>
      <c r="DIK2" s="299"/>
      <c r="DIL2" s="299"/>
      <c r="DIM2" s="299"/>
      <c r="DIN2" s="299"/>
      <c r="DIO2" s="299"/>
      <c r="DIP2" s="299"/>
      <c r="DIQ2" s="299"/>
      <c r="DIR2" s="299"/>
      <c r="DIS2" s="299"/>
      <c r="DIT2" s="299"/>
      <c r="DIU2" s="299"/>
      <c r="DIV2" s="299"/>
      <c r="DIW2" s="299"/>
      <c r="DIX2" s="299"/>
      <c r="DIY2" s="299"/>
      <c r="DIZ2" s="299"/>
      <c r="DJA2" s="299"/>
      <c r="DJB2" s="299"/>
      <c r="DJC2" s="299"/>
      <c r="DJD2" s="299"/>
      <c r="DJE2" s="299"/>
      <c r="DJF2" s="299"/>
      <c r="DJG2" s="299"/>
      <c r="DJH2" s="299"/>
      <c r="DJI2" s="299"/>
      <c r="DJJ2" s="299"/>
      <c r="DJK2" s="299"/>
      <c r="DJL2" s="299"/>
      <c r="DJM2" s="299"/>
      <c r="DJN2" s="299"/>
      <c r="DJO2" s="299"/>
      <c r="DJP2" s="299"/>
      <c r="DJQ2" s="299"/>
      <c r="DJR2" s="299"/>
      <c r="DJS2" s="299"/>
      <c r="DJT2" s="299"/>
      <c r="DJU2" s="299"/>
      <c r="DJV2" s="299"/>
      <c r="DJW2" s="299"/>
      <c r="DJX2" s="299"/>
      <c r="DJY2" s="299"/>
      <c r="DJZ2" s="299"/>
      <c r="DKA2" s="299"/>
      <c r="DKB2" s="299"/>
      <c r="DKC2" s="299"/>
      <c r="DKD2" s="299"/>
      <c r="DKE2" s="299"/>
      <c r="DKF2" s="299"/>
      <c r="DKG2" s="299"/>
      <c r="DKH2" s="299"/>
      <c r="DKI2" s="299"/>
      <c r="DKJ2" s="299"/>
      <c r="DKK2" s="299"/>
      <c r="DKL2" s="299"/>
      <c r="DKM2" s="299"/>
      <c r="DKN2" s="299"/>
      <c r="DKO2" s="299"/>
      <c r="DKP2" s="299"/>
      <c r="DKQ2" s="299"/>
      <c r="DKR2" s="299"/>
      <c r="DKS2" s="299"/>
      <c r="DKT2" s="299"/>
      <c r="DKU2" s="299"/>
      <c r="DKV2" s="299"/>
      <c r="DKW2" s="299"/>
      <c r="DKX2" s="299"/>
      <c r="DKY2" s="299"/>
      <c r="DKZ2" s="299"/>
      <c r="DLA2" s="299"/>
      <c r="DLB2" s="299"/>
      <c r="DLC2" s="299"/>
      <c r="DLD2" s="299"/>
      <c r="DLE2" s="299"/>
      <c r="DLF2" s="299"/>
      <c r="DLG2" s="299"/>
      <c r="DLH2" s="299"/>
      <c r="DLI2" s="299"/>
      <c r="DLJ2" s="299"/>
      <c r="DLK2" s="299"/>
      <c r="DLL2" s="299"/>
      <c r="DLM2" s="299"/>
      <c r="DLN2" s="299"/>
      <c r="DLO2" s="299"/>
      <c r="DLP2" s="299"/>
      <c r="DLQ2" s="299"/>
      <c r="DLR2" s="299"/>
      <c r="DLS2" s="299"/>
      <c r="DLT2" s="299"/>
      <c r="DLU2" s="299"/>
      <c r="DLV2" s="299"/>
      <c r="DLW2" s="299"/>
      <c r="DLX2" s="299"/>
      <c r="DLY2" s="299"/>
      <c r="DLZ2" s="299"/>
      <c r="DMA2" s="299"/>
      <c r="DMB2" s="299"/>
      <c r="DMC2" s="299"/>
      <c r="DMD2" s="299"/>
      <c r="DME2" s="299"/>
      <c r="DMF2" s="299"/>
      <c r="DMG2" s="299"/>
      <c r="DMH2" s="299"/>
      <c r="DMI2" s="299"/>
      <c r="DMJ2" s="299"/>
      <c r="DMK2" s="299"/>
      <c r="DML2" s="299"/>
      <c r="DMM2" s="299"/>
      <c r="DMN2" s="299"/>
      <c r="DMO2" s="299"/>
      <c r="DMP2" s="299"/>
      <c r="DMQ2" s="299"/>
      <c r="DMR2" s="299"/>
      <c r="DMS2" s="299"/>
      <c r="DMT2" s="299"/>
      <c r="DMU2" s="299"/>
      <c r="DMV2" s="299"/>
      <c r="DMW2" s="299"/>
      <c r="DMX2" s="299"/>
      <c r="DMY2" s="299"/>
      <c r="DMZ2" s="299"/>
      <c r="DNA2" s="299"/>
      <c r="DNB2" s="299"/>
      <c r="DNC2" s="299"/>
      <c r="DND2" s="299"/>
      <c r="DNE2" s="299"/>
      <c r="DNF2" s="299"/>
      <c r="DNG2" s="299"/>
      <c r="DNH2" s="299"/>
      <c r="DNI2" s="299"/>
      <c r="DNJ2" s="299"/>
      <c r="DNK2" s="299"/>
      <c r="DNL2" s="299"/>
      <c r="DNM2" s="299"/>
      <c r="DNN2" s="299"/>
      <c r="DNO2" s="299"/>
      <c r="DNP2" s="299"/>
      <c r="DNQ2" s="299"/>
      <c r="DNR2" s="299"/>
      <c r="DNS2" s="299"/>
      <c r="DNT2" s="299"/>
      <c r="DNU2" s="299"/>
      <c r="DNV2" s="299"/>
      <c r="DNW2" s="299"/>
      <c r="DNX2" s="299"/>
      <c r="DNY2" s="299"/>
      <c r="DNZ2" s="299"/>
      <c r="DOA2" s="299"/>
      <c r="DOB2" s="299"/>
      <c r="DOC2" s="299"/>
      <c r="DOD2" s="299"/>
      <c r="DOE2" s="299"/>
      <c r="DOF2" s="299"/>
      <c r="DOG2" s="299"/>
      <c r="DOH2" s="299"/>
      <c r="DOI2" s="299"/>
      <c r="DOJ2" s="299"/>
      <c r="DOK2" s="299"/>
      <c r="DOL2" s="299"/>
      <c r="DOM2" s="299"/>
      <c r="DON2" s="299"/>
      <c r="DOO2" s="299"/>
      <c r="DOP2" s="299"/>
      <c r="DOQ2" s="299"/>
      <c r="DOR2" s="299"/>
      <c r="DOS2" s="299"/>
      <c r="DOT2" s="299"/>
      <c r="DOU2" s="299"/>
      <c r="DOV2" s="299"/>
      <c r="DOW2" s="299"/>
      <c r="DOX2" s="299"/>
      <c r="DOY2" s="299"/>
      <c r="DOZ2" s="299"/>
      <c r="DPA2" s="299"/>
      <c r="DPB2" s="299"/>
      <c r="DPC2" s="299"/>
      <c r="DPD2" s="299"/>
      <c r="DPE2" s="299"/>
      <c r="DPF2" s="299"/>
      <c r="DPG2" s="299"/>
      <c r="DPH2" s="299"/>
      <c r="DPI2" s="299"/>
      <c r="DPJ2" s="299"/>
      <c r="DPK2" s="299"/>
      <c r="DPL2" s="299"/>
      <c r="DPM2" s="299"/>
      <c r="DPN2" s="299"/>
      <c r="DPO2" s="299"/>
      <c r="DPP2" s="299"/>
      <c r="DPQ2" s="299"/>
      <c r="DPR2" s="299"/>
      <c r="DPS2" s="299"/>
      <c r="DPT2" s="299"/>
      <c r="DPU2" s="299"/>
      <c r="DPV2" s="299"/>
      <c r="DPW2" s="299"/>
      <c r="DPX2" s="299"/>
      <c r="DPY2" s="299"/>
      <c r="DPZ2" s="299"/>
      <c r="DQA2" s="299"/>
      <c r="DQB2" s="299"/>
      <c r="DQC2" s="299"/>
      <c r="DQD2" s="299"/>
      <c r="DQE2" s="299"/>
      <c r="DQF2" s="299"/>
      <c r="DQG2" s="299"/>
      <c r="DQH2" s="299"/>
      <c r="DQI2" s="299"/>
      <c r="DQJ2" s="299"/>
      <c r="DQK2" s="299"/>
      <c r="DQL2" s="299"/>
      <c r="DQM2" s="299"/>
      <c r="DQN2" s="299"/>
      <c r="DQO2" s="299"/>
      <c r="DQP2" s="299"/>
      <c r="DQQ2" s="299"/>
      <c r="DQR2" s="299"/>
      <c r="DQS2" s="299"/>
      <c r="DQT2" s="299"/>
      <c r="DQU2" s="299"/>
      <c r="DQV2" s="299"/>
      <c r="DQW2" s="299"/>
      <c r="DQX2" s="299"/>
      <c r="DQY2" s="299"/>
      <c r="DQZ2" s="299"/>
      <c r="DRA2" s="299"/>
      <c r="DRB2" s="299"/>
      <c r="DRC2" s="299"/>
      <c r="DRD2" s="299"/>
      <c r="DRE2" s="299"/>
      <c r="DRF2" s="299"/>
      <c r="DRG2" s="299"/>
      <c r="DRH2" s="299"/>
      <c r="DRI2" s="299"/>
      <c r="DRJ2" s="299"/>
      <c r="DRK2" s="299"/>
      <c r="DRL2" s="299"/>
      <c r="DRM2" s="299"/>
      <c r="DRN2" s="299"/>
      <c r="DRO2" s="299"/>
      <c r="DRP2" s="299"/>
      <c r="DRQ2" s="299"/>
      <c r="DRR2" s="299"/>
      <c r="DRS2" s="299"/>
      <c r="DRT2" s="299"/>
      <c r="DRU2" s="299"/>
      <c r="DRV2" s="299"/>
      <c r="DRW2" s="299"/>
      <c r="DRX2" s="299"/>
      <c r="DRY2" s="299"/>
      <c r="DRZ2" s="299"/>
      <c r="DSA2" s="299"/>
      <c r="DSB2" s="299"/>
      <c r="DSC2" s="299"/>
      <c r="DSD2" s="299"/>
      <c r="DSE2" s="299"/>
      <c r="DSF2" s="299"/>
      <c r="DSG2" s="299"/>
      <c r="DSH2" s="299"/>
      <c r="DSI2" s="299"/>
      <c r="DSJ2" s="299"/>
      <c r="DSK2" s="299"/>
      <c r="DSL2" s="299"/>
      <c r="DSM2" s="299"/>
      <c r="DSN2" s="299"/>
      <c r="DSO2" s="299"/>
      <c r="DSP2" s="299"/>
      <c r="DSQ2" s="299"/>
      <c r="DSR2" s="299"/>
      <c r="DSS2" s="299"/>
      <c r="DST2" s="299"/>
      <c r="DSU2" s="299"/>
      <c r="DSV2" s="299"/>
      <c r="DSW2" s="299"/>
      <c r="DSX2" s="299"/>
      <c r="DSY2" s="299"/>
      <c r="DSZ2" s="299"/>
      <c r="DTA2" s="299"/>
      <c r="DTB2" s="299"/>
      <c r="DTC2" s="299"/>
      <c r="DTD2" s="299"/>
      <c r="DTE2" s="299"/>
      <c r="DTF2" s="299"/>
      <c r="DTG2" s="299"/>
      <c r="DTH2" s="299"/>
      <c r="DTI2" s="299"/>
      <c r="DTJ2" s="299"/>
      <c r="DTK2" s="299"/>
      <c r="DTL2" s="299"/>
      <c r="DTM2" s="299"/>
      <c r="DTN2" s="299"/>
      <c r="DTO2" s="299"/>
      <c r="DTP2" s="299"/>
      <c r="DTQ2" s="299"/>
      <c r="DTR2" s="299"/>
      <c r="DTS2" s="299"/>
      <c r="DTT2" s="299"/>
      <c r="DTU2" s="299"/>
      <c r="DTV2" s="299"/>
      <c r="DTW2" s="299"/>
      <c r="DTX2" s="299"/>
      <c r="DTY2" s="299"/>
      <c r="DTZ2" s="299"/>
      <c r="DUA2" s="299"/>
      <c r="DUB2" s="299"/>
      <c r="DUC2" s="299"/>
      <c r="DUD2" s="299"/>
      <c r="DUE2" s="299"/>
      <c r="DUF2" s="299"/>
      <c r="DUG2" s="299"/>
      <c r="DUH2" s="299"/>
      <c r="DUI2" s="299"/>
      <c r="DUJ2" s="299"/>
      <c r="DUK2" s="299"/>
      <c r="DUL2" s="299"/>
      <c r="DUM2" s="299"/>
      <c r="DUN2" s="299"/>
      <c r="DUO2" s="299"/>
      <c r="DUP2" s="299"/>
      <c r="DUQ2" s="299"/>
      <c r="DUR2" s="299"/>
      <c r="DUS2" s="299"/>
      <c r="DUT2" s="299"/>
      <c r="DUU2" s="299"/>
      <c r="DUV2" s="299"/>
      <c r="DUW2" s="299"/>
      <c r="DUX2" s="299"/>
      <c r="DUY2" s="299"/>
      <c r="DUZ2" s="299"/>
      <c r="DVA2" s="299"/>
      <c r="DVB2" s="299"/>
      <c r="DVC2" s="299"/>
      <c r="DVD2" s="299"/>
      <c r="DVE2" s="299"/>
      <c r="DVF2" s="299"/>
      <c r="DVG2" s="299"/>
      <c r="DVH2" s="299"/>
      <c r="DVI2" s="299"/>
      <c r="DVJ2" s="299"/>
      <c r="DVK2" s="299"/>
      <c r="DVL2" s="299"/>
      <c r="DVM2" s="299"/>
      <c r="DVN2" s="299"/>
      <c r="DVO2" s="299"/>
      <c r="DVP2" s="299"/>
      <c r="DVQ2" s="299"/>
      <c r="DVR2" s="299"/>
      <c r="DVS2" s="299"/>
      <c r="DVT2" s="299"/>
      <c r="DVU2" s="299"/>
      <c r="DVV2" s="299"/>
      <c r="DVW2" s="299"/>
      <c r="DVX2" s="299"/>
      <c r="DVY2" s="299"/>
      <c r="DVZ2" s="299"/>
      <c r="DWA2" s="299"/>
      <c r="DWB2" s="299"/>
      <c r="DWC2" s="299"/>
      <c r="DWD2" s="299"/>
      <c r="DWE2" s="299"/>
      <c r="DWF2" s="299"/>
      <c r="DWG2" s="299"/>
      <c r="DWH2" s="299"/>
      <c r="DWI2" s="299"/>
      <c r="DWJ2" s="299"/>
      <c r="DWK2" s="299"/>
      <c r="DWL2" s="299"/>
      <c r="DWM2" s="299"/>
      <c r="DWN2" s="299"/>
      <c r="DWO2" s="299"/>
      <c r="DWP2" s="299"/>
      <c r="DWQ2" s="299"/>
      <c r="DWR2" s="299"/>
      <c r="DWS2" s="299"/>
      <c r="DWT2" s="299"/>
      <c r="DWU2" s="299"/>
      <c r="DWV2" s="299"/>
      <c r="DWW2" s="299"/>
      <c r="DWX2" s="299"/>
      <c r="DWY2" s="299"/>
      <c r="DWZ2" s="299"/>
      <c r="DXA2" s="299"/>
      <c r="DXB2" s="299"/>
      <c r="DXC2" s="299"/>
      <c r="DXD2" s="299"/>
      <c r="DXE2" s="299"/>
      <c r="DXF2" s="299"/>
      <c r="DXG2" s="299"/>
      <c r="DXH2" s="299"/>
      <c r="DXI2" s="299"/>
      <c r="DXJ2" s="299"/>
      <c r="DXK2" s="299"/>
      <c r="DXL2" s="299"/>
      <c r="DXM2" s="299"/>
      <c r="DXN2" s="299"/>
      <c r="DXO2" s="299"/>
      <c r="DXP2" s="299"/>
      <c r="DXQ2" s="299"/>
      <c r="DXR2" s="299"/>
      <c r="DXS2" s="299"/>
      <c r="DXT2" s="299"/>
      <c r="DXU2" s="299"/>
      <c r="DXV2" s="299"/>
      <c r="DXW2" s="299"/>
      <c r="DXX2" s="299"/>
      <c r="DXY2" s="299"/>
      <c r="DXZ2" s="299"/>
      <c r="DYA2" s="299"/>
      <c r="DYB2" s="299"/>
      <c r="DYC2" s="299"/>
      <c r="DYD2" s="299"/>
      <c r="DYE2" s="299"/>
      <c r="DYF2" s="299"/>
      <c r="DYG2" s="299"/>
      <c r="DYH2" s="299"/>
      <c r="DYI2" s="299"/>
      <c r="DYJ2" s="299"/>
      <c r="DYK2" s="299"/>
      <c r="DYL2" s="299"/>
      <c r="DYM2" s="299"/>
      <c r="DYN2" s="299"/>
      <c r="DYO2" s="299"/>
      <c r="DYP2" s="299"/>
      <c r="DYQ2" s="299"/>
      <c r="DYR2" s="299"/>
      <c r="DYS2" s="299"/>
      <c r="DYT2" s="299"/>
      <c r="DYU2" s="299"/>
      <c r="DYV2" s="299"/>
      <c r="DYW2" s="299"/>
      <c r="DYX2" s="299"/>
      <c r="DYY2" s="299"/>
      <c r="DYZ2" s="299"/>
      <c r="DZA2" s="299"/>
      <c r="DZB2" s="299"/>
      <c r="DZC2" s="299"/>
      <c r="DZD2" s="299"/>
      <c r="DZE2" s="299"/>
      <c r="DZF2" s="299"/>
      <c r="DZG2" s="299"/>
      <c r="DZH2" s="299"/>
      <c r="DZI2" s="299"/>
      <c r="DZJ2" s="299"/>
      <c r="DZK2" s="299"/>
      <c r="DZL2" s="299"/>
      <c r="DZM2" s="299"/>
      <c r="DZN2" s="299"/>
      <c r="DZO2" s="299"/>
      <c r="DZP2" s="299"/>
      <c r="DZQ2" s="299"/>
      <c r="DZR2" s="299"/>
      <c r="DZS2" s="299"/>
      <c r="DZT2" s="299"/>
      <c r="DZU2" s="299"/>
      <c r="DZV2" s="299"/>
      <c r="DZW2" s="299"/>
      <c r="DZX2" s="299"/>
      <c r="DZY2" s="299"/>
      <c r="DZZ2" s="299"/>
      <c r="EAA2" s="299"/>
      <c r="EAB2" s="299"/>
      <c r="EAC2" s="299"/>
      <c r="EAD2" s="299"/>
      <c r="EAE2" s="299"/>
      <c r="EAF2" s="299"/>
      <c r="EAG2" s="299"/>
      <c r="EAH2" s="299"/>
      <c r="EAI2" s="299"/>
      <c r="EAJ2" s="299"/>
      <c r="EAK2" s="299"/>
      <c r="EAL2" s="299"/>
      <c r="EAM2" s="299"/>
      <c r="EAN2" s="299"/>
      <c r="EAO2" s="299"/>
      <c r="EAP2" s="299"/>
      <c r="EAQ2" s="299"/>
      <c r="EAR2" s="299"/>
      <c r="EAS2" s="299"/>
      <c r="EAT2" s="299"/>
      <c r="EAU2" s="299"/>
      <c r="EAV2" s="299"/>
      <c r="EAW2" s="299"/>
      <c r="EAX2" s="299"/>
      <c r="EAY2" s="299"/>
      <c r="EAZ2" s="299"/>
      <c r="EBA2" s="299"/>
      <c r="EBB2" s="299"/>
      <c r="EBC2" s="299"/>
      <c r="EBD2" s="299"/>
      <c r="EBE2" s="299"/>
      <c r="EBF2" s="299"/>
      <c r="EBG2" s="299"/>
      <c r="EBH2" s="299"/>
      <c r="EBI2" s="299"/>
      <c r="EBJ2" s="299"/>
      <c r="EBK2" s="299"/>
      <c r="EBL2" s="299"/>
      <c r="EBM2" s="299"/>
      <c r="EBN2" s="299"/>
      <c r="EBO2" s="299"/>
      <c r="EBP2" s="299"/>
      <c r="EBQ2" s="299"/>
      <c r="EBR2" s="299"/>
      <c r="EBS2" s="299"/>
      <c r="EBT2" s="299"/>
      <c r="EBU2" s="299"/>
      <c r="EBV2" s="299"/>
      <c r="EBW2" s="299"/>
      <c r="EBX2" s="299"/>
      <c r="EBY2" s="299"/>
      <c r="EBZ2" s="299"/>
      <c r="ECA2" s="299"/>
      <c r="ECB2" s="299"/>
      <c r="ECC2" s="299"/>
      <c r="ECD2" s="299"/>
      <c r="ECE2" s="299"/>
      <c r="ECF2" s="299"/>
      <c r="ECG2" s="299"/>
      <c r="ECH2" s="299"/>
      <c r="ECI2" s="299"/>
      <c r="ECJ2" s="299"/>
      <c r="ECK2" s="299"/>
      <c r="ECL2" s="299"/>
      <c r="ECM2" s="299"/>
      <c r="ECN2" s="299"/>
      <c r="ECO2" s="299"/>
      <c r="ECP2" s="299"/>
      <c r="ECQ2" s="299"/>
      <c r="ECR2" s="299"/>
      <c r="ECS2" s="299"/>
      <c r="ECT2" s="299"/>
      <c r="ECU2" s="299"/>
      <c r="ECV2" s="299"/>
      <c r="ECW2" s="299"/>
      <c r="ECX2" s="299"/>
      <c r="ECY2" s="299"/>
      <c r="ECZ2" s="299"/>
      <c r="EDA2" s="299"/>
      <c r="EDB2" s="299"/>
      <c r="EDC2" s="299"/>
      <c r="EDD2" s="299"/>
      <c r="EDE2" s="299"/>
      <c r="EDF2" s="299"/>
      <c r="EDG2" s="299"/>
      <c r="EDH2" s="299"/>
      <c r="EDI2" s="299"/>
      <c r="EDJ2" s="299"/>
      <c r="EDK2" s="299"/>
      <c r="EDL2" s="299"/>
      <c r="EDM2" s="299"/>
      <c r="EDN2" s="299"/>
      <c r="EDO2" s="299"/>
      <c r="EDP2" s="299"/>
      <c r="EDQ2" s="299"/>
      <c r="EDR2" s="299"/>
      <c r="EDS2" s="299"/>
      <c r="EDT2" s="299"/>
      <c r="EDU2" s="299"/>
      <c r="EDV2" s="299"/>
      <c r="EDW2" s="299"/>
      <c r="EDX2" s="299"/>
      <c r="EDY2" s="299"/>
      <c r="EDZ2" s="299"/>
      <c r="EEA2" s="299"/>
      <c r="EEB2" s="299"/>
      <c r="EEC2" s="299"/>
      <c r="EED2" s="299"/>
      <c r="EEE2" s="299"/>
      <c r="EEF2" s="299"/>
      <c r="EEG2" s="299"/>
      <c r="EEH2" s="299"/>
      <c r="EEI2" s="299"/>
      <c r="EEJ2" s="299"/>
      <c r="EEK2" s="299"/>
      <c r="EEL2" s="299"/>
      <c r="EEM2" s="299"/>
      <c r="EEN2" s="299"/>
      <c r="EEO2" s="299"/>
      <c r="EEP2" s="299"/>
      <c r="EEQ2" s="299"/>
      <c r="EER2" s="299"/>
      <c r="EES2" s="299"/>
      <c r="EET2" s="299"/>
      <c r="EEU2" s="299"/>
      <c r="EEV2" s="299"/>
      <c r="EEW2" s="299"/>
      <c r="EEX2" s="299"/>
      <c r="EEY2" s="299"/>
      <c r="EEZ2" s="299"/>
      <c r="EFA2" s="299"/>
      <c r="EFB2" s="299"/>
      <c r="EFC2" s="299"/>
      <c r="EFD2" s="299"/>
      <c r="EFE2" s="299"/>
      <c r="EFF2" s="299"/>
      <c r="EFG2" s="299"/>
      <c r="EFH2" s="299"/>
      <c r="EFI2" s="299"/>
      <c r="EFJ2" s="299"/>
      <c r="EFK2" s="299"/>
      <c r="EFL2" s="299"/>
      <c r="EFM2" s="299"/>
      <c r="EFN2" s="299"/>
      <c r="EFO2" s="299"/>
      <c r="EFP2" s="299"/>
      <c r="EFQ2" s="299"/>
      <c r="EFR2" s="299"/>
      <c r="EFS2" s="299"/>
      <c r="EFT2" s="299"/>
      <c r="EFU2" s="299"/>
      <c r="EFV2" s="299"/>
      <c r="EFW2" s="299"/>
      <c r="EFX2" s="299"/>
      <c r="EFY2" s="299"/>
      <c r="EFZ2" s="299"/>
      <c r="EGA2" s="299"/>
      <c r="EGB2" s="299"/>
      <c r="EGC2" s="299"/>
      <c r="EGD2" s="299"/>
      <c r="EGE2" s="299"/>
      <c r="EGF2" s="299"/>
      <c r="EGG2" s="299"/>
      <c r="EGH2" s="299"/>
      <c r="EGI2" s="299"/>
      <c r="EGJ2" s="299"/>
      <c r="EGK2" s="299"/>
      <c r="EGL2" s="299"/>
      <c r="EGM2" s="299"/>
      <c r="EGN2" s="299"/>
      <c r="EGO2" s="299"/>
      <c r="EGP2" s="299"/>
      <c r="EGQ2" s="299"/>
      <c r="EGR2" s="299"/>
      <c r="EGS2" s="299"/>
      <c r="EGT2" s="299"/>
      <c r="EGU2" s="299"/>
      <c r="EGV2" s="299"/>
      <c r="EGW2" s="299"/>
      <c r="EGX2" s="299"/>
      <c r="EGY2" s="299"/>
      <c r="EGZ2" s="299"/>
      <c r="EHA2" s="299"/>
      <c r="EHB2" s="299"/>
      <c r="EHC2" s="299"/>
      <c r="EHD2" s="299"/>
      <c r="EHE2" s="299"/>
      <c r="EHF2" s="299"/>
      <c r="EHG2" s="299"/>
      <c r="EHH2" s="299"/>
      <c r="EHI2" s="299"/>
      <c r="EHJ2" s="299"/>
      <c r="EHK2" s="299"/>
      <c r="EHL2" s="299"/>
      <c r="EHM2" s="299"/>
      <c r="EHN2" s="299"/>
      <c r="EHO2" s="299"/>
      <c r="EHP2" s="299"/>
      <c r="EHQ2" s="299"/>
      <c r="EHR2" s="299"/>
      <c r="EHS2" s="299"/>
      <c r="EHT2" s="299"/>
      <c r="EHU2" s="299"/>
      <c r="EHV2" s="299"/>
      <c r="EHW2" s="299"/>
      <c r="EHX2" s="299"/>
      <c r="EHY2" s="299"/>
      <c r="EHZ2" s="299"/>
      <c r="EIA2" s="299"/>
      <c r="EIB2" s="299"/>
      <c r="EIC2" s="299"/>
      <c r="EID2" s="299"/>
      <c r="EIE2" s="299"/>
      <c r="EIF2" s="299"/>
      <c r="EIG2" s="299"/>
      <c r="EIH2" s="299"/>
      <c r="EII2" s="299"/>
      <c r="EIJ2" s="299"/>
      <c r="EIK2" s="299"/>
      <c r="EIL2" s="299"/>
      <c r="EIM2" s="299"/>
      <c r="EIN2" s="299"/>
      <c r="EIO2" s="299"/>
      <c r="EIP2" s="299"/>
      <c r="EIQ2" s="299"/>
      <c r="EIR2" s="299"/>
      <c r="EIS2" s="299"/>
      <c r="EIT2" s="299"/>
      <c r="EIU2" s="299"/>
      <c r="EIV2" s="299"/>
      <c r="EIW2" s="299"/>
      <c r="EIX2" s="299"/>
      <c r="EIY2" s="299"/>
      <c r="EIZ2" s="299"/>
      <c r="EJA2" s="299"/>
      <c r="EJB2" s="299"/>
      <c r="EJC2" s="299"/>
      <c r="EJD2" s="299"/>
      <c r="EJE2" s="299"/>
      <c r="EJF2" s="299"/>
      <c r="EJG2" s="299"/>
      <c r="EJH2" s="299"/>
      <c r="EJI2" s="299"/>
      <c r="EJJ2" s="299"/>
      <c r="EJK2" s="299"/>
      <c r="EJL2" s="299"/>
      <c r="EJM2" s="299"/>
      <c r="EJN2" s="299"/>
      <c r="EJO2" s="299"/>
      <c r="EJP2" s="299"/>
      <c r="EJQ2" s="299"/>
      <c r="EJR2" s="299"/>
      <c r="EJS2" s="299"/>
      <c r="EJT2" s="299"/>
      <c r="EJU2" s="299"/>
      <c r="EJV2" s="299"/>
      <c r="EJW2" s="299"/>
      <c r="EJX2" s="299"/>
      <c r="EJY2" s="299"/>
      <c r="EJZ2" s="299"/>
      <c r="EKA2" s="299"/>
      <c r="EKB2" s="299"/>
      <c r="EKC2" s="299"/>
      <c r="EKD2" s="299"/>
      <c r="EKE2" s="299"/>
      <c r="EKF2" s="299"/>
      <c r="EKG2" s="299"/>
      <c r="EKH2" s="299"/>
      <c r="EKI2" s="299"/>
      <c r="EKJ2" s="299"/>
      <c r="EKK2" s="299"/>
      <c r="EKL2" s="299"/>
      <c r="EKM2" s="299"/>
      <c r="EKN2" s="299"/>
      <c r="EKO2" s="299"/>
      <c r="EKP2" s="299"/>
      <c r="EKQ2" s="299"/>
      <c r="EKR2" s="299"/>
      <c r="EKS2" s="299"/>
      <c r="EKT2" s="299"/>
      <c r="EKU2" s="299"/>
      <c r="EKV2" s="299"/>
      <c r="EKW2" s="299"/>
      <c r="EKX2" s="299"/>
      <c r="EKY2" s="299"/>
      <c r="EKZ2" s="299"/>
      <c r="ELA2" s="299"/>
      <c r="ELB2" s="299"/>
      <c r="ELC2" s="299"/>
      <c r="ELD2" s="299"/>
      <c r="ELE2" s="299"/>
      <c r="ELF2" s="299"/>
      <c r="ELG2" s="299"/>
      <c r="ELH2" s="299"/>
      <c r="ELI2" s="299"/>
      <c r="ELJ2" s="299"/>
      <c r="ELK2" s="299"/>
      <c r="ELL2" s="299"/>
      <c r="ELM2" s="299"/>
      <c r="ELN2" s="299"/>
      <c r="ELO2" s="299"/>
      <c r="ELP2" s="299"/>
      <c r="ELQ2" s="299"/>
      <c r="ELR2" s="299"/>
      <c r="ELS2" s="299"/>
      <c r="ELT2" s="299"/>
      <c r="ELU2" s="299"/>
      <c r="ELV2" s="299"/>
      <c r="ELW2" s="299"/>
      <c r="ELX2" s="299"/>
      <c r="ELY2" s="299"/>
      <c r="ELZ2" s="299"/>
      <c r="EMA2" s="299"/>
      <c r="EMB2" s="299"/>
      <c r="EMC2" s="299"/>
      <c r="EMD2" s="299"/>
      <c r="EME2" s="299"/>
      <c r="EMF2" s="299"/>
      <c r="EMG2" s="299"/>
      <c r="EMH2" s="299"/>
      <c r="EMI2" s="299"/>
      <c r="EMJ2" s="299"/>
      <c r="EMK2" s="299"/>
      <c r="EML2" s="299"/>
      <c r="EMM2" s="299"/>
      <c r="EMN2" s="299"/>
      <c r="EMO2" s="299"/>
      <c r="EMP2" s="299"/>
      <c r="EMQ2" s="299"/>
      <c r="EMR2" s="299"/>
      <c r="EMS2" s="299"/>
      <c r="EMT2" s="299"/>
      <c r="EMU2" s="299"/>
      <c r="EMV2" s="299"/>
      <c r="EMW2" s="299"/>
      <c r="EMX2" s="299"/>
      <c r="EMY2" s="299"/>
      <c r="EMZ2" s="299"/>
      <c r="ENA2" s="299"/>
      <c r="ENB2" s="299"/>
      <c r="ENC2" s="299"/>
      <c r="END2" s="299"/>
      <c r="ENE2" s="299"/>
      <c r="ENF2" s="299"/>
      <c r="ENG2" s="299"/>
      <c r="ENH2" s="299"/>
      <c r="ENI2" s="299"/>
      <c r="ENJ2" s="299"/>
      <c r="ENK2" s="299"/>
      <c r="ENL2" s="299"/>
      <c r="ENM2" s="299"/>
      <c r="ENN2" s="299"/>
      <c r="ENO2" s="299"/>
      <c r="ENP2" s="299"/>
      <c r="ENQ2" s="299"/>
      <c r="ENR2" s="299"/>
      <c r="ENS2" s="299"/>
      <c r="ENT2" s="299"/>
      <c r="ENU2" s="299"/>
      <c r="ENV2" s="299"/>
      <c r="ENW2" s="299"/>
      <c r="ENX2" s="299"/>
      <c r="ENY2" s="299"/>
      <c r="ENZ2" s="299"/>
      <c r="EOA2" s="299"/>
      <c r="EOB2" s="299"/>
      <c r="EOC2" s="299"/>
      <c r="EOD2" s="299"/>
      <c r="EOE2" s="299"/>
      <c r="EOF2" s="299"/>
      <c r="EOG2" s="299"/>
      <c r="EOH2" s="299"/>
      <c r="EOI2" s="299"/>
      <c r="EOJ2" s="299"/>
      <c r="EOK2" s="299"/>
      <c r="EOL2" s="299"/>
      <c r="EOM2" s="299"/>
      <c r="EON2" s="299"/>
      <c r="EOO2" s="299"/>
      <c r="EOP2" s="299"/>
      <c r="EOQ2" s="299"/>
      <c r="EOR2" s="299"/>
      <c r="EOS2" s="299"/>
      <c r="EOT2" s="299"/>
      <c r="EOU2" s="299"/>
      <c r="EOV2" s="299"/>
      <c r="EOW2" s="299"/>
      <c r="EOX2" s="299"/>
      <c r="EOY2" s="299"/>
      <c r="EOZ2" s="299"/>
      <c r="EPA2" s="299"/>
      <c r="EPB2" s="299"/>
      <c r="EPC2" s="299"/>
      <c r="EPD2" s="299"/>
      <c r="EPE2" s="299"/>
      <c r="EPF2" s="299"/>
      <c r="EPG2" s="299"/>
      <c r="EPH2" s="299"/>
      <c r="EPI2" s="299"/>
      <c r="EPJ2" s="299"/>
      <c r="EPK2" s="299"/>
      <c r="EPL2" s="299"/>
      <c r="EPM2" s="299"/>
      <c r="EPN2" s="299"/>
      <c r="EPO2" s="299"/>
      <c r="EPP2" s="299"/>
      <c r="EPQ2" s="299"/>
      <c r="EPR2" s="299"/>
      <c r="EPS2" s="299"/>
      <c r="EPT2" s="299"/>
      <c r="EPU2" s="299"/>
      <c r="EPV2" s="299"/>
      <c r="EPW2" s="299"/>
      <c r="EPX2" s="299"/>
      <c r="EPY2" s="299"/>
      <c r="EPZ2" s="299"/>
      <c r="EQA2" s="299"/>
      <c r="EQB2" s="299"/>
      <c r="EQC2" s="299"/>
      <c r="EQD2" s="299"/>
      <c r="EQE2" s="299"/>
      <c r="EQF2" s="299"/>
      <c r="EQG2" s="299"/>
      <c r="EQH2" s="299"/>
      <c r="EQI2" s="299"/>
      <c r="EQJ2" s="299"/>
      <c r="EQK2" s="299"/>
      <c r="EQL2" s="299"/>
      <c r="EQM2" s="299"/>
      <c r="EQN2" s="299"/>
      <c r="EQO2" s="299"/>
      <c r="EQP2" s="299"/>
      <c r="EQQ2" s="299"/>
      <c r="EQR2" s="299"/>
      <c r="EQS2" s="299"/>
      <c r="EQT2" s="299"/>
      <c r="EQU2" s="299"/>
      <c r="EQV2" s="299"/>
      <c r="EQW2" s="299"/>
      <c r="EQX2" s="299"/>
      <c r="EQY2" s="299"/>
      <c r="EQZ2" s="299"/>
      <c r="ERA2" s="299"/>
      <c r="ERB2" s="299"/>
      <c r="ERC2" s="299"/>
      <c r="ERD2" s="299"/>
      <c r="ERE2" s="299"/>
      <c r="ERF2" s="299"/>
      <c r="ERG2" s="299"/>
      <c r="ERH2" s="299"/>
      <c r="ERI2" s="299"/>
      <c r="ERJ2" s="299"/>
      <c r="ERK2" s="299"/>
      <c r="ERL2" s="299"/>
      <c r="ERM2" s="299"/>
      <c r="ERN2" s="299"/>
      <c r="ERO2" s="299"/>
      <c r="ERP2" s="299"/>
      <c r="ERQ2" s="299"/>
      <c r="ERR2" s="299"/>
      <c r="ERS2" s="299"/>
      <c r="ERT2" s="299"/>
      <c r="ERU2" s="299"/>
      <c r="ERV2" s="299"/>
      <c r="ERW2" s="299"/>
      <c r="ERX2" s="299"/>
      <c r="ERY2" s="299"/>
      <c r="ERZ2" s="299"/>
      <c r="ESA2" s="299"/>
      <c r="ESB2" s="299"/>
      <c r="ESC2" s="299"/>
      <c r="ESD2" s="299"/>
      <c r="ESE2" s="299"/>
      <c r="ESF2" s="299"/>
      <c r="ESG2" s="299"/>
      <c r="ESH2" s="299"/>
      <c r="ESI2" s="299"/>
      <c r="ESJ2" s="299"/>
      <c r="ESK2" s="299"/>
      <c r="ESL2" s="299"/>
      <c r="ESM2" s="299"/>
      <c r="ESN2" s="299"/>
      <c r="ESO2" s="299"/>
      <c r="ESP2" s="299"/>
      <c r="ESQ2" s="299"/>
      <c r="ESR2" s="299"/>
      <c r="ESS2" s="299"/>
      <c r="EST2" s="299"/>
      <c r="ESU2" s="299"/>
      <c r="ESV2" s="299"/>
      <c r="ESW2" s="299"/>
      <c r="ESX2" s="299"/>
      <c r="ESY2" s="299"/>
      <c r="ESZ2" s="299"/>
      <c r="ETA2" s="299"/>
      <c r="ETB2" s="299"/>
      <c r="ETC2" s="299"/>
      <c r="ETD2" s="299"/>
      <c r="ETE2" s="299"/>
      <c r="ETF2" s="299"/>
      <c r="ETG2" s="299"/>
      <c r="ETH2" s="299"/>
      <c r="ETI2" s="299"/>
      <c r="ETJ2" s="299"/>
      <c r="ETK2" s="299"/>
      <c r="ETL2" s="299"/>
      <c r="ETM2" s="299"/>
      <c r="ETN2" s="299"/>
      <c r="ETO2" s="299"/>
      <c r="ETP2" s="299"/>
      <c r="ETQ2" s="299"/>
      <c r="ETR2" s="299"/>
      <c r="ETS2" s="299"/>
      <c r="ETT2" s="299"/>
      <c r="ETU2" s="299"/>
      <c r="ETV2" s="299"/>
      <c r="ETW2" s="299"/>
      <c r="ETX2" s="299"/>
      <c r="ETY2" s="299"/>
      <c r="ETZ2" s="299"/>
      <c r="EUA2" s="299"/>
      <c r="EUB2" s="299"/>
      <c r="EUC2" s="299"/>
      <c r="EUD2" s="299"/>
      <c r="EUE2" s="299"/>
      <c r="EUF2" s="299"/>
      <c r="EUG2" s="299"/>
      <c r="EUH2" s="299"/>
      <c r="EUI2" s="299"/>
      <c r="EUJ2" s="299"/>
      <c r="EUK2" s="299"/>
      <c r="EUL2" s="299"/>
      <c r="EUM2" s="299"/>
      <c r="EUN2" s="299"/>
      <c r="EUO2" s="299"/>
      <c r="EUP2" s="299"/>
      <c r="EUQ2" s="299"/>
      <c r="EUR2" s="299"/>
      <c r="EUS2" s="299"/>
      <c r="EUT2" s="299"/>
      <c r="EUU2" s="299"/>
      <c r="EUV2" s="299"/>
      <c r="EUW2" s="299"/>
      <c r="EUX2" s="299"/>
      <c r="EUY2" s="299"/>
      <c r="EUZ2" s="299"/>
      <c r="EVA2" s="299"/>
      <c r="EVB2" s="299"/>
      <c r="EVC2" s="299"/>
      <c r="EVD2" s="299"/>
      <c r="EVE2" s="299"/>
      <c r="EVF2" s="299"/>
      <c r="EVG2" s="299"/>
      <c r="EVH2" s="299"/>
      <c r="EVI2" s="299"/>
      <c r="EVJ2" s="299"/>
      <c r="EVK2" s="299"/>
      <c r="EVL2" s="299"/>
      <c r="EVM2" s="299"/>
      <c r="EVN2" s="299"/>
      <c r="EVO2" s="299"/>
      <c r="EVP2" s="299"/>
      <c r="EVQ2" s="299"/>
      <c r="EVR2" s="299"/>
      <c r="EVS2" s="299"/>
      <c r="EVT2" s="299"/>
      <c r="EVU2" s="299"/>
      <c r="EVV2" s="299"/>
      <c r="EVW2" s="299"/>
      <c r="EVX2" s="299"/>
      <c r="EVY2" s="299"/>
      <c r="EVZ2" s="299"/>
      <c r="EWA2" s="299"/>
      <c r="EWB2" s="299"/>
      <c r="EWC2" s="299"/>
      <c r="EWD2" s="299"/>
      <c r="EWE2" s="299"/>
      <c r="EWF2" s="299"/>
      <c r="EWG2" s="299"/>
      <c r="EWH2" s="299"/>
      <c r="EWI2" s="299"/>
      <c r="EWJ2" s="299"/>
      <c r="EWK2" s="299"/>
      <c r="EWL2" s="299"/>
      <c r="EWM2" s="299"/>
      <c r="EWN2" s="299"/>
      <c r="EWO2" s="299"/>
      <c r="EWP2" s="299"/>
      <c r="EWQ2" s="299"/>
      <c r="EWR2" s="299"/>
      <c r="EWS2" s="299"/>
      <c r="EWT2" s="299"/>
      <c r="EWU2" s="299"/>
      <c r="EWV2" s="299"/>
      <c r="EWW2" s="299"/>
      <c r="EWX2" s="299"/>
      <c r="EWY2" s="299"/>
      <c r="EWZ2" s="299"/>
      <c r="EXA2" s="299"/>
      <c r="EXB2" s="299"/>
      <c r="EXC2" s="299"/>
      <c r="EXD2" s="299"/>
      <c r="EXE2" s="299"/>
      <c r="EXF2" s="299"/>
      <c r="EXG2" s="299"/>
      <c r="EXH2" s="299"/>
      <c r="EXI2" s="299"/>
      <c r="EXJ2" s="299"/>
      <c r="EXK2" s="299"/>
      <c r="EXL2" s="299"/>
      <c r="EXM2" s="299"/>
      <c r="EXN2" s="299"/>
      <c r="EXO2" s="299"/>
      <c r="EXP2" s="299"/>
      <c r="EXQ2" s="299"/>
      <c r="EXR2" s="299"/>
      <c r="EXS2" s="299"/>
      <c r="EXT2" s="299"/>
      <c r="EXU2" s="299"/>
      <c r="EXV2" s="299"/>
      <c r="EXW2" s="299"/>
      <c r="EXX2" s="299"/>
      <c r="EXY2" s="299"/>
      <c r="EXZ2" s="299"/>
      <c r="EYA2" s="299"/>
      <c r="EYB2" s="299"/>
      <c r="EYC2" s="299"/>
      <c r="EYD2" s="299"/>
      <c r="EYE2" s="299"/>
      <c r="EYF2" s="299"/>
      <c r="EYG2" s="299"/>
      <c r="EYH2" s="299"/>
      <c r="EYI2" s="299"/>
      <c r="EYJ2" s="299"/>
      <c r="EYK2" s="299"/>
      <c r="EYL2" s="299"/>
      <c r="EYM2" s="299"/>
      <c r="EYN2" s="299"/>
      <c r="EYO2" s="299"/>
      <c r="EYP2" s="299"/>
      <c r="EYQ2" s="299"/>
      <c r="EYR2" s="299"/>
      <c r="EYS2" s="299"/>
      <c r="EYT2" s="299"/>
      <c r="EYU2" s="299"/>
      <c r="EYV2" s="299"/>
      <c r="EYW2" s="299"/>
      <c r="EYX2" s="299"/>
      <c r="EYY2" s="299"/>
      <c r="EYZ2" s="299"/>
      <c r="EZA2" s="299"/>
      <c r="EZB2" s="299"/>
      <c r="EZC2" s="299"/>
      <c r="EZD2" s="299"/>
      <c r="EZE2" s="299"/>
      <c r="EZF2" s="299"/>
      <c r="EZG2" s="299"/>
      <c r="EZH2" s="299"/>
      <c r="EZI2" s="299"/>
      <c r="EZJ2" s="299"/>
      <c r="EZK2" s="299"/>
      <c r="EZL2" s="299"/>
      <c r="EZM2" s="299"/>
      <c r="EZN2" s="299"/>
      <c r="EZO2" s="299"/>
      <c r="EZP2" s="299"/>
      <c r="EZQ2" s="299"/>
      <c r="EZR2" s="299"/>
      <c r="EZS2" s="299"/>
      <c r="EZT2" s="299"/>
      <c r="EZU2" s="299"/>
      <c r="EZV2" s="299"/>
      <c r="EZW2" s="299"/>
      <c r="EZX2" s="299"/>
      <c r="EZY2" s="299"/>
      <c r="EZZ2" s="299"/>
      <c r="FAA2" s="299"/>
      <c r="FAB2" s="299"/>
      <c r="FAC2" s="299"/>
      <c r="FAD2" s="299"/>
      <c r="FAE2" s="299"/>
      <c r="FAF2" s="299"/>
      <c r="FAG2" s="299"/>
      <c r="FAH2" s="299"/>
      <c r="FAI2" s="299"/>
      <c r="FAJ2" s="299"/>
      <c r="FAK2" s="299"/>
      <c r="FAL2" s="299"/>
      <c r="FAM2" s="299"/>
      <c r="FAN2" s="299"/>
      <c r="FAO2" s="299"/>
      <c r="FAP2" s="299"/>
      <c r="FAQ2" s="299"/>
      <c r="FAR2" s="299"/>
      <c r="FAS2" s="299"/>
      <c r="FAT2" s="299"/>
      <c r="FAU2" s="299"/>
      <c r="FAV2" s="299"/>
      <c r="FAW2" s="299"/>
      <c r="FAX2" s="299"/>
      <c r="FAY2" s="299"/>
      <c r="FAZ2" s="299"/>
      <c r="FBA2" s="299"/>
      <c r="FBB2" s="299"/>
      <c r="FBC2" s="299"/>
      <c r="FBD2" s="299"/>
      <c r="FBE2" s="299"/>
      <c r="FBF2" s="299"/>
      <c r="FBG2" s="299"/>
      <c r="FBH2" s="299"/>
      <c r="FBI2" s="299"/>
      <c r="FBJ2" s="299"/>
      <c r="FBK2" s="299"/>
      <c r="FBL2" s="299"/>
      <c r="FBM2" s="299"/>
      <c r="FBN2" s="299"/>
      <c r="FBO2" s="299"/>
      <c r="FBP2" s="299"/>
      <c r="FBQ2" s="299"/>
      <c r="FBR2" s="299"/>
      <c r="FBS2" s="299"/>
      <c r="FBT2" s="299"/>
      <c r="FBU2" s="299"/>
      <c r="FBV2" s="299"/>
      <c r="FBW2" s="299"/>
      <c r="FBX2" s="299"/>
      <c r="FBY2" s="299"/>
      <c r="FBZ2" s="299"/>
      <c r="FCA2" s="299"/>
      <c r="FCB2" s="299"/>
      <c r="FCC2" s="299"/>
      <c r="FCD2" s="299"/>
      <c r="FCE2" s="299"/>
      <c r="FCF2" s="299"/>
      <c r="FCG2" s="299"/>
      <c r="FCH2" s="299"/>
      <c r="FCI2" s="299"/>
      <c r="FCJ2" s="299"/>
      <c r="FCK2" s="299"/>
      <c r="FCL2" s="299"/>
      <c r="FCM2" s="299"/>
      <c r="FCN2" s="299"/>
      <c r="FCO2" s="299"/>
      <c r="FCP2" s="299"/>
      <c r="FCQ2" s="299"/>
      <c r="FCR2" s="299"/>
      <c r="FCS2" s="299"/>
      <c r="FCT2" s="299"/>
      <c r="FCU2" s="299"/>
      <c r="FCV2" s="299"/>
      <c r="FCW2" s="299"/>
      <c r="FCX2" s="299"/>
      <c r="FCY2" s="299"/>
      <c r="FCZ2" s="299"/>
      <c r="FDA2" s="299"/>
      <c r="FDB2" s="299"/>
      <c r="FDC2" s="299"/>
      <c r="FDD2" s="299"/>
      <c r="FDE2" s="299"/>
      <c r="FDF2" s="299"/>
      <c r="FDG2" s="299"/>
      <c r="FDH2" s="299"/>
      <c r="FDI2" s="299"/>
      <c r="FDJ2" s="299"/>
      <c r="FDK2" s="299"/>
      <c r="FDL2" s="299"/>
      <c r="FDM2" s="299"/>
      <c r="FDN2" s="299"/>
      <c r="FDO2" s="299"/>
      <c r="FDP2" s="299"/>
      <c r="FDQ2" s="299"/>
      <c r="FDR2" s="299"/>
      <c r="FDS2" s="299"/>
      <c r="FDT2" s="299"/>
      <c r="FDU2" s="299"/>
      <c r="FDV2" s="299"/>
      <c r="FDW2" s="299"/>
      <c r="FDX2" s="299"/>
      <c r="FDY2" s="299"/>
      <c r="FDZ2" s="299"/>
      <c r="FEA2" s="299"/>
      <c r="FEB2" s="299"/>
      <c r="FEC2" s="299"/>
      <c r="FED2" s="299"/>
      <c r="FEE2" s="299"/>
      <c r="FEF2" s="299"/>
      <c r="FEG2" s="299"/>
      <c r="FEH2" s="299"/>
      <c r="FEI2" s="299"/>
      <c r="FEJ2" s="299"/>
      <c r="FEK2" s="299"/>
      <c r="FEL2" s="299"/>
      <c r="FEM2" s="299"/>
      <c r="FEN2" s="299"/>
      <c r="FEO2" s="299"/>
      <c r="FEP2" s="299"/>
      <c r="FEQ2" s="299"/>
      <c r="FER2" s="299"/>
      <c r="FES2" s="299"/>
      <c r="FET2" s="299"/>
      <c r="FEU2" s="299"/>
      <c r="FEV2" s="299"/>
      <c r="FEW2" s="299"/>
      <c r="FEX2" s="299"/>
      <c r="FEY2" s="299"/>
      <c r="FEZ2" s="299"/>
      <c r="FFA2" s="299"/>
      <c r="FFB2" s="299"/>
      <c r="FFC2" s="299"/>
      <c r="FFD2" s="299"/>
      <c r="FFE2" s="299"/>
      <c r="FFF2" s="299"/>
      <c r="FFG2" s="299"/>
      <c r="FFH2" s="299"/>
      <c r="FFI2" s="299"/>
      <c r="FFJ2" s="299"/>
      <c r="FFK2" s="299"/>
      <c r="FFL2" s="299"/>
      <c r="FFM2" s="299"/>
      <c r="FFN2" s="299"/>
      <c r="FFO2" s="299"/>
      <c r="FFP2" s="299"/>
      <c r="FFQ2" s="299"/>
      <c r="FFR2" s="299"/>
      <c r="FFS2" s="299"/>
      <c r="FFT2" s="299"/>
      <c r="FFU2" s="299"/>
      <c r="FFV2" s="299"/>
      <c r="FFW2" s="299"/>
      <c r="FFX2" s="299"/>
      <c r="FFY2" s="299"/>
      <c r="FFZ2" s="299"/>
      <c r="FGA2" s="299"/>
      <c r="FGB2" s="299"/>
      <c r="FGC2" s="299"/>
      <c r="FGD2" s="299"/>
      <c r="FGE2" s="299"/>
      <c r="FGF2" s="299"/>
      <c r="FGG2" s="299"/>
      <c r="FGH2" s="299"/>
      <c r="FGI2" s="299"/>
      <c r="FGJ2" s="299"/>
      <c r="FGK2" s="299"/>
      <c r="FGL2" s="299"/>
      <c r="FGM2" s="299"/>
      <c r="FGN2" s="299"/>
      <c r="FGO2" s="299"/>
      <c r="FGP2" s="299"/>
      <c r="FGQ2" s="299"/>
      <c r="FGR2" s="299"/>
      <c r="FGS2" s="299"/>
      <c r="FGT2" s="299"/>
      <c r="FGU2" s="299"/>
      <c r="FGV2" s="299"/>
      <c r="FGW2" s="299"/>
      <c r="FGX2" s="299"/>
      <c r="FGY2" s="299"/>
      <c r="FGZ2" s="299"/>
      <c r="FHA2" s="299"/>
      <c r="FHB2" s="299"/>
      <c r="FHC2" s="299"/>
      <c r="FHD2" s="299"/>
      <c r="FHE2" s="299"/>
      <c r="FHF2" s="299"/>
      <c r="FHG2" s="299"/>
      <c r="FHH2" s="299"/>
      <c r="FHI2" s="299"/>
      <c r="FHJ2" s="299"/>
      <c r="FHK2" s="299"/>
      <c r="FHL2" s="299"/>
      <c r="FHM2" s="299"/>
      <c r="FHN2" s="299"/>
      <c r="FHO2" s="299"/>
      <c r="FHP2" s="299"/>
      <c r="FHQ2" s="299"/>
      <c r="FHR2" s="299"/>
      <c r="FHS2" s="299"/>
      <c r="FHT2" s="299"/>
      <c r="FHU2" s="299"/>
      <c r="FHV2" s="299"/>
      <c r="FHW2" s="299"/>
      <c r="FHX2" s="299"/>
      <c r="FHY2" s="299"/>
      <c r="FHZ2" s="299"/>
      <c r="FIA2" s="299"/>
      <c r="FIB2" s="299"/>
      <c r="FIC2" s="299"/>
      <c r="FID2" s="299"/>
      <c r="FIE2" s="299"/>
      <c r="FIF2" s="299"/>
      <c r="FIG2" s="299"/>
      <c r="FIH2" s="299"/>
      <c r="FII2" s="299"/>
      <c r="FIJ2" s="299"/>
      <c r="FIK2" s="299"/>
      <c r="FIL2" s="299"/>
      <c r="FIM2" s="299"/>
      <c r="FIN2" s="299"/>
      <c r="FIO2" s="299"/>
      <c r="FIP2" s="299"/>
      <c r="FIQ2" s="299"/>
      <c r="FIR2" s="299"/>
      <c r="FIS2" s="299"/>
      <c r="FIT2" s="299"/>
      <c r="FIU2" s="299"/>
      <c r="FIV2" s="299"/>
      <c r="FIW2" s="299"/>
      <c r="FIX2" s="299"/>
      <c r="FIY2" s="299"/>
      <c r="FIZ2" s="299"/>
      <c r="FJA2" s="299"/>
      <c r="FJB2" s="299"/>
      <c r="FJC2" s="299"/>
      <c r="FJD2" s="299"/>
      <c r="FJE2" s="299"/>
      <c r="FJF2" s="299"/>
      <c r="FJG2" s="299"/>
      <c r="FJH2" s="299"/>
      <c r="FJI2" s="299"/>
      <c r="FJJ2" s="299"/>
      <c r="FJK2" s="299"/>
      <c r="FJL2" s="299"/>
      <c r="FJM2" s="299"/>
      <c r="FJN2" s="299"/>
      <c r="FJO2" s="299"/>
      <c r="FJP2" s="299"/>
      <c r="FJQ2" s="299"/>
      <c r="FJR2" s="299"/>
      <c r="FJS2" s="299"/>
      <c r="FJT2" s="299"/>
      <c r="FJU2" s="299"/>
      <c r="FJV2" s="299"/>
      <c r="FJW2" s="299"/>
      <c r="FJX2" s="299"/>
      <c r="FJY2" s="299"/>
      <c r="FJZ2" s="299"/>
      <c r="FKA2" s="299"/>
      <c r="FKB2" s="299"/>
      <c r="FKC2" s="299"/>
      <c r="FKD2" s="299"/>
      <c r="FKE2" s="299"/>
      <c r="FKF2" s="299"/>
      <c r="FKG2" s="299"/>
      <c r="FKH2" s="299"/>
      <c r="FKI2" s="299"/>
      <c r="FKJ2" s="299"/>
      <c r="FKK2" s="299"/>
      <c r="FKL2" s="299"/>
      <c r="FKM2" s="299"/>
      <c r="FKN2" s="299"/>
      <c r="FKO2" s="299"/>
      <c r="FKP2" s="299"/>
      <c r="FKQ2" s="299"/>
      <c r="FKR2" s="299"/>
      <c r="FKS2" s="299"/>
      <c r="FKT2" s="299"/>
      <c r="FKU2" s="299"/>
      <c r="FKV2" s="299"/>
      <c r="FKW2" s="299"/>
      <c r="FKX2" s="299"/>
      <c r="FKY2" s="299"/>
      <c r="FKZ2" s="299"/>
      <c r="FLA2" s="299"/>
      <c r="FLB2" s="299"/>
      <c r="FLC2" s="299"/>
      <c r="FLD2" s="299"/>
      <c r="FLE2" s="299"/>
      <c r="FLF2" s="299"/>
      <c r="FLG2" s="299"/>
      <c r="FLH2" s="299"/>
      <c r="FLI2" s="299"/>
      <c r="FLJ2" s="299"/>
      <c r="FLK2" s="299"/>
      <c r="FLL2" s="299"/>
      <c r="FLM2" s="299"/>
      <c r="FLN2" s="299"/>
      <c r="FLO2" s="299"/>
      <c r="FLP2" s="299"/>
      <c r="FLQ2" s="299"/>
      <c r="FLR2" s="299"/>
      <c r="FLS2" s="299"/>
      <c r="FLT2" s="299"/>
      <c r="FLU2" s="299"/>
      <c r="FLV2" s="299"/>
      <c r="FLW2" s="299"/>
      <c r="FLX2" s="299"/>
      <c r="FLY2" s="299"/>
      <c r="FLZ2" s="299"/>
      <c r="FMA2" s="299"/>
      <c r="FMB2" s="299"/>
      <c r="FMC2" s="299"/>
      <c r="FMD2" s="299"/>
      <c r="FME2" s="299"/>
      <c r="FMF2" s="299"/>
      <c r="FMG2" s="299"/>
      <c r="FMH2" s="299"/>
      <c r="FMI2" s="299"/>
      <c r="FMJ2" s="299"/>
      <c r="FMK2" s="299"/>
      <c r="FML2" s="299"/>
      <c r="FMM2" s="299"/>
      <c r="FMN2" s="299"/>
      <c r="FMO2" s="299"/>
      <c r="FMP2" s="299"/>
      <c r="FMQ2" s="299"/>
      <c r="FMR2" s="299"/>
      <c r="FMS2" s="299"/>
      <c r="FMT2" s="299"/>
      <c r="FMU2" s="299"/>
      <c r="FMV2" s="299"/>
      <c r="FMW2" s="299"/>
      <c r="FMX2" s="299"/>
      <c r="FMY2" s="299"/>
      <c r="FMZ2" s="299"/>
      <c r="FNA2" s="299"/>
      <c r="FNB2" s="299"/>
      <c r="FNC2" s="299"/>
      <c r="FND2" s="299"/>
      <c r="FNE2" s="299"/>
      <c r="FNF2" s="299"/>
      <c r="FNG2" s="299"/>
      <c r="FNH2" s="299"/>
      <c r="FNI2" s="299"/>
      <c r="FNJ2" s="299"/>
      <c r="FNK2" s="299"/>
      <c r="FNL2" s="299"/>
      <c r="FNM2" s="299"/>
      <c r="FNN2" s="299"/>
      <c r="FNO2" s="299"/>
      <c r="FNP2" s="299"/>
      <c r="FNQ2" s="299"/>
      <c r="FNR2" s="299"/>
      <c r="FNS2" s="299"/>
      <c r="FNT2" s="299"/>
      <c r="FNU2" s="299"/>
      <c r="FNV2" s="299"/>
      <c r="FNW2" s="299"/>
      <c r="FNX2" s="299"/>
      <c r="FNY2" s="299"/>
      <c r="FNZ2" s="299"/>
      <c r="FOA2" s="299"/>
      <c r="FOB2" s="299"/>
      <c r="FOC2" s="299"/>
      <c r="FOD2" s="299"/>
      <c r="FOE2" s="299"/>
      <c r="FOF2" s="299"/>
      <c r="FOG2" s="299"/>
      <c r="FOH2" s="299"/>
      <c r="FOI2" s="299"/>
      <c r="FOJ2" s="299"/>
      <c r="FOK2" s="299"/>
      <c r="FOL2" s="299"/>
      <c r="FOM2" s="299"/>
      <c r="FON2" s="299"/>
      <c r="FOO2" s="299"/>
      <c r="FOP2" s="299"/>
      <c r="FOQ2" s="299"/>
      <c r="FOR2" s="299"/>
      <c r="FOS2" s="299"/>
      <c r="FOT2" s="299"/>
      <c r="FOU2" s="299"/>
      <c r="FOV2" s="299"/>
      <c r="FOW2" s="299"/>
      <c r="FOX2" s="299"/>
      <c r="FOY2" s="299"/>
      <c r="FOZ2" s="299"/>
      <c r="FPA2" s="299"/>
      <c r="FPB2" s="299"/>
      <c r="FPC2" s="299"/>
      <c r="FPD2" s="299"/>
      <c r="FPE2" s="299"/>
      <c r="FPF2" s="299"/>
      <c r="FPG2" s="299"/>
      <c r="FPH2" s="299"/>
      <c r="FPI2" s="299"/>
      <c r="FPJ2" s="299"/>
      <c r="FPK2" s="299"/>
      <c r="FPL2" s="299"/>
      <c r="FPM2" s="299"/>
      <c r="FPN2" s="299"/>
      <c r="FPO2" s="299"/>
      <c r="FPP2" s="299"/>
      <c r="FPQ2" s="299"/>
      <c r="FPR2" s="299"/>
      <c r="FPS2" s="299"/>
      <c r="FPT2" s="299"/>
      <c r="FPU2" s="299"/>
      <c r="FPV2" s="299"/>
      <c r="FPW2" s="299"/>
      <c r="FPX2" s="299"/>
      <c r="FPY2" s="299"/>
      <c r="FPZ2" s="299"/>
      <c r="FQA2" s="299"/>
      <c r="FQB2" s="299"/>
      <c r="FQC2" s="299"/>
      <c r="FQD2" s="299"/>
      <c r="FQE2" s="299"/>
      <c r="FQF2" s="299"/>
      <c r="FQG2" s="299"/>
      <c r="FQH2" s="299"/>
      <c r="FQI2" s="299"/>
      <c r="FQJ2" s="299"/>
      <c r="FQK2" s="299"/>
      <c r="FQL2" s="299"/>
      <c r="FQM2" s="299"/>
      <c r="FQN2" s="299"/>
      <c r="FQO2" s="299"/>
      <c r="FQP2" s="299"/>
      <c r="FQQ2" s="299"/>
      <c r="FQR2" s="299"/>
      <c r="FQS2" s="299"/>
      <c r="FQT2" s="299"/>
      <c r="FQU2" s="299"/>
      <c r="FQV2" s="299"/>
      <c r="FQW2" s="299"/>
      <c r="FQX2" s="299"/>
      <c r="FQY2" s="299"/>
      <c r="FQZ2" s="299"/>
      <c r="FRA2" s="299"/>
      <c r="FRB2" s="299"/>
      <c r="FRC2" s="299"/>
      <c r="FRD2" s="299"/>
      <c r="FRE2" s="299"/>
      <c r="FRF2" s="299"/>
      <c r="FRG2" s="299"/>
      <c r="FRH2" s="299"/>
      <c r="FRI2" s="299"/>
      <c r="FRJ2" s="299"/>
      <c r="FRK2" s="299"/>
      <c r="FRL2" s="299"/>
      <c r="FRM2" s="299"/>
      <c r="FRN2" s="299"/>
      <c r="FRO2" s="299"/>
      <c r="FRP2" s="299"/>
      <c r="FRQ2" s="299"/>
      <c r="FRR2" s="299"/>
      <c r="FRS2" s="299"/>
      <c r="FRT2" s="299"/>
      <c r="FRU2" s="299"/>
      <c r="FRV2" s="299"/>
      <c r="FRW2" s="299"/>
      <c r="FRX2" s="299"/>
      <c r="FRY2" s="299"/>
      <c r="FRZ2" s="299"/>
      <c r="FSA2" s="299"/>
      <c r="FSB2" s="299"/>
      <c r="FSC2" s="299"/>
      <c r="FSD2" s="299"/>
      <c r="FSE2" s="299"/>
      <c r="FSF2" s="299"/>
      <c r="FSG2" s="299"/>
      <c r="FSH2" s="299"/>
      <c r="FSI2" s="299"/>
      <c r="FSJ2" s="299"/>
      <c r="FSK2" s="299"/>
      <c r="FSL2" s="299"/>
      <c r="FSM2" s="299"/>
      <c r="FSN2" s="299"/>
      <c r="FSO2" s="299"/>
      <c r="FSP2" s="299"/>
      <c r="FSQ2" s="299"/>
      <c r="FSR2" s="299"/>
      <c r="FSS2" s="299"/>
      <c r="FST2" s="299"/>
      <c r="FSU2" s="299"/>
      <c r="FSV2" s="299"/>
      <c r="FSW2" s="299"/>
      <c r="FSX2" s="299"/>
      <c r="FSY2" s="299"/>
      <c r="FSZ2" s="299"/>
      <c r="FTA2" s="299"/>
      <c r="FTB2" s="299"/>
      <c r="FTC2" s="299"/>
      <c r="FTD2" s="299"/>
      <c r="FTE2" s="299"/>
      <c r="FTF2" s="299"/>
      <c r="FTG2" s="299"/>
      <c r="FTH2" s="299"/>
      <c r="FTI2" s="299"/>
      <c r="FTJ2" s="299"/>
      <c r="FTK2" s="299"/>
      <c r="FTL2" s="299"/>
      <c r="FTM2" s="299"/>
      <c r="FTN2" s="299"/>
      <c r="FTO2" s="299"/>
      <c r="FTP2" s="299"/>
      <c r="FTQ2" s="299"/>
      <c r="FTR2" s="299"/>
      <c r="FTS2" s="299"/>
      <c r="FTT2" s="299"/>
      <c r="FTU2" s="299"/>
      <c r="FTV2" s="299"/>
      <c r="FTW2" s="299"/>
      <c r="FTX2" s="299"/>
      <c r="FTY2" s="299"/>
      <c r="FTZ2" s="299"/>
      <c r="FUA2" s="299"/>
      <c r="FUB2" s="299"/>
      <c r="FUC2" s="299"/>
      <c r="FUD2" s="299"/>
      <c r="FUE2" s="299"/>
      <c r="FUF2" s="299"/>
      <c r="FUG2" s="299"/>
      <c r="FUH2" s="299"/>
      <c r="FUI2" s="299"/>
      <c r="FUJ2" s="299"/>
      <c r="FUK2" s="299"/>
      <c r="FUL2" s="299"/>
      <c r="FUM2" s="299"/>
      <c r="FUN2" s="299"/>
      <c r="FUO2" s="299"/>
      <c r="FUP2" s="299"/>
      <c r="FUQ2" s="299"/>
      <c r="FUR2" s="299"/>
      <c r="FUS2" s="299"/>
      <c r="FUT2" s="299"/>
      <c r="FUU2" s="299"/>
      <c r="FUV2" s="299"/>
      <c r="FUW2" s="299"/>
      <c r="FUX2" s="299"/>
      <c r="FUY2" s="299"/>
      <c r="FUZ2" s="299"/>
      <c r="FVA2" s="299"/>
      <c r="FVB2" s="299"/>
      <c r="FVC2" s="299"/>
      <c r="FVD2" s="299"/>
      <c r="FVE2" s="299"/>
      <c r="FVF2" s="299"/>
      <c r="FVG2" s="299"/>
      <c r="FVH2" s="299"/>
      <c r="FVI2" s="299"/>
      <c r="FVJ2" s="299"/>
      <c r="FVK2" s="299"/>
      <c r="FVL2" s="299"/>
      <c r="FVM2" s="299"/>
      <c r="FVN2" s="299"/>
      <c r="FVO2" s="299"/>
      <c r="FVP2" s="299"/>
      <c r="FVQ2" s="299"/>
      <c r="FVR2" s="299"/>
      <c r="FVS2" s="299"/>
      <c r="FVT2" s="299"/>
      <c r="FVU2" s="299"/>
      <c r="FVV2" s="299"/>
      <c r="FVW2" s="299"/>
      <c r="FVX2" s="299"/>
      <c r="FVY2" s="299"/>
      <c r="FVZ2" s="299"/>
      <c r="FWA2" s="299"/>
      <c r="FWB2" s="299"/>
      <c r="FWC2" s="299"/>
      <c r="FWD2" s="299"/>
      <c r="FWE2" s="299"/>
      <c r="FWF2" s="299"/>
      <c r="FWG2" s="299"/>
      <c r="FWH2" s="299"/>
      <c r="FWI2" s="299"/>
      <c r="FWJ2" s="299"/>
      <c r="FWK2" s="299"/>
      <c r="FWL2" s="299"/>
      <c r="FWM2" s="299"/>
      <c r="FWN2" s="299"/>
      <c r="FWO2" s="299"/>
      <c r="FWP2" s="299"/>
      <c r="FWQ2" s="299"/>
      <c r="FWR2" s="299"/>
      <c r="FWS2" s="299"/>
      <c r="FWT2" s="299"/>
      <c r="FWU2" s="299"/>
      <c r="FWV2" s="299"/>
      <c r="FWW2" s="299"/>
      <c r="FWX2" s="299"/>
      <c r="FWY2" s="299"/>
      <c r="FWZ2" s="299"/>
      <c r="FXA2" s="299"/>
      <c r="FXB2" s="299"/>
      <c r="FXC2" s="299"/>
      <c r="FXD2" s="299"/>
      <c r="FXE2" s="299"/>
      <c r="FXF2" s="299"/>
      <c r="FXG2" s="299"/>
      <c r="FXH2" s="299"/>
      <c r="FXI2" s="299"/>
      <c r="FXJ2" s="299"/>
      <c r="FXK2" s="299"/>
      <c r="FXL2" s="299"/>
      <c r="FXM2" s="299"/>
      <c r="FXN2" s="299"/>
      <c r="FXO2" s="299"/>
      <c r="FXP2" s="299"/>
      <c r="FXQ2" s="299"/>
      <c r="FXR2" s="299"/>
      <c r="FXS2" s="299"/>
      <c r="FXT2" s="299"/>
      <c r="FXU2" s="299"/>
      <c r="FXV2" s="299"/>
      <c r="FXW2" s="299"/>
      <c r="FXX2" s="299"/>
      <c r="FXY2" s="299"/>
      <c r="FXZ2" s="299"/>
      <c r="FYA2" s="299"/>
      <c r="FYB2" s="299"/>
      <c r="FYC2" s="299"/>
      <c r="FYD2" s="299"/>
      <c r="FYE2" s="299"/>
      <c r="FYF2" s="299"/>
      <c r="FYG2" s="299"/>
      <c r="FYH2" s="299"/>
      <c r="FYI2" s="299"/>
      <c r="FYJ2" s="299"/>
      <c r="FYK2" s="299"/>
      <c r="FYL2" s="299"/>
      <c r="FYM2" s="299"/>
      <c r="FYN2" s="299"/>
      <c r="FYO2" s="299"/>
      <c r="FYP2" s="299"/>
      <c r="FYQ2" s="299"/>
      <c r="FYR2" s="299"/>
      <c r="FYS2" s="299"/>
      <c r="FYT2" s="299"/>
      <c r="FYU2" s="299"/>
      <c r="FYV2" s="299"/>
      <c r="FYW2" s="299"/>
      <c r="FYX2" s="299"/>
      <c r="FYY2" s="299"/>
      <c r="FYZ2" s="299"/>
      <c r="FZA2" s="299"/>
      <c r="FZB2" s="299"/>
      <c r="FZC2" s="299"/>
      <c r="FZD2" s="299"/>
      <c r="FZE2" s="299"/>
      <c r="FZF2" s="299"/>
      <c r="FZG2" s="299"/>
      <c r="FZH2" s="299"/>
      <c r="FZI2" s="299"/>
      <c r="FZJ2" s="299"/>
      <c r="FZK2" s="299"/>
      <c r="FZL2" s="299"/>
      <c r="FZM2" s="299"/>
      <c r="FZN2" s="299"/>
      <c r="FZO2" s="299"/>
      <c r="FZP2" s="299"/>
      <c r="FZQ2" s="299"/>
      <c r="FZR2" s="299"/>
      <c r="FZS2" s="299"/>
      <c r="FZT2" s="299"/>
      <c r="FZU2" s="299"/>
      <c r="FZV2" s="299"/>
      <c r="FZW2" s="299"/>
      <c r="FZX2" s="299"/>
      <c r="FZY2" s="299"/>
      <c r="FZZ2" s="299"/>
      <c r="GAA2" s="299"/>
      <c r="GAB2" s="299"/>
      <c r="GAC2" s="299"/>
      <c r="GAD2" s="299"/>
      <c r="GAE2" s="299"/>
      <c r="GAF2" s="299"/>
      <c r="GAG2" s="299"/>
      <c r="GAH2" s="299"/>
      <c r="GAI2" s="299"/>
      <c r="GAJ2" s="299"/>
      <c r="GAK2" s="299"/>
      <c r="GAL2" s="299"/>
      <c r="GAM2" s="299"/>
      <c r="GAN2" s="299"/>
      <c r="GAO2" s="299"/>
      <c r="GAP2" s="299"/>
      <c r="GAQ2" s="299"/>
      <c r="GAR2" s="299"/>
      <c r="GAS2" s="299"/>
      <c r="GAT2" s="299"/>
      <c r="GAU2" s="299"/>
      <c r="GAV2" s="299"/>
      <c r="GAW2" s="299"/>
      <c r="GAX2" s="299"/>
      <c r="GAY2" s="299"/>
      <c r="GAZ2" s="299"/>
      <c r="GBA2" s="299"/>
      <c r="GBB2" s="299"/>
      <c r="GBC2" s="299"/>
      <c r="GBD2" s="299"/>
      <c r="GBE2" s="299"/>
      <c r="GBF2" s="299"/>
      <c r="GBG2" s="299"/>
      <c r="GBH2" s="299"/>
      <c r="GBI2" s="299"/>
      <c r="GBJ2" s="299"/>
      <c r="GBK2" s="299"/>
      <c r="GBL2" s="299"/>
      <c r="GBM2" s="299"/>
      <c r="GBN2" s="299"/>
      <c r="GBO2" s="299"/>
      <c r="GBP2" s="299"/>
      <c r="GBQ2" s="299"/>
      <c r="GBR2" s="299"/>
      <c r="GBS2" s="299"/>
      <c r="GBT2" s="299"/>
      <c r="GBU2" s="299"/>
      <c r="GBV2" s="299"/>
      <c r="GBW2" s="299"/>
      <c r="GBX2" s="299"/>
      <c r="GBY2" s="299"/>
      <c r="GBZ2" s="299"/>
      <c r="GCA2" s="299"/>
      <c r="GCB2" s="299"/>
      <c r="GCC2" s="299"/>
      <c r="GCD2" s="299"/>
      <c r="GCE2" s="299"/>
      <c r="GCF2" s="299"/>
      <c r="GCG2" s="299"/>
      <c r="GCH2" s="299"/>
      <c r="GCI2" s="299"/>
      <c r="GCJ2" s="299"/>
      <c r="GCK2" s="299"/>
      <c r="GCL2" s="299"/>
      <c r="GCM2" s="299"/>
      <c r="GCN2" s="299"/>
      <c r="GCO2" s="299"/>
      <c r="GCP2" s="299"/>
      <c r="GCQ2" s="299"/>
      <c r="GCR2" s="299"/>
      <c r="GCS2" s="299"/>
      <c r="GCT2" s="299"/>
      <c r="GCU2" s="299"/>
      <c r="GCV2" s="299"/>
      <c r="GCW2" s="299"/>
      <c r="GCX2" s="299"/>
      <c r="GCY2" s="299"/>
      <c r="GCZ2" s="299"/>
      <c r="GDA2" s="299"/>
      <c r="GDB2" s="299"/>
      <c r="GDC2" s="299"/>
      <c r="GDD2" s="299"/>
      <c r="GDE2" s="299"/>
      <c r="GDF2" s="299"/>
      <c r="GDG2" s="299"/>
      <c r="GDH2" s="299"/>
      <c r="GDI2" s="299"/>
      <c r="GDJ2" s="299"/>
      <c r="GDK2" s="299"/>
      <c r="GDL2" s="299"/>
      <c r="GDM2" s="299"/>
      <c r="GDN2" s="299"/>
      <c r="GDO2" s="299"/>
      <c r="GDP2" s="299"/>
      <c r="GDQ2" s="299"/>
      <c r="GDR2" s="299"/>
      <c r="GDS2" s="299"/>
      <c r="GDT2" s="299"/>
      <c r="GDU2" s="299"/>
      <c r="GDV2" s="299"/>
      <c r="GDW2" s="299"/>
      <c r="GDX2" s="299"/>
      <c r="GDY2" s="299"/>
      <c r="GDZ2" s="299"/>
      <c r="GEA2" s="299"/>
      <c r="GEB2" s="299"/>
      <c r="GEC2" s="299"/>
      <c r="GED2" s="299"/>
      <c r="GEE2" s="299"/>
      <c r="GEF2" s="299"/>
      <c r="GEG2" s="299"/>
      <c r="GEH2" s="299"/>
      <c r="GEI2" s="299"/>
      <c r="GEJ2" s="299"/>
      <c r="GEK2" s="299"/>
      <c r="GEL2" s="299"/>
      <c r="GEM2" s="299"/>
      <c r="GEN2" s="299"/>
      <c r="GEO2" s="299"/>
      <c r="GEP2" s="299"/>
      <c r="GEQ2" s="299"/>
      <c r="GER2" s="299"/>
      <c r="GES2" s="299"/>
      <c r="GET2" s="299"/>
      <c r="GEU2" s="299"/>
      <c r="GEV2" s="299"/>
      <c r="GEW2" s="299"/>
      <c r="GEX2" s="299"/>
      <c r="GEY2" s="299"/>
      <c r="GEZ2" s="299"/>
      <c r="GFA2" s="299"/>
      <c r="GFB2" s="299"/>
      <c r="GFC2" s="299"/>
      <c r="GFD2" s="299"/>
      <c r="GFE2" s="299"/>
      <c r="GFF2" s="299"/>
      <c r="GFG2" s="299"/>
      <c r="GFH2" s="299"/>
      <c r="GFI2" s="299"/>
      <c r="GFJ2" s="299"/>
      <c r="GFK2" s="299"/>
      <c r="GFL2" s="299"/>
      <c r="GFM2" s="299"/>
      <c r="GFN2" s="299"/>
      <c r="GFO2" s="299"/>
      <c r="GFP2" s="299"/>
      <c r="GFQ2" s="299"/>
      <c r="GFR2" s="299"/>
      <c r="GFS2" s="299"/>
      <c r="GFT2" s="299"/>
      <c r="GFU2" s="299"/>
      <c r="GFV2" s="299"/>
      <c r="GFW2" s="299"/>
      <c r="GFX2" s="299"/>
      <c r="GFY2" s="299"/>
      <c r="GFZ2" s="299"/>
      <c r="GGA2" s="299"/>
      <c r="GGB2" s="299"/>
      <c r="GGC2" s="299"/>
      <c r="GGD2" s="299"/>
      <c r="GGE2" s="299"/>
      <c r="GGF2" s="299"/>
      <c r="GGG2" s="299"/>
      <c r="GGH2" s="299"/>
      <c r="GGI2" s="299"/>
      <c r="GGJ2" s="299"/>
      <c r="GGK2" s="299"/>
      <c r="GGL2" s="299"/>
      <c r="GGM2" s="299"/>
      <c r="GGN2" s="299"/>
      <c r="GGO2" s="299"/>
      <c r="GGP2" s="299"/>
      <c r="GGQ2" s="299"/>
      <c r="GGR2" s="299"/>
      <c r="GGS2" s="299"/>
      <c r="GGT2" s="299"/>
      <c r="GGU2" s="299"/>
      <c r="GGV2" s="299"/>
      <c r="GGW2" s="299"/>
      <c r="GGX2" s="299"/>
      <c r="GGY2" s="299"/>
      <c r="GGZ2" s="299"/>
      <c r="GHA2" s="299"/>
      <c r="GHB2" s="299"/>
      <c r="GHC2" s="299"/>
      <c r="GHD2" s="299"/>
      <c r="GHE2" s="299"/>
      <c r="GHF2" s="299"/>
      <c r="GHG2" s="299"/>
      <c r="GHH2" s="299"/>
      <c r="GHI2" s="299"/>
      <c r="GHJ2" s="299"/>
      <c r="GHK2" s="299"/>
      <c r="GHL2" s="299"/>
      <c r="GHM2" s="299"/>
      <c r="GHN2" s="299"/>
      <c r="GHO2" s="299"/>
      <c r="GHP2" s="299"/>
      <c r="GHQ2" s="299"/>
      <c r="GHR2" s="299"/>
      <c r="GHS2" s="299"/>
      <c r="GHT2" s="299"/>
      <c r="GHU2" s="299"/>
      <c r="GHV2" s="299"/>
      <c r="GHW2" s="299"/>
      <c r="GHX2" s="299"/>
      <c r="GHY2" s="299"/>
      <c r="GHZ2" s="299"/>
      <c r="GIA2" s="299"/>
      <c r="GIB2" s="299"/>
      <c r="GIC2" s="299"/>
      <c r="GID2" s="299"/>
      <c r="GIE2" s="299"/>
      <c r="GIF2" s="299"/>
      <c r="GIG2" s="299"/>
      <c r="GIH2" s="299"/>
      <c r="GII2" s="299"/>
      <c r="GIJ2" s="299"/>
      <c r="GIK2" s="299"/>
      <c r="GIL2" s="299"/>
      <c r="GIM2" s="299"/>
      <c r="GIN2" s="299"/>
      <c r="GIO2" s="299"/>
      <c r="GIP2" s="299"/>
      <c r="GIQ2" s="299"/>
      <c r="GIR2" s="299"/>
      <c r="GIS2" s="299"/>
      <c r="GIT2" s="299"/>
      <c r="GIU2" s="299"/>
      <c r="GIV2" s="299"/>
      <c r="GIW2" s="299"/>
      <c r="GIX2" s="299"/>
      <c r="GIY2" s="299"/>
      <c r="GIZ2" s="299"/>
      <c r="GJA2" s="299"/>
      <c r="GJB2" s="299"/>
      <c r="GJC2" s="299"/>
      <c r="GJD2" s="299"/>
      <c r="GJE2" s="299"/>
      <c r="GJF2" s="299"/>
      <c r="GJG2" s="299"/>
      <c r="GJH2" s="299"/>
      <c r="GJI2" s="299"/>
      <c r="GJJ2" s="299"/>
      <c r="GJK2" s="299"/>
      <c r="GJL2" s="299"/>
      <c r="GJM2" s="299"/>
      <c r="GJN2" s="299"/>
      <c r="GJO2" s="299"/>
      <c r="GJP2" s="299"/>
      <c r="GJQ2" s="299"/>
      <c r="GJR2" s="299"/>
      <c r="GJS2" s="299"/>
      <c r="GJT2" s="299"/>
      <c r="GJU2" s="299"/>
      <c r="GJV2" s="299"/>
      <c r="GJW2" s="299"/>
      <c r="GJX2" s="299"/>
      <c r="GJY2" s="299"/>
      <c r="GJZ2" s="299"/>
      <c r="GKA2" s="299"/>
      <c r="GKB2" s="299"/>
      <c r="GKC2" s="299"/>
      <c r="GKD2" s="299"/>
      <c r="GKE2" s="299"/>
      <c r="GKF2" s="299"/>
      <c r="GKG2" s="299"/>
      <c r="GKH2" s="299"/>
      <c r="GKI2" s="299"/>
      <c r="GKJ2" s="299"/>
      <c r="GKK2" s="299"/>
      <c r="GKL2" s="299"/>
      <c r="GKM2" s="299"/>
      <c r="GKN2" s="299"/>
      <c r="GKO2" s="299"/>
      <c r="GKP2" s="299"/>
      <c r="GKQ2" s="299"/>
      <c r="GKR2" s="299"/>
      <c r="GKS2" s="299"/>
      <c r="GKT2" s="299"/>
      <c r="GKU2" s="299"/>
      <c r="GKV2" s="299"/>
      <c r="GKW2" s="299"/>
      <c r="GKX2" s="299"/>
      <c r="GKY2" s="299"/>
      <c r="GKZ2" s="299"/>
      <c r="GLA2" s="299"/>
      <c r="GLB2" s="299"/>
      <c r="GLC2" s="299"/>
      <c r="GLD2" s="299"/>
      <c r="GLE2" s="299"/>
      <c r="GLF2" s="299"/>
      <c r="GLG2" s="299"/>
      <c r="GLH2" s="299"/>
      <c r="GLI2" s="299"/>
      <c r="GLJ2" s="299"/>
      <c r="GLK2" s="299"/>
      <c r="GLL2" s="299"/>
      <c r="GLM2" s="299"/>
      <c r="GLN2" s="299"/>
      <c r="GLO2" s="299"/>
      <c r="GLP2" s="299"/>
      <c r="GLQ2" s="299"/>
      <c r="GLR2" s="299"/>
      <c r="GLS2" s="299"/>
      <c r="GLT2" s="299"/>
      <c r="GLU2" s="299"/>
      <c r="GLV2" s="299"/>
      <c r="GLW2" s="299"/>
      <c r="GLX2" s="299"/>
      <c r="GLY2" s="299"/>
      <c r="GLZ2" s="299"/>
      <c r="GMA2" s="299"/>
      <c r="GMB2" s="299"/>
      <c r="GMC2" s="299"/>
      <c r="GMD2" s="299"/>
      <c r="GME2" s="299"/>
      <c r="GMF2" s="299"/>
      <c r="GMG2" s="299"/>
      <c r="GMH2" s="299"/>
      <c r="GMI2" s="299"/>
      <c r="GMJ2" s="299"/>
      <c r="GMK2" s="299"/>
      <c r="GML2" s="299"/>
      <c r="GMM2" s="299"/>
      <c r="GMN2" s="299"/>
      <c r="GMO2" s="299"/>
      <c r="GMP2" s="299"/>
      <c r="GMQ2" s="299"/>
      <c r="GMR2" s="299"/>
      <c r="GMS2" s="299"/>
      <c r="GMT2" s="299"/>
      <c r="GMU2" s="299"/>
      <c r="GMV2" s="299"/>
      <c r="GMW2" s="299"/>
      <c r="GMX2" s="299"/>
      <c r="GMY2" s="299"/>
      <c r="GMZ2" s="299"/>
      <c r="GNA2" s="299"/>
      <c r="GNB2" s="299"/>
      <c r="GNC2" s="299"/>
      <c r="GND2" s="299"/>
      <c r="GNE2" s="299"/>
      <c r="GNF2" s="299"/>
      <c r="GNG2" s="299"/>
      <c r="GNH2" s="299"/>
      <c r="GNI2" s="299"/>
      <c r="GNJ2" s="299"/>
      <c r="GNK2" s="299"/>
      <c r="GNL2" s="299"/>
      <c r="GNM2" s="299"/>
      <c r="GNN2" s="299"/>
      <c r="GNO2" s="299"/>
      <c r="GNP2" s="299"/>
      <c r="GNQ2" s="299"/>
      <c r="GNR2" s="299"/>
      <c r="GNS2" s="299"/>
      <c r="GNT2" s="299"/>
      <c r="GNU2" s="299"/>
      <c r="GNV2" s="299"/>
      <c r="GNW2" s="299"/>
      <c r="GNX2" s="299"/>
      <c r="GNY2" s="299"/>
      <c r="GNZ2" s="299"/>
      <c r="GOA2" s="299"/>
      <c r="GOB2" s="299"/>
      <c r="GOC2" s="299"/>
      <c r="GOD2" s="299"/>
      <c r="GOE2" s="299"/>
      <c r="GOF2" s="299"/>
      <c r="GOG2" s="299"/>
      <c r="GOH2" s="299"/>
      <c r="GOI2" s="299"/>
      <c r="GOJ2" s="299"/>
      <c r="GOK2" s="299"/>
      <c r="GOL2" s="299"/>
      <c r="GOM2" s="299"/>
      <c r="GON2" s="299"/>
      <c r="GOO2" s="299"/>
      <c r="GOP2" s="299"/>
      <c r="GOQ2" s="299"/>
      <c r="GOR2" s="299"/>
      <c r="GOS2" s="299"/>
      <c r="GOT2" s="299"/>
      <c r="GOU2" s="299"/>
      <c r="GOV2" s="299"/>
      <c r="GOW2" s="299"/>
      <c r="GOX2" s="299"/>
      <c r="GOY2" s="299"/>
      <c r="GOZ2" s="299"/>
      <c r="GPA2" s="299"/>
      <c r="GPB2" s="299"/>
      <c r="GPC2" s="299"/>
      <c r="GPD2" s="299"/>
      <c r="GPE2" s="299"/>
      <c r="GPF2" s="299"/>
      <c r="GPG2" s="299"/>
      <c r="GPH2" s="299"/>
      <c r="GPI2" s="299"/>
      <c r="GPJ2" s="299"/>
      <c r="GPK2" s="299"/>
      <c r="GPL2" s="299"/>
      <c r="GPM2" s="299"/>
      <c r="GPN2" s="299"/>
      <c r="GPO2" s="299"/>
      <c r="GPP2" s="299"/>
      <c r="GPQ2" s="299"/>
      <c r="GPR2" s="299"/>
      <c r="GPS2" s="299"/>
      <c r="GPT2" s="299"/>
      <c r="GPU2" s="299"/>
      <c r="GPV2" s="299"/>
      <c r="GPW2" s="299"/>
      <c r="GPX2" s="299"/>
      <c r="GPY2" s="299"/>
      <c r="GPZ2" s="299"/>
      <c r="GQA2" s="299"/>
      <c r="GQB2" s="299"/>
      <c r="GQC2" s="299"/>
      <c r="GQD2" s="299"/>
      <c r="GQE2" s="299"/>
      <c r="GQF2" s="299"/>
      <c r="GQG2" s="299"/>
      <c r="GQH2" s="299"/>
      <c r="GQI2" s="299"/>
      <c r="GQJ2" s="299"/>
      <c r="GQK2" s="299"/>
      <c r="GQL2" s="299"/>
      <c r="GQM2" s="299"/>
      <c r="GQN2" s="299"/>
      <c r="GQO2" s="299"/>
      <c r="GQP2" s="299"/>
      <c r="GQQ2" s="299"/>
      <c r="GQR2" s="299"/>
      <c r="GQS2" s="299"/>
      <c r="GQT2" s="299"/>
      <c r="GQU2" s="299"/>
      <c r="GQV2" s="299"/>
      <c r="GQW2" s="299"/>
      <c r="GQX2" s="299"/>
      <c r="GQY2" s="299"/>
      <c r="GQZ2" s="299"/>
      <c r="GRA2" s="299"/>
      <c r="GRB2" s="299"/>
      <c r="GRC2" s="299"/>
      <c r="GRD2" s="299"/>
      <c r="GRE2" s="299"/>
      <c r="GRF2" s="299"/>
      <c r="GRG2" s="299"/>
      <c r="GRH2" s="299"/>
      <c r="GRI2" s="299"/>
      <c r="GRJ2" s="299"/>
      <c r="GRK2" s="299"/>
      <c r="GRL2" s="299"/>
      <c r="GRM2" s="299"/>
      <c r="GRN2" s="299"/>
      <c r="GRO2" s="299"/>
      <c r="GRP2" s="299"/>
      <c r="GRQ2" s="299"/>
      <c r="GRR2" s="299"/>
      <c r="GRS2" s="299"/>
      <c r="GRT2" s="299"/>
      <c r="GRU2" s="299"/>
      <c r="GRV2" s="299"/>
      <c r="GRW2" s="299"/>
      <c r="GRX2" s="299"/>
      <c r="GRY2" s="299"/>
      <c r="GRZ2" s="299"/>
      <c r="GSA2" s="299"/>
      <c r="GSB2" s="299"/>
      <c r="GSC2" s="299"/>
      <c r="GSD2" s="299"/>
      <c r="GSE2" s="299"/>
      <c r="GSF2" s="299"/>
      <c r="GSG2" s="299"/>
      <c r="GSH2" s="299"/>
      <c r="GSI2" s="299"/>
      <c r="GSJ2" s="299"/>
      <c r="GSK2" s="299"/>
      <c r="GSL2" s="299"/>
      <c r="GSM2" s="299"/>
      <c r="GSN2" s="299"/>
      <c r="GSO2" s="299"/>
      <c r="GSP2" s="299"/>
      <c r="GSQ2" s="299"/>
      <c r="GSR2" s="299"/>
      <c r="GSS2" s="299"/>
      <c r="GST2" s="299"/>
      <c r="GSU2" s="299"/>
      <c r="GSV2" s="299"/>
      <c r="GSW2" s="299"/>
      <c r="GSX2" s="299"/>
      <c r="GSY2" s="299"/>
      <c r="GSZ2" s="299"/>
      <c r="GTA2" s="299"/>
      <c r="GTB2" s="299"/>
      <c r="GTC2" s="299"/>
      <c r="GTD2" s="299"/>
      <c r="GTE2" s="299"/>
      <c r="GTF2" s="299"/>
      <c r="GTG2" s="299"/>
      <c r="GTH2" s="299"/>
      <c r="GTI2" s="299"/>
      <c r="GTJ2" s="299"/>
      <c r="GTK2" s="299"/>
      <c r="GTL2" s="299"/>
      <c r="GTM2" s="299"/>
      <c r="GTN2" s="299"/>
      <c r="GTO2" s="299"/>
      <c r="GTP2" s="299"/>
      <c r="GTQ2" s="299"/>
      <c r="GTR2" s="299"/>
      <c r="GTS2" s="299"/>
      <c r="GTT2" s="299"/>
      <c r="GTU2" s="299"/>
      <c r="GTV2" s="299"/>
      <c r="GTW2" s="299"/>
      <c r="GTX2" s="299"/>
      <c r="GTY2" s="299"/>
      <c r="GTZ2" s="299"/>
      <c r="GUA2" s="299"/>
      <c r="GUB2" s="299"/>
      <c r="GUC2" s="299"/>
      <c r="GUD2" s="299"/>
      <c r="GUE2" s="299"/>
      <c r="GUF2" s="299"/>
      <c r="GUG2" s="299"/>
      <c r="GUH2" s="299"/>
      <c r="GUI2" s="299"/>
      <c r="GUJ2" s="299"/>
      <c r="GUK2" s="299"/>
      <c r="GUL2" s="299"/>
      <c r="GUM2" s="299"/>
      <c r="GUN2" s="299"/>
      <c r="GUO2" s="299"/>
      <c r="GUP2" s="299"/>
      <c r="GUQ2" s="299"/>
      <c r="GUR2" s="299"/>
      <c r="GUS2" s="299"/>
      <c r="GUT2" s="299"/>
      <c r="GUU2" s="299"/>
      <c r="GUV2" s="299"/>
      <c r="GUW2" s="299"/>
      <c r="GUX2" s="299"/>
      <c r="GUY2" s="299"/>
      <c r="GUZ2" s="299"/>
      <c r="GVA2" s="299"/>
      <c r="GVB2" s="299"/>
      <c r="GVC2" s="299"/>
      <c r="GVD2" s="299"/>
      <c r="GVE2" s="299"/>
      <c r="GVF2" s="299"/>
      <c r="GVG2" s="299"/>
      <c r="GVH2" s="299"/>
      <c r="GVI2" s="299"/>
      <c r="GVJ2" s="299"/>
      <c r="GVK2" s="299"/>
      <c r="GVL2" s="299"/>
      <c r="GVM2" s="299"/>
      <c r="GVN2" s="299"/>
      <c r="GVO2" s="299"/>
      <c r="GVP2" s="299"/>
      <c r="GVQ2" s="299"/>
      <c r="GVR2" s="299"/>
      <c r="GVS2" s="299"/>
      <c r="GVT2" s="299"/>
      <c r="GVU2" s="299"/>
      <c r="GVV2" s="299"/>
      <c r="GVW2" s="299"/>
      <c r="GVX2" s="299"/>
      <c r="GVY2" s="299"/>
      <c r="GVZ2" s="299"/>
      <c r="GWA2" s="299"/>
      <c r="GWB2" s="299"/>
      <c r="GWC2" s="299"/>
      <c r="GWD2" s="299"/>
      <c r="GWE2" s="299"/>
      <c r="GWF2" s="299"/>
      <c r="GWG2" s="299"/>
      <c r="GWH2" s="299"/>
      <c r="GWI2" s="299"/>
      <c r="GWJ2" s="299"/>
      <c r="GWK2" s="299"/>
      <c r="GWL2" s="299"/>
      <c r="GWM2" s="299"/>
      <c r="GWN2" s="299"/>
      <c r="GWO2" s="299"/>
      <c r="GWP2" s="299"/>
      <c r="GWQ2" s="299"/>
      <c r="GWR2" s="299"/>
      <c r="GWS2" s="299"/>
      <c r="GWT2" s="299"/>
      <c r="GWU2" s="299"/>
      <c r="GWV2" s="299"/>
      <c r="GWW2" s="299"/>
      <c r="GWX2" s="299"/>
      <c r="GWY2" s="299"/>
      <c r="GWZ2" s="299"/>
      <c r="GXA2" s="299"/>
      <c r="GXB2" s="299"/>
      <c r="GXC2" s="299"/>
      <c r="GXD2" s="299"/>
      <c r="GXE2" s="299"/>
      <c r="GXF2" s="299"/>
      <c r="GXG2" s="299"/>
      <c r="GXH2" s="299"/>
      <c r="GXI2" s="299"/>
      <c r="GXJ2" s="299"/>
      <c r="GXK2" s="299"/>
      <c r="GXL2" s="299"/>
      <c r="GXM2" s="299"/>
      <c r="GXN2" s="299"/>
      <c r="GXO2" s="299"/>
      <c r="GXP2" s="299"/>
      <c r="GXQ2" s="299"/>
      <c r="GXR2" s="299"/>
      <c r="GXS2" s="299"/>
      <c r="GXT2" s="299"/>
      <c r="GXU2" s="299"/>
      <c r="GXV2" s="299"/>
      <c r="GXW2" s="299"/>
      <c r="GXX2" s="299"/>
      <c r="GXY2" s="299"/>
      <c r="GXZ2" s="299"/>
      <c r="GYA2" s="299"/>
      <c r="GYB2" s="299"/>
      <c r="GYC2" s="299"/>
      <c r="GYD2" s="299"/>
      <c r="GYE2" s="299"/>
      <c r="GYF2" s="299"/>
      <c r="GYG2" s="299"/>
      <c r="GYH2" s="299"/>
      <c r="GYI2" s="299"/>
      <c r="GYJ2" s="299"/>
      <c r="GYK2" s="299"/>
      <c r="GYL2" s="299"/>
      <c r="GYM2" s="299"/>
      <c r="GYN2" s="299"/>
      <c r="GYO2" s="299"/>
      <c r="GYP2" s="299"/>
      <c r="GYQ2" s="299"/>
      <c r="GYR2" s="299"/>
      <c r="GYS2" s="299"/>
      <c r="GYT2" s="299"/>
      <c r="GYU2" s="299"/>
      <c r="GYV2" s="299"/>
      <c r="GYW2" s="299"/>
      <c r="GYX2" s="299"/>
      <c r="GYY2" s="299"/>
      <c r="GYZ2" s="299"/>
      <c r="GZA2" s="299"/>
      <c r="GZB2" s="299"/>
      <c r="GZC2" s="299"/>
      <c r="GZD2" s="299"/>
      <c r="GZE2" s="299"/>
      <c r="GZF2" s="299"/>
      <c r="GZG2" s="299"/>
      <c r="GZH2" s="299"/>
      <c r="GZI2" s="299"/>
      <c r="GZJ2" s="299"/>
      <c r="GZK2" s="299"/>
      <c r="GZL2" s="299"/>
      <c r="GZM2" s="299"/>
      <c r="GZN2" s="299"/>
      <c r="GZO2" s="299"/>
      <c r="GZP2" s="299"/>
      <c r="GZQ2" s="299"/>
      <c r="GZR2" s="299"/>
      <c r="GZS2" s="299"/>
      <c r="GZT2" s="299"/>
      <c r="GZU2" s="299"/>
      <c r="GZV2" s="299"/>
      <c r="GZW2" s="299"/>
      <c r="GZX2" s="299"/>
      <c r="GZY2" s="299"/>
      <c r="GZZ2" s="299"/>
      <c r="HAA2" s="299"/>
      <c r="HAB2" s="299"/>
      <c r="HAC2" s="299"/>
      <c r="HAD2" s="299"/>
      <c r="HAE2" s="299"/>
      <c r="HAF2" s="299"/>
      <c r="HAG2" s="299"/>
      <c r="HAH2" s="299"/>
      <c r="HAI2" s="299"/>
      <c r="HAJ2" s="299"/>
      <c r="HAK2" s="299"/>
      <c r="HAL2" s="299"/>
      <c r="HAM2" s="299"/>
      <c r="HAN2" s="299"/>
      <c r="HAO2" s="299"/>
      <c r="HAP2" s="299"/>
      <c r="HAQ2" s="299"/>
      <c r="HAR2" s="299"/>
      <c r="HAS2" s="299"/>
      <c r="HAT2" s="299"/>
      <c r="HAU2" s="299"/>
      <c r="HAV2" s="299"/>
      <c r="HAW2" s="299"/>
      <c r="HAX2" s="299"/>
      <c r="HAY2" s="299"/>
      <c r="HAZ2" s="299"/>
      <c r="HBA2" s="299"/>
      <c r="HBB2" s="299"/>
      <c r="HBC2" s="299"/>
      <c r="HBD2" s="299"/>
      <c r="HBE2" s="299"/>
      <c r="HBF2" s="299"/>
      <c r="HBG2" s="299"/>
      <c r="HBH2" s="299"/>
      <c r="HBI2" s="299"/>
      <c r="HBJ2" s="299"/>
      <c r="HBK2" s="299"/>
      <c r="HBL2" s="299"/>
      <c r="HBM2" s="299"/>
      <c r="HBN2" s="299"/>
      <c r="HBO2" s="299"/>
      <c r="HBP2" s="299"/>
      <c r="HBQ2" s="299"/>
      <c r="HBR2" s="299"/>
      <c r="HBS2" s="299"/>
      <c r="HBT2" s="299"/>
      <c r="HBU2" s="299"/>
      <c r="HBV2" s="299"/>
      <c r="HBW2" s="299"/>
      <c r="HBX2" s="299"/>
      <c r="HBY2" s="299"/>
      <c r="HBZ2" s="299"/>
      <c r="HCA2" s="299"/>
      <c r="HCB2" s="299"/>
      <c r="HCC2" s="299"/>
      <c r="HCD2" s="299"/>
      <c r="HCE2" s="299"/>
      <c r="HCF2" s="299"/>
      <c r="HCG2" s="299"/>
      <c r="HCH2" s="299"/>
      <c r="HCI2" s="299"/>
      <c r="HCJ2" s="299"/>
      <c r="HCK2" s="299"/>
      <c r="HCL2" s="299"/>
      <c r="HCM2" s="299"/>
      <c r="HCN2" s="299"/>
      <c r="HCO2" s="299"/>
      <c r="HCP2" s="299"/>
      <c r="HCQ2" s="299"/>
      <c r="HCR2" s="299"/>
      <c r="HCS2" s="299"/>
      <c r="HCT2" s="299"/>
      <c r="HCU2" s="299"/>
      <c r="HCV2" s="299"/>
      <c r="HCW2" s="299"/>
      <c r="HCX2" s="299"/>
      <c r="HCY2" s="299"/>
      <c r="HCZ2" s="299"/>
      <c r="HDA2" s="299"/>
      <c r="HDB2" s="299"/>
      <c r="HDC2" s="299"/>
      <c r="HDD2" s="299"/>
      <c r="HDE2" s="299"/>
      <c r="HDF2" s="299"/>
      <c r="HDG2" s="299"/>
      <c r="HDH2" s="299"/>
      <c r="HDI2" s="299"/>
      <c r="HDJ2" s="299"/>
      <c r="HDK2" s="299"/>
      <c r="HDL2" s="299"/>
      <c r="HDM2" s="299"/>
      <c r="HDN2" s="299"/>
      <c r="HDO2" s="299"/>
      <c r="HDP2" s="299"/>
      <c r="HDQ2" s="299"/>
      <c r="HDR2" s="299"/>
      <c r="HDS2" s="299"/>
      <c r="HDT2" s="299"/>
      <c r="HDU2" s="299"/>
      <c r="HDV2" s="299"/>
      <c r="HDW2" s="299"/>
      <c r="HDX2" s="299"/>
      <c r="HDY2" s="299"/>
      <c r="HDZ2" s="299"/>
      <c r="HEA2" s="299"/>
      <c r="HEB2" s="299"/>
      <c r="HEC2" s="299"/>
      <c r="HED2" s="299"/>
      <c r="HEE2" s="299"/>
      <c r="HEF2" s="299"/>
      <c r="HEG2" s="299"/>
      <c r="HEH2" s="299"/>
      <c r="HEI2" s="299"/>
      <c r="HEJ2" s="299"/>
      <c r="HEK2" s="299"/>
      <c r="HEL2" s="299"/>
      <c r="HEM2" s="299"/>
      <c r="HEN2" s="299"/>
      <c r="HEO2" s="299"/>
      <c r="HEP2" s="299"/>
      <c r="HEQ2" s="299"/>
      <c r="HER2" s="299"/>
      <c r="HES2" s="299"/>
      <c r="HET2" s="299"/>
      <c r="HEU2" s="299"/>
      <c r="HEV2" s="299"/>
      <c r="HEW2" s="299"/>
      <c r="HEX2" s="299"/>
      <c r="HEY2" s="299"/>
      <c r="HEZ2" s="299"/>
      <c r="HFA2" s="299"/>
      <c r="HFB2" s="299"/>
      <c r="HFC2" s="299"/>
      <c r="HFD2" s="299"/>
      <c r="HFE2" s="299"/>
      <c r="HFF2" s="299"/>
      <c r="HFG2" s="299"/>
      <c r="HFH2" s="299"/>
      <c r="HFI2" s="299"/>
      <c r="HFJ2" s="299"/>
      <c r="HFK2" s="299"/>
      <c r="HFL2" s="299"/>
      <c r="HFM2" s="299"/>
      <c r="HFN2" s="299"/>
      <c r="HFO2" s="299"/>
      <c r="HFP2" s="299"/>
      <c r="HFQ2" s="299"/>
      <c r="HFR2" s="299"/>
      <c r="HFS2" s="299"/>
      <c r="HFT2" s="299"/>
      <c r="HFU2" s="299"/>
      <c r="HFV2" s="299"/>
      <c r="HFW2" s="299"/>
      <c r="HFX2" s="299"/>
      <c r="HFY2" s="299"/>
      <c r="HFZ2" s="299"/>
      <c r="HGA2" s="299"/>
      <c r="HGB2" s="299"/>
      <c r="HGC2" s="299"/>
      <c r="HGD2" s="299"/>
      <c r="HGE2" s="299"/>
      <c r="HGF2" s="299"/>
      <c r="HGG2" s="299"/>
      <c r="HGH2" s="299"/>
      <c r="HGI2" s="299"/>
      <c r="HGJ2" s="299"/>
      <c r="HGK2" s="299"/>
      <c r="HGL2" s="299"/>
      <c r="HGM2" s="299"/>
      <c r="HGN2" s="299"/>
      <c r="HGO2" s="299"/>
      <c r="HGP2" s="299"/>
      <c r="HGQ2" s="299"/>
      <c r="HGR2" s="299"/>
      <c r="HGS2" s="299"/>
      <c r="HGT2" s="299"/>
      <c r="HGU2" s="299"/>
      <c r="HGV2" s="299"/>
      <c r="HGW2" s="299"/>
      <c r="HGX2" s="299"/>
      <c r="HGY2" s="299"/>
      <c r="HGZ2" s="299"/>
      <c r="HHA2" s="299"/>
      <c r="HHB2" s="299"/>
      <c r="HHC2" s="299"/>
      <c r="HHD2" s="299"/>
      <c r="HHE2" s="299"/>
      <c r="HHF2" s="299"/>
      <c r="HHG2" s="299"/>
      <c r="HHH2" s="299"/>
      <c r="HHI2" s="299"/>
      <c r="HHJ2" s="299"/>
      <c r="HHK2" s="299"/>
      <c r="HHL2" s="299"/>
      <c r="HHM2" s="299"/>
      <c r="HHN2" s="299"/>
      <c r="HHO2" s="299"/>
      <c r="HHP2" s="299"/>
      <c r="HHQ2" s="299"/>
      <c r="HHR2" s="299"/>
      <c r="HHS2" s="299"/>
      <c r="HHT2" s="299"/>
      <c r="HHU2" s="299"/>
      <c r="HHV2" s="299"/>
      <c r="HHW2" s="299"/>
      <c r="HHX2" s="299"/>
      <c r="HHY2" s="299"/>
      <c r="HHZ2" s="299"/>
      <c r="HIA2" s="299"/>
      <c r="HIB2" s="299"/>
      <c r="HIC2" s="299"/>
      <c r="HID2" s="299"/>
      <c r="HIE2" s="299"/>
      <c r="HIF2" s="299"/>
      <c r="HIG2" s="299"/>
      <c r="HIH2" s="299"/>
      <c r="HII2" s="299"/>
      <c r="HIJ2" s="299"/>
      <c r="HIK2" s="299"/>
      <c r="HIL2" s="299"/>
      <c r="HIM2" s="299"/>
      <c r="HIN2" s="299"/>
      <c r="HIO2" s="299"/>
      <c r="HIP2" s="299"/>
      <c r="HIQ2" s="299"/>
      <c r="HIR2" s="299"/>
      <c r="HIS2" s="299"/>
      <c r="HIT2" s="299"/>
      <c r="HIU2" s="299"/>
      <c r="HIV2" s="299"/>
      <c r="HIW2" s="299"/>
      <c r="HIX2" s="299"/>
      <c r="HIY2" s="299"/>
      <c r="HIZ2" s="299"/>
      <c r="HJA2" s="299"/>
      <c r="HJB2" s="299"/>
      <c r="HJC2" s="299"/>
      <c r="HJD2" s="299"/>
      <c r="HJE2" s="299"/>
      <c r="HJF2" s="299"/>
      <c r="HJG2" s="299"/>
      <c r="HJH2" s="299"/>
      <c r="HJI2" s="299"/>
      <c r="HJJ2" s="299"/>
      <c r="HJK2" s="299"/>
      <c r="HJL2" s="299"/>
      <c r="HJM2" s="299"/>
      <c r="HJN2" s="299"/>
      <c r="HJO2" s="299"/>
      <c r="HJP2" s="299"/>
      <c r="HJQ2" s="299"/>
      <c r="HJR2" s="299"/>
      <c r="HJS2" s="299"/>
      <c r="HJT2" s="299"/>
      <c r="HJU2" s="299"/>
      <c r="HJV2" s="299"/>
      <c r="HJW2" s="299"/>
      <c r="HJX2" s="299"/>
      <c r="HJY2" s="299"/>
      <c r="HJZ2" s="299"/>
      <c r="HKA2" s="299"/>
      <c r="HKB2" s="299"/>
      <c r="HKC2" s="299"/>
      <c r="HKD2" s="299"/>
      <c r="HKE2" s="299"/>
      <c r="HKF2" s="299"/>
      <c r="HKG2" s="299"/>
      <c r="HKH2" s="299"/>
      <c r="HKI2" s="299"/>
      <c r="HKJ2" s="299"/>
      <c r="HKK2" s="299"/>
      <c r="HKL2" s="299"/>
      <c r="HKM2" s="299"/>
      <c r="HKN2" s="299"/>
      <c r="HKO2" s="299"/>
      <c r="HKP2" s="299"/>
      <c r="HKQ2" s="299"/>
      <c r="HKR2" s="299"/>
      <c r="HKS2" s="299"/>
      <c r="HKT2" s="299"/>
      <c r="HKU2" s="299"/>
      <c r="HKV2" s="299"/>
      <c r="HKW2" s="299"/>
      <c r="HKX2" s="299"/>
      <c r="HKY2" s="299"/>
      <c r="HKZ2" s="299"/>
      <c r="HLA2" s="299"/>
      <c r="HLB2" s="299"/>
      <c r="HLC2" s="299"/>
      <c r="HLD2" s="299"/>
      <c r="HLE2" s="299"/>
      <c r="HLF2" s="299"/>
      <c r="HLG2" s="299"/>
      <c r="HLH2" s="299"/>
      <c r="HLI2" s="299"/>
      <c r="HLJ2" s="299"/>
      <c r="HLK2" s="299"/>
      <c r="HLL2" s="299"/>
      <c r="HLM2" s="299"/>
      <c r="HLN2" s="299"/>
      <c r="HLO2" s="299"/>
      <c r="HLP2" s="299"/>
      <c r="HLQ2" s="299"/>
      <c r="HLR2" s="299"/>
      <c r="HLS2" s="299"/>
      <c r="HLT2" s="299"/>
      <c r="HLU2" s="299"/>
      <c r="HLV2" s="299"/>
      <c r="HLW2" s="299"/>
      <c r="HLX2" s="299"/>
      <c r="HLY2" s="299"/>
      <c r="HLZ2" s="299"/>
      <c r="HMA2" s="299"/>
      <c r="HMB2" s="299"/>
      <c r="HMC2" s="299"/>
      <c r="HMD2" s="299"/>
      <c r="HME2" s="299"/>
      <c r="HMF2" s="299"/>
      <c r="HMG2" s="299"/>
      <c r="HMH2" s="299"/>
      <c r="HMI2" s="299"/>
      <c r="HMJ2" s="299"/>
      <c r="HMK2" s="299"/>
      <c r="HML2" s="299"/>
      <c r="HMM2" s="299"/>
      <c r="HMN2" s="299"/>
      <c r="HMO2" s="299"/>
      <c r="HMP2" s="299"/>
      <c r="HMQ2" s="299"/>
      <c r="HMR2" s="299"/>
      <c r="HMS2" s="299"/>
      <c r="HMT2" s="299"/>
      <c r="HMU2" s="299"/>
      <c r="HMV2" s="299"/>
      <c r="HMW2" s="299"/>
      <c r="HMX2" s="299"/>
      <c r="HMY2" s="299"/>
      <c r="HMZ2" s="299"/>
      <c r="HNA2" s="299"/>
      <c r="HNB2" s="299"/>
      <c r="HNC2" s="299"/>
      <c r="HND2" s="299"/>
      <c r="HNE2" s="299"/>
      <c r="HNF2" s="299"/>
      <c r="HNG2" s="299"/>
      <c r="HNH2" s="299"/>
      <c r="HNI2" s="299"/>
      <c r="HNJ2" s="299"/>
      <c r="HNK2" s="299"/>
      <c r="HNL2" s="299"/>
      <c r="HNM2" s="299"/>
      <c r="HNN2" s="299"/>
      <c r="HNO2" s="299"/>
      <c r="HNP2" s="299"/>
      <c r="HNQ2" s="299"/>
      <c r="HNR2" s="299"/>
      <c r="HNS2" s="299"/>
      <c r="HNT2" s="299"/>
      <c r="HNU2" s="299"/>
      <c r="HNV2" s="299"/>
      <c r="HNW2" s="299"/>
      <c r="HNX2" s="299"/>
      <c r="HNY2" s="299"/>
      <c r="HNZ2" s="299"/>
      <c r="HOA2" s="299"/>
      <c r="HOB2" s="299"/>
      <c r="HOC2" s="299"/>
      <c r="HOD2" s="299"/>
      <c r="HOE2" s="299"/>
      <c r="HOF2" s="299"/>
      <c r="HOG2" s="299"/>
      <c r="HOH2" s="299"/>
      <c r="HOI2" s="299"/>
      <c r="HOJ2" s="299"/>
      <c r="HOK2" s="299"/>
      <c r="HOL2" s="299"/>
      <c r="HOM2" s="299"/>
      <c r="HON2" s="299"/>
      <c r="HOO2" s="299"/>
      <c r="HOP2" s="299"/>
      <c r="HOQ2" s="299"/>
      <c r="HOR2" s="299"/>
      <c r="HOS2" s="299"/>
      <c r="HOT2" s="299"/>
      <c r="HOU2" s="299"/>
      <c r="HOV2" s="299"/>
      <c r="HOW2" s="299"/>
      <c r="HOX2" s="299"/>
      <c r="HOY2" s="299"/>
      <c r="HOZ2" s="299"/>
      <c r="HPA2" s="299"/>
      <c r="HPB2" s="299"/>
      <c r="HPC2" s="299"/>
      <c r="HPD2" s="299"/>
      <c r="HPE2" s="299"/>
      <c r="HPF2" s="299"/>
      <c r="HPG2" s="299"/>
      <c r="HPH2" s="299"/>
      <c r="HPI2" s="299"/>
      <c r="HPJ2" s="299"/>
      <c r="HPK2" s="299"/>
      <c r="HPL2" s="299"/>
      <c r="HPM2" s="299"/>
      <c r="HPN2" s="299"/>
      <c r="HPO2" s="299"/>
      <c r="HPP2" s="299"/>
      <c r="HPQ2" s="299"/>
      <c r="HPR2" s="299"/>
      <c r="HPS2" s="299"/>
      <c r="HPT2" s="299"/>
      <c r="HPU2" s="299"/>
      <c r="HPV2" s="299"/>
      <c r="HPW2" s="299"/>
      <c r="HPX2" s="299"/>
      <c r="HPY2" s="299"/>
      <c r="HPZ2" s="299"/>
      <c r="HQA2" s="299"/>
      <c r="HQB2" s="299"/>
      <c r="HQC2" s="299"/>
      <c r="HQD2" s="299"/>
      <c r="HQE2" s="299"/>
      <c r="HQF2" s="299"/>
      <c r="HQG2" s="299"/>
      <c r="HQH2" s="299"/>
      <c r="HQI2" s="299"/>
      <c r="HQJ2" s="299"/>
      <c r="HQK2" s="299"/>
      <c r="HQL2" s="299"/>
      <c r="HQM2" s="299"/>
      <c r="HQN2" s="299"/>
      <c r="HQO2" s="299"/>
      <c r="HQP2" s="299"/>
      <c r="HQQ2" s="299"/>
      <c r="HQR2" s="299"/>
      <c r="HQS2" s="299"/>
      <c r="HQT2" s="299"/>
      <c r="HQU2" s="299"/>
      <c r="HQV2" s="299"/>
      <c r="HQW2" s="299"/>
      <c r="HQX2" s="299"/>
      <c r="HQY2" s="299"/>
      <c r="HQZ2" s="299"/>
      <c r="HRA2" s="299"/>
      <c r="HRB2" s="299"/>
      <c r="HRC2" s="299"/>
      <c r="HRD2" s="299"/>
      <c r="HRE2" s="299"/>
      <c r="HRF2" s="299"/>
      <c r="HRG2" s="299"/>
      <c r="HRH2" s="299"/>
      <c r="HRI2" s="299"/>
      <c r="HRJ2" s="299"/>
      <c r="HRK2" s="299"/>
      <c r="HRL2" s="299"/>
      <c r="HRM2" s="299"/>
      <c r="HRN2" s="299"/>
      <c r="HRO2" s="299"/>
      <c r="HRP2" s="299"/>
      <c r="HRQ2" s="299"/>
      <c r="HRR2" s="299"/>
      <c r="HRS2" s="299"/>
      <c r="HRT2" s="299"/>
      <c r="HRU2" s="299"/>
      <c r="HRV2" s="299"/>
      <c r="HRW2" s="299"/>
      <c r="HRX2" s="299"/>
      <c r="HRY2" s="299"/>
      <c r="HRZ2" s="299"/>
      <c r="HSA2" s="299"/>
      <c r="HSB2" s="299"/>
      <c r="HSC2" s="299"/>
      <c r="HSD2" s="299"/>
      <c r="HSE2" s="299"/>
      <c r="HSF2" s="299"/>
      <c r="HSG2" s="299"/>
      <c r="HSH2" s="299"/>
      <c r="HSI2" s="299"/>
      <c r="HSJ2" s="299"/>
      <c r="HSK2" s="299"/>
      <c r="HSL2" s="299"/>
      <c r="HSM2" s="299"/>
      <c r="HSN2" s="299"/>
      <c r="HSO2" s="299"/>
      <c r="HSP2" s="299"/>
      <c r="HSQ2" s="299"/>
      <c r="HSR2" s="299"/>
      <c r="HSS2" s="299"/>
      <c r="HST2" s="299"/>
      <c r="HSU2" s="299"/>
      <c r="HSV2" s="299"/>
      <c r="HSW2" s="299"/>
      <c r="HSX2" s="299"/>
      <c r="HSY2" s="299"/>
      <c r="HSZ2" s="299"/>
      <c r="HTA2" s="299"/>
      <c r="HTB2" s="299"/>
      <c r="HTC2" s="299"/>
      <c r="HTD2" s="299"/>
      <c r="HTE2" s="299"/>
      <c r="HTF2" s="299"/>
      <c r="HTG2" s="299"/>
      <c r="HTH2" s="299"/>
      <c r="HTI2" s="299"/>
      <c r="HTJ2" s="299"/>
      <c r="HTK2" s="299"/>
      <c r="HTL2" s="299"/>
      <c r="HTM2" s="299"/>
      <c r="HTN2" s="299"/>
      <c r="HTO2" s="299"/>
      <c r="HTP2" s="299"/>
      <c r="HTQ2" s="299"/>
      <c r="HTR2" s="299"/>
      <c r="HTS2" s="299"/>
      <c r="HTT2" s="299"/>
      <c r="HTU2" s="299"/>
      <c r="HTV2" s="299"/>
      <c r="HTW2" s="299"/>
      <c r="HTX2" s="299"/>
      <c r="HTY2" s="299"/>
      <c r="HTZ2" s="299"/>
      <c r="HUA2" s="299"/>
      <c r="HUB2" s="299"/>
      <c r="HUC2" s="299"/>
      <c r="HUD2" s="299"/>
      <c r="HUE2" s="299"/>
      <c r="HUF2" s="299"/>
      <c r="HUG2" s="299"/>
      <c r="HUH2" s="299"/>
      <c r="HUI2" s="299"/>
      <c r="HUJ2" s="299"/>
      <c r="HUK2" s="299"/>
      <c r="HUL2" s="299"/>
      <c r="HUM2" s="299"/>
      <c r="HUN2" s="299"/>
      <c r="HUO2" s="299"/>
      <c r="HUP2" s="299"/>
      <c r="HUQ2" s="299"/>
      <c r="HUR2" s="299"/>
      <c r="HUS2" s="299"/>
      <c r="HUT2" s="299"/>
      <c r="HUU2" s="299"/>
      <c r="HUV2" s="299"/>
      <c r="HUW2" s="299"/>
      <c r="HUX2" s="299"/>
      <c r="HUY2" s="299"/>
      <c r="HUZ2" s="299"/>
      <c r="HVA2" s="299"/>
      <c r="HVB2" s="299"/>
      <c r="HVC2" s="299"/>
      <c r="HVD2" s="299"/>
      <c r="HVE2" s="299"/>
      <c r="HVF2" s="299"/>
      <c r="HVG2" s="299"/>
      <c r="HVH2" s="299"/>
      <c r="HVI2" s="299"/>
      <c r="HVJ2" s="299"/>
      <c r="HVK2" s="299"/>
      <c r="HVL2" s="299"/>
      <c r="HVM2" s="299"/>
      <c r="HVN2" s="299"/>
      <c r="HVO2" s="299"/>
      <c r="HVP2" s="299"/>
      <c r="HVQ2" s="299"/>
      <c r="HVR2" s="299"/>
      <c r="HVS2" s="299"/>
      <c r="HVT2" s="299"/>
      <c r="HVU2" s="299"/>
      <c r="HVV2" s="299"/>
      <c r="HVW2" s="299"/>
      <c r="HVX2" s="299"/>
      <c r="HVY2" s="299"/>
      <c r="HVZ2" s="299"/>
      <c r="HWA2" s="299"/>
      <c r="HWB2" s="299"/>
      <c r="HWC2" s="299"/>
      <c r="HWD2" s="299"/>
      <c r="HWE2" s="299"/>
      <c r="HWF2" s="299"/>
      <c r="HWG2" s="299"/>
      <c r="HWH2" s="299"/>
      <c r="HWI2" s="299"/>
      <c r="HWJ2" s="299"/>
      <c r="HWK2" s="299"/>
      <c r="HWL2" s="299"/>
      <c r="HWM2" s="299"/>
      <c r="HWN2" s="299"/>
      <c r="HWO2" s="299"/>
      <c r="HWP2" s="299"/>
      <c r="HWQ2" s="299"/>
      <c r="HWR2" s="299"/>
      <c r="HWS2" s="299"/>
      <c r="HWT2" s="299"/>
      <c r="HWU2" s="299"/>
      <c r="HWV2" s="299"/>
      <c r="HWW2" s="299"/>
      <c r="HWX2" s="299"/>
      <c r="HWY2" s="299"/>
      <c r="HWZ2" s="299"/>
      <c r="HXA2" s="299"/>
      <c r="HXB2" s="299"/>
      <c r="HXC2" s="299"/>
      <c r="HXD2" s="299"/>
      <c r="HXE2" s="299"/>
      <c r="HXF2" s="299"/>
      <c r="HXG2" s="299"/>
      <c r="HXH2" s="299"/>
      <c r="HXI2" s="299"/>
      <c r="HXJ2" s="299"/>
      <c r="HXK2" s="299"/>
      <c r="HXL2" s="299"/>
      <c r="HXM2" s="299"/>
      <c r="HXN2" s="299"/>
      <c r="HXO2" s="299"/>
      <c r="HXP2" s="299"/>
      <c r="HXQ2" s="299"/>
      <c r="HXR2" s="299"/>
      <c r="HXS2" s="299"/>
      <c r="HXT2" s="299"/>
      <c r="HXU2" s="299"/>
      <c r="HXV2" s="299"/>
      <c r="HXW2" s="299"/>
      <c r="HXX2" s="299"/>
      <c r="HXY2" s="299"/>
      <c r="HXZ2" s="299"/>
      <c r="HYA2" s="299"/>
      <c r="HYB2" s="299"/>
      <c r="HYC2" s="299"/>
      <c r="HYD2" s="299"/>
      <c r="HYE2" s="299"/>
      <c r="HYF2" s="299"/>
      <c r="HYG2" s="299"/>
      <c r="HYH2" s="299"/>
      <c r="HYI2" s="299"/>
      <c r="HYJ2" s="299"/>
      <c r="HYK2" s="299"/>
      <c r="HYL2" s="299"/>
      <c r="HYM2" s="299"/>
      <c r="HYN2" s="299"/>
      <c r="HYO2" s="299"/>
      <c r="HYP2" s="299"/>
      <c r="HYQ2" s="299"/>
      <c r="HYR2" s="299"/>
      <c r="HYS2" s="299"/>
      <c r="HYT2" s="299"/>
      <c r="HYU2" s="299"/>
      <c r="HYV2" s="299"/>
      <c r="HYW2" s="299"/>
      <c r="HYX2" s="299"/>
      <c r="HYY2" s="299"/>
      <c r="HYZ2" s="299"/>
      <c r="HZA2" s="299"/>
      <c r="HZB2" s="299"/>
      <c r="HZC2" s="299"/>
      <c r="HZD2" s="299"/>
      <c r="HZE2" s="299"/>
      <c r="HZF2" s="299"/>
      <c r="HZG2" s="299"/>
      <c r="HZH2" s="299"/>
      <c r="HZI2" s="299"/>
      <c r="HZJ2" s="299"/>
      <c r="HZK2" s="299"/>
      <c r="HZL2" s="299"/>
      <c r="HZM2" s="299"/>
      <c r="HZN2" s="299"/>
      <c r="HZO2" s="299"/>
      <c r="HZP2" s="299"/>
      <c r="HZQ2" s="299"/>
      <c r="HZR2" s="299"/>
      <c r="HZS2" s="299"/>
      <c r="HZT2" s="299"/>
      <c r="HZU2" s="299"/>
      <c r="HZV2" s="299"/>
      <c r="HZW2" s="299"/>
      <c r="HZX2" s="299"/>
      <c r="HZY2" s="299"/>
      <c r="HZZ2" s="299"/>
      <c r="IAA2" s="299"/>
      <c r="IAB2" s="299"/>
      <c r="IAC2" s="299"/>
      <c r="IAD2" s="299"/>
      <c r="IAE2" s="299"/>
      <c r="IAF2" s="299"/>
      <c r="IAG2" s="299"/>
      <c r="IAH2" s="299"/>
      <c r="IAI2" s="299"/>
      <c r="IAJ2" s="299"/>
      <c r="IAK2" s="299"/>
      <c r="IAL2" s="299"/>
      <c r="IAM2" s="299"/>
      <c r="IAN2" s="299"/>
      <c r="IAO2" s="299"/>
      <c r="IAP2" s="299"/>
      <c r="IAQ2" s="299"/>
      <c r="IAR2" s="299"/>
      <c r="IAS2" s="299"/>
      <c r="IAT2" s="299"/>
      <c r="IAU2" s="299"/>
      <c r="IAV2" s="299"/>
      <c r="IAW2" s="299"/>
      <c r="IAX2" s="299"/>
      <c r="IAY2" s="299"/>
      <c r="IAZ2" s="299"/>
      <c r="IBA2" s="299"/>
      <c r="IBB2" s="299"/>
      <c r="IBC2" s="299"/>
      <c r="IBD2" s="299"/>
      <c r="IBE2" s="299"/>
      <c r="IBF2" s="299"/>
      <c r="IBG2" s="299"/>
      <c r="IBH2" s="299"/>
      <c r="IBI2" s="299"/>
      <c r="IBJ2" s="299"/>
      <c r="IBK2" s="299"/>
      <c r="IBL2" s="299"/>
      <c r="IBM2" s="299"/>
      <c r="IBN2" s="299"/>
      <c r="IBO2" s="299"/>
      <c r="IBP2" s="299"/>
      <c r="IBQ2" s="299"/>
      <c r="IBR2" s="299"/>
      <c r="IBS2" s="299"/>
      <c r="IBT2" s="299"/>
      <c r="IBU2" s="299"/>
      <c r="IBV2" s="299"/>
      <c r="IBW2" s="299"/>
      <c r="IBX2" s="299"/>
      <c r="IBY2" s="299"/>
      <c r="IBZ2" s="299"/>
      <c r="ICA2" s="299"/>
      <c r="ICB2" s="299"/>
      <c r="ICC2" s="299"/>
      <c r="ICD2" s="299"/>
      <c r="ICE2" s="299"/>
      <c r="ICF2" s="299"/>
      <c r="ICG2" s="299"/>
      <c r="ICH2" s="299"/>
      <c r="ICI2" s="299"/>
      <c r="ICJ2" s="299"/>
      <c r="ICK2" s="299"/>
      <c r="ICL2" s="299"/>
      <c r="ICM2" s="299"/>
      <c r="ICN2" s="299"/>
      <c r="ICO2" s="299"/>
      <c r="ICP2" s="299"/>
      <c r="ICQ2" s="299"/>
      <c r="ICR2" s="299"/>
      <c r="ICS2" s="299"/>
      <c r="ICT2" s="299"/>
      <c r="ICU2" s="299"/>
      <c r="ICV2" s="299"/>
      <c r="ICW2" s="299"/>
      <c r="ICX2" s="299"/>
      <c r="ICY2" s="299"/>
      <c r="ICZ2" s="299"/>
      <c r="IDA2" s="299"/>
      <c r="IDB2" s="299"/>
      <c r="IDC2" s="299"/>
      <c r="IDD2" s="299"/>
      <c r="IDE2" s="299"/>
      <c r="IDF2" s="299"/>
      <c r="IDG2" s="299"/>
      <c r="IDH2" s="299"/>
      <c r="IDI2" s="299"/>
      <c r="IDJ2" s="299"/>
      <c r="IDK2" s="299"/>
      <c r="IDL2" s="299"/>
      <c r="IDM2" s="299"/>
      <c r="IDN2" s="299"/>
      <c r="IDO2" s="299"/>
      <c r="IDP2" s="299"/>
      <c r="IDQ2" s="299"/>
      <c r="IDR2" s="299"/>
      <c r="IDS2" s="299"/>
      <c r="IDT2" s="299"/>
      <c r="IDU2" s="299"/>
      <c r="IDV2" s="299"/>
      <c r="IDW2" s="299"/>
      <c r="IDX2" s="299"/>
      <c r="IDY2" s="299"/>
      <c r="IDZ2" s="299"/>
      <c r="IEA2" s="299"/>
      <c r="IEB2" s="299"/>
      <c r="IEC2" s="299"/>
      <c r="IED2" s="299"/>
      <c r="IEE2" s="299"/>
      <c r="IEF2" s="299"/>
      <c r="IEG2" s="299"/>
      <c r="IEH2" s="299"/>
      <c r="IEI2" s="299"/>
      <c r="IEJ2" s="299"/>
      <c r="IEK2" s="299"/>
      <c r="IEL2" s="299"/>
      <c r="IEM2" s="299"/>
      <c r="IEN2" s="299"/>
      <c r="IEO2" s="299"/>
      <c r="IEP2" s="299"/>
      <c r="IEQ2" s="299"/>
      <c r="IER2" s="299"/>
      <c r="IES2" s="299"/>
      <c r="IET2" s="299"/>
      <c r="IEU2" s="299"/>
      <c r="IEV2" s="299"/>
      <c r="IEW2" s="299"/>
      <c r="IEX2" s="299"/>
      <c r="IEY2" s="299"/>
      <c r="IEZ2" s="299"/>
      <c r="IFA2" s="299"/>
      <c r="IFB2" s="299"/>
      <c r="IFC2" s="299"/>
      <c r="IFD2" s="299"/>
      <c r="IFE2" s="299"/>
      <c r="IFF2" s="299"/>
      <c r="IFG2" s="299"/>
      <c r="IFH2" s="299"/>
      <c r="IFI2" s="299"/>
      <c r="IFJ2" s="299"/>
      <c r="IFK2" s="299"/>
      <c r="IFL2" s="299"/>
      <c r="IFM2" s="299"/>
      <c r="IFN2" s="299"/>
      <c r="IFO2" s="299"/>
      <c r="IFP2" s="299"/>
      <c r="IFQ2" s="299"/>
      <c r="IFR2" s="299"/>
      <c r="IFS2" s="299"/>
      <c r="IFT2" s="299"/>
      <c r="IFU2" s="299"/>
      <c r="IFV2" s="299"/>
      <c r="IFW2" s="299"/>
      <c r="IFX2" s="299"/>
      <c r="IFY2" s="299"/>
      <c r="IFZ2" s="299"/>
      <c r="IGA2" s="299"/>
      <c r="IGB2" s="299"/>
      <c r="IGC2" s="299"/>
      <c r="IGD2" s="299"/>
      <c r="IGE2" s="299"/>
      <c r="IGF2" s="299"/>
      <c r="IGG2" s="299"/>
      <c r="IGH2" s="299"/>
      <c r="IGI2" s="299"/>
      <c r="IGJ2" s="299"/>
      <c r="IGK2" s="299"/>
      <c r="IGL2" s="299"/>
      <c r="IGM2" s="299"/>
      <c r="IGN2" s="299"/>
      <c r="IGO2" s="299"/>
      <c r="IGP2" s="299"/>
      <c r="IGQ2" s="299"/>
      <c r="IGR2" s="299"/>
      <c r="IGS2" s="299"/>
      <c r="IGT2" s="299"/>
      <c r="IGU2" s="299"/>
      <c r="IGV2" s="299"/>
      <c r="IGW2" s="299"/>
      <c r="IGX2" s="299"/>
      <c r="IGY2" s="299"/>
      <c r="IGZ2" s="299"/>
      <c r="IHA2" s="299"/>
      <c r="IHB2" s="299"/>
      <c r="IHC2" s="299"/>
      <c r="IHD2" s="299"/>
      <c r="IHE2" s="299"/>
      <c r="IHF2" s="299"/>
      <c r="IHG2" s="299"/>
      <c r="IHH2" s="299"/>
      <c r="IHI2" s="299"/>
      <c r="IHJ2" s="299"/>
      <c r="IHK2" s="299"/>
      <c r="IHL2" s="299"/>
      <c r="IHM2" s="299"/>
      <c r="IHN2" s="299"/>
      <c r="IHO2" s="299"/>
      <c r="IHP2" s="299"/>
      <c r="IHQ2" s="299"/>
      <c r="IHR2" s="299"/>
      <c r="IHS2" s="299"/>
      <c r="IHT2" s="299"/>
      <c r="IHU2" s="299"/>
      <c r="IHV2" s="299"/>
      <c r="IHW2" s="299"/>
      <c r="IHX2" s="299"/>
      <c r="IHY2" s="299"/>
      <c r="IHZ2" s="299"/>
      <c r="IIA2" s="299"/>
      <c r="IIB2" s="299"/>
      <c r="IIC2" s="299"/>
      <c r="IID2" s="299"/>
      <c r="IIE2" s="299"/>
      <c r="IIF2" s="299"/>
      <c r="IIG2" s="299"/>
      <c r="IIH2" s="299"/>
      <c r="III2" s="299"/>
      <c r="IIJ2" s="299"/>
      <c r="IIK2" s="299"/>
      <c r="IIL2" s="299"/>
      <c r="IIM2" s="299"/>
      <c r="IIN2" s="299"/>
      <c r="IIO2" s="299"/>
      <c r="IIP2" s="299"/>
      <c r="IIQ2" s="299"/>
      <c r="IIR2" s="299"/>
      <c r="IIS2" s="299"/>
      <c r="IIT2" s="299"/>
      <c r="IIU2" s="299"/>
      <c r="IIV2" s="299"/>
      <c r="IIW2" s="299"/>
      <c r="IIX2" s="299"/>
      <c r="IIY2" s="299"/>
      <c r="IIZ2" s="299"/>
      <c r="IJA2" s="299"/>
      <c r="IJB2" s="299"/>
      <c r="IJC2" s="299"/>
      <c r="IJD2" s="299"/>
      <c r="IJE2" s="299"/>
      <c r="IJF2" s="299"/>
      <c r="IJG2" s="299"/>
      <c r="IJH2" s="299"/>
      <c r="IJI2" s="299"/>
      <c r="IJJ2" s="299"/>
      <c r="IJK2" s="299"/>
      <c r="IJL2" s="299"/>
      <c r="IJM2" s="299"/>
      <c r="IJN2" s="299"/>
      <c r="IJO2" s="299"/>
      <c r="IJP2" s="299"/>
      <c r="IJQ2" s="299"/>
      <c r="IJR2" s="299"/>
      <c r="IJS2" s="299"/>
      <c r="IJT2" s="299"/>
      <c r="IJU2" s="299"/>
      <c r="IJV2" s="299"/>
      <c r="IJW2" s="299"/>
      <c r="IJX2" s="299"/>
      <c r="IJY2" s="299"/>
      <c r="IJZ2" s="299"/>
      <c r="IKA2" s="299"/>
      <c r="IKB2" s="299"/>
      <c r="IKC2" s="299"/>
      <c r="IKD2" s="299"/>
      <c r="IKE2" s="299"/>
      <c r="IKF2" s="299"/>
      <c r="IKG2" s="299"/>
      <c r="IKH2" s="299"/>
      <c r="IKI2" s="299"/>
      <c r="IKJ2" s="299"/>
      <c r="IKK2" s="299"/>
      <c r="IKL2" s="299"/>
      <c r="IKM2" s="299"/>
      <c r="IKN2" s="299"/>
      <c r="IKO2" s="299"/>
      <c r="IKP2" s="299"/>
      <c r="IKQ2" s="299"/>
      <c r="IKR2" s="299"/>
      <c r="IKS2" s="299"/>
      <c r="IKT2" s="299"/>
      <c r="IKU2" s="299"/>
      <c r="IKV2" s="299"/>
      <c r="IKW2" s="299"/>
      <c r="IKX2" s="299"/>
      <c r="IKY2" s="299"/>
      <c r="IKZ2" s="299"/>
      <c r="ILA2" s="299"/>
      <c r="ILB2" s="299"/>
      <c r="ILC2" s="299"/>
      <c r="ILD2" s="299"/>
      <c r="ILE2" s="299"/>
      <c r="ILF2" s="299"/>
      <c r="ILG2" s="299"/>
      <c r="ILH2" s="299"/>
      <c r="ILI2" s="299"/>
      <c r="ILJ2" s="299"/>
      <c r="ILK2" s="299"/>
      <c r="ILL2" s="299"/>
      <c r="ILM2" s="299"/>
      <c r="ILN2" s="299"/>
      <c r="ILO2" s="299"/>
      <c r="ILP2" s="299"/>
      <c r="ILQ2" s="299"/>
      <c r="ILR2" s="299"/>
      <c r="ILS2" s="299"/>
      <c r="ILT2" s="299"/>
      <c r="ILU2" s="299"/>
      <c r="ILV2" s="299"/>
      <c r="ILW2" s="299"/>
      <c r="ILX2" s="299"/>
      <c r="ILY2" s="299"/>
      <c r="ILZ2" s="299"/>
      <c r="IMA2" s="299"/>
      <c r="IMB2" s="299"/>
      <c r="IMC2" s="299"/>
      <c r="IMD2" s="299"/>
      <c r="IME2" s="299"/>
      <c r="IMF2" s="299"/>
      <c r="IMG2" s="299"/>
      <c r="IMH2" s="299"/>
      <c r="IMI2" s="299"/>
      <c r="IMJ2" s="299"/>
      <c r="IMK2" s="299"/>
      <c r="IML2" s="299"/>
      <c r="IMM2" s="299"/>
      <c r="IMN2" s="299"/>
      <c r="IMO2" s="299"/>
      <c r="IMP2" s="299"/>
      <c r="IMQ2" s="299"/>
      <c r="IMR2" s="299"/>
      <c r="IMS2" s="299"/>
      <c r="IMT2" s="299"/>
      <c r="IMU2" s="299"/>
      <c r="IMV2" s="299"/>
      <c r="IMW2" s="299"/>
      <c r="IMX2" s="299"/>
      <c r="IMY2" s="299"/>
      <c r="IMZ2" s="299"/>
      <c r="INA2" s="299"/>
      <c r="INB2" s="299"/>
      <c r="INC2" s="299"/>
      <c r="IND2" s="299"/>
      <c r="INE2" s="299"/>
      <c r="INF2" s="299"/>
      <c r="ING2" s="299"/>
      <c r="INH2" s="299"/>
      <c r="INI2" s="299"/>
      <c r="INJ2" s="299"/>
      <c r="INK2" s="299"/>
      <c r="INL2" s="299"/>
      <c r="INM2" s="299"/>
      <c r="INN2" s="299"/>
      <c r="INO2" s="299"/>
      <c r="INP2" s="299"/>
      <c r="INQ2" s="299"/>
      <c r="INR2" s="299"/>
      <c r="INS2" s="299"/>
      <c r="INT2" s="299"/>
      <c r="INU2" s="299"/>
      <c r="INV2" s="299"/>
      <c r="INW2" s="299"/>
      <c r="INX2" s="299"/>
      <c r="INY2" s="299"/>
      <c r="INZ2" s="299"/>
      <c r="IOA2" s="299"/>
      <c r="IOB2" s="299"/>
      <c r="IOC2" s="299"/>
      <c r="IOD2" s="299"/>
      <c r="IOE2" s="299"/>
      <c r="IOF2" s="299"/>
      <c r="IOG2" s="299"/>
      <c r="IOH2" s="299"/>
      <c r="IOI2" s="299"/>
      <c r="IOJ2" s="299"/>
      <c r="IOK2" s="299"/>
      <c r="IOL2" s="299"/>
      <c r="IOM2" s="299"/>
      <c r="ION2" s="299"/>
      <c r="IOO2" s="299"/>
      <c r="IOP2" s="299"/>
      <c r="IOQ2" s="299"/>
      <c r="IOR2" s="299"/>
      <c r="IOS2" s="299"/>
      <c r="IOT2" s="299"/>
      <c r="IOU2" s="299"/>
      <c r="IOV2" s="299"/>
      <c r="IOW2" s="299"/>
      <c r="IOX2" s="299"/>
      <c r="IOY2" s="299"/>
      <c r="IOZ2" s="299"/>
      <c r="IPA2" s="299"/>
      <c r="IPB2" s="299"/>
      <c r="IPC2" s="299"/>
      <c r="IPD2" s="299"/>
      <c r="IPE2" s="299"/>
      <c r="IPF2" s="299"/>
      <c r="IPG2" s="299"/>
      <c r="IPH2" s="299"/>
      <c r="IPI2" s="299"/>
      <c r="IPJ2" s="299"/>
      <c r="IPK2" s="299"/>
      <c r="IPL2" s="299"/>
      <c r="IPM2" s="299"/>
      <c r="IPN2" s="299"/>
      <c r="IPO2" s="299"/>
      <c r="IPP2" s="299"/>
      <c r="IPQ2" s="299"/>
      <c r="IPR2" s="299"/>
      <c r="IPS2" s="299"/>
      <c r="IPT2" s="299"/>
      <c r="IPU2" s="299"/>
      <c r="IPV2" s="299"/>
      <c r="IPW2" s="299"/>
      <c r="IPX2" s="299"/>
      <c r="IPY2" s="299"/>
      <c r="IPZ2" s="299"/>
      <c r="IQA2" s="299"/>
      <c r="IQB2" s="299"/>
      <c r="IQC2" s="299"/>
      <c r="IQD2" s="299"/>
      <c r="IQE2" s="299"/>
      <c r="IQF2" s="299"/>
      <c r="IQG2" s="299"/>
      <c r="IQH2" s="299"/>
      <c r="IQI2" s="299"/>
      <c r="IQJ2" s="299"/>
      <c r="IQK2" s="299"/>
      <c r="IQL2" s="299"/>
      <c r="IQM2" s="299"/>
      <c r="IQN2" s="299"/>
      <c r="IQO2" s="299"/>
      <c r="IQP2" s="299"/>
      <c r="IQQ2" s="299"/>
      <c r="IQR2" s="299"/>
      <c r="IQS2" s="299"/>
      <c r="IQT2" s="299"/>
      <c r="IQU2" s="299"/>
      <c r="IQV2" s="299"/>
      <c r="IQW2" s="299"/>
      <c r="IQX2" s="299"/>
      <c r="IQY2" s="299"/>
      <c r="IQZ2" s="299"/>
      <c r="IRA2" s="299"/>
      <c r="IRB2" s="299"/>
      <c r="IRC2" s="299"/>
      <c r="IRD2" s="299"/>
      <c r="IRE2" s="299"/>
      <c r="IRF2" s="299"/>
      <c r="IRG2" s="299"/>
      <c r="IRH2" s="299"/>
      <c r="IRI2" s="299"/>
      <c r="IRJ2" s="299"/>
      <c r="IRK2" s="299"/>
      <c r="IRL2" s="299"/>
      <c r="IRM2" s="299"/>
      <c r="IRN2" s="299"/>
      <c r="IRO2" s="299"/>
      <c r="IRP2" s="299"/>
      <c r="IRQ2" s="299"/>
      <c r="IRR2" s="299"/>
      <c r="IRS2" s="299"/>
      <c r="IRT2" s="299"/>
      <c r="IRU2" s="299"/>
      <c r="IRV2" s="299"/>
      <c r="IRW2" s="299"/>
      <c r="IRX2" s="299"/>
      <c r="IRY2" s="299"/>
      <c r="IRZ2" s="299"/>
      <c r="ISA2" s="299"/>
      <c r="ISB2" s="299"/>
      <c r="ISC2" s="299"/>
      <c r="ISD2" s="299"/>
      <c r="ISE2" s="299"/>
      <c r="ISF2" s="299"/>
      <c r="ISG2" s="299"/>
      <c r="ISH2" s="299"/>
      <c r="ISI2" s="299"/>
      <c r="ISJ2" s="299"/>
      <c r="ISK2" s="299"/>
      <c r="ISL2" s="299"/>
      <c r="ISM2" s="299"/>
      <c r="ISN2" s="299"/>
      <c r="ISO2" s="299"/>
      <c r="ISP2" s="299"/>
      <c r="ISQ2" s="299"/>
      <c r="ISR2" s="299"/>
      <c r="ISS2" s="299"/>
      <c r="IST2" s="299"/>
      <c r="ISU2" s="299"/>
      <c r="ISV2" s="299"/>
      <c r="ISW2" s="299"/>
      <c r="ISX2" s="299"/>
      <c r="ISY2" s="299"/>
      <c r="ISZ2" s="299"/>
      <c r="ITA2" s="299"/>
      <c r="ITB2" s="299"/>
      <c r="ITC2" s="299"/>
      <c r="ITD2" s="299"/>
      <c r="ITE2" s="299"/>
      <c r="ITF2" s="299"/>
      <c r="ITG2" s="299"/>
      <c r="ITH2" s="299"/>
      <c r="ITI2" s="299"/>
      <c r="ITJ2" s="299"/>
      <c r="ITK2" s="299"/>
      <c r="ITL2" s="299"/>
      <c r="ITM2" s="299"/>
      <c r="ITN2" s="299"/>
      <c r="ITO2" s="299"/>
      <c r="ITP2" s="299"/>
      <c r="ITQ2" s="299"/>
      <c r="ITR2" s="299"/>
      <c r="ITS2" s="299"/>
      <c r="ITT2" s="299"/>
      <c r="ITU2" s="299"/>
      <c r="ITV2" s="299"/>
      <c r="ITW2" s="299"/>
      <c r="ITX2" s="299"/>
      <c r="ITY2" s="299"/>
      <c r="ITZ2" s="299"/>
      <c r="IUA2" s="299"/>
      <c r="IUB2" s="299"/>
      <c r="IUC2" s="299"/>
      <c r="IUD2" s="299"/>
      <c r="IUE2" s="299"/>
      <c r="IUF2" s="299"/>
      <c r="IUG2" s="299"/>
      <c r="IUH2" s="299"/>
      <c r="IUI2" s="299"/>
      <c r="IUJ2" s="299"/>
      <c r="IUK2" s="299"/>
      <c r="IUL2" s="299"/>
      <c r="IUM2" s="299"/>
      <c r="IUN2" s="299"/>
      <c r="IUO2" s="299"/>
      <c r="IUP2" s="299"/>
      <c r="IUQ2" s="299"/>
      <c r="IUR2" s="299"/>
      <c r="IUS2" s="299"/>
      <c r="IUT2" s="299"/>
      <c r="IUU2" s="299"/>
      <c r="IUV2" s="299"/>
      <c r="IUW2" s="299"/>
      <c r="IUX2" s="299"/>
      <c r="IUY2" s="299"/>
      <c r="IUZ2" s="299"/>
      <c r="IVA2" s="299"/>
      <c r="IVB2" s="299"/>
      <c r="IVC2" s="299"/>
      <c r="IVD2" s="299"/>
      <c r="IVE2" s="299"/>
      <c r="IVF2" s="299"/>
      <c r="IVG2" s="299"/>
      <c r="IVH2" s="299"/>
      <c r="IVI2" s="299"/>
      <c r="IVJ2" s="299"/>
      <c r="IVK2" s="299"/>
      <c r="IVL2" s="299"/>
      <c r="IVM2" s="299"/>
      <c r="IVN2" s="299"/>
      <c r="IVO2" s="299"/>
      <c r="IVP2" s="299"/>
      <c r="IVQ2" s="299"/>
      <c r="IVR2" s="299"/>
      <c r="IVS2" s="299"/>
      <c r="IVT2" s="299"/>
      <c r="IVU2" s="299"/>
      <c r="IVV2" s="299"/>
      <c r="IVW2" s="299"/>
      <c r="IVX2" s="299"/>
      <c r="IVY2" s="299"/>
      <c r="IVZ2" s="299"/>
      <c r="IWA2" s="299"/>
      <c r="IWB2" s="299"/>
      <c r="IWC2" s="299"/>
      <c r="IWD2" s="299"/>
      <c r="IWE2" s="299"/>
      <c r="IWF2" s="299"/>
      <c r="IWG2" s="299"/>
      <c r="IWH2" s="299"/>
      <c r="IWI2" s="299"/>
      <c r="IWJ2" s="299"/>
      <c r="IWK2" s="299"/>
      <c r="IWL2" s="299"/>
      <c r="IWM2" s="299"/>
      <c r="IWN2" s="299"/>
      <c r="IWO2" s="299"/>
      <c r="IWP2" s="299"/>
      <c r="IWQ2" s="299"/>
      <c r="IWR2" s="299"/>
      <c r="IWS2" s="299"/>
      <c r="IWT2" s="299"/>
      <c r="IWU2" s="299"/>
      <c r="IWV2" s="299"/>
      <c r="IWW2" s="299"/>
      <c r="IWX2" s="299"/>
      <c r="IWY2" s="299"/>
      <c r="IWZ2" s="299"/>
      <c r="IXA2" s="299"/>
      <c r="IXB2" s="299"/>
      <c r="IXC2" s="299"/>
      <c r="IXD2" s="299"/>
      <c r="IXE2" s="299"/>
      <c r="IXF2" s="299"/>
      <c r="IXG2" s="299"/>
      <c r="IXH2" s="299"/>
      <c r="IXI2" s="299"/>
      <c r="IXJ2" s="299"/>
      <c r="IXK2" s="299"/>
      <c r="IXL2" s="299"/>
      <c r="IXM2" s="299"/>
      <c r="IXN2" s="299"/>
      <c r="IXO2" s="299"/>
      <c r="IXP2" s="299"/>
      <c r="IXQ2" s="299"/>
      <c r="IXR2" s="299"/>
      <c r="IXS2" s="299"/>
      <c r="IXT2" s="299"/>
      <c r="IXU2" s="299"/>
      <c r="IXV2" s="299"/>
      <c r="IXW2" s="299"/>
      <c r="IXX2" s="299"/>
      <c r="IXY2" s="299"/>
      <c r="IXZ2" s="299"/>
      <c r="IYA2" s="299"/>
      <c r="IYB2" s="299"/>
      <c r="IYC2" s="299"/>
      <c r="IYD2" s="299"/>
      <c r="IYE2" s="299"/>
      <c r="IYF2" s="299"/>
      <c r="IYG2" s="299"/>
      <c r="IYH2" s="299"/>
      <c r="IYI2" s="299"/>
      <c r="IYJ2" s="299"/>
      <c r="IYK2" s="299"/>
      <c r="IYL2" s="299"/>
      <c r="IYM2" s="299"/>
      <c r="IYN2" s="299"/>
      <c r="IYO2" s="299"/>
      <c r="IYP2" s="299"/>
      <c r="IYQ2" s="299"/>
      <c r="IYR2" s="299"/>
      <c r="IYS2" s="299"/>
      <c r="IYT2" s="299"/>
      <c r="IYU2" s="299"/>
      <c r="IYV2" s="299"/>
      <c r="IYW2" s="299"/>
      <c r="IYX2" s="299"/>
      <c r="IYY2" s="299"/>
      <c r="IYZ2" s="299"/>
      <c r="IZA2" s="299"/>
      <c r="IZB2" s="299"/>
      <c r="IZC2" s="299"/>
      <c r="IZD2" s="299"/>
      <c r="IZE2" s="299"/>
      <c r="IZF2" s="299"/>
      <c r="IZG2" s="299"/>
      <c r="IZH2" s="299"/>
      <c r="IZI2" s="299"/>
      <c r="IZJ2" s="299"/>
      <c r="IZK2" s="299"/>
      <c r="IZL2" s="299"/>
      <c r="IZM2" s="299"/>
      <c r="IZN2" s="299"/>
      <c r="IZO2" s="299"/>
      <c r="IZP2" s="299"/>
      <c r="IZQ2" s="299"/>
      <c r="IZR2" s="299"/>
      <c r="IZS2" s="299"/>
      <c r="IZT2" s="299"/>
      <c r="IZU2" s="299"/>
      <c r="IZV2" s="299"/>
      <c r="IZW2" s="299"/>
      <c r="IZX2" s="299"/>
      <c r="IZY2" s="299"/>
      <c r="IZZ2" s="299"/>
      <c r="JAA2" s="299"/>
      <c r="JAB2" s="299"/>
      <c r="JAC2" s="299"/>
      <c r="JAD2" s="299"/>
      <c r="JAE2" s="299"/>
      <c r="JAF2" s="299"/>
      <c r="JAG2" s="299"/>
      <c r="JAH2" s="299"/>
      <c r="JAI2" s="299"/>
      <c r="JAJ2" s="299"/>
      <c r="JAK2" s="299"/>
      <c r="JAL2" s="299"/>
      <c r="JAM2" s="299"/>
      <c r="JAN2" s="299"/>
      <c r="JAO2" s="299"/>
      <c r="JAP2" s="299"/>
      <c r="JAQ2" s="299"/>
      <c r="JAR2" s="299"/>
      <c r="JAS2" s="299"/>
      <c r="JAT2" s="299"/>
      <c r="JAU2" s="299"/>
      <c r="JAV2" s="299"/>
      <c r="JAW2" s="299"/>
      <c r="JAX2" s="299"/>
      <c r="JAY2" s="299"/>
      <c r="JAZ2" s="299"/>
      <c r="JBA2" s="299"/>
      <c r="JBB2" s="299"/>
      <c r="JBC2" s="299"/>
      <c r="JBD2" s="299"/>
      <c r="JBE2" s="299"/>
      <c r="JBF2" s="299"/>
      <c r="JBG2" s="299"/>
      <c r="JBH2" s="299"/>
      <c r="JBI2" s="299"/>
      <c r="JBJ2" s="299"/>
      <c r="JBK2" s="299"/>
      <c r="JBL2" s="299"/>
      <c r="JBM2" s="299"/>
      <c r="JBN2" s="299"/>
      <c r="JBO2" s="299"/>
      <c r="JBP2" s="299"/>
      <c r="JBQ2" s="299"/>
      <c r="JBR2" s="299"/>
      <c r="JBS2" s="299"/>
      <c r="JBT2" s="299"/>
      <c r="JBU2" s="299"/>
      <c r="JBV2" s="299"/>
      <c r="JBW2" s="299"/>
      <c r="JBX2" s="299"/>
      <c r="JBY2" s="299"/>
      <c r="JBZ2" s="299"/>
      <c r="JCA2" s="299"/>
      <c r="JCB2" s="299"/>
      <c r="JCC2" s="299"/>
      <c r="JCD2" s="299"/>
      <c r="JCE2" s="299"/>
      <c r="JCF2" s="299"/>
      <c r="JCG2" s="299"/>
      <c r="JCH2" s="299"/>
      <c r="JCI2" s="299"/>
      <c r="JCJ2" s="299"/>
      <c r="JCK2" s="299"/>
      <c r="JCL2" s="299"/>
      <c r="JCM2" s="299"/>
      <c r="JCN2" s="299"/>
      <c r="JCO2" s="299"/>
      <c r="JCP2" s="299"/>
      <c r="JCQ2" s="299"/>
      <c r="JCR2" s="299"/>
      <c r="JCS2" s="299"/>
      <c r="JCT2" s="299"/>
      <c r="JCU2" s="299"/>
      <c r="JCV2" s="299"/>
      <c r="JCW2" s="299"/>
      <c r="JCX2" s="299"/>
      <c r="JCY2" s="299"/>
      <c r="JCZ2" s="299"/>
      <c r="JDA2" s="299"/>
      <c r="JDB2" s="299"/>
      <c r="JDC2" s="299"/>
      <c r="JDD2" s="299"/>
      <c r="JDE2" s="299"/>
      <c r="JDF2" s="299"/>
      <c r="JDG2" s="299"/>
      <c r="JDH2" s="299"/>
      <c r="JDI2" s="299"/>
      <c r="JDJ2" s="299"/>
      <c r="JDK2" s="299"/>
      <c r="JDL2" s="299"/>
      <c r="JDM2" s="299"/>
      <c r="JDN2" s="299"/>
      <c r="JDO2" s="299"/>
      <c r="JDP2" s="299"/>
      <c r="JDQ2" s="299"/>
      <c r="JDR2" s="299"/>
      <c r="JDS2" s="299"/>
      <c r="JDT2" s="299"/>
      <c r="JDU2" s="299"/>
      <c r="JDV2" s="299"/>
      <c r="JDW2" s="299"/>
      <c r="JDX2" s="299"/>
      <c r="JDY2" s="299"/>
      <c r="JDZ2" s="299"/>
      <c r="JEA2" s="299"/>
      <c r="JEB2" s="299"/>
      <c r="JEC2" s="299"/>
      <c r="JED2" s="299"/>
      <c r="JEE2" s="299"/>
      <c r="JEF2" s="299"/>
      <c r="JEG2" s="299"/>
      <c r="JEH2" s="299"/>
      <c r="JEI2" s="299"/>
      <c r="JEJ2" s="299"/>
      <c r="JEK2" s="299"/>
      <c r="JEL2" s="299"/>
      <c r="JEM2" s="299"/>
      <c r="JEN2" s="299"/>
      <c r="JEO2" s="299"/>
      <c r="JEP2" s="299"/>
      <c r="JEQ2" s="299"/>
      <c r="JER2" s="299"/>
      <c r="JES2" s="299"/>
      <c r="JET2" s="299"/>
      <c r="JEU2" s="299"/>
      <c r="JEV2" s="299"/>
      <c r="JEW2" s="299"/>
      <c r="JEX2" s="299"/>
      <c r="JEY2" s="299"/>
      <c r="JEZ2" s="299"/>
      <c r="JFA2" s="299"/>
      <c r="JFB2" s="299"/>
      <c r="JFC2" s="299"/>
      <c r="JFD2" s="299"/>
      <c r="JFE2" s="299"/>
      <c r="JFF2" s="299"/>
      <c r="JFG2" s="299"/>
      <c r="JFH2" s="299"/>
      <c r="JFI2" s="299"/>
      <c r="JFJ2" s="299"/>
      <c r="JFK2" s="299"/>
      <c r="JFL2" s="299"/>
      <c r="JFM2" s="299"/>
      <c r="JFN2" s="299"/>
      <c r="JFO2" s="299"/>
      <c r="JFP2" s="299"/>
      <c r="JFQ2" s="299"/>
      <c r="JFR2" s="299"/>
      <c r="JFS2" s="299"/>
      <c r="JFT2" s="299"/>
      <c r="JFU2" s="299"/>
      <c r="JFV2" s="299"/>
      <c r="JFW2" s="299"/>
      <c r="JFX2" s="299"/>
      <c r="JFY2" s="299"/>
      <c r="JFZ2" s="299"/>
      <c r="JGA2" s="299"/>
      <c r="JGB2" s="299"/>
      <c r="JGC2" s="299"/>
      <c r="JGD2" s="299"/>
      <c r="JGE2" s="299"/>
      <c r="JGF2" s="299"/>
      <c r="JGG2" s="299"/>
      <c r="JGH2" s="299"/>
      <c r="JGI2" s="299"/>
      <c r="JGJ2" s="299"/>
      <c r="JGK2" s="299"/>
      <c r="JGL2" s="299"/>
      <c r="JGM2" s="299"/>
      <c r="JGN2" s="299"/>
      <c r="JGO2" s="299"/>
      <c r="JGP2" s="299"/>
      <c r="JGQ2" s="299"/>
      <c r="JGR2" s="299"/>
      <c r="JGS2" s="299"/>
      <c r="JGT2" s="299"/>
      <c r="JGU2" s="299"/>
      <c r="JGV2" s="299"/>
      <c r="JGW2" s="299"/>
      <c r="JGX2" s="299"/>
      <c r="JGY2" s="299"/>
      <c r="JGZ2" s="299"/>
      <c r="JHA2" s="299"/>
      <c r="JHB2" s="299"/>
      <c r="JHC2" s="299"/>
      <c r="JHD2" s="299"/>
      <c r="JHE2" s="299"/>
      <c r="JHF2" s="299"/>
      <c r="JHG2" s="299"/>
      <c r="JHH2" s="299"/>
      <c r="JHI2" s="299"/>
      <c r="JHJ2" s="299"/>
      <c r="JHK2" s="299"/>
      <c r="JHL2" s="299"/>
      <c r="JHM2" s="299"/>
      <c r="JHN2" s="299"/>
      <c r="JHO2" s="299"/>
      <c r="JHP2" s="299"/>
      <c r="JHQ2" s="299"/>
      <c r="JHR2" s="299"/>
      <c r="JHS2" s="299"/>
      <c r="JHT2" s="299"/>
      <c r="JHU2" s="299"/>
      <c r="JHV2" s="299"/>
      <c r="JHW2" s="299"/>
      <c r="JHX2" s="299"/>
      <c r="JHY2" s="299"/>
      <c r="JHZ2" s="299"/>
      <c r="JIA2" s="299"/>
      <c r="JIB2" s="299"/>
      <c r="JIC2" s="299"/>
      <c r="JID2" s="299"/>
      <c r="JIE2" s="299"/>
      <c r="JIF2" s="299"/>
      <c r="JIG2" s="299"/>
      <c r="JIH2" s="299"/>
      <c r="JII2" s="299"/>
      <c r="JIJ2" s="299"/>
      <c r="JIK2" s="299"/>
      <c r="JIL2" s="299"/>
      <c r="JIM2" s="299"/>
      <c r="JIN2" s="299"/>
      <c r="JIO2" s="299"/>
      <c r="JIP2" s="299"/>
      <c r="JIQ2" s="299"/>
      <c r="JIR2" s="299"/>
      <c r="JIS2" s="299"/>
      <c r="JIT2" s="299"/>
      <c r="JIU2" s="299"/>
      <c r="JIV2" s="299"/>
      <c r="JIW2" s="299"/>
      <c r="JIX2" s="299"/>
      <c r="JIY2" s="299"/>
      <c r="JIZ2" s="299"/>
      <c r="JJA2" s="299"/>
      <c r="JJB2" s="299"/>
      <c r="JJC2" s="299"/>
      <c r="JJD2" s="299"/>
      <c r="JJE2" s="299"/>
      <c r="JJF2" s="299"/>
      <c r="JJG2" s="299"/>
      <c r="JJH2" s="299"/>
      <c r="JJI2" s="299"/>
      <c r="JJJ2" s="299"/>
      <c r="JJK2" s="299"/>
      <c r="JJL2" s="299"/>
      <c r="JJM2" s="299"/>
      <c r="JJN2" s="299"/>
      <c r="JJO2" s="299"/>
      <c r="JJP2" s="299"/>
      <c r="JJQ2" s="299"/>
      <c r="JJR2" s="299"/>
      <c r="JJS2" s="299"/>
      <c r="JJT2" s="299"/>
      <c r="JJU2" s="299"/>
      <c r="JJV2" s="299"/>
      <c r="JJW2" s="299"/>
      <c r="JJX2" s="299"/>
      <c r="JJY2" s="299"/>
      <c r="JJZ2" s="299"/>
      <c r="JKA2" s="299"/>
      <c r="JKB2" s="299"/>
      <c r="JKC2" s="299"/>
      <c r="JKD2" s="299"/>
      <c r="JKE2" s="299"/>
      <c r="JKF2" s="299"/>
      <c r="JKG2" s="299"/>
      <c r="JKH2" s="299"/>
      <c r="JKI2" s="299"/>
      <c r="JKJ2" s="299"/>
      <c r="JKK2" s="299"/>
      <c r="JKL2" s="299"/>
      <c r="JKM2" s="299"/>
      <c r="JKN2" s="299"/>
      <c r="JKO2" s="299"/>
      <c r="JKP2" s="299"/>
      <c r="JKQ2" s="299"/>
      <c r="JKR2" s="299"/>
      <c r="JKS2" s="299"/>
      <c r="JKT2" s="299"/>
      <c r="JKU2" s="299"/>
      <c r="JKV2" s="299"/>
      <c r="JKW2" s="299"/>
      <c r="JKX2" s="299"/>
      <c r="JKY2" s="299"/>
      <c r="JKZ2" s="299"/>
      <c r="JLA2" s="299"/>
      <c r="JLB2" s="299"/>
      <c r="JLC2" s="299"/>
      <c r="JLD2" s="299"/>
      <c r="JLE2" s="299"/>
      <c r="JLF2" s="299"/>
      <c r="JLG2" s="299"/>
      <c r="JLH2" s="299"/>
      <c r="JLI2" s="299"/>
      <c r="JLJ2" s="299"/>
      <c r="JLK2" s="299"/>
      <c r="JLL2" s="299"/>
      <c r="JLM2" s="299"/>
      <c r="JLN2" s="299"/>
      <c r="JLO2" s="299"/>
      <c r="JLP2" s="299"/>
      <c r="JLQ2" s="299"/>
      <c r="JLR2" s="299"/>
      <c r="JLS2" s="299"/>
      <c r="JLT2" s="299"/>
      <c r="JLU2" s="299"/>
      <c r="JLV2" s="299"/>
      <c r="JLW2" s="299"/>
      <c r="JLX2" s="299"/>
      <c r="JLY2" s="299"/>
      <c r="JLZ2" s="299"/>
      <c r="JMA2" s="299"/>
      <c r="JMB2" s="299"/>
      <c r="JMC2" s="299"/>
      <c r="JMD2" s="299"/>
      <c r="JME2" s="299"/>
      <c r="JMF2" s="299"/>
      <c r="JMG2" s="299"/>
      <c r="JMH2" s="299"/>
      <c r="JMI2" s="299"/>
      <c r="JMJ2" s="299"/>
      <c r="JMK2" s="299"/>
      <c r="JML2" s="299"/>
      <c r="JMM2" s="299"/>
      <c r="JMN2" s="299"/>
      <c r="JMO2" s="299"/>
      <c r="JMP2" s="299"/>
      <c r="JMQ2" s="299"/>
      <c r="JMR2" s="299"/>
      <c r="JMS2" s="299"/>
      <c r="JMT2" s="299"/>
      <c r="JMU2" s="299"/>
      <c r="JMV2" s="299"/>
      <c r="JMW2" s="299"/>
      <c r="JMX2" s="299"/>
      <c r="JMY2" s="299"/>
      <c r="JMZ2" s="299"/>
      <c r="JNA2" s="299"/>
      <c r="JNB2" s="299"/>
      <c r="JNC2" s="299"/>
      <c r="JND2" s="299"/>
      <c r="JNE2" s="299"/>
      <c r="JNF2" s="299"/>
      <c r="JNG2" s="299"/>
      <c r="JNH2" s="299"/>
      <c r="JNI2" s="299"/>
      <c r="JNJ2" s="299"/>
      <c r="JNK2" s="299"/>
      <c r="JNL2" s="299"/>
      <c r="JNM2" s="299"/>
      <c r="JNN2" s="299"/>
      <c r="JNO2" s="299"/>
      <c r="JNP2" s="299"/>
      <c r="JNQ2" s="299"/>
      <c r="JNR2" s="299"/>
      <c r="JNS2" s="299"/>
      <c r="JNT2" s="299"/>
      <c r="JNU2" s="299"/>
      <c r="JNV2" s="299"/>
      <c r="JNW2" s="299"/>
      <c r="JNX2" s="299"/>
      <c r="JNY2" s="299"/>
      <c r="JNZ2" s="299"/>
      <c r="JOA2" s="299"/>
      <c r="JOB2" s="299"/>
      <c r="JOC2" s="299"/>
      <c r="JOD2" s="299"/>
      <c r="JOE2" s="299"/>
      <c r="JOF2" s="299"/>
      <c r="JOG2" s="299"/>
      <c r="JOH2" s="299"/>
      <c r="JOI2" s="299"/>
      <c r="JOJ2" s="299"/>
      <c r="JOK2" s="299"/>
      <c r="JOL2" s="299"/>
      <c r="JOM2" s="299"/>
      <c r="JON2" s="299"/>
      <c r="JOO2" s="299"/>
      <c r="JOP2" s="299"/>
      <c r="JOQ2" s="299"/>
      <c r="JOR2" s="299"/>
      <c r="JOS2" s="299"/>
      <c r="JOT2" s="299"/>
      <c r="JOU2" s="299"/>
      <c r="JOV2" s="299"/>
      <c r="JOW2" s="299"/>
      <c r="JOX2" s="299"/>
      <c r="JOY2" s="299"/>
      <c r="JOZ2" s="299"/>
      <c r="JPA2" s="299"/>
      <c r="JPB2" s="299"/>
      <c r="JPC2" s="299"/>
      <c r="JPD2" s="299"/>
      <c r="JPE2" s="299"/>
      <c r="JPF2" s="299"/>
      <c r="JPG2" s="299"/>
      <c r="JPH2" s="299"/>
      <c r="JPI2" s="299"/>
      <c r="JPJ2" s="299"/>
      <c r="JPK2" s="299"/>
      <c r="JPL2" s="299"/>
      <c r="JPM2" s="299"/>
      <c r="JPN2" s="299"/>
      <c r="JPO2" s="299"/>
      <c r="JPP2" s="299"/>
      <c r="JPQ2" s="299"/>
      <c r="JPR2" s="299"/>
      <c r="JPS2" s="299"/>
      <c r="JPT2" s="299"/>
      <c r="JPU2" s="299"/>
      <c r="JPV2" s="299"/>
      <c r="JPW2" s="299"/>
      <c r="JPX2" s="299"/>
      <c r="JPY2" s="299"/>
      <c r="JPZ2" s="299"/>
      <c r="JQA2" s="299"/>
      <c r="JQB2" s="299"/>
      <c r="JQC2" s="299"/>
      <c r="JQD2" s="299"/>
      <c r="JQE2" s="299"/>
      <c r="JQF2" s="299"/>
      <c r="JQG2" s="299"/>
      <c r="JQH2" s="299"/>
      <c r="JQI2" s="299"/>
      <c r="JQJ2" s="299"/>
      <c r="JQK2" s="299"/>
      <c r="JQL2" s="299"/>
      <c r="JQM2" s="299"/>
      <c r="JQN2" s="299"/>
      <c r="JQO2" s="299"/>
      <c r="JQP2" s="299"/>
      <c r="JQQ2" s="299"/>
      <c r="JQR2" s="299"/>
      <c r="JQS2" s="299"/>
      <c r="JQT2" s="299"/>
      <c r="JQU2" s="299"/>
      <c r="JQV2" s="299"/>
      <c r="JQW2" s="299"/>
      <c r="JQX2" s="299"/>
      <c r="JQY2" s="299"/>
      <c r="JQZ2" s="299"/>
      <c r="JRA2" s="299"/>
      <c r="JRB2" s="299"/>
      <c r="JRC2" s="299"/>
      <c r="JRD2" s="299"/>
      <c r="JRE2" s="299"/>
      <c r="JRF2" s="299"/>
      <c r="JRG2" s="299"/>
      <c r="JRH2" s="299"/>
      <c r="JRI2" s="299"/>
      <c r="JRJ2" s="299"/>
      <c r="JRK2" s="299"/>
      <c r="JRL2" s="299"/>
      <c r="JRM2" s="299"/>
      <c r="JRN2" s="299"/>
      <c r="JRO2" s="299"/>
      <c r="JRP2" s="299"/>
      <c r="JRQ2" s="299"/>
      <c r="JRR2" s="299"/>
      <c r="JRS2" s="299"/>
      <c r="JRT2" s="299"/>
      <c r="JRU2" s="299"/>
      <c r="JRV2" s="299"/>
      <c r="JRW2" s="299"/>
      <c r="JRX2" s="299"/>
      <c r="JRY2" s="299"/>
      <c r="JRZ2" s="299"/>
      <c r="JSA2" s="299"/>
      <c r="JSB2" s="299"/>
      <c r="JSC2" s="299"/>
      <c r="JSD2" s="299"/>
      <c r="JSE2" s="299"/>
      <c r="JSF2" s="299"/>
      <c r="JSG2" s="299"/>
      <c r="JSH2" s="299"/>
      <c r="JSI2" s="299"/>
      <c r="JSJ2" s="299"/>
      <c r="JSK2" s="299"/>
      <c r="JSL2" s="299"/>
      <c r="JSM2" s="299"/>
      <c r="JSN2" s="299"/>
      <c r="JSO2" s="299"/>
      <c r="JSP2" s="299"/>
      <c r="JSQ2" s="299"/>
      <c r="JSR2" s="299"/>
      <c r="JSS2" s="299"/>
      <c r="JST2" s="299"/>
      <c r="JSU2" s="299"/>
      <c r="JSV2" s="299"/>
      <c r="JSW2" s="299"/>
      <c r="JSX2" s="299"/>
      <c r="JSY2" s="299"/>
      <c r="JSZ2" s="299"/>
      <c r="JTA2" s="299"/>
      <c r="JTB2" s="299"/>
      <c r="JTC2" s="299"/>
      <c r="JTD2" s="299"/>
      <c r="JTE2" s="299"/>
      <c r="JTF2" s="299"/>
      <c r="JTG2" s="299"/>
      <c r="JTH2" s="299"/>
      <c r="JTI2" s="299"/>
      <c r="JTJ2" s="299"/>
      <c r="JTK2" s="299"/>
      <c r="JTL2" s="299"/>
      <c r="JTM2" s="299"/>
      <c r="JTN2" s="299"/>
      <c r="JTO2" s="299"/>
      <c r="JTP2" s="299"/>
      <c r="JTQ2" s="299"/>
      <c r="JTR2" s="299"/>
      <c r="JTS2" s="299"/>
      <c r="JTT2" s="299"/>
      <c r="JTU2" s="299"/>
      <c r="JTV2" s="299"/>
      <c r="JTW2" s="299"/>
      <c r="JTX2" s="299"/>
      <c r="JTY2" s="299"/>
      <c r="JTZ2" s="299"/>
      <c r="JUA2" s="299"/>
      <c r="JUB2" s="299"/>
      <c r="JUC2" s="299"/>
      <c r="JUD2" s="299"/>
      <c r="JUE2" s="299"/>
      <c r="JUF2" s="299"/>
      <c r="JUG2" s="299"/>
      <c r="JUH2" s="299"/>
      <c r="JUI2" s="299"/>
      <c r="JUJ2" s="299"/>
      <c r="JUK2" s="299"/>
      <c r="JUL2" s="299"/>
      <c r="JUM2" s="299"/>
      <c r="JUN2" s="299"/>
      <c r="JUO2" s="299"/>
      <c r="JUP2" s="299"/>
      <c r="JUQ2" s="299"/>
      <c r="JUR2" s="299"/>
      <c r="JUS2" s="299"/>
      <c r="JUT2" s="299"/>
      <c r="JUU2" s="299"/>
      <c r="JUV2" s="299"/>
      <c r="JUW2" s="299"/>
      <c r="JUX2" s="299"/>
      <c r="JUY2" s="299"/>
      <c r="JUZ2" s="299"/>
      <c r="JVA2" s="299"/>
      <c r="JVB2" s="299"/>
      <c r="JVC2" s="299"/>
      <c r="JVD2" s="299"/>
      <c r="JVE2" s="299"/>
      <c r="JVF2" s="299"/>
      <c r="JVG2" s="299"/>
      <c r="JVH2" s="299"/>
      <c r="JVI2" s="299"/>
      <c r="JVJ2" s="299"/>
      <c r="JVK2" s="299"/>
      <c r="JVL2" s="299"/>
      <c r="JVM2" s="299"/>
      <c r="JVN2" s="299"/>
      <c r="JVO2" s="299"/>
      <c r="JVP2" s="299"/>
      <c r="JVQ2" s="299"/>
      <c r="JVR2" s="299"/>
      <c r="JVS2" s="299"/>
      <c r="JVT2" s="299"/>
      <c r="JVU2" s="299"/>
      <c r="JVV2" s="299"/>
      <c r="JVW2" s="299"/>
      <c r="JVX2" s="299"/>
      <c r="JVY2" s="299"/>
      <c r="JVZ2" s="299"/>
      <c r="JWA2" s="299"/>
      <c r="JWB2" s="299"/>
      <c r="JWC2" s="299"/>
      <c r="JWD2" s="299"/>
      <c r="JWE2" s="299"/>
      <c r="JWF2" s="299"/>
      <c r="JWG2" s="299"/>
      <c r="JWH2" s="299"/>
      <c r="JWI2" s="299"/>
      <c r="JWJ2" s="299"/>
      <c r="JWK2" s="299"/>
      <c r="JWL2" s="299"/>
      <c r="JWM2" s="299"/>
      <c r="JWN2" s="299"/>
      <c r="JWO2" s="299"/>
      <c r="JWP2" s="299"/>
      <c r="JWQ2" s="299"/>
      <c r="JWR2" s="299"/>
      <c r="JWS2" s="299"/>
      <c r="JWT2" s="299"/>
      <c r="JWU2" s="299"/>
      <c r="JWV2" s="299"/>
      <c r="JWW2" s="299"/>
      <c r="JWX2" s="299"/>
      <c r="JWY2" s="299"/>
      <c r="JWZ2" s="299"/>
      <c r="JXA2" s="299"/>
      <c r="JXB2" s="299"/>
      <c r="JXC2" s="299"/>
      <c r="JXD2" s="299"/>
      <c r="JXE2" s="299"/>
      <c r="JXF2" s="299"/>
      <c r="JXG2" s="299"/>
      <c r="JXH2" s="299"/>
      <c r="JXI2" s="299"/>
      <c r="JXJ2" s="299"/>
      <c r="JXK2" s="299"/>
      <c r="JXL2" s="299"/>
      <c r="JXM2" s="299"/>
      <c r="JXN2" s="299"/>
      <c r="JXO2" s="299"/>
      <c r="JXP2" s="299"/>
      <c r="JXQ2" s="299"/>
      <c r="JXR2" s="299"/>
      <c r="JXS2" s="299"/>
      <c r="JXT2" s="299"/>
      <c r="JXU2" s="299"/>
      <c r="JXV2" s="299"/>
      <c r="JXW2" s="299"/>
      <c r="JXX2" s="299"/>
      <c r="JXY2" s="299"/>
      <c r="JXZ2" s="299"/>
      <c r="JYA2" s="299"/>
      <c r="JYB2" s="299"/>
      <c r="JYC2" s="299"/>
      <c r="JYD2" s="299"/>
      <c r="JYE2" s="299"/>
      <c r="JYF2" s="299"/>
      <c r="JYG2" s="299"/>
      <c r="JYH2" s="299"/>
      <c r="JYI2" s="299"/>
      <c r="JYJ2" s="299"/>
      <c r="JYK2" s="299"/>
      <c r="JYL2" s="299"/>
      <c r="JYM2" s="299"/>
      <c r="JYN2" s="299"/>
      <c r="JYO2" s="299"/>
      <c r="JYP2" s="299"/>
      <c r="JYQ2" s="299"/>
      <c r="JYR2" s="299"/>
      <c r="JYS2" s="299"/>
      <c r="JYT2" s="299"/>
      <c r="JYU2" s="299"/>
      <c r="JYV2" s="299"/>
      <c r="JYW2" s="299"/>
      <c r="JYX2" s="299"/>
      <c r="JYY2" s="299"/>
      <c r="JYZ2" s="299"/>
      <c r="JZA2" s="299"/>
      <c r="JZB2" s="299"/>
      <c r="JZC2" s="299"/>
      <c r="JZD2" s="299"/>
      <c r="JZE2" s="299"/>
      <c r="JZF2" s="299"/>
      <c r="JZG2" s="299"/>
      <c r="JZH2" s="299"/>
      <c r="JZI2" s="299"/>
      <c r="JZJ2" s="299"/>
      <c r="JZK2" s="299"/>
      <c r="JZL2" s="299"/>
      <c r="JZM2" s="299"/>
      <c r="JZN2" s="299"/>
      <c r="JZO2" s="299"/>
      <c r="JZP2" s="299"/>
      <c r="JZQ2" s="299"/>
      <c r="JZR2" s="299"/>
      <c r="JZS2" s="299"/>
      <c r="JZT2" s="299"/>
      <c r="JZU2" s="299"/>
      <c r="JZV2" s="299"/>
      <c r="JZW2" s="299"/>
      <c r="JZX2" s="299"/>
      <c r="JZY2" s="299"/>
      <c r="JZZ2" s="299"/>
      <c r="KAA2" s="299"/>
      <c r="KAB2" s="299"/>
      <c r="KAC2" s="299"/>
      <c r="KAD2" s="299"/>
      <c r="KAE2" s="299"/>
      <c r="KAF2" s="299"/>
      <c r="KAG2" s="299"/>
      <c r="KAH2" s="299"/>
      <c r="KAI2" s="299"/>
      <c r="KAJ2" s="299"/>
      <c r="KAK2" s="299"/>
      <c r="KAL2" s="299"/>
      <c r="KAM2" s="299"/>
      <c r="KAN2" s="299"/>
      <c r="KAO2" s="299"/>
      <c r="KAP2" s="299"/>
      <c r="KAQ2" s="299"/>
      <c r="KAR2" s="299"/>
      <c r="KAS2" s="299"/>
      <c r="KAT2" s="299"/>
      <c r="KAU2" s="299"/>
      <c r="KAV2" s="299"/>
      <c r="KAW2" s="299"/>
      <c r="KAX2" s="299"/>
      <c r="KAY2" s="299"/>
      <c r="KAZ2" s="299"/>
      <c r="KBA2" s="299"/>
      <c r="KBB2" s="299"/>
      <c r="KBC2" s="299"/>
      <c r="KBD2" s="299"/>
      <c r="KBE2" s="299"/>
      <c r="KBF2" s="299"/>
      <c r="KBG2" s="299"/>
      <c r="KBH2" s="299"/>
      <c r="KBI2" s="299"/>
      <c r="KBJ2" s="299"/>
      <c r="KBK2" s="299"/>
      <c r="KBL2" s="299"/>
      <c r="KBM2" s="299"/>
      <c r="KBN2" s="299"/>
      <c r="KBO2" s="299"/>
      <c r="KBP2" s="299"/>
      <c r="KBQ2" s="299"/>
      <c r="KBR2" s="299"/>
      <c r="KBS2" s="299"/>
      <c r="KBT2" s="299"/>
      <c r="KBU2" s="299"/>
      <c r="KBV2" s="299"/>
      <c r="KBW2" s="299"/>
      <c r="KBX2" s="299"/>
      <c r="KBY2" s="299"/>
      <c r="KBZ2" s="299"/>
      <c r="KCA2" s="299"/>
      <c r="KCB2" s="299"/>
      <c r="KCC2" s="299"/>
      <c r="KCD2" s="299"/>
      <c r="KCE2" s="299"/>
      <c r="KCF2" s="299"/>
      <c r="KCG2" s="299"/>
      <c r="KCH2" s="299"/>
      <c r="KCI2" s="299"/>
      <c r="KCJ2" s="299"/>
      <c r="KCK2" s="299"/>
      <c r="KCL2" s="299"/>
      <c r="KCM2" s="299"/>
      <c r="KCN2" s="299"/>
      <c r="KCO2" s="299"/>
      <c r="KCP2" s="299"/>
      <c r="KCQ2" s="299"/>
      <c r="KCR2" s="299"/>
      <c r="KCS2" s="299"/>
      <c r="KCT2" s="299"/>
      <c r="KCU2" s="299"/>
      <c r="KCV2" s="299"/>
      <c r="KCW2" s="299"/>
      <c r="KCX2" s="299"/>
      <c r="KCY2" s="299"/>
      <c r="KCZ2" s="299"/>
      <c r="KDA2" s="299"/>
      <c r="KDB2" s="299"/>
      <c r="KDC2" s="299"/>
      <c r="KDD2" s="299"/>
      <c r="KDE2" s="299"/>
      <c r="KDF2" s="299"/>
      <c r="KDG2" s="299"/>
      <c r="KDH2" s="299"/>
      <c r="KDI2" s="299"/>
      <c r="KDJ2" s="299"/>
      <c r="KDK2" s="299"/>
      <c r="KDL2" s="299"/>
      <c r="KDM2" s="299"/>
      <c r="KDN2" s="299"/>
      <c r="KDO2" s="299"/>
      <c r="KDP2" s="299"/>
      <c r="KDQ2" s="299"/>
      <c r="KDR2" s="299"/>
      <c r="KDS2" s="299"/>
      <c r="KDT2" s="299"/>
      <c r="KDU2" s="299"/>
      <c r="KDV2" s="299"/>
      <c r="KDW2" s="299"/>
      <c r="KDX2" s="299"/>
      <c r="KDY2" s="299"/>
      <c r="KDZ2" s="299"/>
      <c r="KEA2" s="299"/>
      <c r="KEB2" s="299"/>
      <c r="KEC2" s="299"/>
      <c r="KED2" s="299"/>
      <c r="KEE2" s="299"/>
      <c r="KEF2" s="299"/>
      <c r="KEG2" s="299"/>
      <c r="KEH2" s="299"/>
      <c r="KEI2" s="299"/>
      <c r="KEJ2" s="299"/>
      <c r="KEK2" s="299"/>
      <c r="KEL2" s="299"/>
      <c r="KEM2" s="299"/>
      <c r="KEN2" s="299"/>
      <c r="KEO2" s="299"/>
      <c r="KEP2" s="299"/>
      <c r="KEQ2" s="299"/>
      <c r="KER2" s="299"/>
      <c r="KES2" s="299"/>
      <c r="KET2" s="299"/>
      <c r="KEU2" s="299"/>
      <c r="KEV2" s="299"/>
      <c r="KEW2" s="299"/>
      <c r="KEX2" s="299"/>
      <c r="KEY2" s="299"/>
      <c r="KEZ2" s="299"/>
      <c r="KFA2" s="299"/>
      <c r="KFB2" s="299"/>
      <c r="KFC2" s="299"/>
      <c r="KFD2" s="299"/>
      <c r="KFE2" s="299"/>
      <c r="KFF2" s="299"/>
      <c r="KFG2" s="299"/>
      <c r="KFH2" s="299"/>
      <c r="KFI2" s="299"/>
      <c r="KFJ2" s="299"/>
      <c r="KFK2" s="299"/>
      <c r="KFL2" s="299"/>
      <c r="KFM2" s="299"/>
      <c r="KFN2" s="299"/>
      <c r="KFO2" s="299"/>
      <c r="KFP2" s="299"/>
      <c r="KFQ2" s="299"/>
      <c r="KFR2" s="299"/>
      <c r="KFS2" s="299"/>
      <c r="KFT2" s="299"/>
      <c r="KFU2" s="299"/>
      <c r="KFV2" s="299"/>
      <c r="KFW2" s="299"/>
      <c r="KFX2" s="299"/>
      <c r="KFY2" s="299"/>
      <c r="KFZ2" s="299"/>
      <c r="KGA2" s="299"/>
      <c r="KGB2" s="299"/>
      <c r="KGC2" s="299"/>
      <c r="KGD2" s="299"/>
      <c r="KGE2" s="299"/>
      <c r="KGF2" s="299"/>
      <c r="KGG2" s="299"/>
      <c r="KGH2" s="299"/>
      <c r="KGI2" s="299"/>
      <c r="KGJ2" s="299"/>
      <c r="KGK2" s="299"/>
      <c r="KGL2" s="299"/>
      <c r="KGM2" s="299"/>
      <c r="KGN2" s="299"/>
      <c r="KGO2" s="299"/>
      <c r="KGP2" s="299"/>
      <c r="KGQ2" s="299"/>
      <c r="KGR2" s="299"/>
      <c r="KGS2" s="299"/>
      <c r="KGT2" s="299"/>
      <c r="KGU2" s="299"/>
      <c r="KGV2" s="299"/>
      <c r="KGW2" s="299"/>
      <c r="KGX2" s="299"/>
      <c r="KGY2" s="299"/>
      <c r="KGZ2" s="299"/>
      <c r="KHA2" s="299"/>
      <c r="KHB2" s="299"/>
      <c r="KHC2" s="299"/>
      <c r="KHD2" s="299"/>
      <c r="KHE2" s="299"/>
      <c r="KHF2" s="299"/>
      <c r="KHG2" s="299"/>
      <c r="KHH2" s="299"/>
      <c r="KHI2" s="299"/>
      <c r="KHJ2" s="299"/>
      <c r="KHK2" s="299"/>
      <c r="KHL2" s="299"/>
      <c r="KHM2" s="299"/>
      <c r="KHN2" s="299"/>
      <c r="KHO2" s="299"/>
      <c r="KHP2" s="299"/>
      <c r="KHQ2" s="299"/>
      <c r="KHR2" s="299"/>
      <c r="KHS2" s="299"/>
      <c r="KHT2" s="299"/>
      <c r="KHU2" s="299"/>
      <c r="KHV2" s="299"/>
      <c r="KHW2" s="299"/>
      <c r="KHX2" s="299"/>
      <c r="KHY2" s="299"/>
      <c r="KHZ2" s="299"/>
      <c r="KIA2" s="299"/>
      <c r="KIB2" s="299"/>
      <c r="KIC2" s="299"/>
      <c r="KID2" s="299"/>
      <c r="KIE2" s="299"/>
      <c r="KIF2" s="299"/>
      <c r="KIG2" s="299"/>
      <c r="KIH2" s="299"/>
      <c r="KII2" s="299"/>
      <c r="KIJ2" s="299"/>
      <c r="KIK2" s="299"/>
      <c r="KIL2" s="299"/>
      <c r="KIM2" s="299"/>
      <c r="KIN2" s="299"/>
      <c r="KIO2" s="299"/>
      <c r="KIP2" s="299"/>
      <c r="KIQ2" s="299"/>
      <c r="KIR2" s="299"/>
      <c r="KIS2" s="299"/>
      <c r="KIT2" s="299"/>
      <c r="KIU2" s="299"/>
      <c r="KIV2" s="299"/>
      <c r="KIW2" s="299"/>
      <c r="KIX2" s="299"/>
      <c r="KIY2" s="299"/>
      <c r="KIZ2" s="299"/>
      <c r="KJA2" s="299"/>
      <c r="KJB2" s="299"/>
      <c r="KJC2" s="299"/>
      <c r="KJD2" s="299"/>
      <c r="KJE2" s="299"/>
      <c r="KJF2" s="299"/>
      <c r="KJG2" s="299"/>
      <c r="KJH2" s="299"/>
      <c r="KJI2" s="299"/>
      <c r="KJJ2" s="299"/>
      <c r="KJK2" s="299"/>
      <c r="KJL2" s="299"/>
      <c r="KJM2" s="299"/>
      <c r="KJN2" s="299"/>
      <c r="KJO2" s="299"/>
      <c r="KJP2" s="299"/>
      <c r="KJQ2" s="299"/>
      <c r="KJR2" s="299"/>
      <c r="KJS2" s="299"/>
      <c r="KJT2" s="299"/>
      <c r="KJU2" s="299"/>
      <c r="KJV2" s="299"/>
      <c r="KJW2" s="299"/>
      <c r="KJX2" s="299"/>
      <c r="KJY2" s="299"/>
      <c r="KJZ2" s="299"/>
      <c r="KKA2" s="299"/>
      <c r="KKB2" s="299"/>
      <c r="KKC2" s="299"/>
      <c r="KKD2" s="299"/>
      <c r="KKE2" s="299"/>
      <c r="KKF2" s="299"/>
      <c r="KKG2" s="299"/>
      <c r="KKH2" s="299"/>
      <c r="KKI2" s="299"/>
      <c r="KKJ2" s="299"/>
      <c r="KKK2" s="299"/>
      <c r="KKL2" s="299"/>
      <c r="KKM2" s="299"/>
      <c r="KKN2" s="299"/>
      <c r="KKO2" s="299"/>
      <c r="KKP2" s="299"/>
      <c r="KKQ2" s="299"/>
      <c r="KKR2" s="299"/>
      <c r="KKS2" s="299"/>
      <c r="KKT2" s="299"/>
      <c r="KKU2" s="299"/>
      <c r="KKV2" s="299"/>
      <c r="KKW2" s="299"/>
      <c r="KKX2" s="299"/>
      <c r="KKY2" s="299"/>
      <c r="KKZ2" s="299"/>
      <c r="KLA2" s="299"/>
      <c r="KLB2" s="299"/>
      <c r="KLC2" s="299"/>
      <c r="KLD2" s="299"/>
      <c r="KLE2" s="299"/>
      <c r="KLF2" s="299"/>
      <c r="KLG2" s="299"/>
      <c r="KLH2" s="299"/>
      <c r="KLI2" s="299"/>
      <c r="KLJ2" s="299"/>
      <c r="KLK2" s="299"/>
      <c r="KLL2" s="299"/>
      <c r="KLM2" s="299"/>
      <c r="KLN2" s="299"/>
      <c r="KLO2" s="299"/>
      <c r="KLP2" s="299"/>
      <c r="KLQ2" s="299"/>
      <c r="KLR2" s="299"/>
      <c r="KLS2" s="299"/>
      <c r="KLT2" s="299"/>
      <c r="KLU2" s="299"/>
      <c r="KLV2" s="299"/>
      <c r="KLW2" s="299"/>
      <c r="KLX2" s="299"/>
      <c r="KLY2" s="299"/>
      <c r="KLZ2" s="299"/>
      <c r="KMA2" s="299"/>
      <c r="KMB2" s="299"/>
      <c r="KMC2" s="299"/>
      <c r="KMD2" s="299"/>
      <c r="KME2" s="299"/>
      <c r="KMF2" s="299"/>
      <c r="KMG2" s="299"/>
      <c r="KMH2" s="299"/>
      <c r="KMI2" s="299"/>
      <c r="KMJ2" s="299"/>
      <c r="KMK2" s="299"/>
      <c r="KML2" s="299"/>
      <c r="KMM2" s="299"/>
      <c r="KMN2" s="299"/>
      <c r="KMO2" s="299"/>
      <c r="KMP2" s="299"/>
      <c r="KMQ2" s="299"/>
      <c r="KMR2" s="299"/>
      <c r="KMS2" s="299"/>
      <c r="KMT2" s="299"/>
      <c r="KMU2" s="299"/>
      <c r="KMV2" s="299"/>
      <c r="KMW2" s="299"/>
      <c r="KMX2" s="299"/>
      <c r="KMY2" s="299"/>
      <c r="KMZ2" s="299"/>
      <c r="KNA2" s="299"/>
      <c r="KNB2" s="299"/>
      <c r="KNC2" s="299"/>
      <c r="KND2" s="299"/>
      <c r="KNE2" s="299"/>
      <c r="KNF2" s="299"/>
      <c r="KNG2" s="299"/>
      <c r="KNH2" s="299"/>
      <c r="KNI2" s="299"/>
      <c r="KNJ2" s="299"/>
      <c r="KNK2" s="299"/>
      <c r="KNL2" s="299"/>
      <c r="KNM2" s="299"/>
      <c r="KNN2" s="299"/>
      <c r="KNO2" s="299"/>
      <c r="KNP2" s="299"/>
      <c r="KNQ2" s="299"/>
      <c r="KNR2" s="299"/>
      <c r="KNS2" s="299"/>
      <c r="KNT2" s="299"/>
      <c r="KNU2" s="299"/>
      <c r="KNV2" s="299"/>
      <c r="KNW2" s="299"/>
      <c r="KNX2" s="299"/>
      <c r="KNY2" s="299"/>
      <c r="KNZ2" s="299"/>
      <c r="KOA2" s="299"/>
      <c r="KOB2" s="299"/>
      <c r="KOC2" s="299"/>
      <c r="KOD2" s="299"/>
      <c r="KOE2" s="299"/>
      <c r="KOF2" s="299"/>
      <c r="KOG2" s="299"/>
      <c r="KOH2" s="299"/>
      <c r="KOI2" s="299"/>
      <c r="KOJ2" s="299"/>
      <c r="KOK2" s="299"/>
      <c r="KOL2" s="299"/>
      <c r="KOM2" s="299"/>
      <c r="KON2" s="299"/>
      <c r="KOO2" s="299"/>
      <c r="KOP2" s="299"/>
      <c r="KOQ2" s="299"/>
      <c r="KOR2" s="299"/>
      <c r="KOS2" s="299"/>
      <c r="KOT2" s="299"/>
      <c r="KOU2" s="299"/>
      <c r="KOV2" s="299"/>
      <c r="KOW2" s="299"/>
      <c r="KOX2" s="299"/>
      <c r="KOY2" s="299"/>
      <c r="KOZ2" s="299"/>
      <c r="KPA2" s="299"/>
      <c r="KPB2" s="299"/>
      <c r="KPC2" s="299"/>
      <c r="KPD2" s="299"/>
      <c r="KPE2" s="299"/>
      <c r="KPF2" s="299"/>
      <c r="KPG2" s="299"/>
      <c r="KPH2" s="299"/>
      <c r="KPI2" s="299"/>
      <c r="KPJ2" s="299"/>
      <c r="KPK2" s="299"/>
      <c r="KPL2" s="299"/>
      <c r="KPM2" s="299"/>
      <c r="KPN2" s="299"/>
      <c r="KPO2" s="299"/>
      <c r="KPP2" s="299"/>
      <c r="KPQ2" s="299"/>
      <c r="KPR2" s="299"/>
      <c r="KPS2" s="299"/>
      <c r="KPT2" s="299"/>
      <c r="KPU2" s="299"/>
      <c r="KPV2" s="299"/>
      <c r="KPW2" s="299"/>
      <c r="KPX2" s="299"/>
      <c r="KPY2" s="299"/>
      <c r="KPZ2" s="299"/>
      <c r="KQA2" s="299"/>
      <c r="KQB2" s="299"/>
      <c r="KQC2" s="299"/>
      <c r="KQD2" s="299"/>
      <c r="KQE2" s="299"/>
      <c r="KQF2" s="299"/>
      <c r="KQG2" s="299"/>
      <c r="KQH2" s="299"/>
      <c r="KQI2" s="299"/>
      <c r="KQJ2" s="299"/>
      <c r="KQK2" s="299"/>
      <c r="KQL2" s="299"/>
      <c r="KQM2" s="299"/>
      <c r="KQN2" s="299"/>
      <c r="KQO2" s="299"/>
      <c r="KQP2" s="299"/>
      <c r="KQQ2" s="299"/>
      <c r="KQR2" s="299"/>
      <c r="KQS2" s="299"/>
      <c r="KQT2" s="299"/>
      <c r="KQU2" s="299"/>
      <c r="KQV2" s="299"/>
      <c r="KQW2" s="299"/>
      <c r="KQX2" s="299"/>
      <c r="KQY2" s="299"/>
      <c r="KQZ2" s="299"/>
      <c r="KRA2" s="299"/>
      <c r="KRB2" s="299"/>
      <c r="KRC2" s="299"/>
      <c r="KRD2" s="299"/>
      <c r="KRE2" s="299"/>
      <c r="KRF2" s="299"/>
      <c r="KRG2" s="299"/>
      <c r="KRH2" s="299"/>
      <c r="KRI2" s="299"/>
      <c r="KRJ2" s="299"/>
      <c r="KRK2" s="299"/>
      <c r="KRL2" s="299"/>
      <c r="KRM2" s="299"/>
      <c r="KRN2" s="299"/>
      <c r="KRO2" s="299"/>
      <c r="KRP2" s="299"/>
      <c r="KRQ2" s="299"/>
      <c r="KRR2" s="299"/>
      <c r="KRS2" s="299"/>
      <c r="KRT2" s="299"/>
      <c r="KRU2" s="299"/>
      <c r="KRV2" s="299"/>
      <c r="KRW2" s="299"/>
      <c r="KRX2" s="299"/>
      <c r="KRY2" s="299"/>
      <c r="KRZ2" s="299"/>
      <c r="KSA2" s="299"/>
      <c r="KSB2" s="299"/>
      <c r="KSC2" s="299"/>
      <c r="KSD2" s="299"/>
      <c r="KSE2" s="299"/>
      <c r="KSF2" s="299"/>
      <c r="KSG2" s="299"/>
      <c r="KSH2" s="299"/>
      <c r="KSI2" s="299"/>
      <c r="KSJ2" s="299"/>
      <c r="KSK2" s="299"/>
      <c r="KSL2" s="299"/>
      <c r="KSM2" s="299"/>
      <c r="KSN2" s="299"/>
      <c r="KSO2" s="299"/>
      <c r="KSP2" s="299"/>
      <c r="KSQ2" s="299"/>
      <c r="KSR2" s="299"/>
      <c r="KSS2" s="299"/>
      <c r="KST2" s="299"/>
      <c r="KSU2" s="299"/>
      <c r="KSV2" s="299"/>
      <c r="KSW2" s="299"/>
      <c r="KSX2" s="299"/>
      <c r="KSY2" s="299"/>
      <c r="KSZ2" s="299"/>
      <c r="KTA2" s="299"/>
      <c r="KTB2" s="299"/>
      <c r="KTC2" s="299"/>
      <c r="KTD2" s="299"/>
      <c r="KTE2" s="299"/>
      <c r="KTF2" s="299"/>
      <c r="KTG2" s="299"/>
      <c r="KTH2" s="299"/>
      <c r="KTI2" s="299"/>
      <c r="KTJ2" s="299"/>
      <c r="KTK2" s="299"/>
      <c r="KTL2" s="299"/>
      <c r="KTM2" s="299"/>
      <c r="KTN2" s="299"/>
      <c r="KTO2" s="299"/>
      <c r="KTP2" s="299"/>
      <c r="KTQ2" s="299"/>
      <c r="KTR2" s="299"/>
      <c r="KTS2" s="299"/>
      <c r="KTT2" s="299"/>
      <c r="KTU2" s="299"/>
      <c r="KTV2" s="299"/>
      <c r="KTW2" s="299"/>
      <c r="KTX2" s="299"/>
      <c r="KTY2" s="299"/>
      <c r="KTZ2" s="299"/>
      <c r="KUA2" s="299"/>
      <c r="KUB2" s="299"/>
      <c r="KUC2" s="299"/>
      <c r="KUD2" s="299"/>
      <c r="KUE2" s="299"/>
      <c r="KUF2" s="299"/>
      <c r="KUG2" s="299"/>
      <c r="KUH2" s="299"/>
      <c r="KUI2" s="299"/>
      <c r="KUJ2" s="299"/>
      <c r="KUK2" s="299"/>
      <c r="KUL2" s="299"/>
      <c r="KUM2" s="299"/>
      <c r="KUN2" s="299"/>
      <c r="KUO2" s="299"/>
      <c r="KUP2" s="299"/>
      <c r="KUQ2" s="299"/>
      <c r="KUR2" s="299"/>
      <c r="KUS2" s="299"/>
      <c r="KUT2" s="299"/>
      <c r="KUU2" s="299"/>
      <c r="KUV2" s="299"/>
      <c r="KUW2" s="299"/>
      <c r="KUX2" s="299"/>
      <c r="KUY2" s="299"/>
      <c r="KUZ2" s="299"/>
      <c r="KVA2" s="299"/>
      <c r="KVB2" s="299"/>
      <c r="KVC2" s="299"/>
      <c r="KVD2" s="299"/>
      <c r="KVE2" s="299"/>
      <c r="KVF2" s="299"/>
      <c r="KVG2" s="299"/>
      <c r="KVH2" s="299"/>
      <c r="KVI2" s="299"/>
      <c r="KVJ2" s="299"/>
      <c r="KVK2" s="299"/>
      <c r="KVL2" s="299"/>
      <c r="KVM2" s="299"/>
      <c r="KVN2" s="299"/>
      <c r="KVO2" s="299"/>
      <c r="KVP2" s="299"/>
      <c r="KVQ2" s="299"/>
      <c r="KVR2" s="299"/>
      <c r="KVS2" s="299"/>
      <c r="KVT2" s="299"/>
      <c r="KVU2" s="299"/>
      <c r="KVV2" s="299"/>
      <c r="KVW2" s="299"/>
      <c r="KVX2" s="299"/>
      <c r="KVY2" s="299"/>
      <c r="KVZ2" s="299"/>
      <c r="KWA2" s="299"/>
      <c r="KWB2" s="299"/>
      <c r="KWC2" s="299"/>
      <c r="KWD2" s="299"/>
      <c r="KWE2" s="299"/>
      <c r="KWF2" s="299"/>
      <c r="KWG2" s="299"/>
      <c r="KWH2" s="299"/>
      <c r="KWI2" s="299"/>
      <c r="KWJ2" s="299"/>
      <c r="KWK2" s="299"/>
      <c r="KWL2" s="299"/>
      <c r="KWM2" s="299"/>
      <c r="KWN2" s="299"/>
      <c r="KWO2" s="299"/>
      <c r="KWP2" s="299"/>
      <c r="KWQ2" s="299"/>
      <c r="KWR2" s="299"/>
      <c r="KWS2" s="299"/>
      <c r="KWT2" s="299"/>
      <c r="KWU2" s="299"/>
      <c r="KWV2" s="299"/>
      <c r="KWW2" s="299"/>
      <c r="KWX2" s="299"/>
      <c r="KWY2" s="299"/>
      <c r="KWZ2" s="299"/>
      <c r="KXA2" s="299"/>
      <c r="KXB2" s="299"/>
      <c r="KXC2" s="299"/>
      <c r="KXD2" s="299"/>
      <c r="KXE2" s="299"/>
      <c r="KXF2" s="299"/>
      <c r="KXG2" s="299"/>
      <c r="KXH2" s="299"/>
      <c r="KXI2" s="299"/>
      <c r="KXJ2" s="299"/>
      <c r="KXK2" s="299"/>
      <c r="KXL2" s="299"/>
      <c r="KXM2" s="299"/>
      <c r="KXN2" s="299"/>
      <c r="KXO2" s="299"/>
      <c r="KXP2" s="299"/>
      <c r="KXQ2" s="299"/>
      <c r="KXR2" s="299"/>
      <c r="KXS2" s="299"/>
      <c r="KXT2" s="299"/>
      <c r="KXU2" s="299"/>
      <c r="KXV2" s="299"/>
      <c r="KXW2" s="299"/>
      <c r="KXX2" s="299"/>
      <c r="KXY2" s="299"/>
      <c r="KXZ2" s="299"/>
      <c r="KYA2" s="299"/>
      <c r="KYB2" s="299"/>
      <c r="KYC2" s="299"/>
      <c r="KYD2" s="299"/>
      <c r="KYE2" s="299"/>
      <c r="KYF2" s="299"/>
      <c r="KYG2" s="299"/>
      <c r="KYH2" s="299"/>
      <c r="KYI2" s="299"/>
      <c r="KYJ2" s="299"/>
      <c r="KYK2" s="299"/>
      <c r="KYL2" s="299"/>
      <c r="KYM2" s="299"/>
      <c r="KYN2" s="299"/>
      <c r="KYO2" s="299"/>
      <c r="KYP2" s="299"/>
      <c r="KYQ2" s="299"/>
      <c r="KYR2" s="299"/>
      <c r="KYS2" s="299"/>
      <c r="KYT2" s="299"/>
      <c r="KYU2" s="299"/>
      <c r="KYV2" s="299"/>
      <c r="KYW2" s="299"/>
      <c r="KYX2" s="299"/>
      <c r="KYY2" s="299"/>
      <c r="KYZ2" s="299"/>
      <c r="KZA2" s="299"/>
      <c r="KZB2" s="299"/>
      <c r="KZC2" s="299"/>
      <c r="KZD2" s="299"/>
      <c r="KZE2" s="299"/>
      <c r="KZF2" s="299"/>
      <c r="KZG2" s="299"/>
      <c r="KZH2" s="299"/>
      <c r="KZI2" s="299"/>
      <c r="KZJ2" s="299"/>
      <c r="KZK2" s="299"/>
      <c r="KZL2" s="299"/>
      <c r="KZM2" s="299"/>
      <c r="KZN2" s="299"/>
      <c r="KZO2" s="299"/>
      <c r="KZP2" s="299"/>
      <c r="KZQ2" s="299"/>
      <c r="KZR2" s="299"/>
      <c r="KZS2" s="299"/>
      <c r="KZT2" s="299"/>
      <c r="KZU2" s="299"/>
      <c r="KZV2" s="299"/>
      <c r="KZW2" s="299"/>
      <c r="KZX2" s="299"/>
      <c r="KZY2" s="299"/>
      <c r="KZZ2" s="299"/>
      <c r="LAA2" s="299"/>
      <c r="LAB2" s="299"/>
      <c r="LAC2" s="299"/>
      <c r="LAD2" s="299"/>
      <c r="LAE2" s="299"/>
      <c r="LAF2" s="299"/>
      <c r="LAG2" s="299"/>
      <c r="LAH2" s="299"/>
      <c r="LAI2" s="299"/>
      <c r="LAJ2" s="299"/>
      <c r="LAK2" s="299"/>
      <c r="LAL2" s="299"/>
      <c r="LAM2" s="299"/>
      <c r="LAN2" s="299"/>
      <c r="LAO2" s="299"/>
      <c r="LAP2" s="299"/>
      <c r="LAQ2" s="299"/>
      <c r="LAR2" s="299"/>
      <c r="LAS2" s="299"/>
      <c r="LAT2" s="299"/>
      <c r="LAU2" s="299"/>
      <c r="LAV2" s="299"/>
      <c r="LAW2" s="299"/>
      <c r="LAX2" s="299"/>
      <c r="LAY2" s="299"/>
      <c r="LAZ2" s="299"/>
      <c r="LBA2" s="299"/>
      <c r="LBB2" s="299"/>
      <c r="LBC2" s="299"/>
      <c r="LBD2" s="299"/>
      <c r="LBE2" s="299"/>
      <c r="LBF2" s="299"/>
      <c r="LBG2" s="299"/>
      <c r="LBH2" s="299"/>
      <c r="LBI2" s="299"/>
      <c r="LBJ2" s="299"/>
      <c r="LBK2" s="299"/>
      <c r="LBL2" s="299"/>
      <c r="LBM2" s="299"/>
      <c r="LBN2" s="299"/>
      <c r="LBO2" s="299"/>
      <c r="LBP2" s="299"/>
      <c r="LBQ2" s="299"/>
      <c r="LBR2" s="299"/>
      <c r="LBS2" s="299"/>
      <c r="LBT2" s="299"/>
      <c r="LBU2" s="299"/>
      <c r="LBV2" s="299"/>
      <c r="LBW2" s="299"/>
      <c r="LBX2" s="299"/>
      <c r="LBY2" s="299"/>
      <c r="LBZ2" s="299"/>
      <c r="LCA2" s="299"/>
      <c r="LCB2" s="299"/>
      <c r="LCC2" s="299"/>
      <c r="LCD2" s="299"/>
      <c r="LCE2" s="299"/>
      <c r="LCF2" s="299"/>
      <c r="LCG2" s="299"/>
      <c r="LCH2" s="299"/>
      <c r="LCI2" s="299"/>
      <c r="LCJ2" s="299"/>
      <c r="LCK2" s="299"/>
      <c r="LCL2" s="299"/>
      <c r="LCM2" s="299"/>
      <c r="LCN2" s="299"/>
      <c r="LCO2" s="299"/>
      <c r="LCP2" s="299"/>
      <c r="LCQ2" s="299"/>
      <c r="LCR2" s="299"/>
      <c r="LCS2" s="299"/>
      <c r="LCT2" s="299"/>
      <c r="LCU2" s="299"/>
      <c r="LCV2" s="299"/>
      <c r="LCW2" s="299"/>
      <c r="LCX2" s="299"/>
      <c r="LCY2" s="299"/>
      <c r="LCZ2" s="299"/>
      <c r="LDA2" s="299"/>
      <c r="LDB2" s="299"/>
      <c r="LDC2" s="299"/>
      <c r="LDD2" s="299"/>
      <c r="LDE2" s="299"/>
      <c r="LDF2" s="299"/>
      <c r="LDG2" s="299"/>
      <c r="LDH2" s="299"/>
      <c r="LDI2" s="299"/>
      <c r="LDJ2" s="299"/>
      <c r="LDK2" s="299"/>
      <c r="LDL2" s="299"/>
      <c r="LDM2" s="299"/>
      <c r="LDN2" s="299"/>
      <c r="LDO2" s="299"/>
      <c r="LDP2" s="299"/>
      <c r="LDQ2" s="299"/>
      <c r="LDR2" s="299"/>
      <c r="LDS2" s="299"/>
      <c r="LDT2" s="299"/>
      <c r="LDU2" s="299"/>
      <c r="LDV2" s="299"/>
      <c r="LDW2" s="299"/>
      <c r="LDX2" s="299"/>
      <c r="LDY2" s="299"/>
      <c r="LDZ2" s="299"/>
      <c r="LEA2" s="299"/>
      <c r="LEB2" s="299"/>
      <c r="LEC2" s="299"/>
      <c r="LED2" s="299"/>
      <c r="LEE2" s="299"/>
      <c r="LEF2" s="299"/>
      <c r="LEG2" s="299"/>
      <c r="LEH2" s="299"/>
      <c r="LEI2" s="299"/>
      <c r="LEJ2" s="299"/>
      <c r="LEK2" s="299"/>
      <c r="LEL2" s="299"/>
      <c r="LEM2" s="299"/>
      <c r="LEN2" s="299"/>
      <c r="LEO2" s="299"/>
      <c r="LEP2" s="299"/>
      <c r="LEQ2" s="299"/>
      <c r="LER2" s="299"/>
      <c r="LES2" s="299"/>
      <c r="LET2" s="299"/>
      <c r="LEU2" s="299"/>
      <c r="LEV2" s="299"/>
      <c r="LEW2" s="299"/>
      <c r="LEX2" s="299"/>
      <c r="LEY2" s="299"/>
      <c r="LEZ2" s="299"/>
      <c r="LFA2" s="299"/>
      <c r="LFB2" s="299"/>
      <c r="LFC2" s="299"/>
      <c r="LFD2" s="299"/>
      <c r="LFE2" s="299"/>
      <c r="LFF2" s="299"/>
      <c r="LFG2" s="299"/>
      <c r="LFH2" s="299"/>
      <c r="LFI2" s="299"/>
      <c r="LFJ2" s="299"/>
      <c r="LFK2" s="299"/>
      <c r="LFL2" s="299"/>
      <c r="LFM2" s="299"/>
      <c r="LFN2" s="299"/>
      <c r="LFO2" s="299"/>
      <c r="LFP2" s="299"/>
      <c r="LFQ2" s="299"/>
      <c r="LFR2" s="299"/>
      <c r="LFS2" s="299"/>
      <c r="LFT2" s="299"/>
      <c r="LFU2" s="299"/>
      <c r="LFV2" s="299"/>
      <c r="LFW2" s="299"/>
      <c r="LFX2" s="299"/>
      <c r="LFY2" s="299"/>
      <c r="LFZ2" s="299"/>
      <c r="LGA2" s="299"/>
      <c r="LGB2" s="299"/>
      <c r="LGC2" s="299"/>
      <c r="LGD2" s="299"/>
      <c r="LGE2" s="299"/>
      <c r="LGF2" s="299"/>
      <c r="LGG2" s="299"/>
      <c r="LGH2" s="299"/>
      <c r="LGI2" s="299"/>
      <c r="LGJ2" s="299"/>
      <c r="LGK2" s="299"/>
      <c r="LGL2" s="299"/>
      <c r="LGM2" s="299"/>
      <c r="LGN2" s="299"/>
      <c r="LGO2" s="299"/>
      <c r="LGP2" s="299"/>
      <c r="LGQ2" s="299"/>
      <c r="LGR2" s="299"/>
      <c r="LGS2" s="299"/>
      <c r="LGT2" s="299"/>
      <c r="LGU2" s="299"/>
      <c r="LGV2" s="299"/>
      <c r="LGW2" s="299"/>
      <c r="LGX2" s="299"/>
      <c r="LGY2" s="299"/>
      <c r="LGZ2" s="299"/>
      <c r="LHA2" s="299"/>
      <c r="LHB2" s="299"/>
      <c r="LHC2" s="299"/>
      <c r="LHD2" s="299"/>
      <c r="LHE2" s="299"/>
      <c r="LHF2" s="299"/>
      <c r="LHG2" s="299"/>
      <c r="LHH2" s="299"/>
      <c r="LHI2" s="299"/>
      <c r="LHJ2" s="299"/>
      <c r="LHK2" s="299"/>
      <c r="LHL2" s="299"/>
      <c r="LHM2" s="299"/>
      <c r="LHN2" s="299"/>
      <c r="LHO2" s="299"/>
      <c r="LHP2" s="299"/>
      <c r="LHQ2" s="299"/>
      <c r="LHR2" s="299"/>
      <c r="LHS2" s="299"/>
      <c r="LHT2" s="299"/>
      <c r="LHU2" s="299"/>
      <c r="LHV2" s="299"/>
      <c r="LHW2" s="299"/>
      <c r="LHX2" s="299"/>
      <c r="LHY2" s="299"/>
      <c r="LHZ2" s="299"/>
      <c r="LIA2" s="299"/>
      <c r="LIB2" s="299"/>
      <c r="LIC2" s="299"/>
      <c r="LID2" s="299"/>
      <c r="LIE2" s="299"/>
      <c r="LIF2" s="299"/>
      <c r="LIG2" s="299"/>
      <c r="LIH2" s="299"/>
      <c r="LII2" s="299"/>
      <c r="LIJ2" s="299"/>
      <c r="LIK2" s="299"/>
      <c r="LIL2" s="299"/>
      <c r="LIM2" s="299"/>
      <c r="LIN2" s="299"/>
      <c r="LIO2" s="299"/>
      <c r="LIP2" s="299"/>
      <c r="LIQ2" s="299"/>
      <c r="LIR2" s="299"/>
      <c r="LIS2" s="299"/>
      <c r="LIT2" s="299"/>
      <c r="LIU2" s="299"/>
      <c r="LIV2" s="299"/>
      <c r="LIW2" s="299"/>
      <c r="LIX2" s="299"/>
      <c r="LIY2" s="299"/>
      <c r="LIZ2" s="299"/>
      <c r="LJA2" s="299"/>
      <c r="LJB2" s="299"/>
      <c r="LJC2" s="299"/>
      <c r="LJD2" s="299"/>
      <c r="LJE2" s="299"/>
      <c r="LJF2" s="299"/>
      <c r="LJG2" s="299"/>
      <c r="LJH2" s="299"/>
      <c r="LJI2" s="299"/>
      <c r="LJJ2" s="299"/>
      <c r="LJK2" s="299"/>
      <c r="LJL2" s="299"/>
      <c r="LJM2" s="299"/>
      <c r="LJN2" s="299"/>
      <c r="LJO2" s="299"/>
      <c r="LJP2" s="299"/>
      <c r="LJQ2" s="299"/>
      <c r="LJR2" s="299"/>
      <c r="LJS2" s="299"/>
      <c r="LJT2" s="299"/>
      <c r="LJU2" s="299"/>
      <c r="LJV2" s="299"/>
      <c r="LJW2" s="299"/>
      <c r="LJX2" s="299"/>
      <c r="LJY2" s="299"/>
      <c r="LJZ2" s="299"/>
      <c r="LKA2" s="299"/>
      <c r="LKB2" s="299"/>
      <c r="LKC2" s="299"/>
      <c r="LKD2" s="299"/>
      <c r="LKE2" s="299"/>
      <c r="LKF2" s="299"/>
      <c r="LKG2" s="299"/>
      <c r="LKH2" s="299"/>
      <c r="LKI2" s="299"/>
      <c r="LKJ2" s="299"/>
      <c r="LKK2" s="299"/>
      <c r="LKL2" s="299"/>
      <c r="LKM2" s="299"/>
      <c r="LKN2" s="299"/>
      <c r="LKO2" s="299"/>
      <c r="LKP2" s="299"/>
      <c r="LKQ2" s="299"/>
      <c r="LKR2" s="299"/>
      <c r="LKS2" s="299"/>
      <c r="LKT2" s="299"/>
      <c r="LKU2" s="299"/>
      <c r="LKV2" s="299"/>
      <c r="LKW2" s="299"/>
      <c r="LKX2" s="299"/>
      <c r="LKY2" s="299"/>
      <c r="LKZ2" s="299"/>
      <c r="LLA2" s="299"/>
      <c r="LLB2" s="299"/>
      <c r="LLC2" s="299"/>
      <c r="LLD2" s="299"/>
      <c r="LLE2" s="299"/>
      <c r="LLF2" s="299"/>
      <c r="LLG2" s="299"/>
      <c r="LLH2" s="299"/>
      <c r="LLI2" s="299"/>
      <c r="LLJ2" s="299"/>
      <c r="LLK2" s="299"/>
      <c r="LLL2" s="299"/>
      <c r="LLM2" s="299"/>
      <c r="LLN2" s="299"/>
      <c r="LLO2" s="299"/>
      <c r="LLP2" s="299"/>
      <c r="LLQ2" s="299"/>
      <c r="LLR2" s="299"/>
      <c r="LLS2" s="299"/>
      <c r="LLT2" s="299"/>
      <c r="LLU2" s="299"/>
      <c r="LLV2" s="299"/>
      <c r="LLW2" s="299"/>
      <c r="LLX2" s="299"/>
      <c r="LLY2" s="299"/>
      <c r="LLZ2" s="299"/>
      <c r="LMA2" s="299"/>
      <c r="LMB2" s="299"/>
      <c r="LMC2" s="299"/>
      <c r="LMD2" s="299"/>
      <c r="LME2" s="299"/>
      <c r="LMF2" s="299"/>
      <c r="LMG2" s="299"/>
      <c r="LMH2" s="299"/>
      <c r="LMI2" s="299"/>
      <c r="LMJ2" s="299"/>
      <c r="LMK2" s="299"/>
      <c r="LML2" s="299"/>
      <c r="LMM2" s="299"/>
      <c r="LMN2" s="299"/>
      <c r="LMO2" s="299"/>
      <c r="LMP2" s="299"/>
      <c r="LMQ2" s="299"/>
      <c r="LMR2" s="299"/>
      <c r="LMS2" s="299"/>
      <c r="LMT2" s="299"/>
      <c r="LMU2" s="299"/>
      <c r="LMV2" s="299"/>
      <c r="LMW2" s="299"/>
      <c r="LMX2" s="299"/>
      <c r="LMY2" s="299"/>
      <c r="LMZ2" s="299"/>
      <c r="LNA2" s="299"/>
      <c r="LNB2" s="299"/>
      <c r="LNC2" s="299"/>
      <c r="LND2" s="299"/>
      <c r="LNE2" s="299"/>
      <c r="LNF2" s="299"/>
      <c r="LNG2" s="299"/>
      <c r="LNH2" s="299"/>
      <c r="LNI2" s="299"/>
      <c r="LNJ2" s="299"/>
      <c r="LNK2" s="299"/>
      <c r="LNL2" s="299"/>
      <c r="LNM2" s="299"/>
      <c r="LNN2" s="299"/>
      <c r="LNO2" s="299"/>
      <c r="LNP2" s="299"/>
      <c r="LNQ2" s="299"/>
      <c r="LNR2" s="299"/>
      <c r="LNS2" s="299"/>
      <c r="LNT2" s="299"/>
      <c r="LNU2" s="299"/>
      <c r="LNV2" s="299"/>
      <c r="LNW2" s="299"/>
      <c r="LNX2" s="299"/>
      <c r="LNY2" s="299"/>
      <c r="LNZ2" s="299"/>
      <c r="LOA2" s="299"/>
      <c r="LOB2" s="299"/>
      <c r="LOC2" s="299"/>
      <c r="LOD2" s="299"/>
      <c r="LOE2" s="299"/>
      <c r="LOF2" s="299"/>
      <c r="LOG2" s="299"/>
      <c r="LOH2" s="299"/>
      <c r="LOI2" s="299"/>
      <c r="LOJ2" s="299"/>
      <c r="LOK2" s="299"/>
      <c r="LOL2" s="299"/>
      <c r="LOM2" s="299"/>
      <c r="LON2" s="299"/>
      <c r="LOO2" s="299"/>
      <c r="LOP2" s="299"/>
      <c r="LOQ2" s="299"/>
      <c r="LOR2" s="299"/>
      <c r="LOS2" s="299"/>
      <c r="LOT2" s="299"/>
      <c r="LOU2" s="299"/>
      <c r="LOV2" s="299"/>
      <c r="LOW2" s="299"/>
      <c r="LOX2" s="299"/>
      <c r="LOY2" s="299"/>
      <c r="LOZ2" s="299"/>
      <c r="LPA2" s="299"/>
      <c r="LPB2" s="299"/>
      <c r="LPC2" s="299"/>
      <c r="LPD2" s="299"/>
      <c r="LPE2" s="299"/>
      <c r="LPF2" s="299"/>
      <c r="LPG2" s="299"/>
      <c r="LPH2" s="299"/>
      <c r="LPI2" s="299"/>
      <c r="LPJ2" s="299"/>
      <c r="LPK2" s="299"/>
      <c r="LPL2" s="299"/>
      <c r="LPM2" s="299"/>
      <c r="LPN2" s="299"/>
      <c r="LPO2" s="299"/>
      <c r="LPP2" s="299"/>
      <c r="LPQ2" s="299"/>
      <c r="LPR2" s="299"/>
      <c r="LPS2" s="299"/>
      <c r="LPT2" s="299"/>
      <c r="LPU2" s="299"/>
      <c r="LPV2" s="299"/>
      <c r="LPW2" s="299"/>
      <c r="LPX2" s="299"/>
      <c r="LPY2" s="299"/>
      <c r="LPZ2" s="299"/>
      <c r="LQA2" s="299"/>
      <c r="LQB2" s="299"/>
      <c r="LQC2" s="299"/>
      <c r="LQD2" s="299"/>
      <c r="LQE2" s="299"/>
      <c r="LQF2" s="299"/>
      <c r="LQG2" s="299"/>
      <c r="LQH2" s="299"/>
      <c r="LQI2" s="299"/>
      <c r="LQJ2" s="299"/>
      <c r="LQK2" s="299"/>
      <c r="LQL2" s="299"/>
      <c r="LQM2" s="299"/>
      <c r="LQN2" s="299"/>
      <c r="LQO2" s="299"/>
      <c r="LQP2" s="299"/>
      <c r="LQQ2" s="299"/>
      <c r="LQR2" s="299"/>
      <c r="LQS2" s="299"/>
      <c r="LQT2" s="299"/>
      <c r="LQU2" s="299"/>
      <c r="LQV2" s="299"/>
      <c r="LQW2" s="299"/>
      <c r="LQX2" s="299"/>
      <c r="LQY2" s="299"/>
      <c r="LQZ2" s="299"/>
      <c r="LRA2" s="299"/>
      <c r="LRB2" s="299"/>
      <c r="LRC2" s="299"/>
      <c r="LRD2" s="299"/>
      <c r="LRE2" s="299"/>
      <c r="LRF2" s="299"/>
      <c r="LRG2" s="299"/>
      <c r="LRH2" s="299"/>
      <c r="LRI2" s="299"/>
      <c r="LRJ2" s="299"/>
      <c r="LRK2" s="299"/>
      <c r="LRL2" s="299"/>
      <c r="LRM2" s="299"/>
      <c r="LRN2" s="299"/>
      <c r="LRO2" s="299"/>
      <c r="LRP2" s="299"/>
      <c r="LRQ2" s="299"/>
      <c r="LRR2" s="299"/>
      <c r="LRS2" s="299"/>
      <c r="LRT2" s="299"/>
      <c r="LRU2" s="299"/>
      <c r="LRV2" s="299"/>
      <c r="LRW2" s="299"/>
      <c r="LRX2" s="299"/>
      <c r="LRY2" s="299"/>
      <c r="LRZ2" s="299"/>
      <c r="LSA2" s="299"/>
      <c r="LSB2" s="299"/>
      <c r="LSC2" s="299"/>
      <c r="LSD2" s="299"/>
      <c r="LSE2" s="299"/>
      <c r="LSF2" s="299"/>
      <c r="LSG2" s="299"/>
      <c r="LSH2" s="299"/>
      <c r="LSI2" s="299"/>
      <c r="LSJ2" s="299"/>
      <c r="LSK2" s="299"/>
      <c r="LSL2" s="299"/>
      <c r="LSM2" s="299"/>
      <c r="LSN2" s="299"/>
      <c r="LSO2" s="299"/>
      <c r="LSP2" s="299"/>
      <c r="LSQ2" s="299"/>
      <c r="LSR2" s="299"/>
      <c r="LSS2" s="299"/>
      <c r="LST2" s="299"/>
      <c r="LSU2" s="299"/>
      <c r="LSV2" s="299"/>
      <c r="LSW2" s="299"/>
      <c r="LSX2" s="299"/>
      <c r="LSY2" s="299"/>
      <c r="LSZ2" s="299"/>
      <c r="LTA2" s="299"/>
      <c r="LTB2" s="299"/>
      <c r="LTC2" s="299"/>
      <c r="LTD2" s="299"/>
      <c r="LTE2" s="299"/>
      <c r="LTF2" s="299"/>
      <c r="LTG2" s="299"/>
      <c r="LTH2" s="299"/>
      <c r="LTI2" s="299"/>
      <c r="LTJ2" s="299"/>
      <c r="LTK2" s="299"/>
      <c r="LTL2" s="299"/>
      <c r="LTM2" s="299"/>
      <c r="LTN2" s="299"/>
      <c r="LTO2" s="299"/>
      <c r="LTP2" s="299"/>
      <c r="LTQ2" s="299"/>
      <c r="LTR2" s="299"/>
      <c r="LTS2" s="299"/>
      <c r="LTT2" s="299"/>
      <c r="LTU2" s="299"/>
      <c r="LTV2" s="299"/>
      <c r="LTW2" s="299"/>
      <c r="LTX2" s="299"/>
      <c r="LTY2" s="299"/>
      <c r="LTZ2" s="299"/>
      <c r="LUA2" s="299"/>
      <c r="LUB2" s="299"/>
      <c r="LUC2" s="299"/>
      <c r="LUD2" s="299"/>
      <c r="LUE2" s="299"/>
      <c r="LUF2" s="299"/>
      <c r="LUG2" s="299"/>
      <c r="LUH2" s="299"/>
      <c r="LUI2" s="299"/>
      <c r="LUJ2" s="299"/>
      <c r="LUK2" s="299"/>
      <c r="LUL2" s="299"/>
      <c r="LUM2" s="299"/>
      <c r="LUN2" s="299"/>
      <c r="LUO2" s="299"/>
      <c r="LUP2" s="299"/>
      <c r="LUQ2" s="299"/>
      <c r="LUR2" s="299"/>
      <c r="LUS2" s="299"/>
      <c r="LUT2" s="299"/>
      <c r="LUU2" s="299"/>
      <c r="LUV2" s="299"/>
      <c r="LUW2" s="299"/>
      <c r="LUX2" s="299"/>
      <c r="LUY2" s="299"/>
      <c r="LUZ2" s="299"/>
      <c r="LVA2" s="299"/>
      <c r="LVB2" s="299"/>
      <c r="LVC2" s="299"/>
      <c r="LVD2" s="299"/>
      <c r="LVE2" s="299"/>
      <c r="LVF2" s="299"/>
      <c r="LVG2" s="299"/>
      <c r="LVH2" s="299"/>
      <c r="LVI2" s="299"/>
      <c r="LVJ2" s="299"/>
      <c r="LVK2" s="299"/>
      <c r="LVL2" s="299"/>
      <c r="LVM2" s="299"/>
      <c r="LVN2" s="299"/>
      <c r="LVO2" s="299"/>
      <c r="LVP2" s="299"/>
      <c r="LVQ2" s="299"/>
      <c r="LVR2" s="299"/>
      <c r="LVS2" s="299"/>
      <c r="LVT2" s="299"/>
      <c r="LVU2" s="299"/>
      <c r="LVV2" s="299"/>
      <c r="LVW2" s="299"/>
      <c r="LVX2" s="299"/>
      <c r="LVY2" s="299"/>
      <c r="LVZ2" s="299"/>
      <c r="LWA2" s="299"/>
      <c r="LWB2" s="299"/>
      <c r="LWC2" s="299"/>
      <c r="LWD2" s="299"/>
      <c r="LWE2" s="299"/>
      <c r="LWF2" s="299"/>
      <c r="LWG2" s="299"/>
      <c r="LWH2" s="299"/>
      <c r="LWI2" s="299"/>
      <c r="LWJ2" s="299"/>
      <c r="LWK2" s="299"/>
      <c r="LWL2" s="299"/>
      <c r="LWM2" s="299"/>
      <c r="LWN2" s="299"/>
      <c r="LWO2" s="299"/>
      <c r="LWP2" s="299"/>
      <c r="LWQ2" s="299"/>
      <c r="LWR2" s="299"/>
      <c r="LWS2" s="299"/>
      <c r="LWT2" s="299"/>
      <c r="LWU2" s="299"/>
      <c r="LWV2" s="299"/>
      <c r="LWW2" s="299"/>
      <c r="LWX2" s="299"/>
      <c r="LWY2" s="299"/>
      <c r="LWZ2" s="299"/>
      <c r="LXA2" s="299"/>
      <c r="LXB2" s="299"/>
      <c r="LXC2" s="299"/>
      <c r="LXD2" s="299"/>
      <c r="LXE2" s="299"/>
      <c r="LXF2" s="299"/>
      <c r="LXG2" s="299"/>
      <c r="LXH2" s="299"/>
      <c r="LXI2" s="299"/>
      <c r="LXJ2" s="299"/>
      <c r="LXK2" s="299"/>
      <c r="LXL2" s="299"/>
      <c r="LXM2" s="299"/>
      <c r="LXN2" s="299"/>
      <c r="LXO2" s="299"/>
      <c r="LXP2" s="299"/>
      <c r="LXQ2" s="299"/>
      <c r="LXR2" s="299"/>
      <c r="LXS2" s="299"/>
      <c r="LXT2" s="299"/>
      <c r="LXU2" s="299"/>
      <c r="LXV2" s="299"/>
      <c r="LXW2" s="299"/>
      <c r="LXX2" s="299"/>
      <c r="LXY2" s="299"/>
      <c r="LXZ2" s="299"/>
      <c r="LYA2" s="299"/>
      <c r="LYB2" s="299"/>
      <c r="LYC2" s="299"/>
      <c r="LYD2" s="299"/>
      <c r="LYE2" s="299"/>
      <c r="LYF2" s="299"/>
      <c r="LYG2" s="299"/>
      <c r="LYH2" s="299"/>
      <c r="LYI2" s="299"/>
      <c r="LYJ2" s="299"/>
      <c r="LYK2" s="299"/>
      <c r="LYL2" s="299"/>
      <c r="LYM2" s="299"/>
      <c r="LYN2" s="299"/>
      <c r="LYO2" s="299"/>
      <c r="LYP2" s="299"/>
      <c r="LYQ2" s="299"/>
      <c r="LYR2" s="299"/>
      <c r="LYS2" s="299"/>
      <c r="LYT2" s="299"/>
      <c r="LYU2" s="299"/>
      <c r="LYV2" s="299"/>
      <c r="LYW2" s="299"/>
      <c r="LYX2" s="299"/>
      <c r="LYY2" s="299"/>
      <c r="LYZ2" s="299"/>
      <c r="LZA2" s="299"/>
      <c r="LZB2" s="299"/>
      <c r="LZC2" s="299"/>
      <c r="LZD2" s="299"/>
      <c r="LZE2" s="299"/>
      <c r="LZF2" s="299"/>
      <c r="LZG2" s="299"/>
      <c r="LZH2" s="299"/>
      <c r="LZI2" s="299"/>
      <c r="LZJ2" s="299"/>
      <c r="LZK2" s="299"/>
      <c r="LZL2" s="299"/>
      <c r="LZM2" s="299"/>
      <c r="LZN2" s="299"/>
      <c r="LZO2" s="299"/>
      <c r="LZP2" s="299"/>
      <c r="LZQ2" s="299"/>
      <c r="LZR2" s="299"/>
      <c r="LZS2" s="299"/>
      <c r="LZT2" s="299"/>
      <c r="LZU2" s="299"/>
      <c r="LZV2" s="299"/>
      <c r="LZW2" s="299"/>
      <c r="LZX2" s="299"/>
      <c r="LZY2" s="299"/>
      <c r="LZZ2" s="299"/>
      <c r="MAA2" s="299"/>
      <c r="MAB2" s="299"/>
      <c r="MAC2" s="299"/>
      <c r="MAD2" s="299"/>
      <c r="MAE2" s="299"/>
      <c r="MAF2" s="299"/>
      <c r="MAG2" s="299"/>
      <c r="MAH2" s="299"/>
      <c r="MAI2" s="299"/>
      <c r="MAJ2" s="299"/>
      <c r="MAK2" s="299"/>
      <c r="MAL2" s="299"/>
      <c r="MAM2" s="299"/>
      <c r="MAN2" s="299"/>
      <c r="MAO2" s="299"/>
      <c r="MAP2" s="299"/>
      <c r="MAQ2" s="299"/>
      <c r="MAR2" s="299"/>
      <c r="MAS2" s="299"/>
      <c r="MAT2" s="299"/>
      <c r="MAU2" s="299"/>
      <c r="MAV2" s="299"/>
      <c r="MAW2" s="299"/>
      <c r="MAX2" s="299"/>
      <c r="MAY2" s="299"/>
      <c r="MAZ2" s="299"/>
      <c r="MBA2" s="299"/>
      <c r="MBB2" s="299"/>
      <c r="MBC2" s="299"/>
      <c r="MBD2" s="299"/>
      <c r="MBE2" s="299"/>
      <c r="MBF2" s="299"/>
      <c r="MBG2" s="299"/>
      <c r="MBH2" s="299"/>
      <c r="MBI2" s="299"/>
      <c r="MBJ2" s="299"/>
      <c r="MBK2" s="299"/>
      <c r="MBL2" s="299"/>
      <c r="MBM2" s="299"/>
      <c r="MBN2" s="299"/>
      <c r="MBO2" s="299"/>
      <c r="MBP2" s="299"/>
      <c r="MBQ2" s="299"/>
      <c r="MBR2" s="299"/>
      <c r="MBS2" s="299"/>
      <c r="MBT2" s="299"/>
      <c r="MBU2" s="299"/>
      <c r="MBV2" s="299"/>
      <c r="MBW2" s="299"/>
      <c r="MBX2" s="299"/>
      <c r="MBY2" s="299"/>
      <c r="MBZ2" s="299"/>
      <c r="MCA2" s="299"/>
      <c r="MCB2" s="299"/>
      <c r="MCC2" s="299"/>
      <c r="MCD2" s="299"/>
      <c r="MCE2" s="299"/>
      <c r="MCF2" s="299"/>
      <c r="MCG2" s="299"/>
      <c r="MCH2" s="299"/>
      <c r="MCI2" s="299"/>
      <c r="MCJ2" s="299"/>
      <c r="MCK2" s="299"/>
      <c r="MCL2" s="299"/>
      <c r="MCM2" s="299"/>
      <c r="MCN2" s="299"/>
      <c r="MCO2" s="299"/>
      <c r="MCP2" s="299"/>
      <c r="MCQ2" s="299"/>
      <c r="MCR2" s="299"/>
      <c r="MCS2" s="299"/>
      <c r="MCT2" s="299"/>
      <c r="MCU2" s="299"/>
      <c r="MCV2" s="299"/>
      <c r="MCW2" s="299"/>
      <c r="MCX2" s="299"/>
      <c r="MCY2" s="299"/>
      <c r="MCZ2" s="299"/>
      <c r="MDA2" s="299"/>
      <c r="MDB2" s="299"/>
      <c r="MDC2" s="299"/>
      <c r="MDD2" s="299"/>
      <c r="MDE2" s="299"/>
      <c r="MDF2" s="299"/>
      <c r="MDG2" s="299"/>
      <c r="MDH2" s="299"/>
      <c r="MDI2" s="299"/>
      <c r="MDJ2" s="299"/>
      <c r="MDK2" s="299"/>
      <c r="MDL2" s="299"/>
      <c r="MDM2" s="299"/>
      <c r="MDN2" s="299"/>
      <c r="MDO2" s="299"/>
      <c r="MDP2" s="299"/>
      <c r="MDQ2" s="299"/>
      <c r="MDR2" s="299"/>
      <c r="MDS2" s="299"/>
      <c r="MDT2" s="299"/>
      <c r="MDU2" s="299"/>
      <c r="MDV2" s="299"/>
      <c r="MDW2" s="299"/>
      <c r="MDX2" s="299"/>
      <c r="MDY2" s="299"/>
      <c r="MDZ2" s="299"/>
      <c r="MEA2" s="299"/>
      <c r="MEB2" s="299"/>
      <c r="MEC2" s="299"/>
      <c r="MED2" s="299"/>
      <c r="MEE2" s="299"/>
      <c r="MEF2" s="299"/>
      <c r="MEG2" s="299"/>
      <c r="MEH2" s="299"/>
      <c r="MEI2" s="299"/>
      <c r="MEJ2" s="299"/>
      <c r="MEK2" s="299"/>
      <c r="MEL2" s="299"/>
      <c r="MEM2" s="299"/>
      <c r="MEN2" s="299"/>
      <c r="MEO2" s="299"/>
      <c r="MEP2" s="299"/>
      <c r="MEQ2" s="299"/>
      <c r="MER2" s="299"/>
      <c r="MES2" s="299"/>
      <c r="MET2" s="299"/>
      <c r="MEU2" s="299"/>
      <c r="MEV2" s="299"/>
      <c r="MEW2" s="299"/>
      <c r="MEX2" s="299"/>
      <c r="MEY2" s="299"/>
      <c r="MEZ2" s="299"/>
      <c r="MFA2" s="299"/>
      <c r="MFB2" s="299"/>
      <c r="MFC2" s="299"/>
      <c r="MFD2" s="299"/>
      <c r="MFE2" s="299"/>
      <c r="MFF2" s="299"/>
      <c r="MFG2" s="299"/>
      <c r="MFH2" s="299"/>
      <c r="MFI2" s="299"/>
      <c r="MFJ2" s="299"/>
      <c r="MFK2" s="299"/>
      <c r="MFL2" s="299"/>
      <c r="MFM2" s="299"/>
      <c r="MFN2" s="299"/>
      <c r="MFO2" s="299"/>
      <c r="MFP2" s="299"/>
      <c r="MFQ2" s="299"/>
      <c r="MFR2" s="299"/>
      <c r="MFS2" s="299"/>
      <c r="MFT2" s="299"/>
      <c r="MFU2" s="299"/>
      <c r="MFV2" s="299"/>
      <c r="MFW2" s="299"/>
      <c r="MFX2" s="299"/>
      <c r="MFY2" s="299"/>
      <c r="MFZ2" s="299"/>
      <c r="MGA2" s="299"/>
      <c r="MGB2" s="299"/>
      <c r="MGC2" s="299"/>
      <c r="MGD2" s="299"/>
      <c r="MGE2" s="299"/>
      <c r="MGF2" s="299"/>
      <c r="MGG2" s="299"/>
      <c r="MGH2" s="299"/>
      <c r="MGI2" s="299"/>
      <c r="MGJ2" s="299"/>
      <c r="MGK2" s="299"/>
      <c r="MGL2" s="299"/>
      <c r="MGM2" s="299"/>
      <c r="MGN2" s="299"/>
      <c r="MGO2" s="299"/>
      <c r="MGP2" s="299"/>
      <c r="MGQ2" s="299"/>
      <c r="MGR2" s="299"/>
      <c r="MGS2" s="299"/>
      <c r="MGT2" s="299"/>
      <c r="MGU2" s="299"/>
      <c r="MGV2" s="299"/>
      <c r="MGW2" s="299"/>
      <c r="MGX2" s="299"/>
      <c r="MGY2" s="299"/>
      <c r="MGZ2" s="299"/>
      <c r="MHA2" s="299"/>
      <c r="MHB2" s="299"/>
      <c r="MHC2" s="299"/>
      <c r="MHD2" s="299"/>
      <c r="MHE2" s="299"/>
      <c r="MHF2" s="299"/>
      <c r="MHG2" s="299"/>
      <c r="MHH2" s="299"/>
      <c r="MHI2" s="299"/>
      <c r="MHJ2" s="299"/>
      <c r="MHK2" s="299"/>
      <c r="MHL2" s="299"/>
      <c r="MHM2" s="299"/>
      <c r="MHN2" s="299"/>
      <c r="MHO2" s="299"/>
      <c r="MHP2" s="299"/>
      <c r="MHQ2" s="299"/>
      <c r="MHR2" s="299"/>
      <c r="MHS2" s="299"/>
      <c r="MHT2" s="299"/>
      <c r="MHU2" s="299"/>
      <c r="MHV2" s="299"/>
      <c r="MHW2" s="299"/>
      <c r="MHX2" s="299"/>
      <c r="MHY2" s="299"/>
      <c r="MHZ2" s="299"/>
      <c r="MIA2" s="299"/>
      <c r="MIB2" s="299"/>
      <c r="MIC2" s="299"/>
      <c r="MID2" s="299"/>
      <c r="MIE2" s="299"/>
      <c r="MIF2" s="299"/>
      <c r="MIG2" s="299"/>
      <c r="MIH2" s="299"/>
      <c r="MII2" s="299"/>
      <c r="MIJ2" s="299"/>
      <c r="MIK2" s="299"/>
      <c r="MIL2" s="299"/>
      <c r="MIM2" s="299"/>
      <c r="MIN2" s="299"/>
      <c r="MIO2" s="299"/>
      <c r="MIP2" s="299"/>
      <c r="MIQ2" s="299"/>
      <c r="MIR2" s="299"/>
      <c r="MIS2" s="299"/>
      <c r="MIT2" s="299"/>
      <c r="MIU2" s="299"/>
      <c r="MIV2" s="299"/>
      <c r="MIW2" s="299"/>
      <c r="MIX2" s="299"/>
      <c r="MIY2" s="299"/>
      <c r="MIZ2" s="299"/>
      <c r="MJA2" s="299"/>
      <c r="MJB2" s="299"/>
      <c r="MJC2" s="299"/>
      <c r="MJD2" s="299"/>
      <c r="MJE2" s="299"/>
      <c r="MJF2" s="299"/>
      <c r="MJG2" s="299"/>
      <c r="MJH2" s="299"/>
      <c r="MJI2" s="299"/>
      <c r="MJJ2" s="299"/>
      <c r="MJK2" s="299"/>
      <c r="MJL2" s="299"/>
      <c r="MJM2" s="299"/>
      <c r="MJN2" s="299"/>
      <c r="MJO2" s="299"/>
      <c r="MJP2" s="299"/>
      <c r="MJQ2" s="299"/>
      <c r="MJR2" s="299"/>
      <c r="MJS2" s="299"/>
      <c r="MJT2" s="299"/>
      <c r="MJU2" s="299"/>
      <c r="MJV2" s="299"/>
      <c r="MJW2" s="299"/>
      <c r="MJX2" s="299"/>
      <c r="MJY2" s="299"/>
      <c r="MJZ2" s="299"/>
      <c r="MKA2" s="299"/>
      <c r="MKB2" s="299"/>
      <c r="MKC2" s="299"/>
      <c r="MKD2" s="299"/>
      <c r="MKE2" s="299"/>
      <c r="MKF2" s="299"/>
      <c r="MKG2" s="299"/>
      <c r="MKH2" s="299"/>
      <c r="MKI2" s="299"/>
      <c r="MKJ2" s="299"/>
      <c r="MKK2" s="299"/>
      <c r="MKL2" s="299"/>
      <c r="MKM2" s="299"/>
      <c r="MKN2" s="299"/>
      <c r="MKO2" s="299"/>
      <c r="MKP2" s="299"/>
      <c r="MKQ2" s="299"/>
      <c r="MKR2" s="299"/>
      <c r="MKS2" s="299"/>
      <c r="MKT2" s="299"/>
      <c r="MKU2" s="299"/>
      <c r="MKV2" s="299"/>
      <c r="MKW2" s="299"/>
      <c r="MKX2" s="299"/>
      <c r="MKY2" s="299"/>
      <c r="MKZ2" s="299"/>
      <c r="MLA2" s="299"/>
      <c r="MLB2" s="299"/>
      <c r="MLC2" s="299"/>
      <c r="MLD2" s="299"/>
      <c r="MLE2" s="299"/>
      <c r="MLF2" s="299"/>
      <c r="MLG2" s="299"/>
      <c r="MLH2" s="299"/>
      <c r="MLI2" s="299"/>
      <c r="MLJ2" s="299"/>
      <c r="MLK2" s="299"/>
      <c r="MLL2" s="299"/>
      <c r="MLM2" s="299"/>
      <c r="MLN2" s="299"/>
      <c r="MLO2" s="299"/>
      <c r="MLP2" s="299"/>
      <c r="MLQ2" s="299"/>
      <c r="MLR2" s="299"/>
      <c r="MLS2" s="299"/>
      <c r="MLT2" s="299"/>
      <c r="MLU2" s="299"/>
      <c r="MLV2" s="299"/>
      <c r="MLW2" s="299"/>
      <c r="MLX2" s="299"/>
      <c r="MLY2" s="299"/>
      <c r="MLZ2" s="299"/>
      <c r="MMA2" s="299"/>
      <c r="MMB2" s="299"/>
      <c r="MMC2" s="299"/>
      <c r="MMD2" s="299"/>
      <c r="MME2" s="299"/>
      <c r="MMF2" s="299"/>
      <c r="MMG2" s="299"/>
      <c r="MMH2" s="299"/>
      <c r="MMI2" s="299"/>
      <c r="MMJ2" s="299"/>
      <c r="MMK2" s="299"/>
      <c r="MML2" s="299"/>
      <c r="MMM2" s="299"/>
      <c r="MMN2" s="299"/>
      <c r="MMO2" s="299"/>
      <c r="MMP2" s="299"/>
      <c r="MMQ2" s="299"/>
      <c r="MMR2" s="299"/>
      <c r="MMS2" s="299"/>
      <c r="MMT2" s="299"/>
      <c r="MMU2" s="299"/>
      <c r="MMV2" s="299"/>
      <c r="MMW2" s="299"/>
      <c r="MMX2" s="299"/>
      <c r="MMY2" s="299"/>
      <c r="MMZ2" s="299"/>
      <c r="MNA2" s="299"/>
      <c r="MNB2" s="299"/>
      <c r="MNC2" s="299"/>
      <c r="MND2" s="299"/>
      <c r="MNE2" s="299"/>
      <c r="MNF2" s="299"/>
      <c r="MNG2" s="299"/>
      <c r="MNH2" s="299"/>
      <c r="MNI2" s="299"/>
      <c r="MNJ2" s="299"/>
      <c r="MNK2" s="299"/>
      <c r="MNL2" s="299"/>
      <c r="MNM2" s="299"/>
      <c r="MNN2" s="299"/>
      <c r="MNO2" s="299"/>
      <c r="MNP2" s="299"/>
      <c r="MNQ2" s="299"/>
      <c r="MNR2" s="299"/>
      <c r="MNS2" s="299"/>
      <c r="MNT2" s="299"/>
      <c r="MNU2" s="299"/>
      <c r="MNV2" s="299"/>
      <c r="MNW2" s="299"/>
      <c r="MNX2" s="299"/>
      <c r="MNY2" s="299"/>
      <c r="MNZ2" s="299"/>
      <c r="MOA2" s="299"/>
      <c r="MOB2" s="299"/>
      <c r="MOC2" s="299"/>
      <c r="MOD2" s="299"/>
      <c r="MOE2" s="299"/>
      <c r="MOF2" s="299"/>
      <c r="MOG2" s="299"/>
      <c r="MOH2" s="299"/>
      <c r="MOI2" s="299"/>
      <c r="MOJ2" s="299"/>
      <c r="MOK2" s="299"/>
      <c r="MOL2" s="299"/>
      <c r="MOM2" s="299"/>
      <c r="MON2" s="299"/>
      <c r="MOO2" s="299"/>
      <c r="MOP2" s="299"/>
      <c r="MOQ2" s="299"/>
      <c r="MOR2" s="299"/>
      <c r="MOS2" s="299"/>
      <c r="MOT2" s="299"/>
      <c r="MOU2" s="299"/>
      <c r="MOV2" s="299"/>
      <c r="MOW2" s="299"/>
      <c r="MOX2" s="299"/>
      <c r="MOY2" s="299"/>
      <c r="MOZ2" s="299"/>
      <c r="MPA2" s="299"/>
      <c r="MPB2" s="299"/>
      <c r="MPC2" s="299"/>
      <c r="MPD2" s="299"/>
      <c r="MPE2" s="299"/>
      <c r="MPF2" s="299"/>
      <c r="MPG2" s="299"/>
      <c r="MPH2" s="299"/>
      <c r="MPI2" s="299"/>
      <c r="MPJ2" s="299"/>
      <c r="MPK2" s="299"/>
      <c r="MPL2" s="299"/>
      <c r="MPM2" s="299"/>
      <c r="MPN2" s="299"/>
      <c r="MPO2" s="299"/>
      <c r="MPP2" s="299"/>
      <c r="MPQ2" s="299"/>
      <c r="MPR2" s="299"/>
      <c r="MPS2" s="299"/>
      <c r="MPT2" s="299"/>
      <c r="MPU2" s="299"/>
      <c r="MPV2" s="299"/>
      <c r="MPW2" s="299"/>
      <c r="MPX2" s="299"/>
      <c r="MPY2" s="299"/>
      <c r="MPZ2" s="299"/>
      <c r="MQA2" s="299"/>
      <c r="MQB2" s="299"/>
      <c r="MQC2" s="299"/>
      <c r="MQD2" s="299"/>
      <c r="MQE2" s="299"/>
      <c r="MQF2" s="299"/>
      <c r="MQG2" s="299"/>
      <c r="MQH2" s="299"/>
      <c r="MQI2" s="299"/>
      <c r="MQJ2" s="299"/>
      <c r="MQK2" s="299"/>
      <c r="MQL2" s="299"/>
      <c r="MQM2" s="299"/>
      <c r="MQN2" s="299"/>
      <c r="MQO2" s="299"/>
      <c r="MQP2" s="299"/>
      <c r="MQQ2" s="299"/>
      <c r="MQR2" s="299"/>
      <c r="MQS2" s="299"/>
      <c r="MQT2" s="299"/>
      <c r="MQU2" s="299"/>
      <c r="MQV2" s="299"/>
      <c r="MQW2" s="299"/>
      <c r="MQX2" s="299"/>
      <c r="MQY2" s="299"/>
      <c r="MQZ2" s="299"/>
      <c r="MRA2" s="299"/>
      <c r="MRB2" s="299"/>
      <c r="MRC2" s="299"/>
      <c r="MRD2" s="299"/>
      <c r="MRE2" s="299"/>
      <c r="MRF2" s="299"/>
      <c r="MRG2" s="299"/>
      <c r="MRH2" s="299"/>
      <c r="MRI2" s="299"/>
      <c r="MRJ2" s="299"/>
      <c r="MRK2" s="299"/>
      <c r="MRL2" s="299"/>
      <c r="MRM2" s="299"/>
      <c r="MRN2" s="299"/>
      <c r="MRO2" s="299"/>
      <c r="MRP2" s="299"/>
      <c r="MRQ2" s="299"/>
      <c r="MRR2" s="299"/>
      <c r="MRS2" s="299"/>
      <c r="MRT2" s="299"/>
      <c r="MRU2" s="299"/>
      <c r="MRV2" s="299"/>
      <c r="MRW2" s="299"/>
      <c r="MRX2" s="299"/>
      <c r="MRY2" s="299"/>
      <c r="MRZ2" s="299"/>
      <c r="MSA2" s="299"/>
      <c r="MSB2" s="299"/>
      <c r="MSC2" s="299"/>
      <c r="MSD2" s="299"/>
      <c r="MSE2" s="299"/>
      <c r="MSF2" s="299"/>
      <c r="MSG2" s="299"/>
      <c r="MSH2" s="299"/>
      <c r="MSI2" s="299"/>
      <c r="MSJ2" s="299"/>
      <c r="MSK2" s="299"/>
      <c r="MSL2" s="299"/>
      <c r="MSM2" s="299"/>
      <c r="MSN2" s="299"/>
      <c r="MSO2" s="299"/>
      <c r="MSP2" s="299"/>
      <c r="MSQ2" s="299"/>
      <c r="MSR2" s="299"/>
      <c r="MSS2" s="299"/>
      <c r="MST2" s="299"/>
      <c r="MSU2" s="299"/>
      <c r="MSV2" s="299"/>
      <c r="MSW2" s="299"/>
      <c r="MSX2" s="299"/>
      <c r="MSY2" s="299"/>
      <c r="MSZ2" s="299"/>
      <c r="MTA2" s="299"/>
      <c r="MTB2" s="299"/>
      <c r="MTC2" s="299"/>
      <c r="MTD2" s="299"/>
      <c r="MTE2" s="299"/>
      <c r="MTF2" s="299"/>
      <c r="MTG2" s="299"/>
      <c r="MTH2" s="299"/>
      <c r="MTI2" s="299"/>
      <c r="MTJ2" s="299"/>
      <c r="MTK2" s="299"/>
      <c r="MTL2" s="299"/>
      <c r="MTM2" s="299"/>
      <c r="MTN2" s="299"/>
      <c r="MTO2" s="299"/>
      <c r="MTP2" s="299"/>
      <c r="MTQ2" s="299"/>
      <c r="MTR2" s="299"/>
      <c r="MTS2" s="299"/>
      <c r="MTT2" s="299"/>
      <c r="MTU2" s="299"/>
      <c r="MTV2" s="299"/>
      <c r="MTW2" s="299"/>
      <c r="MTX2" s="299"/>
      <c r="MTY2" s="299"/>
      <c r="MTZ2" s="299"/>
      <c r="MUA2" s="299"/>
      <c r="MUB2" s="299"/>
      <c r="MUC2" s="299"/>
      <c r="MUD2" s="299"/>
      <c r="MUE2" s="299"/>
      <c r="MUF2" s="299"/>
      <c r="MUG2" s="299"/>
      <c r="MUH2" s="299"/>
      <c r="MUI2" s="299"/>
      <c r="MUJ2" s="299"/>
      <c r="MUK2" s="299"/>
      <c r="MUL2" s="299"/>
      <c r="MUM2" s="299"/>
      <c r="MUN2" s="299"/>
      <c r="MUO2" s="299"/>
      <c r="MUP2" s="299"/>
      <c r="MUQ2" s="299"/>
      <c r="MUR2" s="299"/>
      <c r="MUS2" s="299"/>
      <c r="MUT2" s="299"/>
      <c r="MUU2" s="299"/>
      <c r="MUV2" s="299"/>
      <c r="MUW2" s="299"/>
      <c r="MUX2" s="299"/>
      <c r="MUY2" s="299"/>
      <c r="MUZ2" s="299"/>
      <c r="MVA2" s="299"/>
      <c r="MVB2" s="299"/>
      <c r="MVC2" s="299"/>
      <c r="MVD2" s="299"/>
      <c r="MVE2" s="299"/>
      <c r="MVF2" s="299"/>
      <c r="MVG2" s="299"/>
      <c r="MVH2" s="299"/>
      <c r="MVI2" s="299"/>
      <c r="MVJ2" s="299"/>
      <c r="MVK2" s="299"/>
      <c r="MVL2" s="299"/>
      <c r="MVM2" s="299"/>
      <c r="MVN2" s="299"/>
      <c r="MVO2" s="299"/>
      <c r="MVP2" s="299"/>
      <c r="MVQ2" s="299"/>
      <c r="MVR2" s="299"/>
      <c r="MVS2" s="299"/>
      <c r="MVT2" s="299"/>
      <c r="MVU2" s="299"/>
      <c r="MVV2" s="299"/>
      <c r="MVW2" s="299"/>
      <c r="MVX2" s="299"/>
      <c r="MVY2" s="299"/>
      <c r="MVZ2" s="299"/>
      <c r="MWA2" s="299"/>
      <c r="MWB2" s="299"/>
      <c r="MWC2" s="299"/>
      <c r="MWD2" s="299"/>
      <c r="MWE2" s="299"/>
      <c r="MWF2" s="299"/>
      <c r="MWG2" s="299"/>
      <c r="MWH2" s="299"/>
      <c r="MWI2" s="299"/>
      <c r="MWJ2" s="299"/>
      <c r="MWK2" s="299"/>
      <c r="MWL2" s="299"/>
      <c r="MWM2" s="299"/>
      <c r="MWN2" s="299"/>
      <c r="MWO2" s="299"/>
      <c r="MWP2" s="299"/>
      <c r="MWQ2" s="299"/>
      <c r="MWR2" s="299"/>
      <c r="MWS2" s="299"/>
      <c r="MWT2" s="299"/>
      <c r="MWU2" s="299"/>
      <c r="MWV2" s="299"/>
      <c r="MWW2" s="299"/>
      <c r="MWX2" s="299"/>
      <c r="MWY2" s="299"/>
      <c r="MWZ2" s="299"/>
      <c r="MXA2" s="299"/>
      <c r="MXB2" s="299"/>
      <c r="MXC2" s="299"/>
      <c r="MXD2" s="299"/>
      <c r="MXE2" s="299"/>
      <c r="MXF2" s="299"/>
      <c r="MXG2" s="299"/>
      <c r="MXH2" s="299"/>
      <c r="MXI2" s="299"/>
      <c r="MXJ2" s="299"/>
      <c r="MXK2" s="299"/>
      <c r="MXL2" s="299"/>
      <c r="MXM2" s="299"/>
      <c r="MXN2" s="299"/>
      <c r="MXO2" s="299"/>
      <c r="MXP2" s="299"/>
      <c r="MXQ2" s="299"/>
      <c r="MXR2" s="299"/>
      <c r="MXS2" s="299"/>
      <c r="MXT2" s="299"/>
      <c r="MXU2" s="299"/>
      <c r="MXV2" s="299"/>
      <c r="MXW2" s="299"/>
      <c r="MXX2" s="299"/>
      <c r="MXY2" s="299"/>
      <c r="MXZ2" s="299"/>
      <c r="MYA2" s="299"/>
      <c r="MYB2" s="299"/>
      <c r="MYC2" s="299"/>
      <c r="MYD2" s="299"/>
      <c r="MYE2" s="299"/>
      <c r="MYF2" s="299"/>
      <c r="MYG2" s="299"/>
      <c r="MYH2" s="299"/>
      <c r="MYI2" s="299"/>
      <c r="MYJ2" s="299"/>
      <c r="MYK2" s="299"/>
      <c r="MYL2" s="299"/>
      <c r="MYM2" s="299"/>
      <c r="MYN2" s="299"/>
      <c r="MYO2" s="299"/>
      <c r="MYP2" s="299"/>
      <c r="MYQ2" s="299"/>
      <c r="MYR2" s="299"/>
      <c r="MYS2" s="299"/>
      <c r="MYT2" s="299"/>
      <c r="MYU2" s="299"/>
      <c r="MYV2" s="299"/>
      <c r="MYW2" s="299"/>
      <c r="MYX2" s="299"/>
      <c r="MYY2" s="299"/>
      <c r="MYZ2" s="299"/>
      <c r="MZA2" s="299"/>
      <c r="MZB2" s="299"/>
      <c r="MZC2" s="299"/>
      <c r="MZD2" s="299"/>
      <c r="MZE2" s="299"/>
      <c r="MZF2" s="299"/>
      <c r="MZG2" s="299"/>
      <c r="MZH2" s="299"/>
      <c r="MZI2" s="299"/>
      <c r="MZJ2" s="299"/>
      <c r="MZK2" s="299"/>
      <c r="MZL2" s="299"/>
      <c r="MZM2" s="299"/>
      <c r="MZN2" s="299"/>
      <c r="MZO2" s="299"/>
      <c r="MZP2" s="299"/>
      <c r="MZQ2" s="299"/>
      <c r="MZR2" s="299"/>
      <c r="MZS2" s="299"/>
      <c r="MZT2" s="299"/>
      <c r="MZU2" s="299"/>
      <c r="MZV2" s="299"/>
      <c r="MZW2" s="299"/>
      <c r="MZX2" s="299"/>
      <c r="MZY2" s="299"/>
      <c r="MZZ2" s="299"/>
      <c r="NAA2" s="299"/>
      <c r="NAB2" s="299"/>
      <c r="NAC2" s="299"/>
      <c r="NAD2" s="299"/>
      <c r="NAE2" s="299"/>
      <c r="NAF2" s="299"/>
      <c r="NAG2" s="299"/>
      <c r="NAH2" s="299"/>
      <c r="NAI2" s="299"/>
      <c r="NAJ2" s="299"/>
      <c r="NAK2" s="299"/>
      <c r="NAL2" s="299"/>
      <c r="NAM2" s="299"/>
      <c r="NAN2" s="299"/>
      <c r="NAO2" s="299"/>
      <c r="NAP2" s="299"/>
      <c r="NAQ2" s="299"/>
      <c r="NAR2" s="299"/>
      <c r="NAS2" s="299"/>
      <c r="NAT2" s="299"/>
      <c r="NAU2" s="299"/>
      <c r="NAV2" s="299"/>
      <c r="NAW2" s="299"/>
      <c r="NAX2" s="299"/>
      <c r="NAY2" s="299"/>
      <c r="NAZ2" s="299"/>
      <c r="NBA2" s="299"/>
      <c r="NBB2" s="299"/>
      <c r="NBC2" s="299"/>
      <c r="NBD2" s="299"/>
      <c r="NBE2" s="299"/>
      <c r="NBF2" s="299"/>
      <c r="NBG2" s="299"/>
      <c r="NBH2" s="299"/>
      <c r="NBI2" s="299"/>
      <c r="NBJ2" s="299"/>
      <c r="NBK2" s="299"/>
      <c r="NBL2" s="299"/>
      <c r="NBM2" s="299"/>
      <c r="NBN2" s="299"/>
      <c r="NBO2" s="299"/>
      <c r="NBP2" s="299"/>
      <c r="NBQ2" s="299"/>
      <c r="NBR2" s="299"/>
      <c r="NBS2" s="299"/>
      <c r="NBT2" s="299"/>
      <c r="NBU2" s="299"/>
      <c r="NBV2" s="299"/>
      <c r="NBW2" s="299"/>
      <c r="NBX2" s="299"/>
      <c r="NBY2" s="299"/>
      <c r="NBZ2" s="299"/>
      <c r="NCA2" s="299"/>
      <c r="NCB2" s="299"/>
      <c r="NCC2" s="299"/>
      <c r="NCD2" s="299"/>
      <c r="NCE2" s="299"/>
      <c r="NCF2" s="299"/>
      <c r="NCG2" s="299"/>
      <c r="NCH2" s="299"/>
      <c r="NCI2" s="299"/>
      <c r="NCJ2" s="299"/>
      <c r="NCK2" s="299"/>
      <c r="NCL2" s="299"/>
      <c r="NCM2" s="299"/>
      <c r="NCN2" s="299"/>
      <c r="NCO2" s="299"/>
      <c r="NCP2" s="299"/>
      <c r="NCQ2" s="299"/>
      <c r="NCR2" s="299"/>
      <c r="NCS2" s="299"/>
      <c r="NCT2" s="299"/>
      <c r="NCU2" s="299"/>
      <c r="NCV2" s="299"/>
      <c r="NCW2" s="299"/>
      <c r="NCX2" s="299"/>
      <c r="NCY2" s="299"/>
      <c r="NCZ2" s="299"/>
      <c r="NDA2" s="299"/>
      <c r="NDB2" s="299"/>
      <c r="NDC2" s="299"/>
      <c r="NDD2" s="299"/>
      <c r="NDE2" s="299"/>
      <c r="NDF2" s="299"/>
      <c r="NDG2" s="299"/>
      <c r="NDH2" s="299"/>
      <c r="NDI2" s="299"/>
      <c r="NDJ2" s="299"/>
      <c r="NDK2" s="299"/>
      <c r="NDL2" s="299"/>
      <c r="NDM2" s="299"/>
      <c r="NDN2" s="299"/>
      <c r="NDO2" s="299"/>
      <c r="NDP2" s="299"/>
      <c r="NDQ2" s="299"/>
      <c r="NDR2" s="299"/>
      <c r="NDS2" s="299"/>
      <c r="NDT2" s="299"/>
      <c r="NDU2" s="299"/>
      <c r="NDV2" s="299"/>
      <c r="NDW2" s="299"/>
      <c r="NDX2" s="299"/>
      <c r="NDY2" s="299"/>
      <c r="NDZ2" s="299"/>
      <c r="NEA2" s="299"/>
      <c r="NEB2" s="299"/>
      <c r="NEC2" s="299"/>
      <c r="NED2" s="299"/>
      <c r="NEE2" s="299"/>
      <c r="NEF2" s="299"/>
      <c r="NEG2" s="299"/>
      <c r="NEH2" s="299"/>
      <c r="NEI2" s="299"/>
      <c r="NEJ2" s="299"/>
      <c r="NEK2" s="299"/>
      <c r="NEL2" s="299"/>
      <c r="NEM2" s="299"/>
      <c r="NEN2" s="299"/>
      <c r="NEO2" s="299"/>
      <c r="NEP2" s="299"/>
      <c r="NEQ2" s="299"/>
      <c r="NER2" s="299"/>
      <c r="NES2" s="299"/>
      <c r="NET2" s="299"/>
      <c r="NEU2" s="299"/>
      <c r="NEV2" s="299"/>
      <c r="NEW2" s="299"/>
      <c r="NEX2" s="299"/>
      <c r="NEY2" s="299"/>
      <c r="NEZ2" s="299"/>
      <c r="NFA2" s="299"/>
      <c r="NFB2" s="299"/>
      <c r="NFC2" s="299"/>
      <c r="NFD2" s="299"/>
      <c r="NFE2" s="299"/>
      <c r="NFF2" s="299"/>
      <c r="NFG2" s="299"/>
      <c r="NFH2" s="299"/>
      <c r="NFI2" s="299"/>
      <c r="NFJ2" s="299"/>
      <c r="NFK2" s="299"/>
      <c r="NFL2" s="299"/>
      <c r="NFM2" s="299"/>
      <c r="NFN2" s="299"/>
      <c r="NFO2" s="299"/>
      <c r="NFP2" s="299"/>
      <c r="NFQ2" s="299"/>
      <c r="NFR2" s="299"/>
      <c r="NFS2" s="299"/>
      <c r="NFT2" s="299"/>
      <c r="NFU2" s="299"/>
      <c r="NFV2" s="299"/>
      <c r="NFW2" s="299"/>
      <c r="NFX2" s="299"/>
      <c r="NFY2" s="299"/>
      <c r="NFZ2" s="299"/>
      <c r="NGA2" s="299"/>
      <c r="NGB2" s="299"/>
      <c r="NGC2" s="299"/>
      <c r="NGD2" s="299"/>
      <c r="NGE2" s="299"/>
      <c r="NGF2" s="299"/>
      <c r="NGG2" s="299"/>
      <c r="NGH2" s="299"/>
      <c r="NGI2" s="299"/>
      <c r="NGJ2" s="299"/>
      <c r="NGK2" s="299"/>
      <c r="NGL2" s="299"/>
      <c r="NGM2" s="299"/>
      <c r="NGN2" s="299"/>
      <c r="NGO2" s="299"/>
      <c r="NGP2" s="299"/>
      <c r="NGQ2" s="299"/>
      <c r="NGR2" s="299"/>
      <c r="NGS2" s="299"/>
      <c r="NGT2" s="299"/>
      <c r="NGU2" s="299"/>
      <c r="NGV2" s="299"/>
      <c r="NGW2" s="299"/>
      <c r="NGX2" s="299"/>
      <c r="NGY2" s="299"/>
      <c r="NGZ2" s="299"/>
      <c r="NHA2" s="299"/>
      <c r="NHB2" s="299"/>
      <c r="NHC2" s="299"/>
      <c r="NHD2" s="299"/>
      <c r="NHE2" s="299"/>
      <c r="NHF2" s="299"/>
      <c r="NHG2" s="299"/>
      <c r="NHH2" s="299"/>
      <c r="NHI2" s="299"/>
      <c r="NHJ2" s="299"/>
      <c r="NHK2" s="299"/>
      <c r="NHL2" s="299"/>
      <c r="NHM2" s="299"/>
      <c r="NHN2" s="299"/>
      <c r="NHO2" s="299"/>
      <c r="NHP2" s="299"/>
      <c r="NHQ2" s="299"/>
      <c r="NHR2" s="299"/>
      <c r="NHS2" s="299"/>
      <c r="NHT2" s="299"/>
      <c r="NHU2" s="299"/>
      <c r="NHV2" s="299"/>
      <c r="NHW2" s="299"/>
      <c r="NHX2" s="299"/>
      <c r="NHY2" s="299"/>
      <c r="NHZ2" s="299"/>
      <c r="NIA2" s="299"/>
      <c r="NIB2" s="299"/>
      <c r="NIC2" s="299"/>
      <c r="NID2" s="299"/>
      <c r="NIE2" s="299"/>
      <c r="NIF2" s="299"/>
      <c r="NIG2" s="299"/>
      <c r="NIH2" s="299"/>
      <c r="NII2" s="299"/>
      <c r="NIJ2" s="299"/>
      <c r="NIK2" s="299"/>
      <c r="NIL2" s="299"/>
      <c r="NIM2" s="299"/>
      <c r="NIN2" s="299"/>
      <c r="NIO2" s="299"/>
      <c r="NIP2" s="299"/>
      <c r="NIQ2" s="299"/>
      <c r="NIR2" s="299"/>
      <c r="NIS2" s="299"/>
      <c r="NIT2" s="299"/>
      <c r="NIU2" s="299"/>
      <c r="NIV2" s="299"/>
      <c r="NIW2" s="299"/>
      <c r="NIX2" s="299"/>
      <c r="NIY2" s="299"/>
      <c r="NIZ2" s="299"/>
      <c r="NJA2" s="299"/>
      <c r="NJB2" s="299"/>
      <c r="NJC2" s="299"/>
      <c r="NJD2" s="299"/>
      <c r="NJE2" s="299"/>
      <c r="NJF2" s="299"/>
      <c r="NJG2" s="299"/>
      <c r="NJH2" s="299"/>
      <c r="NJI2" s="299"/>
      <c r="NJJ2" s="299"/>
      <c r="NJK2" s="299"/>
      <c r="NJL2" s="299"/>
      <c r="NJM2" s="299"/>
      <c r="NJN2" s="299"/>
      <c r="NJO2" s="299"/>
      <c r="NJP2" s="299"/>
      <c r="NJQ2" s="299"/>
      <c r="NJR2" s="299"/>
      <c r="NJS2" s="299"/>
      <c r="NJT2" s="299"/>
      <c r="NJU2" s="299"/>
      <c r="NJV2" s="299"/>
      <c r="NJW2" s="299"/>
      <c r="NJX2" s="299"/>
      <c r="NJY2" s="299"/>
      <c r="NJZ2" s="299"/>
      <c r="NKA2" s="299"/>
      <c r="NKB2" s="299"/>
      <c r="NKC2" s="299"/>
      <c r="NKD2" s="299"/>
      <c r="NKE2" s="299"/>
      <c r="NKF2" s="299"/>
      <c r="NKG2" s="299"/>
      <c r="NKH2" s="299"/>
      <c r="NKI2" s="299"/>
      <c r="NKJ2" s="299"/>
      <c r="NKK2" s="299"/>
      <c r="NKL2" s="299"/>
      <c r="NKM2" s="299"/>
      <c r="NKN2" s="299"/>
      <c r="NKO2" s="299"/>
      <c r="NKP2" s="299"/>
      <c r="NKQ2" s="299"/>
      <c r="NKR2" s="299"/>
      <c r="NKS2" s="299"/>
      <c r="NKT2" s="299"/>
      <c r="NKU2" s="299"/>
      <c r="NKV2" s="299"/>
      <c r="NKW2" s="299"/>
      <c r="NKX2" s="299"/>
      <c r="NKY2" s="299"/>
      <c r="NKZ2" s="299"/>
      <c r="NLA2" s="299"/>
      <c r="NLB2" s="299"/>
      <c r="NLC2" s="299"/>
      <c r="NLD2" s="299"/>
      <c r="NLE2" s="299"/>
      <c r="NLF2" s="299"/>
      <c r="NLG2" s="299"/>
      <c r="NLH2" s="299"/>
      <c r="NLI2" s="299"/>
      <c r="NLJ2" s="299"/>
      <c r="NLK2" s="299"/>
      <c r="NLL2" s="299"/>
      <c r="NLM2" s="299"/>
      <c r="NLN2" s="299"/>
      <c r="NLO2" s="299"/>
      <c r="NLP2" s="299"/>
      <c r="NLQ2" s="299"/>
      <c r="NLR2" s="299"/>
      <c r="NLS2" s="299"/>
      <c r="NLT2" s="299"/>
      <c r="NLU2" s="299"/>
      <c r="NLV2" s="299"/>
      <c r="NLW2" s="299"/>
      <c r="NLX2" s="299"/>
      <c r="NLY2" s="299"/>
      <c r="NLZ2" s="299"/>
      <c r="NMA2" s="299"/>
      <c r="NMB2" s="299"/>
      <c r="NMC2" s="299"/>
      <c r="NMD2" s="299"/>
      <c r="NME2" s="299"/>
      <c r="NMF2" s="299"/>
      <c r="NMG2" s="299"/>
      <c r="NMH2" s="299"/>
      <c r="NMI2" s="299"/>
      <c r="NMJ2" s="299"/>
      <c r="NMK2" s="299"/>
      <c r="NML2" s="299"/>
      <c r="NMM2" s="299"/>
      <c r="NMN2" s="299"/>
      <c r="NMO2" s="299"/>
      <c r="NMP2" s="299"/>
      <c r="NMQ2" s="299"/>
      <c r="NMR2" s="299"/>
      <c r="NMS2" s="299"/>
      <c r="NMT2" s="299"/>
      <c r="NMU2" s="299"/>
      <c r="NMV2" s="299"/>
      <c r="NMW2" s="299"/>
      <c r="NMX2" s="299"/>
      <c r="NMY2" s="299"/>
      <c r="NMZ2" s="299"/>
      <c r="NNA2" s="299"/>
      <c r="NNB2" s="299"/>
      <c r="NNC2" s="299"/>
      <c r="NND2" s="299"/>
      <c r="NNE2" s="299"/>
      <c r="NNF2" s="299"/>
      <c r="NNG2" s="299"/>
      <c r="NNH2" s="299"/>
      <c r="NNI2" s="299"/>
      <c r="NNJ2" s="299"/>
      <c r="NNK2" s="299"/>
      <c r="NNL2" s="299"/>
      <c r="NNM2" s="299"/>
      <c r="NNN2" s="299"/>
      <c r="NNO2" s="299"/>
      <c r="NNP2" s="299"/>
      <c r="NNQ2" s="299"/>
      <c r="NNR2" s="299"/>
      <c r="NNS2" s="299"/>
      <c r="NNT2" s="299"/>
      <c r="NNU2" s="299"/>
      <c r="NNV2" s="299"/>
      <c r="NNW2" s="299"/>
      <c r="NNX2" s="299"/>
      <c r="NNY2" s="299"/>
      <c r="NNZ2" s="299"/>
      <c r="NOA2" s="299"/>
      <c r="NOB2" s="299"/>
      <c r="NOC2" s="299"/>
      <c r="NOD2" s="299"/>
      <c r="NOE2" s="299"/>
      <c r="NOF2" s="299"/>
      <c r="NOG2" s="299"/>
      <c r="NOH2" s="299"/>
      <c r="NOI2" s="299"/>
      <c r="NOJ2" s="299"/>
      <c r="NOK2" s="299"/>
      <c r="NOL2" s="299"/>
      <c r="NOM2" s="299"/>
      <c r="NON2" s="299"/>
      <c r="NOO2" s="299"/>
      <c r="NOP2" s="299"/>
      <c r="NOQ2" s="299"/>
      <c r="NOR2" s="299"/>
      <c r="NOS2" s="299"/>
      <c r="NOT2" s="299"/>
      <c r="NOU2" s="299"/>
      <c r="NOV2" s="299"/>
      <c r="NOW2" s="299"/>
      <c r="NOX2" s="299"/>
      <c r="NOY2" s="299"/>
      <c r="NOZ2" s="299"/>
      <c r="NPA2" s="299"/>
      <c r="NPB2" s="299"/>
      <c r="NPC2" s="299"/>
      <c r="NPD2" s="299"/>
      <c r="NPE2" s="299"/>
      <c r="NPF2" s="299"/>
      <c r="NPG2" s="299"/>
      <c r="NPH2" s="299"/>
      <c r="NPI2" s="299"/>
      <c r="NPJ2" s="299"/>
      <c r="NPK2" s="299"/>
      <c r="NPL2" s="299"/>
      <c r="NPM2" s="299"/>
      <c r="NPN2" s="299"/>
      <c r="NPO2" s="299"/>
      <c r="NPP2" s="299"/>
      <c r="NPQ2" s="299"/>
      <c r="NPR2" s="299"/>
      <c r="NPS2" s="299"/>
      <c r="NPT2" s="299"/>
      <c r="NPU2" s="299"/>
      <c r="NPV2" s="299"/>
      <c r="NPW2" s="299"/>
      <c r="NPX2" s="299"/>
      <c r="NPY2" s="299"/>
      <c r="NPZ2" s="299"/>
      <c r="NQA2" s="299"/>
      <c r="NQB2" s="299"/>
      <c r="NQC2" s="299"/>
      <c r="NQD2" s="299"/>
      <c r="NQE2" s="299"/>
      <c r="NQF2" s="299"/>
      <c r="NQG2" s="299"/>
      <c r="NQH2" s="299"/>
      <c r="NQI2" s="299"/>
      <c r="NQJ2" s="299"/>
      <c r="NQK2" s="299"/>
      <c r="NQL2" s="299"/>
      <c r="NQM2" s="299"/>
      <c r="NQN2" s="299"/>
      <c r="NQO2" s="299"/>
      <c r="NQP2" s="299"/>
      <c r="NQQ2" s="299"/>
      <c r="NQR2" s="299"/>
      <c r="NQS2" s="299"/>
      <c r="NQT2" s="299"/>
      <c r="NQU2" s="299"/>
      <c r="NQV2" s="299"/>
      <c r="NQW2" s="299"/>
      <c r="NQX2" s="299"/>
      <c r="NQY2" s="299"/>
      <c r="NQZ2" s="299"/>
      <c r="NRA2" s="299"/>
      <c r="NRB2" s="299"/>
      <c r="NRC2" s="299"/>
      <c r="NRD2" s="299"/>
      <c r="NRE2" s="299"/>
      <c r="NRF2" s="299"/>
      <c r="NRG2" s="299"/>
      <c r="NRH2" s="299"/>
      <c r="NRI2" s="299"/>
      <c r="NRJ2" s="299"/>
      <c r="NRK2" s="299"/>
      <c r="NRL2" s="299"/>
      <c r="NRM2" s="299"/>
      <c r="NRN2" s="299"/>
      <c r="NRO2" s="299"/>
      <c r="NRP2" s="299"/>
      <c r="NRQ2" s="299"/>
      <c r="NRR2" s="299"/>
      <c r="NRS2" s="299"/>
      <c r="NRT2" s="299"/>
      <c r="NRU2" s="299"/>
      <c r="NRV2" s="299"/>
      <c r="NRW2" s="299"/>
      <c r="NRX2" s="299"/>
      <c r="NRY2" s="299"/>
      <c r="NRZ2" s="299"/>
      <c r="NSA2" s="299"/>
      <c r="NSB2" s="299"/>
      <c r="NSC2" s="299"/>
      <c r="NSD2" s="299"/>
      <c r="NSE2" s="299"/>
      <c r="NSF2" s="299"/>
      <c r="NSG2" s="299"/>
      <c r="NSH2" s="299"/>
      <c r="NSI2" s="299"/>
      <c r="NSJ2" s="299"/>
      <c r="NSK2" s="299"/>
      <c r="NSL2" s="299"/>
      <c r="NSM2" s="299"/>
      <c r="NSN2" s="299"/>
      <c r="NSO2" s="299"/>
      <c r="NSP2" s="299"/>
      <c r="NSQ2" s="299"/>
      <c r="NSR2" s="299"/>
      <c r="NSS2" s="299"/>
      <c r="NST2" s="299"/>
      <c r="NSU2" s="299"/>
      <c r="NSV2" s="299"/>
      <c r="NSW2" s="299"/>
      <c r="NSX2" s="299"/>
      <c r="NSY2" s="299"/>
      <c r="NSZ2" s="299"/>
      <c r="NTA2" s="299"/>
      <c r="NTB2" s="299"/>
      <c r="NTC2" s="299"/>
      <c r="NTD2" s="299"/>
      <c r="NTE2" s="299"/>
      <c r="NTF2" s="299"/>
      <c r="NTG2" s="299"/>
      <c r="NTH2" s="299"/>
      <c r="NTI2" s="299"/>
      <c r="NTJ2" s="299"/>
      <c r="NTK2" s="299"/>
      <c r="NTL2" s="299"/>
      <c r="NTM2" s="299"/>
      <c r="NTN2" s="299"/>
      <c r="NTO2" s="299"/>
      <c r="NTP2" s="299"/>
      <c r="NTQ2" s="299"/>
      <c r="NTR2" s="299"/>
      <c r="NTS2" s="299"/>
      <c r="NTT2" s="299"/>
      <c r="NTU2" s="299"/>
      <c r="NTV2" s="299"/>
      <c r="NTW2" s="299"/>
      <c r="NTX2" s="299"/>
      <c r="NTY2" s="299"/>
      <c r="NTZ2" s="299"/>
      <c r="NUA2" s="299"/>
      <c r="NUB2" s="299"/>
      <c r="NUC2" s="299"/>
      <c r="NUD2" s="299"/>
      <c r="NUE2" s="299"/>
      <c r="NUF2" s="299"/>
      <c r="NUG2" s="299"/>
      <c r="NUH2" s="299"/>
      <c r="NUI2" s="299"/>
      <c r="NUJ2" s="299"/>
      <c r="NUK2" s="299"/>
      <c r="NUL2" s="299"/>
      <c r="NUM2" s="299"/>
      <c r="NUN2" s="299"/>
      <c r="NUO2" s="299"/>
      <c r="NUP2" s="299"/>
      <c r="NUQ2" s="299"/>
      <c r="NUR2" s="299"/>
      <c r="NUS2" s="299"/>
      <c r="NUT2" s="299"/>
      <c r="NUU2" s="299"/>
      <c r="NUV2" s="299"/>
      <c r="NUW2" s="299"/>
      <c r="NUX2" s="299"/>
      <c r="NUY2" s="299"/>
      <c r="NUZ2" s="299"/>
      <c r="NVA2" s="299"/>
      <c r="NVB2" s="299"/>
      <c r="NVC2" s="299"/>
      <c r="NVD2" s="299"/>
      <c r="NVE2" s="299"/>
      <c r="NVF2" s="299"/>
      <c r="NVG2" s="299"/>
      <c r="NVH2" s="299"/>
      <c r="NVI2" s="299"/>
      <c r="NVJ2" s="299"/>
      <c r="NVK2" s="299"/>
      <c r="NVL2" s="299"/>
      <c r="NVM2" s="299"/>
      <c r="NVN2" s="299"/>
      <c r="NVO2" s="299"/>
      <c r="NVP2" s="299"/>
      <c r="NVQ2" s="299"/>
      <c r="NVR2" s="299"/>
      <c r="NVS2" s="299"/>
      <c r="NVT2" s="299"/>
      <c r="NVU2" s="299"/>
      <c r="NVV2" s="299"/>
      <c r="NVW2" s="299"/>
      <c r="NVX2" s="299"/>
      <c r="NVY2" s="299"/>
      <c r="NVZ2" s="299"/>
      <c r="NWA2" s="299"/>
      <c r="NWB2" s="299"/>
      <c r="NWC2" s="299"/>
      <c r="NWD2" s="299"/>
      <c r="NWE2" s="299"/>
      <c r="NWF2" s="299"/>
      <c r="NWG2" s="299"/>
      <c r="NWH2" s="299"/>
      <c r="NWI2" s="299"/>
      <c r="NWJ2" s="299"/>
      <c r="NWK2" s="299"/>
      <c r="NWL2" s="299"/>
      <c r="NWM2" s="299"/>
      <c r="NWN2" s="299"/>
      <c r="NWO2" s="299"/>
      <c r="NWP2" s="299"/>
      <c r="NWQ2" s="299"/>
      <c r="NWR2" s="299"/>
      <c r="NWS2" s="299"/>
      <c r="NWT2" s="299"/>
      <c r="NWU2" s="299"/>
      <c r="NWV2" s="299"/>
      <c r="NWW2" s="299"/>
      <c r="NWX2" s="299"/>
      <c r="NWY2" s="299"/>
      <c r="NWZ2" s="299"/>
      <c r="NXA2" s="299"/>
      <c r="NXB2" s="299"/>
      <c r="NXC2" s="299"/>
      <c r="NXD2" s="299"/>
      <c r="NXE2" s="299"/>
      <c r="NXF2" s="299"/>
      <c r="NXG2" s="299"/>
      <c r="NXH2" s="299"/>
      <c r="NXI2" s="299"/>
      <c r="NXJ2" s="299"/>
      <c r="NXK2" s="299"/>
      <c r="NXL2" s="299"/>
      <c r="NXM2" s="299"/>
      <c r="NXN2" s="299"/>
      <c r="NXO2" s="299"/>
      <c r="NXP2" s="299"/>
      <c r="NXQ2" s="299"/>
      <c r="NXR2" s="299"/>
      <c r="NXS2" s="299"/>
      <c r="NXT2" s="299"/>
      <c r="NXU2" s="299"/>
      <c r="NXV2" s="299"/>
      <c r="NXW2" s="299"/>
      <c r="NXX2" s="299"/>
      <c r="NXY2" s="299"/>
      <c r="NXZ2" s="299"/>
      <c r="NYA2" s="299"/>
      <c r="NYB2" s="299"/>
      <c r="NYC2" s="299"/>
      <c r="NYD2" s="299"/>
      <c r="NYE2" s="299"/>
      <c r="NYF2" s="299"/>
      <c r="NYG2" s="299"/>
      <c r="NYH2" s="299"/>
      <c r="NYI2" s="299"/>
      <c r="NYJ2" s="299"/>
      <c r="NYK2" s="299"/>
      <c r="NYL2" s="299"/>
      <c r="NYM2" s="299"/>
      <c r="NYN2" s="299"/>
      <c r="NYO2" s="299"/>
      <c r="NYP2" s="299"/>
      <c r="NYQ2" s="299"/>
      <c r="NYR2" s="299"/>
      <c r="NYS2" s="299"/>
      <c r="NYT2" s="299"/>
      <c r="NYU2" s="299"/>
      <c r="NYV2" s="299"/>
      <c r="NYW2" s="299"/>
      <c r="NYX2" s="299"/>
      <c r="NYY2" s="299"/>
      <c r="NYZ2" s="299"/>
      <c r="NZA2" s="299"/>
      <c r="NZB2" s="299"/>
      <c r="NZC2" s="299"/>
      <c r="NZD2" s="299"/>
      <c r="NZE2" s="299"/>
      <c r="NZF2" s="299"/>
      <c r="NZG2" s="299"/>
      <c r="NZH2" s="299"/>
      <c r="NZI2" s="299"/>
      <c r="NZJ2" s="299"/>
      <c r="NZK2" s="299"/>
      <c r="NZL2" s="299"/>
      <c r="NZM2" s="299"/>
      <c r="NZN2" s="299"/>
      <c r="NZO2" s="299"/>
      <c r="NZP2" s="299"/>
      <c r="NZQ2" s="299"/>
      <c r="NZR2" s="299"/>
      <c r="NZS2" s="299"/>
      <c r="NZT2" s="299"/>
      <c r="NZU2" s="299"/>
      <c r="NZV2" s="299"/>
      <c r="NZW2" s="299"/>
      <c r="NZX2" s="299"/>
      <c r="NZY2" s="299"/>
      <c r="NZZ2" s="299"/>
      <c r="OAA2" s="299"/>
      <c r="OAB2" s="299"/>
      <c r="OAC2" s="299"/>
      <c r="OAD2" s="299"/>
      <c r="OAE2" s="299"/>
      <c r="OAF2" s="299"/>
      <c r="OAG2" s="299"/>
      <c r="OAH2" s="299"/>
      <c r="OAI2" s="299"/>
      <c r="OAJ2" s="299"/>
      <c r="OAK2" s="299"/>
      <c r="OAL2" s="299"/>
      <c r="OAM2" s="299"/>
      <c r="OAN2" s="299"/>
      <c r="OAO2" s="299"/>
      <c r="OAP2" s="299"/>
      <c r="OAQ2" s="299"/>
      <c r="OAR2" s="299"/>
      <c r="OAS2" s="299"/>
      <c r="OAT2" s="299"/>
      <c r="OAU2" s="299"/>
      <c r="OAV2" s="299"/>
      <c r="OAW2" s="299"/>
      <c r="OAX2" s="299"/>
      <c r="OAY2" s="299"/>
      <c r="OAZ2" s="299"/>
      <c r="OBA2" s="299"/>
      <c r="OBB2" s="299"/>
      <c r="OBC2" s="299"/>
      <c r="OBD2" s="299"/>
      <c r="OBE2" s="299"/>
      <c r="OBF2" s="299"/>
      <c r="OBG2" s="299"/>
      <c r="OBH2" s="299"/>
      <c r="OBI2" s="299"/>
      <c r="OBJ2" s="299"/>
      <c r="OBK2" s="299"/>
      <c r="OBL2" s="299"/>
      <c r="OBM2" s="299"/>
      <c r="OBN2" s="299"/>
      <c r="OBO2" s="299"/>
      <c r="OBP2" s="299"/>
      <c r="OBQ2" s="299"/>
      <c r="OBR2" s="299"/>
      <c r="OBS2" s="299"/>
      <c r="OBT2" s="299"/>
      <c r="OBU2" s="299"/>
      <c r="OBV2" s="299"/>
      <c r="OBW2" s="299"/>
      <c r="OBX2" s="299"/>
      <c r="OBY2" s="299"/>
      <c r="OBZ2" s="299"/>
      <c r="OCA2" s="299"/>
      <c r="OCB2" s="299"/>
      <c r="OCC2" s="299"/>
      <c r="OCD2" s="299"/>
      <c r="OCE2" s="299"/>
      <c r="OCF2" s="299"/>
      <c r="OCG2" s="299"/>
      <c r="OCH2" s="299"/>
      <c r="OCI2" s="299"/>
      <c r="OCJ2" s="299"/>
      <c r="OCK2" s="299"/>
      <c r="OCL2" s="299"/>
      <c r="OCM2" s="299"/>
      <c r="OCN2" s="299"/>
      <c r="OCO2" s="299"/>
      <c r="OCP2" s="299"/>
      <c r="OCQ2" s="299"/>
      <c r="OCR2" s="299"/>
      <c r="OCS2" s="299"/>
      <c r="OCT2" s="299"/>
      <c r="OCU2" s="299"/>
      <c r="OCV2" s="299"/>
      <c r="OCW2" s="299"/>
      <c r="OCX2" s="299"/>
      <c r="OCY2" s="299"/>
      <c r="OCZ2" s="299"/>
      <c r="ODA2" s="299"/>
      <c r="ODB2" s="299"/>
      <c r="ODC2" s="299"/>
      <c r="ODD2" s="299"/>
      <c r="ODE2" s="299"/>
      <c r="ODF2" s="299"/>
      <c r="ODG2" s="299"/>
      <c r="ODH2" s="299"/>
      <c r="ODI2" s="299"/>
      <c r="ODJ2" s="299"/>
      <c r="ODK2" s="299"/>
      <c r="ODL2" s="299"/>
      <c r="ODM2" s="299"/>
      <c r="ODN2" s="299"/>
      <c r="ODO2" s="299"/>
      <c r="ODP2" s="299"/>
      <c r="ODQ2" s="299"/>
      <c r="ODR2" s="299"/>
      <c r="ODS2" s="299"/>
      <c r="ODT2" s="299"/>
      <c r="ODU2" s="299"/>
      <c r="ODV2" s="299"/>
      <c r="ODW2" s="299"/>
      <c r="ODX2" s="299"/>
      <c r="ODY2" s="299"/>
      <c r="ODZ2" s="299"/>
      <c r="OEA2" s="299"/>
      <c r="OEB2" s="299"/>
      <c r="OEC2" s="299"/>
      <c r="OED2" s="299"/>
      <c r="OEE2" s="299"/>
      <c r="OEF2" s="299"/>
      <c r="OEG2" s="299"/>
      <c r="OEH2" s="299"/>
      <c r="OEI2" s="299"/>
      <c r="OEJ2" s="299"/>
      <c r="OEK2" s="299"/>
      <c r="OEL2" s="299"/>
      <c r="OEM2" s="299"/>
      <c r="OEN2" s="299"/>
      <c r="OEO2" s="299"/>
      <c r="OEP2" s="299"/>
      <c r="OEQ2" s="299"/>
      <c r="OER2" s="299"/>
      <c r="OES2" s="299"/>
      <c r="OET2" s="299"/>
      <c r="OEU2" s="299"/>
      <c r="OEV2" s="299"/>
      <c r="OEW2" s="299"/>
      <c r="OEX2" s="299"/>
      <c r="OEY2" s="299"/>
      <c r="OEZ2" s="299"/>
      <c r="OFA2" s="299"/>
      <c r="OFB2" s="299"/>
      <c r="OFC2" s="299"/>
      <c r="OFD2" s="299"/>
      <c r="OFE2" s="299"/>
      <c r="OFF2" s="299"/>
      <c r="OFG2" s="299"/>
      <c r="OFH2" s="299"/>
      <c r="OFI2" s="299"/>
      <c r="OFJ2" s="299"/>
      <c r="OFK2" s="299"/>
      <c r="OFL2" s="299"/>
      <c r="OFM2" s="299"/>
      <c r="OFN2" s="299"/>
      <c r="OFO2" s="299"/>
      <c r="OFP2" s="299"/>
      <c r="OFQ2" s="299"/>
      <c r="OFR2" s="299"/>
      <c r="OFS2" s="299"/>
      <c r="OFT2" s="299"/>
      <c r="OFU2" s="299"/>
      <c r="OFV2" s="299"/>
      <c r="OFW2" s="299"/>
      <c r="OFX2" s="299"/>
      <c r="OFY2" s="299"/>
      <c r="OFZ2" s="299"/>
      <c r="OGA2" s="299"/>
      <c r="OGB2" s="299"/>
      <c r="OGC2" s="299"/>
      <c r="OGD2" s="299"/>
      <c r="OGE2" s="299"/>
      <c r="OGF2" s="299"/>
      <c r="OGG2" s="299"/>
      <c r="OGH2" s="299"/>
      <c r="OGI2" s="299"/>
      <c r="OGJ2" s="299"/>
      <c r="OGK2" s="299"/>
      <c r="OGL2" s="299"/>
      <c r="OGM2" s="299"/>
      <c r="OGN2" s="299"/>
      <c r="OGO2" s="299"/>
      <c r="OGP2" s="299"/>
      <c r="OGQ2" s="299"/>
      <c r="OGR2" s="299"/>
      <c r="OGS2" s="299"/>
      <c r="OGT2" s="299"/>
      <c r="OGU2" s="299"/>
      <c r="OGV2" s="299"/>
      <c r="OGW2" s="299"/>
      <c r="OGX2" s="299"/>
      <c r="OGY2" s="299"/>
      <c r="OGZ2" s="299"/>
      <c r="OHA2" s="299"/>
      <c r="OHB2" s="299"/>
      <c r="OHC2" s="299"/>
      <c r="OHD2" s="299"/>
      <c r="OHE2" s="299"/>
      <c r="OHF2" s="299"/>
      <c r="OHG2" s="299"/>
      <c r="OHH2" s="299"/>
      <c r="OHI2" s="299"/>
      <c r="OHJ2" s="299"/>
      <c r="OHK2" s="299"/>
      <c r="OHL2" s="299"/>
      <c r="OHM2" s="299"/>
      <c r="OHN2" s="299"/>
      <c r="OHO2" s="299"/>
      <c r="OHP2" s="299"/>
      <c r="OHQ2" s="299"/>
      <c r="OHR2" s="299"/>
      <c r="OHS2" s="299"/>
      <c r="OHT2" s="299"/>
      <c r="OHU2" s="299"/>
      <c r="OHV2" s="299"/>
      <c r="OHW2" s="299"/>
      <c r="OHX2" s="299"/>
      <c r="OHY2" s="299"/>
      <c r="OHZ2" s="299"/>
      <c r="OIA2" s="299"/>
      <c r="OIB2" s="299"/>
      <c r="OIC2" s="299"/>
      <c r="OID2" s="299"/>
      <c r="OIE2" s="299"/>
      <c r="OIF2" s="299"/>
      <c r="OIG2" s="299"/>
      <c r="OIH2" s="299"/>
      <c r="OII2" s="299"/>
      <c r="OIJ2" s="299"/>
      <c r="OIK2" s="299"/>
      <c r="OIL2" s="299"/>
      <c r="OIM2" s="299"/>
      <c r="OIN2" s="299"/>
      <c r="OIO2" s="299"/>
      <c r="OIP2" s="299"/>
      <c r="OIQ2" s="299"/>
      <c r="OIR2" s="299"/>
      <c r="OIS2" s="299"/>
      <c r="OIT2" s="299"/>
      <c r="OIU2" s="299"/>
      <c r="OIV2" s="299"/>
      <c r="OIW2" s="299"/>
      <c r="OIX2" s="299"/>
      <c r="OIY2" s="299"/>
      <c r="OIZ2" s="299"/>
      <c r="OJA2" s="299"/>
      <c r="OJB2" s="299"/>
      <c r="OJC2" s="299"/>
      <c r="OJD2" s="299"/>
      <c r="OJE2" s="299"/>
      <c r="OJF2" s="299"/>
      <c r="OJG2" s="299"/>
      <c r="OJH2" s="299"/>
      <c r="OJI2" s="299"/>
      <c r="OJJ2" s="299"/>
      <c r="OJK2" s="299"/>
      <c r="OJL2" s="299"/>
      <c r="OJM2" s="299"/>
      <c r="OJN2" s="299"/>
      <c r="OJO2" s="299"/>
      <c r="OJP2" s="299"/>
      <c r="OJQ2" s="299"/>
      <c r="OJR2" s="299"/>
      <c r="OJS2" s="299"/>
      <c r="OJT2" s="299"/>
      <c r="OJU2" s="299"/>
      <c r="OJV2" s="299"/>
      <c r="OJW2" s="299"/>
      <c r="OJX2" s="299"/>
      <c r="OJY2" s="299"/>
      <c r="OJZ2" s="299"/>
      <c r="OKA2" s="299"/>
      <c r="OKB2" s="299"/>
      <c r="OKC2" s="299"/>
      <c r="OKD2" s="299"/>
      <c r="OKE2" s="299"/>
      <c r="OKF2" s="299"/>
      <c r="OKG2" s="299"/>
      <c r="OKH2" s="299"/>
      <c r="OKI2" s="299"/>
      <c r="OKJ2" s="299"/>
      <c r="OKK2" s="299"/>
      <c r="OKL2" s="299"/>
      <c r="OKM2" s="299"/>
      <c r="OKN2" s="299"/>
      <c r="OKO2" s="299"/>
      <c r="OKP2" s="299"/>
      <c r="OKQ2" s="299"/>
      <c r="OKR2" s="299"/>
      <c r="OKS2" s="299"/>
      <c r="OKT2" s="299"/>
      <c r="OKU2" s="299"/>
      <c r="OKV2" s="299"/>
      <c r="OKW2" s="299"/>
      <c r="OKX2" s="299"/>
      <c r="OKY2" s="299"/>
      <c r="OKZ2" s="299"/>
      <c r="OLA2" s="299"/>
      <c r="OLB2" s="299"/>
      <c r="OLC2" s="299"/>
      <c r="OLD2" s="299"/>
      <c r="OLE2" s="299"/>
      <c r="OLF2" s="299"/>
      <c r="OLG2" s="299"/>
      <c r="OLH2" s="299"/>
      <c r="OLI2" s="299"/>
      <c r="OLJ2" s="299"/>
      <c r="OLK2" s="299"/>
      <c r="OLL2" s="299"/>
      <c r="OLM2" s="299"/>
      <c r="OLN2" s="299"/>
      <c r="OLO2" s="299"/>
      <c r="OLP2" s="299"/>
      <c r="OLQ2" s="299"/>
      <c r="OLR2" s="299"/>
      <c r="OLS2" s="299"/>
      <c r="OLT2" s="299"/>
      <c r="OLU2" s="299"/>
      <c r="OLV2" s="299"/>
      <c r="OLW2" s="299"/>
      <c r="OLX2" s="299"/>
      <c r="OLY2" s="299"/>
      <c r="OLZ2" s="299"/>
      <c r="OMA2" s="299"/>
      <c r="OMB2" s="299"/>
      <c r="OMC2" s="299"/>
      <c r="OMD2" s="299"/>
      <c r="OME2" s="299"/>
      <c r="OMF2" s="299"/>
      <c r="OMG2" s="299"/>
      <c r="OMH2" s="299"/>
      <c r="OMI2" s="299"/>
      <c r="OMJ2" s="299"/>
      <c r="OMK2" s="299"/>
      <c r="OML2" s="299"/>
      <c r="OMM2" s="299"/>
      <c r="OMN2" s="299"/>
      <c r="OMO2" s="299"/>
      <c r="OMP2" s="299"/>
      <c r="OMQ2" s="299"/>
      <c r="OMR2" s="299"/>
      <c r="OMS2" s="299"/>
      <c r="OMT2" s="299"/>
      <c r="OMU2" s="299"/>
      <c r="OMV2" s="299"/>
      <c r="OMW2" s="299"/>
      <c r="OMX2" s="299"/>
      <c r="OMY2" s="299"/>
      <c r="OMZ2" s="299"/>
      <c r="ONA2" s="299"/>
      <c r="ONB2" s="299"/>
      <c r="ONC2" s="299"/>
      <c r="OND2" s="299"/>
      <c r="ONE2" s="299"/>
      <c r="ONF2" s="299"/>
      <c r="ONG2" s="299"/>
      <c r="ONH2" s="299"/>
      <c r="ONI2" s="299"/>
      <c r="ONJ2" s="299"/>
      <c r="ONK2" s="299"/>
      <c r="ONL2" s="299"/>
      <c r="ONM2" s="299"/>
      <c r="ONN2" s="299"/>
      <c r="ONO2" s="299"/>
      <c r="ONP2" s="299"/>
      <c r="ONQ2" s="299"/>
      <c r="ONR2" s="299"/>
      <c r="ONS2" s="299"/>
      <c r="ONT2" s="299"/>
      <c r="ONU2" s="299"/>
      <c r="ONV2" s="299"/>
      <c r="ONW2" s="299"/>
      <c r="ONX2" s="299"/>
      <c r="ONY2" s="299"/>
      <c r="ONZ2" s="299"/>
      <c r="OOA2" s="299"/>
      <c r="OOB2" s="299"/>
      <c r="OOC2" s="299"/>
      <c r="OOD2" s="299"/>
      <c r="OOE2" s="299"/>
      <c r="OOF2" s="299"/>
      <c r="OOG2" s="299"/>
      <c r="OOH2" s="299"/>
      <c r="OOI2" s="299"/>
      <c r="OOJ2" s="299"/>
      <c r="OOK2" s="299"/>
      <c r="OOL2" s="299"/>
      <c r="OOM2" s="299"/>
      <c r="OON2" s="299"/>
      <c r="OOO2" s="299"/>
      <c r="OOP2" s="299"/>
      <c r="OOQ2" s="299"/>
      <c r="OOR2" s="299"/>
      <c r="OOS2" s="299"/>
      <c r="OOT2" s="299"/>
      <c r="OOU2" s="299"/>
      <c r="OOV2" s="299"/>
      <c r="OOW2" s="299"/>
      <c r="OOX2" s="299"/>
      <c r="OOY2" s="299"/>
      <c r="OOZ2" s="299"/>
      <c r="OPA2" s="299"/>
      <c r="OPB2" s="299"/>
      <c r="OPC2" s="299"/>
      <c r="OPD2" s="299"/>
      <c r="OPE2" s="299"/>
      <c r="OPF2" s="299"/>
      <c r="OPG2" s="299"/>
      <c r="OPH2" s="299"/>
      <c r="OPI2" s="299"/>
      <c r="OPJ2" s="299"/>
      <c r="OPK2" s="299"/>
      <c r="OPL2" s="299"/>
      <c r="OPM2" s="299"/>
      <c r="OPN2" s="299"/>
      <c r="OPO2" s="299"/>
      <c r="OPP2" s="299"/>
      <c r="OPQ2" s="299"/>
      <c r="OPR2" s="299"/>
      <c r="OPS2" s="299"/>
      <c r="OPT2" s="299"/>
      <c r="OPU2" s="299"/>
      <c r="OPV2" s="299"/>
      <c r="OPW2" s="299"/>
      <c r="OPX2" s="299"/>
      <c r="OPY2" s="299"/>
      <c r="OPZ2" s="299"/>
      <c r="OQA2" s="299"/>
      <c r="OQB2" s="299"/>
      <c r="OQC2" s="299"/>
      <c r="OQD2" s="299"/>
      <c r="OQE2" s="299"/>
      <c r="OQF2" s="299"/>
      <c r="OQG2" s="299"/>
      <c r="OQH2" s="299"/>
      <c r="OQI2" s="299"/>
      <c r="OQJ2" s="299"/>
      <c r="OQK2" s="299"/>
      <c r="OQL2" s="299"/>
      <c r="OQM2" s="299"/>
      <c r="OQN2" s="299"/>
      <c r="OQO2" s="299"/>
      <c r="OQP2" s="299"/>
      <c r="OQQ2" s="299"/>
      <c r="OQR2" s="299"/>
      <c r="OQS2" s="299"/>
      <c r="OQT2" s="299"/>
      <c r="OQU2" s="299"/>
      <c r="OQV2" s="299"/>
      <c r="OQW2" s="299"/>
      <c r="OQX2" s="299"/>
      <c r="OQY2" s="299"/>
      <c r="OQZ2" s="299"/>
      <c r="ORA2" s="299"/>
      <c r="ORB2" s="299"/>
      <c r="ORC2" s="299"/>
      <c r="ORD2" s="299"/>
      <c r="ORE2" s="299"/>
      <c r="ORF2" s="299"/>
      <c r="ORG2" s="299"/>
      <c r="ORH2" s="299"/>
      <c r="ORI2" s="299"/>
      <c r="ORJ2" s="299"/>
      <c r="ORK2" s="299"/>
      <c r="ORL2" s="299"/>
      <c r="ORM2" s="299"/>
      <c r="ORN2" s="299"/>
      <c r="ORO2" s="299"/>
      <c r="ORP2" s="299"/>
      <c r="ORQ2" s="299"/>
      <c r="ORR2" s="299"/>
      <c r="ORS2" s="299"/>
      <c r="ORT2" s="299"/>
      <c r="ORU2" s="299"/>
      <c r="ORV2" s="299"/>
      <c r="ORW2" s="299"/>
      <c r="ORX2" s="299"/>
      <c r="ORY2" s="299"/>
      <c r="ORZ2" s="299"/>
      <c r="OSA2" s="299"/>
      <c r="OSB2" s="299"/>
      <c r="OSC2" s="299"/>
      <c r="OSD2" s="299"/>
      <c r="OSE2" s="299"/>
      <c r="OSF2" s="299"/>
      <c r="OSG2" s="299"/>
      <c r="OSH2" s="299"/>
      <c r="OSI2" s="299"/>
      <c r="OSJ2" s="299"/>
      <c r="OSK2" s="299"/>
      <c r="OSL2" s="299"/>
      <c r="OSM2" s="299"/>
      <c r="OSN2" s="299"/>
      <c r="OSO2" s="299"/>
      <c r="OSP2" s="299"/>
      <c r="OSQ2" s="299"/>
      <c r="OSR2" s="299"/>
      <c r="OSS2" s="299"/>
      <c r="OST2" s="299"/>
      <c r="OSU2" s="299"/>
      <c r="OSV2" s="299"/>
      <c r="OSW2" s="299"/>
      <c r="OSX2" s="299"/>
      <c r="OSY2" s="299"/>
      <c r="OSZ2" s="299"/>
      <c r="OTA2" s="299"/>
      <c r="OTB2" s="299"/>
      <c r="OTC2" s="299"/>
      <c r="OTD2" s="299"/>
      <c r="OTE2" s="299"/>
      <c r="OTF2" s="299"/>
      <c r="OTG2" s="299"/>
      <c r="OTH2" s="299"/>
      <c r="OTI2" s="299"/>
      <c r="OTJ2" s="299"/>
      <c r="OTK2" s="299"/>
      <c r="OTL2" s="299"/>
      <c r="OTM2" s="299"/>
      <c r="OTN2" s="299"/>
      <c r="OTO2" s="299"/>
      <c r="OTP2" s="299"/>
      <c r="OTQ2" s="299"/>
      <c r="OTR2" s="299"/>
      <c r="OTS2" s="299"/>
      <c r="OTT2" s="299"/>
      <c r="OTU2" s="299"/>
      <c r="OTV2" s="299"/>
      <c r="OTW2" s="299"/>
      <c r="OTX2" s="299"/>
      <c r="OTY2" s="299"/>
      <c r="OTZ2" s="299"/>
      <c r="OUA2" s="299"/>
      <c r="OUB2" s="299"/>
      <c r="OUC2" s="299"/>
      <c r="OUD2" s="299"/>
      <c r="OUE2" s="299"/>
      <c r="OUF2" s="299"/>
      <c r="OUG2" s="299"/>
      <c r="OUH2" s="299"/>
      <c r="OUI2" s="299"/>
      <c r="OUJ2" s="299"/>
      <c r="OUK2" s="299"/>
      <c r="OUL2" s="299"/>
      <c r="OUM2" s="299"/>
      <c r="OUN2" s="299"/>
      <c r="OUO2" s="299"/>
      <c r="OUP2" s="299"/>
      <c r="OUQ2" s="299"/>
      <c r="OUR2" s="299"/>
      <c r="OUS2" s="299"/>
      <c r="OUT2" s="299"/>
      <c r="OUU2" s="299"/>
      <c r="OUV2" s="299"/>
      <c r="OUW2" s="299"/>
      <c r="OUX2" s="299"/>
      <c r="OUY2" s="299"/>
      <c r="OUZ2" s="299"/>
      <c r="OVA2" s="299"/>
      <c r="OVB2" s="299"/>
      <c r="OVC2" s="299"/>
      <c r="OVD2" s="299"/>
      <c r="OVE2" s="299"/>
      <c r="OVF2" s="299"/>
      <c r="OVG2" s="299"/>
      <c r="OVH2" s="299"/>
      <c r="OVI2" s="299"/>
      <c r="OVJ2" s="299"/>
      <c r="OVK2" s="299"/>
      <c r="OVL2" s="299"/>
      <c r="OVM2" s="299"/>
      <c r="OVN2" s="299"/>
      <c r="OVO2" s="299"/>
      <c r="OVP2" s="299"/>
      <c r="OVQ2" s="299"/>
      <c r="OVR2" s="299"/>
      <c r="OVS2" s="299"/>
      <c r="OVT2" s="299"/>
      <c r="OVU2" s="299"/>
      <c r="OVV2" s="299"/>
      <c r="OVW2" s="299"/>
      <c r="OVX2" s="299"/>
      <c r="OVY2" s="299"/>
      <c r="OVZ2" s="299"/>
      <c r="OWA2" s="299"/>
      <c r="OWB2" s="299"/>
      <c r="OWC2" s="299"/>
      <c r="OWD2" s="299"/>
      <c r="OWE2" s="299"/>
      <c r="OWF2" s="299"/>
      <c r="OWG2" s="299"/>
      <c r="OWH2" s="299"/>
      <c r="OWI2" s="299"/>
      <c r="OWJ2" s="299"/>
      <c r="OWK2" s="299"/>
      <c r="OWL2" s="299"/>
      <c r="OWM2" s="299"/>
      <c r="OWN2" s="299"/>
      <c r="OWO2" s="299"/>
      <c r="OWP2" s="299"/>
      <c r="OWQ2" s="299"/>
      <c r="OWR2" s="299"/>
      <c r="OWS2" s="299"/>
      <c r="OWT2" s="299"/>
      <c r="OWU2" s="299"/>
      <c r="OWV2" s="299"/>
      <c r="OWW2" s="299"/>
      <c r="OWX2" s="299"/>
      <c r="OWY2" s="299"/>
      <c r="OWZ2" s="299"/>
      <c r="OXA2" s="299"/>
      <c r="OXB2" s="299"/>
      <c r="OXC2" s="299"/>
      <c r="OXD2" s="299"/>
      <c r="OXE2" s="299"/>
      <c r="OXF2" s="299"/>
      <c r="OXG2" s="299"/>
      <c r="OXH2" s="299"/>
      <c r="OXI2" s="299"/>
      <c r="OXJ2" s="299"/>
      <c r="OXK2" s="299"/>
      <c r="OXL2" s="299"/>
      <c r="OXM2" s="299"/>
      <c r="OXN2" s="299"/>
      <c r="OXO2" s="299"/>
      <c r="OXP2" s="299"/>
      <c r="OXQ2" s="299"/>
      <c r="OXR2" s="299"/>
      <c r="OXS2" s="299"/>
      <c r="OXT2" s="299"/>
      <c r="OXU2" s="299"/>
      <c r="OXV2" s="299"/>
      <c r="OXW2" s="299"/>
      <c r="OXX2" s="299"/>
      <c r="OXY2" s="299"/>
      <c r="OXZ2" s="299"/>
      <c r="OYA2" s="299"/>
      <c r="OYB2" s="299"/>
      <c r="OYC2" s="299"/>
      <c r="OYD2" s="299"/>
      <c r="OYE2" s="299"/>
      <c r="OYF2" s="299"/>
      <c r="OYG2" s="299"/>
      <c r="OYH2" s="299"/>
      <c r="OYI2" s="299"/>
      <c r="OYJ2" s="299"/>
      <c r="OYK2" s="299"/>
      <c r="OYL2" s="299"/>
      <c r="OYM2" s="299"/>
      <c r="OYN2" s="299"/>
      <c r="OYO2" s="299"/>
      <c r="OYP2" s="299"/>
      <c r="OYQ2" s="299"/>
      <c r="OYR2" s="299"/>
      <c r="OYS2" s="299"/>
      <c r="OYT2" s="299"/>
      <c r="OYU2" s="299"/>
      <c r="OYV2" s="299"/>
      <c r="OYW2" s="299"/>
      <c r="OYX2" s="299"/>
      <c r="OYY2" s="299"/>
      <c r="OYZ2" s="299"/>
      <c r="OZA2" s="299"/>
      <c r="OZB2" s="299"/>
      <c r="OZC2" s="299"/>
      <c r="OZD2" s="299"/>
      <c r="OZE2" s="299"/>
      <c r="OZF2" s="299"/>
      <c r="OZG2" s="299"/>
      <c r="OZH2" s="299"/>
      <c r="OZI2" s="299"/>
      <c r="OZJ2" s="299"/>
      <c r="OZK2" s="299"/>
      <c r="OZL2" s="299"/>
      <c r="OZM2" s="299"/>
      <c r="OZN2" s="299"/>
      <c r="OZO2" s="299"/>
      <c r="OZP2" s="299"/>
      <c r="OZQ2" s="299"/>
      <c r="OZR2" s="299"/>
      <c r="OZS2" s="299"/>
      <c r="OZT2" s="299"/>
      <c r="OZU2" s="299"/>
      <c r="OZV2" s="299"/>
      <c r="OZW2" s="299"/>
      <c r="OZX2" s="299"/>
      <c r="OZY2" s="299"/>
      <c r="OZZ2" s="299"/>
      <c r="PAA2" s="299"/>
      <c r="PAB2" s="299"/>
      <c r="PAC2" s="299"/>
      <c r="PAD2" s="299"/>
      <c r="PAE2" s="299"/>
      <c r="PAF2" s="299"/>
      <c r="PAG2" s="299"/>
      <c r="PAH2" s="299"/>
      <c r="PAI2" s="299"/>
      <c r="PAJ2" s="299"/>
      <c r="PAK2" s="299"/>
      <c r="PAL2" s="299"/>
      <c r="PAM2" s="299"/>
      <c r="PAN2" s="299"/>
      <c r="PAO2" s="299"/>
      <c r="PAP2" s="299"/>
      <c r="PAQ2" s="299"/>
      <c r="PAR2" s="299"/>
      <c r="PAS2" s="299"/>
      <c r="PAT2" s="299"/>
      <c r="PAU2" s="299"/>
      <c r="PAV2" s="299"/>
      <c r="PAW2" s="299"/>
      <c r="PAX2" s="299"/>
      <c r="PAY2" s="299"/>
      <c r="PAZ2" s="299"/>
      <c r="PBA2" s="299"/>
      <c r="PBB2" s="299"/>
      <c r="PBC2" s="299"/>
      <c r="PBD2" s="299"/>
      <c r="PBE2" s="299"/>
      <c r="PBF2" s="299"/>
      <c r="PBG2" s="299"/>
      <c r="PBH2" s="299"/>
      <c r="PBI2" s="299"/>
      <c r="PBJ2" s="299"/>
      <c r="PBK2" s="299"/>
      <c r="PBL2" s="299"/>
      <c r="PBM2" s="299"/>
      <c r="PBN2" s="299"/>
      <c r="PBO2" s="299"/>
      <c r="PBP2" s="299"/>
      <c r="PBQ2" s="299"/>
      <c r="PBR2" s="299"/>
      <c r="PBS2" s="299"/>
      <c r="PBT2" s="299"/>
      <c r="PBU2" s="299"/>
      <c r="PBV2" s="299"/>
      <c r="PBW2" s="299"/>
      <c r="PBX2" s="299"/>
      <c r="PBY2" s="299"/>
      <c r="PBZ2" s="299"/>
      <c r="PCA2" s="299"/>
      <c r="PCB2" s="299"/>
      <c r="PCC2" s="299"/>
      <c r="PCD2" s="299"/>
      <c r="PCE2" s="299"/>
      <c r="PCF2" s="299"/>
      <c r="PCG2" s="299"/>
      <c r="PCH2" s="299"/>
      <c r="PCI2" s="299"/>
      <c r="PCJ2" s="299"/>
      <c r="PCK2" s="299"/>
      <c r="PCL2" s="299"/>
      <c r="PCM2" s="299"/>
      <c r="PCN2" s="299"/>
      <c r="PCO2" s="299"/>
      <c r="PCP2" s="299"/>
      <c r="PCQ2" s="299"/>
      <c r="PCR2" s="299"/>
      <c r="PCS2" s="299"/>
      <c r="PCT2" s="299"/>
      <c r="PCU2" s="299"/>
      <c r="PCV2" s="299"/>
      <c r="PCW2" s="299"/>
      <c r="PCX2" s="299"/>
      <c r="PCY2" s="299"/>
      <c r="PCZ2" s="299"/>
      <c r="PDA2" s="299"/>
      <c r="PDB2" s="299"/>
      <c r="PDC2" s="299"/>
      <c r="PDD2" s="299"/>
      <c r="PDE2" s="299"/>
      <c r="PDF2" s="299"/>
      <c r="PDG2" s="299"/>
      <c r="PDH2" s="299"/>
      <c r="PDI2" s="299"/>
      <c r="PDJ2" s="299"/>
      <c r="PDK2" s="299"/>
      <c r="PDL2" s="299"/>
      <c r="PDM2" s="299"/>
      <c r="PDN2" s="299"/>
      <c r="PDO2" s="299"/>
      <c r="PDP2" s="299"/>
      <c r="PDQ2" s="299"/>
      <c r="PDR2" s="299"/>
      <c r="PDS2" s="299"/>
      <c r="PDT2" s="299"/>
      <c r="PDU2" s="299"/>
      <c r="PDV2" s="299"/>
      <c r="PDW2" s="299"/>
      <c r="PDX2" s="299"/>
      <c r="PDY2" s="299"/>
      <c r="PDZ2" s="299"/>
      <c r="PEA2" s="299"/>
      <c r="PEB2" s="299"/>
      <c r="PEC2" s="299"/>
      <c r="PED2" s="299"/>
      <c r="PEE2" s="299"/>
      <c r="PEF2" s="299"/>
      <c r="PEG2" s="299"/>
      <c r="PEH2" s="299"/>
      <c r="PEI2" s="299"/>
      <c r="PEJ2" s="299"/>
      <c r="PEK2" s="299"/>
      <c r="PEL2" s="299"/>
      <c r="PEM2" s="299"/>
      <c r="PEN2" s="299"/>
      <c r="PEO2" s="299"/>
      <c r="PEP2" s="299"/>
      <c r="PEQ2" s="299"/>
      <c r="PER2" s="299"/>
      <c r="PES2" s="299"/>
      <c r="PET2" s="299"/>
      <c r="PEU2" s="299"/>
      <c r="PEV2" s="299"/>
      <c r="PEW2" s="299"/>
      <c r="PEX2" s="299"/>
      <c r="PEY2" s="299"/>
      <c r="PEZ2" s="299"/>
      <c r="PFA2" s="299"/>
      <c r="PFB2" s="299"/>
      <c r="PFC2" s="299"/>
      <c r="PFD2" s="299"/>
      <c r="PFE2" s="299"/>
      <c r="PFF2" s="299"/>
      <c r="PFG2" s="299"/>
      <c r="PFH2" s="299"/>
      <c r="PFI2" s="299"/>
      <c r="PFJ2" s="299"/>
      <c r="PFK2" s="299"/>
      <c r="PFL2" s="299"/>
      <c r="PFM2" s="299"/>
      <c r="PFN2" s="299"/>
      <c r="PFO2" s="299"/>
      <c r="PFP2" s="299"/>
      <c r="PFQ2" s="299"/>
      <c r="PFR2" s="299"/>
      <c r="PFS2" s="299"/>
      <c r="PFT2" s="299"/>
      <c r="PFU2" s="299"/>
      <c r="PFV2" s="299"/>
      <c r="PFW2" s="299"/>
      <c r="PFX2" s="299"/>
      <c r="PFY2" s="299"/>
      <c r="PFZ2" s="299"/>
      <c r="PGA2" s="299"/>
      <c r="PGB2" s="299"/>
      <c r="PGC2" s="299"/>
      <c r="PGD2" s="299"/>
      <c r="PGE2" s="299"/>
      <c r="PGF2" s="299"/>
      <c r="PGG2" s="299"/>
      <c r="PGH2" s="299"/>
      <c r="PGI2" s="299"/>
      <c r="PGJ2" s="299"/>
      <c r="PGK2" s="299"/>
      <c r="PGL2" s="299"/>
      <c r="PGM2" s="299"/>
      <c r="PGN2" s="299"/>
      <c r="PGO2" s="299"/>
      <c r="PGP2" s="299"/>
      <c r="PGQ2" s="299"/>
      <c r="PGR2" s="299"/>
      <c r="PGS2" s="299"/>
      <c r="PGT2" s="299"/>
      <c r="PGU2" s="299"/>
      <c r="PGV2" s="299"/>
      <c r="PGW2" s="299"/>
      <c r="PGX2" s="299"/>
      <c r="PGY2" s="299"/>
      <c r="PGZ2" s="299"/>
      <c r="PHA2" s="299"/>
      <c r="PHB2" s="299"/>
      <c r="PHC2" s="299"/>
      <c r="PHD2" s="299"/>
      <c r="PHE2" s="299"/>
      <c r="PHF2" s="299"/>
      <c r="PHG2" s="299"/>
      <c r="PHH2" s="299"/>
      <c r="PHI2" s="299"/>
      <c r="PHJ2" s="299"/>
      <c r="PHK2" s="299"/>
      <c r="PHL2" s="299"/>
      <c r="PHM2" s="299"/>
      <c r="PHN2" s="299"/>
      <c r="PHO2" s="299"/>
      <c r="PHP2" s="299"/>
      <c r="PHQ2" s="299"/>
      <c r="PHR2" s="299"/>
      <c r="PHS2" s="299"/>
      <c r="PHT2" s="299"/>
      <c r="PHU2" s="299"/>
      <c r="PHV2" s="299"/>
      <c r="PHW2" s="299"/>
      <c r="PHX2" s="299"/>
      <c r="PHY2" s="299"/>
      <c r="PHZ2" s="299"/>
      <c r="PIA2" s="299"/>
      <c r="PIB2" s="299"/>
      <c r="PIC2" s="299"/>
      <c r="PID2" s="299"/>
      <c r="PIE2" s="299"/>
      <c r="PIF2" s="299"/>
      <c r="PIG2" s="299"/>
      <c r="PIH2" s="299"/>
      <c r="PII2" s="299"/>
      <c r="PIJ2" s="299"/>
      <c r="PIK2" s="299"/>
      <c r="PIL2" s="299"/>
      <c r="PIM2" s="299"/>
      <c r="PIN2" s="299"/>
      <c r="PIO2" s="299"/>
      <c r="PIP2" s="299"/>
      <c r="PIQ2" s="299"/>
      <c r="PIR2" s="299"/>
      <c r="PIS2" s="299"/>
      <c r="PIT2" s="299"/>
      <c r="PIU2" s="299"/>
      <c r="PIV2" s="299"/>
      <c r="PIW2" s="299"/>
      <c r="PIX2" s="299"/>
      <c r="PIY2" s="299"/>
      <c r="PIZ2" s="299"/>
      <c r="PJA2" s="299"/>
      <c r="PJB2" s="299"/>
      <c r="PJC2" s="299"/>
      <c r="PJD2" s="299"/>
      <c r="PJE2" s="299"/>
      <c r="PJF2" s="299"/>
      <c r="PJG2" s="299"/>
      <c r="PJH2" s="299"/>
      <c r="PJI2" s="299"/>
      <c r="PJJ2" s="299"/>
      <c r="PJK2" s="299"/>
      <c r="PJL2" s="299"/>
      <c r="PJM2" s="299"/>
      <c r="PJN2" s="299"/>
      <c r="PJO2" s="299"/>
      <c r="PJP2" s="299"/>
      <c r="PJQ2" s="299"/>
      <c r="PJR2" s="299"/>
      <c r="PJS2" s="299"/>
      <c r="PJT2" s="299"/>
      <c r="PJU2" s="299"/>
      <c r="PJV2" s="299"/>
      <c r="PJW2" s="299"/>
      <c r="PJX2" s="299"/>
      <c r="PJY2" s="299"/>
      <c r="PJZ2" s="299"/>
      <c r="PKA2" s="299"/>
      <c r="PKB2" s="299"/>
      <c r="PKC2" s="299"/>
      <c r="PKD2" s="299"/>
      <c r="PKE2" s="299"/>
      <c r="PKF2" s="299"/>
      <c r="PKG2" s="299"/>
      <c r="PKH2" s="299"/>
      <c r="PKI2" s="299"/>
      <c r="PKJ2" s="299"/>
      <c r="PKK2" s="299"/>
      <c r="PKL2" s="299"/>
      <c r="PKM2" s="299"/>
      <c r="PKN2" s="299"/>
      <c r="PKO2" s="299"/>
      <c r="PKP2" s="299"/>
      <c r="PKQ2" s="299"/>
      <c r="PKR2" s="299"/>
      <c r="PKS2" s="299"/>
      <c r="PKT2" s="299"/>
      <c r="PKU2" s="299"/>
      <c r="PKV2" s="299"/>
      <c r="PKW2" s="299"/>
      <c r="PKX2" s="299"/>
      <c r="PKY2" s="299"/>
      <c r="PKZ2" s="299"/>
      <c r="PLA2" s="299"/>
      <c r="PLB2" s="299"/>
      <c r="PLC2" s="299"/>
      <c r="PLD2" s="299"/>
      <c r="PLE2" s="299"/>
      <c r="PLF2" s="299"/>
      <c r="PLG2" s="299"/>
      <c r="PLH2" s="299"/>
      <c r="PLI2" s="299"/>
      <c r="PLJ2" s="299"/>
      <c r="PLK2" s="299"/>
      <c r="PLL2" s="299"/>
      <c r="PLM2" s="299"/>
      <c r="PLN2" s="299"/>
      <c r="PLO2" s="299"/>
      <c r="PLP2" s="299"/>
      <c r="PLQ2" s="299"/>
      <c r="PLR2" s="299"/>
      <c r="PLS2" s="299"/>
      <c r="PLT2" s="299"/>
      <c r="PLU2" s="299"/>
      <c r="PLV2" s="299"/>
      <c r="PLW2" s="299"/>
      <c r="PLX2" s="299"/>
      <c r="PLY2" s="299"/>
      <c r="PLZ2" s="299"/>
      <c r="PMA2" s="299"/>
      <c r="PMB2" s="299"/>
      <c r="PMC2" s="299"/>
      <c r="PMD2" s="299"/>
      <c r="PME2" s="299"/>
      <c r="PMF2" s="299"/>
      <c r="PMG2" s="299"/>
      <c r="PMH2" s="299"/>
      <c r="PMI2" s="299"/>
      <c r="PMJ2" s="299"/>
      <c r="PMK2" s="299"/>
      <c r="PML2" s="299"/>
      <c r="PMM2" s="299"/>
      <c r="PMN2" s="299"/>
      <c r="PMO2" s="299"/>
      <c r="PMP2" s="299"/>
      <c r="PMQ2" s="299"/>
      <c r="PMR2" s="299"/>
      <c r="PMS2" s="299"/>
      <c r="PMT2" s="299"/>
      <c r="PMU2" s="299"/>
      <c r="PMV2" s="299"/>
      <c r="PMW2" s="299"/>
      <c r="PMX2" s="299"/>
      <c r="PMY2" s="299"/>
      <c r="PMZ2" s="299"/>
      <c r="PNA2" s="299"/>
      <c r="PNB2" s="299"/>
      <c r="PNC2" s="299"/>
      <c r="PND2" s="299"/>
      <c r="PNE2" s="299"/>
      <c r="PNF2" s="299"/>
      <c r="PNG2" s="299"/>
      <c r="PNH2" s="299"/>
      <c r="PNI2" s="299"/>
      <c r="PNJ2" s="299"/>
      <c r="PNK2" s="299"/>
      <c r="PNL2" s="299"/>
      <c r="PNM2" s="299"/>
      <c r="PNN2" s="299"/>
      <c r="PNO2" s="299"/>
      <c r="PNP2" s="299"/>
      <c r="PNQ2" s="299"/>
      <c r="PNR2" s="299"/>
      <c r="PNS2" s="299"/>
      <c r="PNT2" s="299"/>
      <c r="PNU2" s="299"/>
      <c r="PNV2" s="299"/>
      <c r="PNW2" s="299"/>
      <c r="PNX2" s="299"/>
      <c r="PNY2" s="299"/>
      <c r="PNZ2" s="299"/>
      <c r="POA2" s="299"/>
      <c r="POB2" s="299"/>
      <c r="POC2" s="299"/>
      <c r="POD2" s="299"/>
      <c r="POE2" s="299"/>
      <c r="POF2" s="299"/>
      <c r="POG2" s="299"/>
      <c r="POH2" s="299"/>
      <c r="POI2" s="299"/>
      <c r="POJ2" s="299"/>
      <c r="POK2" s="299"/>
      <c r="POL2" s="299"/>
      <c r="POM2" s="299"/>
      <c r="PON2" s="299"/>
      <c r="POO2" s="299"/>
      <c r="POP2" s="299"/>
      <c r="POQ2" s="299"/>
      <c r="POR2" s="299"/>
      <c r="POS2" s="299"/>
      <c r="POT2" s="299"/>
      <c r="POU2" s="299"/>
      <c r="POV2" s="299"/>
      <c r="POW2" s="299"/>
      <c r="POX2" s="299"/>
      <c r="POY2" s="299"/>
      <c r="POZ2" s="299"/>
      <c r="PPA2" s="299"/>
      <c r="PPB2" s="299"/>
      <c r="PPC2" s="299"/>
      <c r="PPD2" s="299"/>
      <c r="PPE2" s="299"/>
      <c r="PPF2" s="299"/>
      <c r="PPG2" s="299"/>
      <c r="PPH2" s="299"/>
      <c r="PPI2" s="299"/>
      <c r="PPJ2" s="299"/>
      <c r="PPK2" s="299"/>
      <c r="PPL2" s="299"/>
      <c r="PPM2" s="299"/>
      <c r="PPN2" s="299"/>
      <c r="PPO2" s="299"/>
      <c r="PPP2" s="299"/>
      <c r="PPQ2" s="299"/>
      <c r="PPR2" s="299"/>
      <c r="PPS2" s="299"/>
      <c r="PPT2" s="299"/>
      <c r="PPU2" s="299"/>
      <c r="PPV2" s="299"/>
      <c r="PPW2" s="299"/>
      <c r="PPX2" s="299"/>
      <c r="PPY2" s="299"/>
      <c r="PPZ2" s="299"/>
      <c r="PQA2" s="299"/>
      <c r="PQB2" s="299"/>
      <c r="PQC2" s="299"/>
      <c r="PQD2" s="299"/>
      <c r="PQE2" s="299"/>
      <c r="PQF2" s="299"/>
      <c r="PQG2" s="299"/>
      <c r="PQH2" s="299"/>
      <c r="PQI2" s="299"/>
      <c r="PQJ2" s="299"/>
      <c r="PQK2" s="299"/>
      <c r="PQL2" s="299"/>
      <c r="PQM2" s="299"/>
      <c r="PQN2" s="299"/>
      <c r="PQO2" s="299"/>
      <c r="PQP2" s="299"/>
      <c r="PQQ2" s="299"/>
      <c r="PQR2" s="299"/>
      <c r="PQS2" s="299"/>
      <c r="PQT2" s="299"/>
      <c r="PQU2" s="299"/>
      <c r="PQV2" s="299"/>
      <c r="PQW2" s="299"/>
      <c r="PQX2" s="299"/>
      <c r="PQY2" s="299"/>
      <c r="PQZ2" s="299"/>
      <c r="PRA2" s="299"/>
      <c r="PRB2" s="299"/>
      <c r="PRC2" s="299"/>
      <c r="PRD2" s="299"/>
      <c r="PRE2" s="299"/>
      <c r="PRF2" s="299"/>
      <c r="PRG2" s="299"/>
      <c r="PRH2" s="299"/>
      <c r="PRI2" s="299"/>
      <c r="PRJ2" s="299"/>
      <c r="PRK2" s="299"/>
      <c r="PRL2" s="299"/>
      <c r="PRM2" s="299"/>
      <c r="PRN2" s="299"/>
      <c r="PRO2" s="299"/>
      <c r="PRP2" s="299"/>
      <c r="PRQ2" s="299"/>
      <c r="PRR2" s="299"/>
      <c r="PRS2" s="299"/>
      <c r="PRT2" s="299"/>
      <c r="PRU2" s="299"/>
      <c r="PRV2" s="299"/>
      <c r="PRW2" s="299"/>
      <c r="PRX2" s="299"/>
      <c r="PRY2" s="299"/>
      <c r="PRZ2" s="299"/>
      <c r="PSA2" s="299"/>
      <c r="PSB2" s="299"/>
      <c r="PSC2" s="299"/>
      <c r="PSD2" s="299"/>
      <c r="PSE2" s="299"/>
      <c r="PSF2" s="299"/>
      <c r="PSG2" s="299"/>
      <c r="PSH2" s="299"/>
      <c r="PSI2" s="299"/>
      <c r="PSJ2" s="299"/>
      <c r="PSK2" s="299"/>
      <c r="PSL2" s="299"/>
      <c r="PSM2" s="299"/>
      <c r="PSN2" s="299"/>
      <c r="PSO2" s="299"/>
      <c r="PSP2" s="299"/>
      <c r="PSQ2" s="299"/>
      <c r="PSR2" s="299"/>
      <c r="PSS2" s="299"/>
      <c r="PST2" s="299"/>
      <c r="PSU2" s="299"/>
      <c r="PSV2" s="299"/>
      <c r="PSW2" s="299"/>
      <c r="PSX2" s="299"/>
      <c r="PSY2" s="299"/>
      <c r="PSZ2" s="299"/>
      <c r="PTA2" s="299"/>
      <c r="PTB2" s="299"/>
      <c r="PTC2" s="299"/>
      <c r="PTD2" s="299"/>
      <c r="PTE2" s="299"/>
      <c r="PTF2" s="299"/>
      <c r="PTG2" s="299"/>
      <c r="PTH2" s="299"/>
      <c r="PTI2" s="299"/>
      <c r="PTJ2" s="299"/>
      <c r="PTK2" s="299"/>
      <c r="PTL2" s="299"/>
      <c r="PTM2" s="299"/>
      <c r="PTN2" s="299"/>
      <c r="PTO2" s="299"/>
      <c r="PTP2" s="299"/>
      <c r="PTQ2" s="299"/>
      <c r="PTR2" s="299"/>
      <c r="PTS2" s="299"/>
      <c r="PTT2" s="299"/>
      <c r="PTU2" s="299"/>
      <c r="PTV2" s="299"/>
      <c r="PTW2" s="299"/>
      <c r="PTX2" s="299"/>
      <c r="PTY2" s="299"/>
      <c r="PTZ2" s="299"/>
      <c r="PUA2" s="299"/>
      <c r="PUB2" s="299"/>
      <c r="PUC2" s="299"/>
      <c r="PUD2" s="299"/>
      <c r="PUE2" s="299"/>
      <c r="PUF2" s="299"/>
      <c r="PUG2" s="299"/>
      <c r="PUH2" s="299"/>
      <c r="PUI2" s="299"/>
      <c r="PUJ2" s="299"/>
      <c r="PUK2" s="299"/>
      <c r="PUL2" s="299"/>
      <c r="PUM2" s="299"/>
      <c r="PUN2" s="299"/>
      <c r="PUO2" s="299"/>
      <c r="PUP2" s="299"/>
      <c r="PUQ2" s="299"/>
      <c r="PUR2" s="299"/>
      <c r="PUS2" s="299"/>
      <c r="PUT2" s="299"/>
      <c r="PUU2" s="299"/>
      <c r="PUV2" s="299"/>
      <c r="PUW2" s="299"/>
      <c r="PUX2" s="299"/>
      <c r="PUY2" s="299"/>
      <c r="PUZ2" s="299"/>
      <c r="PVA2" s="299"/>
      <c r="PVB2" s="299"/>
      <c r="PVC2" s="299"/>
      <c r="PVD2" s="299"/>
      <c r="PVE2" s="299"/>
      <c r="PVF2" s="299"/>
      <c r="PVG2" s="299"/>
      <c r="PVH2" s="299"/>
      <c r="PVI2" s="299"/>
      <c r="PVJ2" s="299"/>
      <c r="PVK2" s="299"/>
      <c r="PVL2" s="299"/>
      <c r="PVM2" s="299"/>
      <c r="PVN2" s="299"/>
      <c r="PVO2" s="299"/>
      <c r="PVP2" s="299"/>
      <c r="PVQ2" s="299"/>
      <c r="PVR2" s="299"/>
      <c r="PVS2" s="299"/>
      <c r="PVT2" s="299"/>
      <c r="PVU2" s="299"/>
      <c r="PVV2" s="299"/>
      <c r="PVW2" s="299"/>
      <c r="PVX2" s="299"/>
      <c r="PVY2" s="299"/>
      <c r="PVZ2" s="299"/>
      <c r="PWA2" s="299"/>
      <c r="PWB2" s="299"/>
      <c r="PWC2" s="299"/>
      <c r="PWD2" s="299"/>
      <c r="PWE2" s="299"/>
      <c r="PWF2" s="299"/>
      <c r="PWG2" s="299"/>
      <c r="PWH2" s="299"/>
      <c r="PWI2" s="299"/>
      <c r="PWJ2" s="299"/>
      <c r="PWK2" s="299"/>
      <c r="PWL2" s="299"/>
      <c r="PWM2" s="299"/>
      <c r="PWN2" s="299"/>
      <c r="PWO2" s="299"/>
      <c r="PWP2" s="299"/>
      <c r="PWQ2" s="299"/>
      <c r="PWR2" s="299"/>
      <c r="PWS2" s="299"/>
      <c r="PWT2" s="299"/>
      <c r="PWU2" s="299"/>
      <c r="PWV2" s="299"/>
      <c r="PWW2" s="299"/>
      <c r="PWX2" s="299"/>
      <c r="PWY2" s="299"/>
      <c r="PWZ2" s="299"/>
      <c r="PXA2" s="299"/>
      <c r="PXB2" s="299"/>
      <c r="PXC2" s="299"/>
      <c r="PXD2" s="299"/>
      <c r="PXE2" s="299"/>
      <c r="PXF2" s="299"/>
      <c r="PXG2" s="299"/>
      <c r="PXH2" s="299"/>
      <c r="PXI2" s="299"/>
      <c r="PXJ2" s="299"/>
      <c r="PXK2" s="299"/>
      <c r="PXL2" s="299"/>
      <c r="PXM2" s="299"/>
      <c r="PXN2" s="299"/>
      <c r="PXO2" s="299"/>
      <c r="PXP2" s="299"/>
      <c r="PXQ2" s="299"/>
      <c r="PXR2" s="299"/>
      <c r="PXS2" s="299"/>
      <c r="PXT2" s="299"/>
      <c r="PXU2" s="299"/>
      <c r="PXV2" s="299"/>
      <c r="PXW2" s="299"/>
      <c r="PXX2" s="299"/>
      <c r="PXY2" s="299"/>
      <c r="PXZ2" s="299"/>
      <c r="PYA2" s="299"/>
      <c r="PYB2" s="299"/>
      <c r="PYC2" s="299"/>
      <c r="PYD2" s="299"/>
      <c r="PYE2" s="299"/>
      <c r="PYF2" s="299"/>
      <c r="PYG2" s="299"/>
      <c r="PYH2" s="299"/>
      <c r="PYI2" s="299"/>
      <c r="PYJ2" s="299"/>
      <c r="PYK2" s="299"/>
      <c r="PYL2" s="299"/>
      <c r="PYM2" s="299"/>
      <c r="PYN2" s="299"/>
      <c r="PYO2" s="299"/>
      <c r="PYP2" s="299"/>
      <c r="PYQ2" s="299"/>
      <c r="PYR2" s="299"/>
      <c r="PYS2" s="299"/>
      <c r="PYT2" s="299"/>
      <c r="PYU2" s="299"/>
      <c r="PYV2" s="299"/>
      <c r="PYW2" s="299"/>
      <c r="PYX2" s="299"/>
      <c r="PYY2" s="299"/>
      <c r="PYZ2" s="299"/>
      <c r="PZA2" s="299"/>
      <c r="PZB2" s="299"/>
      <c r="PZC2" s="299"/>
      <c r="PZD2" s="299"/>
      <c r="PZE2" s="299"/>
      <c r="PZF2" s="299"/>
      <c r="PZG2" s="299"/>
      <c r="PZH2" s="299"/>
      <c r="PZI2" s="299"/>
      <c r="PZJ2" s="299"/>
      <c r="PZK2" s="299"/>
      <c r="PZL2" s="299"/>
      <c r="PZM2" s="299"/>
      <c r="PZN2" s="299"/>
      <c r="PZO2" s="299"/>
      <c r="PZP2" s="299"/>
      <c r="PZQ2" s="299"/>
      <c r="PZR2" s="299"/>
      <c r="PZS2" s="299"/>
      <c r="PZT2" s="299"/>
      <c r="PZU2" s="299"/>
      <c r="PZV2" s="299"/>
      <c r="PZW2" s="299"/>
      <c r="PZX2" s="299"/>
      <c r="PZY2" s="299"/>
      <c r="PZZ2" s="299"/>
      <c r="QAA2" s="299"/>
      <c r="QAB2" s="299"/>
      <c r="QAC2" s="299"/>
      <c r="QAD2" s="299"/>
      <c r="QAE2" s="299"/>
      <c r="QAF2" s="299"/>
      <c r="QAG2" s="299"/>
      <c r="QAH2" s="299"/>
      <c r="QAI2" s="299"/>
      <c r="QAJ2" s="299"/>
      <c r="QAK2" s="299"/>
      <c r="QAL2" s="299"/>
      <c r="QAM2" s="299"/>
      <c r="QAN2" s="299"/>
      <c r="QAO2" s="299"/>
      <c r="QAP2" s="299"/>
      <c r="QAQ2" s="299"/>
      <c r="QAR2" s="299"/>
      <c r="QAS2" s="299"/>
      <c r="QAT2" s="299"/>
      <c r="QAU2" s="299"/>
      <c r="QAV2" s="299"/>
      <c r="QAW2" s="299"/>
      <c r="QAX2" s="299"/>
      <c r="QAY2" s="299"/>
      <c r="QAZ2" s="299"/>
      <c r="QBA2" s="299"/>
      <c r="QBB2" s="299"/>
      <c r="QBC2" s="299"/>
      <c r="QBD2" s="299"/>
      <c r="QBE2" s="299"/>
      <c r="QBF2" s="299"/>
      <c r="QBG2" s="299"/>
      <c r="QBH2" s="299"/>
      <c r="QBI2" s="299"/>
      <c r="QBJ2" s="299"/>
      <c r="QBK2" s="299"/>
      <c r="QBL2" s="299"/>
      <c r="QBM2" s="299"/>
      <c r="QBN2" s="299"/>
      <c r="QBO2" s="299"/>
      <c r="QBP2" s="299"/>
      <c r="QBQ2" s="299"/>
      <c r="QBR2" s="299"/>
      <c r="QBS2" s="299"/>
      <c r="QBT2" s="299"/>
      <c r="QBU2" s="299"/>
      <c r="QBV2" s="299"/>
      <c r="QBW2" s="299"/>
      <c r="QBX2" s="299"/>
      <c r="QBY2" s="299"/>
      <c r="QBZ2" s="299"/>
      <c r="QCA2" s="299"/>
      <c r="QCB2" s="299"/>
      <c r="QCC2" s="299"/>
      <c r="QCD2" s="299"/>
      <c r="QCE2" s="299"/>
      <c r="QCF2" s="299"/>
      <c r="QCG2" s="299"/>
      <c r="QCH2" s="299"/>
      <c r="QCI2" s="299"/>
      <c r="QCJ2" s="299"/>
      <c r="QCK2" s="299"/>
      <c r="QCL2" s="299"/>
      <c r="QCM2" s="299"/>
      <c r="QCN2" s="299"/>
      <c r="QCO2" s="299"/>
      <c r="QCP2" s="299"/>
      <c r="QCQ2" s="299"/>
      <c r="QCR2" s="299"/>
      <c r="QCS2" s="299"/>
      <c r="QCT2" s="299"/>
      <c r="QCU2" s="299"/>
      <c r="QCV2" s="299"/>
      <c r="QCW2" s="299"/>
      <c r="QCX2" s="299"/>
      <c r="QCY2" s="299"/>
      <c r="QCZ2" s="299"/>
      <c r="QDA2" s="299"/>
      <c r="QDB2" s="299"/>
      <c r="QDC2" s="299"/>
      <c r="QDD2" s="299"/>
      <c r="QDE2" s="299"/>
      <c r="QDF2" s="299"/>
      <c r="QDG2" s="299"/>
      <c r="QDH2" s="299"/>
      <c r="QDI2" s="299"/>
      <c r="QDJ2" s="299"/>
      <c r="QDK2" s="299"/>
      <c r="QDL2" s="299"/>
      <c r="QDM2" s="299"/>
      <c r="QDN2" s="299"/>
      <c r="QDO2" s="299"/>
      <c r="QDP2" s="299"/>
      <c r="QDQ2" s="299"/>
      <c r="QDR2" s="299"/>
      <c r="QDS2" s="299"/>
      <c r="QDT2" s="299"/>
      <c r="QDU2" s="299"/>
      <c r="QDV2" s="299"/>
      <c r="QDW2" s="299"/>
      <c r="QDX2" s="299"/>
      <c r="QDY2" s="299"/>
      <c r="QDZ2" s="299"/>
      <c r="QEA2" s="299"/>
      <c r="QEB2" s="299"/>
      <c r="QEC2" s="299"/>
      <c r="QED2" s="299"/>
      <c r="QEE2" s="299"/>
      <c r="QEF2" s="299"/>
      <c r="QEG2" s="299"/>
      <c r="QEH2" s="299"/>
      <c r="QEI2" s="299"/>
      <c r="QEJ2" s="299"/>
      <c r="QEK2" s="299"/>
      <c r="QEL2" s="299"/>
      <c r="QEM2" s="299"/>
      <c r="QEN2" s="299"/>
      <c r="QEO2" s="299"/>
      <c r="QEP2" s="299"/>
      <c r="QEQ2" s="299"/>
      <c r="QER2" s="299"/>
      <c r="QES2" s="299"/>
      <c r="QET2" s="299"/>
      <c r="QEU2" s="299"/>
      <c r="QEV2" s="299"/>
      <c r="QEW2" s="299"/>
      <c r="QEX2" s="299"/>
      <c r="QEY2" s="299"/>
      <c r="QEZ2" s="299"/>
      <c r="QFA2" s="299"/>
      <c r="QFB2" s="299"/>
      <c r="QFC2" s="299"/>
      <c r="QFD2" s="299"/>
      <c r="QFE2" s="299"/>
      <c r="QFF2" s="299"/>
      <c r="QFG2" s="299"/>
      <c r="QFH2" s="299"/>
      <c r="QFI2" s="299"/>
      <c r="QFJ2" s="299"/>
      <c r="QFK2" s="299"/>
      <c r="QFL2" s="299"/>
      <c r="QFM2" s="299"/>
      <c r="QFN2" s="299"/>
      <c r="QFO2" s="299"/>
      <c r="QFP2" s="299"/>
      <c r="QFQ2" s="299"/>
      <c r="QFR2" s="299"/>
      <c r="QFS2" s="299"/>
      <c r="QFT2" s="299"/>
      <c r="QFU2" s="299"/>
      <c r="QFV2" s="299"/>
      <c r="QFW2" s="299"/>
      <c r="QFX2" s="299"/>
      <c r="QFY2" s="299"/>
      <c r="QFZ2" s="299"/>
      <c r="QGA2" s="299"/>
      <c r="QGB2" s="299"/>
      <c r="QGC2" s="299"/>
      <c r="QGD2" s="299"/>
      <c r="QGE2" s="299"/>
      <c r="QGF2" s="299"/>
      <c r="QGG2" s="299"/>
      <c r="QGH2" s="299"/>
      <c r="QGI2" s="299"/>
      <c r="QGJ2" s="299"/>
      <c r="QGK2" s="299"/>
      <c r="QGL2" s="299"/>
      <c r="QGM2" s="299"/>
      <c r="QGN2" s="299"/>
      <c r="QGO2" s="299"/>
      <c r="QGP2" s="299"/>
      <c r="QGQ2" s="299"/>
      <c r="QGR2" s="299"/>
      <c r="QGS2" s="299"/>
      <c r="QGT2" s="299"/>
      <c r="QGU2" s="299"/>
      <c r="QGV2" s="299"/>
      <c r="QGW2" s="299"/>
      <c r="QGX2" s="299"/>
      <c r="QGY2" s="299"/>
      <c r="QGZ2" s="299"/>
      <c r="QHA2" s="299"/>
      <c r="QHB2" s="299"/>
      <c r="QHC2" s="299"/>
      <c r="QHD2" s="299"/>
      <c r="QHE2" s="299"/>
      <c r="QHF2" s="299"/>
      <c r="QHG2" s="299"/>
      <c r="QHH2" s="299"/>
      <c r="QHI2" s="299"/>
      <c r="QHJ2" s="299"/>
      <c r="QHK2" s="299"/>
      <c r="QHL2" s="299"/>
      <c r="QHM2" s="299"/>
      <c r="QHN2" s="299"/>
      <c r="QHO2" s="299"/>
      <c r="QHP2" s="299"/>
      <c r="QHQ2" s="299"/>
      <c r="QHR2" s="299"/>
      <c r="QHS2" s="299"/>
      <c r="QHT2" s="299"/>
      <c r="QHU2" s="299"/>
      <c r="QHV2" s="299"/>
      <c r="QHW2" s="299"/>
      <c r="QHX2" s="299"/>
      <c r="QHY2" s="299"/>
      <c r="QHZ2" s="299"/>
      <c r="QIA2" s="299"/>
      <c r="QIB2" s="299"/>
      <c r="QIC2" s="299"/>
      <c r="QID2" s="299"/>
      <c r="QIE2" s="299"/>
      <c r="QIF2" s="299"/>
      <c r="QIG2" s="299"/>
      <c r="QIH2" s="299"/>
      <c r="QII2" s="299"/>
      <c r="QIJ2" s="299"/>
      <c r="QIK2" s="299"/>
      <c r="QIL2" s="299"/>
      <c r="QIM2" s="299"/>
      <c r="QIN2" s="299"/>
      <c r="QIO2" s="299"/>
      <c r="QIP2" s="299"/>
      <c r="QIQ2" s="299"/>
      <c r="QIR2" s="299"/>
      <c r="QIS2" s="299"/>
      <c r="QIT2" s="299"/>
      <c r="QIU2" s="299"/>
      <c r="QIV2" s="299"/>
      <c r="QIW2" s="299"/>
      <c r="QIX2" s="299"/>
      <c r="QIY2" s="299"/>
      <c r="QIZ2" s="299"/>
      <c r="QJA2" s="299"/>
      <c r="QJB2" s="299"/>
      <c r="QJC2" s="299"/>
      <c r="QJD2" s="299"/>
      <c r="QJE2" s="299"/>
      <c r="QJF2" s="299"/>
      <c r="QJG2" s="299"/>
      <c r="QJH2" s="299"/>
      <c r="QJI2" s="299"/>
      <c r="QJJ2" s="299"/>
      <c r="QJK2" s="299"/>
      <c r="QJL2" s="299"/>
      <c r="QJM2" s="299"/>
      <c r="QJN2" s="299"/>
      <c r="QJO2" s="299"/>
      <c r="QJP2" s="299"/>
      <c r="QJQ2" s="299"/>
      <c r="QJR2" s="299"/>
      <c r="QJS2" s="299"/>
      <c r="QJT2" s="299"/>
      <c r="QJU2" s="299"/>
      <c r="QJV2" s="299"/>
      <c r="QJW2" s="299"/>
      <c r="QJX2" s="299"/>
      <c r="QJY2" s="299"/>
      <c r="QJZ2" s="299"/>
      <c r="QKA2" s="299"/>
      <c r="QKB2" s="299"/>
      <c r="QKC2" s="299"/>
      <c r="QKD2" s="299"/>
      <c r="QKE2" s="299"/>
      <c r="QKF2" s="299"/>
      <c r="QKG2" s="299"/>
      <c r="QKH2" s="299"/>
      <c r="QKI2" s="299"/>
      <c r="QKJ2" s="299"/>
      <c r="QKK2" s="299"/>
      <c r="QKL2" s="299"/>
      <c r="QKM2" s="299"/>
      <c r="QKN2" s="299"/>
      <c r="QKO2" s="299"/>
      <c r="QKP2" s="299"/>
      <c r="QKQ2" s="299"/>
      <c r="QKR2" s="299"/>
      <c r="QKS2" s="299"/>
      <c r="QKT2" s="299"/>
      <c r="QKU2" s="299"/>
      <c r="QKV2" s="299"/>
      <c r="QKW2" s="299"/>
      <c r="QKX2" s="299"/>
      <c r="QKY2" s="299"/>
      <c r="QKZ2" s="299"/>
      <c r="QLA2" s="299"/>
      <c r="QLB2" s="299"/>
      <c r="QLC2" s="299"/>
      <c r="QLD2" s="299"/>
      <c r="QLE2" s="299"/>
      <c r="QLF2" s="299"/>
      <c r="QLG2" s="299"/>
      <c r="QLH2" s="299"/>
      <c r="QLI2" s="299"/>
      <c r="QLJ2" s="299"/>
      <c r="QLK2" s="299"/>
      <c r="QLL2" s="299"/>
      <c r="QLM2" s="299"/>
      <c r="QLN2" s="299"/>
      <c r="QLO2" s="299"/>
      <c r="QLP2" s="299"/>
      <c r="QLQ2" s="299"/>
      <c r="QLR2" s="299"/>
      <c r="QLS2" s="299"/>
      <c r="QLT2" s="299"/>
      <c r="QLU2" s="299"/>
      <c r="QLV2" s="299"/>
      <c r="QLW2" s="299"/>
      <c r="QLX2" s="299"/>
      <c r="QLY2" s="299"/>
      <c r="QLZ2" s="299"/>
      <c r="QMA2" s="299"/>
      <c r="QMB2" s="299"/>
      <c r="QMC2" s="299"/>
      <c r="QMD2" s="299"/>
      <c r="QME2" s="299"/>
      <c r="QMF2" s="299"/>
      <c r="QMG2" s="299"/>
      <c r="QMH2" s="299"/>
      <c r="QMI2" s="299"/>
      <c r="QMJ2" s="299"/>
      <c r="QMK2" s="299"/>
      <c r="QML2" s="299"/>
      <c r="QMM2" s="299"/>
      <c r="QMN2" s="299"/>
      <c r="QMO2" s="299"/>
      <c r="QMP2" s="299"/>
      <c r="QMQ2" s="299"/>
      <c r="QMR2" s="299"/>
      <c r="QMS2" s="299"/>
      <c r="QMT2" s="299"/>
      <c r="QMU2" s="299"/>
      <c r="QMV2" s="299"/>
      <c r="QMW2" s="299"/>
      <c r="QMX2" s="299"/>
      <c r="QMY2" s="299"/>
      <c r="QMZ2" s="299"/>
      <c r="QNA2" s="299"/>
      <c r="QNB2" s="299"/>
      <c r="QNC2" s="299"/>
      <c r="QND2" s="299"/>
      <c r="QNE2" s="299"/>
      <c r="QNF2" s="299"/>
      <c r="QNG2" s="299"/>
      <c r="QNH2" s="299"/>
      <c r="QNI2" s="299"/>
      <c r="QNJ2" s="299"/>
      <c r="QNK2" s="299"/>
      <c r="QNL2" s="299"/>
      <c r="QNM2" s="299"/>
      <c r="QNN2" s="299"/>
      <c r="QNO2" s="299"/>
      <c r="QNP2" s="299"/>
      <c r="QNQ2" s="299"/>
      <c r="QNR2" s="299"/>
      <c r="QNS2" s="299"/>
      <c r="QNT2" s="299"/>
      <c r="QNU2" s="299"/>
      <c r="QNV2" s="299"/>
      <c r="QNW2" s="299"/>
      <c r="QNX2" s="299"/>
      <c r="QNY2" s="299"/>
      <c r="QNZ2" s="299"/>
      <c r="QOA2" s="299"/>
      <c r="QOB2" s="299"/>
      <c r="QOC2" s="299"/>
      <c r="QOD2" s="299"/>
      <c r="QOE2" s="299"/>
      <c r="QOF2" s="299"/>
      <c r="QOG2" s="299"/>
      <c r="QOH2" s="299"/>
      <c r="QOI2" s="299"/>
      <c r="QOJ2" s="299"/>
      <c r="QOK2" s="299"/>
      <c r="QOL2" s="299"/>
      <c r="QOM2" s="299"/>
      <c r="QON2" s="299"/>
      <c r="QOO2" s="299"/>
      <c r="QOP2" s="299"/>
      <c r="QOQ2" s="299"/>
      <c r="QOR2" s="299"/>
      <c r="QOS2" s="299"/>
      <c r="QOT2" s="299"/>
      <c r="QOU2" s="299"/>
      <c r="QOV2" s="299"/>
      <c r="QOW2" s="299"/>
      <c r="QOX2" s="299"/>
      <c r="QOY2" s="299"/>
      <c r="QOZ2" s="299"/>
      <c r="QPA2" s="299"/>
      <c r="QPB2" s="299"/>
      <c r="QPC2" s="299"/>
      <c r="QPD2" s="299"/>
      <c r="QPE2" s="299"/>
      <c r="QPF2" s="299"/>
      <c r="QPG2" s="299"/>
      <c r="QPH2" s="299"/>
      <c r="QPI2" s="299"/>
      <c r="QPJ2" s="299"/>
      <c r="QPK2" s="299"/>
      <c r="QPL2" s="299"/>
      <c r="QPM2" s="299"/>
      <c r="QPN2" s="299"/>
      <c r="QPO2" s="299"/>
      <c r="QPP2" s="299"/>
      <c r="QPQ2" s="299"/>
      <c r="QPR2" s="299"/>
      <c r="QPS2" s="299"/>
      <c r="QPT2" s="299"/>
      <c r="QPU2" s="299"/>
      <c r="QPV2" s="299"/>
      <c r="QPW2" s="299"/>
      <c r="QPX2" s="299"/>
      <c r="QPY2" s="299"/>
      <c r="QPZ2" s="299"/>
      <c r="QQA2" s="299"/>
      <c r="QQB2" s="299"/>
      <c r="QQC2" s="299"/>
      <c r="QQD2" s="299"/>
      <c r="QQE2" s="299"/>
      <c r="QQF2" s="299"/>
      <c r="QQG2" s="299"/>
      <c r="QQH2" s="299"/>
      <c r="QQI2" s="299"/>
      <c r="QQJ2" s="299"/>
      <c r="QQK2" s="299"/>
      <c r="QQL2" s="299"/>
      <c r="QQM2" s="299"/>
      <c r="QQN2" s="299"/>
      <c r="QQO2" s="299"/>
      <c r="QQP2" s="299"/>
      <c r="QQQ2" s="299"/>
      <c r="QQR2" s="299"/>
      <c r="QQS2" s="299"/>
      <c r="QQT2" s="299"/>
      <c r="QQU2" s="299"/>
      <c r="QQV2" s="299"/>
      <c r="QQW2" s="299"/>
      <c r="QQX2" s="299"/>
      <c r="QQY2" s="299"/>
      <c r="QQZ2" s="299"/>
      <c r="QRA2" s="299"/>
      <c r="QRB2" s="299"/>
      <c r="QRC2" s="299"/>
      <c r="QRD2" s="299"/>
      <c r="QRE2" s="299"/>
      <c r="QRF2" s="299"/>
      <c r="QRG2" s="299"/>
      <c r="QRH2" s="299"/>
      <c r="QRI2" s="299"/>
      <c r="QRJ2" s="299"/>
      <c r="QRK2" s="299"/>
      <c r="QRL2" s="299"/>
      <c r="QRM2" s="299"/>
      <c r="QRN2" s="299"/>
      <c r="QRO2" s="299"/>
      <c r="QRP2" s="299"/>
      <c r="QRQ2" s="299"/>
      <c r="QRR2" s="299"/>
      <c r="QRS2" s="299"/>
      <c r="QRT2" s="299"/>
      <c r="QRU2" s="299"/>
      <c r="QRV2" s="299"/>
      <c r="QRW2" s="299"/>
      <c r="QRX2" s="299"/>
      <c r="QRY2" s="299"/>
      <c r="QRZ2" s="299"/>
      <c r="QSA2" s="299"/>
      <c r="QSB2" s="299"/>
      <c r="QSC2" s="299"/>
      <c r="QSD2" s="299"/>
      <c r="QSE2" s="299"/>
      <c r="QSF2" s="299"/>
      <c r="QSG2" s="299"/>
      <c r="QSH2" s="299"/>
      <c r="QSI2" s="299"/>
      <c r="QSJ2" s="299"/>
      <c r="QSK2" s="299"/>
      <c r="QSL2" s="299"/>
      <c r="QSM2" s="299"/>
      <c r="QSN2" s="299"/>
      <c r="QSO2" s="299"/>
      <c r="QSP2" s="299"/>
      <c r="QSQ2" s="299"/>
      <c r="QSR2" s="299"/>
      <c r="QSS2" s="299"/>
      <c r="QST2" s="299"/>
      <c r="QSU2" s="299"/>
      <c r="QSV2" s="299"/>
      <c r="QSW2" s="299"/>
      <c r="QSX2" s="299"/>
      <c r="QSY2" s="299"/>
      <c r="QSZ2" s="299"/>
      <c r="QTA2" s="299"/>
      <c r="QTB2" s="299"/>
      <c r="QTC2" s="299"/>
      <c r="QTD2" s="299"/>
      <c r="QTE2" s="299"/>
      <c r="QTF2" s="299"/>
      <c r="QTG2" s="299"/>
      <c r="QTH2" s="299"/>
      <c r="QTI2" s="299"/>
      <c r="QTJ2" s="299"/>
      <c r="QTK2" s="299"/>
      <c r="QTL2" s="299"/>
      <c r="QTM2" s="299"/>
      <c r="QTN2" s="299"/>
      <c r="QTO2" s="299"/>
      <c r="QTP2" s="299"/>
      <c r="QTQ2" s="299"/>
      <c r="QTR2" s="299"/>
      <c r="QTS2" s="299"/>
      <c r="QTT2" s="299"/>
      <c r="QTU2" s="299"/>
      <c r="QTV2" s="299"/>
      <c r="QTW2" s="299"/>
      <c r="QTX2" s="299"/>
      <c r="QTY2" s="299"/>
      <c r="QTZ2" s="299"/>
      <c r="QUA2" s="299"/>
      <c r="QUB2" s="299"/>
      <c r="QUC2" s="299"/>
      <c r="QUD2" s="299"/>
      <c r="QUE2" s="299"/>
      <c r="QUF2" s="299"/>
      <c r="QUG2" s="299"/>
      <c r="QUH2" s="299"/>
      <c r="QUI2" s="299"/>
      <c r="QUJ2" s="299"/>
      <c r="QUK2" s="299"/>
      <c r="QUL2" s="299"/>
      <c r="QUM2" s="299"/>
      <c r="QUN2" s="299"/>
      <c r="QUO2" s="299"/>
      <c r="QUP2" s="299"/>
      <c r="QUQ2" s="299"/>
      <c r="QUR2" s="299"/>
      <c r="QUS2" s="299"/>
      <c r="QUT2" s="299"/>
      <c r="QUU2" s="299"/>
      <c r="QUV2" s="299"/>
      <c r="QUW2" s="299"/>
      <c r="QUX2" s="299"/>
      <c r="QUY2" s="299"/>
      <c r="QUZ2" s="299"/>
      <c r="QVA2" s="299"/>
      <c r="QVB2" s="299"/>
      <c r="QVC2" s="299"/>
      <c r="QVD2" s="299"/>
      <c r="QVE2" s="299"/>
      <c r="QVF2" s="299"/>
      <c r="QVG2" s="299"/>
      <c r="QVH2" s="299"/>
      <c r="QVI2" s="299"/>
      <c r="QVJ2" s="299"/>
      <c r="QVK2" s="299"/>
      <c r="QVL2" s="299"/>
      <c r="QVM2" s="299"/>
      <c r="QVN2" s="299"/>
      <c r="QVO2" s="299"/>
      <c r="QVP2" s="299"/>
      <c r="QVQ2" s="299"/>
      <c r="QVR2" s="299"/>
      <c r="QVS2" s="299"/>
      <c r="QVT2" s="299"/>
      <c r="QVU2" s="299"/>
      <c r="QVV2" s="299"/>
      <c r="QVW2" s="299"/>
      <c r="QVX2" s="299"/>
      <c r="QVY2" s="299"/>
      <c r="QVZ2" s="299"/>
      <c r="QWA2" s="299"/>
      <c r="QWB2" s="299"/>
      <c r="QWC2" s="299"/>
      <c r="QWD2" s="299"/>
      <c r="QWE2" s="299"/>
      <c r="QWF2" s="299"/>
      <c r="QWG2" s="299"/>
      <c r="QWH2" s="299"/>
      <c r="QWI2" s="299"/>
      <c r="QWJ2" s="299"/>
      <c r="QWK2" s="299"/>
      <c r="QWL2" s="299"/>
      <c r="QWM2" s="299"/>
      <c r="QWN2" s="299"/>
      <c r="QWO2" s="299"/>
      <c r="QWP2" s="299"/>
      <c r="QWQ2" s="299"/>
      <c r="QWR2" s="299"/>
      <c r="QWS2" s="299"/>
      <c r="QWT2" s="299"/>
      <c r="QWU2" s="299"/>
      <c r="QWV2" s="299"/>
      <c r="QWW2" s="299"/>
      <c r="QWX2" s="299"/>
      <c r="QWY2" s="299"/>
      <c r="QWZ2" s="299"/>
      <c r="QXA2" s="299"/>
      <c r="QXB2" s="299"/>
      <c r="QXC2" s="299"/>
      <c r="QXD2" s="299"/>
      <c r="QXE2" s="299"/>
      <c r="QXF2" s="299"/>
      <c r="QXG2" s="299"/>
      <c r="QXH2" s="299"/>
      <c r="QXI2" s="299"/>
      <c r="QXJ2" s="299"/>
      <c r="QXK2" s="299"/>
      <c r="QXL2" s="299"/>
      <c r="QXM2" s="299"/>
      <c r="QXN2" s="299"/>
      <c r="QXO2" s="299"/>
      <c r="QXP2" s="299"/>
      <c r="QXQ2" s="299"/>
      <c r="QXR2" s="299"/>
      <c r="QXS2" s="299"/>
      <c r="QXT2" s="299"/>
      <c r="QXU2" s="299"/>
      <c r="QXV2" s="299"/>
      <c r="QXW2" s="299"/>
      <c r="QXX2" s="299"/>
      <c r="QXY2" s="299"/>
      <c r="QXZ2" s="299"/>
      <c r="QYA2" s="299"/>
      <c r="QYB2" s="299"/>
      <c r="QYC2" s="299"/>
      <c r="QYD2" s="299"/>
      <c r="QYE2" s="299"/>
      <c r="QYF2" s="299"/>
      <c r="QYG2" s="299"/>
      <c r="QYH2" s="299"/>
      <c r="QYI2" s="299"/>
      <c r="QYJ2" s="299"/>
      <c r="QYK2" s="299"/>
      <c r="QYL2" s="299"/>
      <c r="QYM2" s="299"/>
      <c r="QYN2" s="299"/>
      <c r="QYO2" s="299"/>
      <c r="QYP2" s="299"/>
      <c r="QYQ2" s="299"/>
      <c r="QYR2" s="299"/>
      <c r="QYS2" s="299"/>
      <c r="QYT2" s="299"/>
      <c r="QYU2" s="299"/>
      <c r="QYV2" s="299"/>
      <c r="QYW2" s="299"/>
      <c r="QYX2" s="299"/>
      <c r="QYY2" s="299"/>
      <c r="QYZ2" s="299"/>
      <c r="QZA2" s="299"/>
      <c r="QZB2" s="299"/>
      <c r="QZC2" s="299"/>
      <c r="QZD2" s="299"/>
      <c r="QZE2" s="299"/>
      <c r="QZF2" s="299"/>
      <c r="QZG2" s="299"/>
      <c r="QZH2" s="299"/>
      <c r="QZI2" s="299"/>
      <c r="QZJ2" s="299"/>
      <c r="QZK2" s="299"/>
      <c r="QZL2" s="299"/>
      <c r="QZM2" s="299"/>
      <c r="QZN2" s="299"/>
      <c r="QZO2" s="299"/>
      <c r="QZP2" s="299"/>
      <c r="QZQ2" s="299"/>
      <c r="QZR2" s="299"/>
      <c r="QZS2" s="299"/>
      <c r="QZT2" s="299"/>
      <c r="QZU2" s="299"/>
      <c r="QZV2" s="299"/>
      <c r="QZW2" s="299"/>
      <c r="QZX2" s="299"/>
      <c r="QZY2" s="299"/>
      <c r="QZZ2" s="299"/>
      <c r="RAA2" s="299"/>
      <c r="RAB2" s="299"/>
      <c r="RAC2" s="299"/>
      <c r="RAD2" s="299"/>
      <c r="RAE2" s="299"/>
      <c r="RAF2" s="299"/>
      <c r="RAG2" s="299"/>
      <c r="RAH2" s="299"/>
      <c r="RAI2" s="299"/>
      <c r="RAJ2" s="299"/>
      <c r="RAK2" s="299"/>
      <c r="RAL2" s="299"/>
      <c r="RAM2" s="299"/>
      <c r="RAN2" s="299"/>
      <c r="RAO2" s="299"/>
      <c r="RAP2" s="299"/>
      <c r="RAQ2" s="299"/>
      <c r="RAR2" s="299"/>
      <c r="RAS2" s="299"/>
      <c r="RAT2" s="299"/>
      <c r="RAU2" s="299"/>
      <c r="RAV2" s="299"/>
      <c r="RAW2" s="299"/>
      <c r="RAX2" s="299"/>
      <c r="RAY2" s="299"/>
      <c r="RAZ2" s="299"/>
      <c r="RBA2" s="299"/>
      <c r="RBB2" s="299"/>
      <c r="RBC2" s="299"/>
      <c r="RBD2" s="299"/>
      <c r="RBE2" s="299"/>
      <c r="RBF2" s="299"/>
      <c r="RBG2" s="299"/>
      <c r="RBH2" s="299"/>
      <c r="RBI2" s="299"/>
      <c r="RBJ2" s="299"/>
      <c r="RBK2" s="299"/>
      <c r="RBL2" s="299"/>
      <c r="RBM2" s="299"/>
      <c r="RBN2" s="299"/>
      <c r="RBO2" s="299"/>
      <c r="RBP2" s="299"/>
      <c r="RBQ2" s="299"/>
      <c r="RBR2" s="299"/>
      <c r="RBS2" s="299"/>
      <c r="RBT2" s="299"/>
      <c r="RBU2" s="299"/>
      <c r="RBV2" s="299"/>
      <c r="RBW2" s="299"/>
      <c r="RBX2" s="299"/>
      <c r="RBY2" s="299"/>
      <c r="RBZ2" s="299"/>
      <c r="RCA2" s="299"/>
      <c r="RCB2" s="299"/>
      <c r="RCC2" s="299"/>
      <c r="RCD2" s="299"/>
      <c r="RCE2" s="299"/>
      <c r="RCF2" s="299"/>
      <c r="RCG2" s="299"/>
      <c r="RCH2" s="299"/>
      <c r="RCI2" s="299"/>
      <c r="RCJ2" s="299"/>
      <c r="RCK2" s="299"/>
      <c r="RCL2" s="299"/>
      <c r="RCM2" s="299"/>
      <c r="RCN2" s="299"/>
      <c r="RCO2" s="299"/>
      <c r="RCP2" s="299"/>
      <c r="RCQ2" s="299"/>
      <c r="RCR2" s="299"/>
      <c r="RCS2" s="299"/>
      <c r="RCT2" s="299"/>
      <c r="RCU2" s="299"/>
      <c r="RCV2" s="299"/>
      <c r="RCW2" s="299"/>
      <c r="RCX2" s="299"/>
      <c r="RCY2" s="299"/>
      <c r="RCZ2" s="299"/>
      <c r="RDA2" s="299"/>
      <c r="RDB2" s="299"/>
      <c r="RDC2" s="299"/>
      <c r="RDD2" s="299"/>
      <c r="RDE2" s="299"/>
      <c r="RDF2" s="299"/>
      <c r="RDG2" s="299"/>
      <c r="RDH2" s="299"/>
      <c r="RDI2" s="299"/>
      <c r="RDJ2" s="299"/>
      <c r="RDK2" s="299"/>
      <c r="RDL2" s="299"/>
      <c r="RDM2" s="299"/>
      <c r="RDN2" s="299"/>
      <c r="RDO2" s="299"/>
      <c r="RDP2" s="299"/>
      <c r="RDQ2" s="299"/>
      <c r="RDR2" s="299"/>
      <c r="RDS2" s="299"/>
      <c r="RDT2" s="299"/>
      <c r="RDU2" s="299"/>
      <c r="RDV2" s="299"/>
      <c r="RDW2" s="299"/>
      <c r="RDX2" s="299"/>
      <c r="RDY2" s="299"/>
      <c r="RDZ2" s="299"/>
      <c r="REA2" s="299"/>
      <c r="REB2" s="299"/>
      <c r="REC2" s="299"/>
      <c r="RED2" s="299"/>
      <c r="REE2" s="299"/>
      <c r="REF2" s="299"/>
      <c r="REG2" s="299"/>
      <c r="REH2" s="299"/>
      <c r="REI2" s="299"/>
      <c r="REJ2" s="299"/>
      <c r="REK2" s="299"/>
      <c r="REL2" s="299"/>
      <c r="REM2" s="299"/>
      <c r="REN2" s="299"/>
      <c r="REO2" s="299"/>
      <c r="REP2" s="299"/>
      <c r="REQ2" s="299"/>
      <c r="RER2" s="299"/>
      <c r="RES2" s="299"/>
      <c r="RET2" s="299"/>
      <c r="REU2" s="299"/>
      <c r="REV2" s="299"/>
      <c r="REW2" s="299"/>
      <c r="REX2" s="299"/>
      <c r="REY2" s="299"/>
      <c r="REZ2" s="299"/>
      <c r="RFA2" s="299"/>
      <c r="RFB2" s="299"/>
      <c r="RFC2" s="299"/>
      <c r="RFD2" s="299"/>
      <c r="RFE2" s="299"/>
      <c r="RFF2" s="299"/>
      <c r="RFG2" s="299"/>
      <c r="RFH2" s="299"/>
      <c r="RFI2" s="299"/>
      <c r="RFJ2" s="299"/>
      <c r="RFK2" s="299"/>
      <c r="RFL2" s="299"/>
      <c r="RFM2" s="299"/>
      <c r="RFN2" s="299"/>
      <c r="RFO2" s="299"/>
      <c r="RFP2" s="299"/>
      <c r="RFQ2" s="299"/>
      <c r="RFR2" s="299"/>
      <c r="RFS2" s="299"/>
      <c r="RFT2" s="299"/>
      <c r="RFU2" s="299"/>
      <c r="RFV2" s="299"/>
      <c r="RFW2" s="299"/>
      <c r="RFX2" s="299"/>
      <c r="RFY2" s="299"/>
      <c r="RFZ2" s="299"/>
      <c r="RGA2" s="299"/>
      <c r="RGB2" s="299"/>
      <c r="RGC2" s="299"/>
      <c r="RGD2" s="299"/>
      <c r="RGE2" s="299"/>
      <c r="RGF2" s="299"/>
      <c r="RGG2" s="299"/>
      <c r="RGH2" s="299"/>
      <c r="RGI2" s="299"/>
      <c r="RGJ2" s="299"/>
      <c r="RGK2" s="299"/>
      <c r="RGL2" s="299"/>
      <c r="RGM2" s="299"/>
      <c r="RGN2" s="299"/>
      <c r="RGO2" s="299"/>
      <c r="RGP2" s="299"/>
      <c r="RGQ2" s="299"/>
      <c r="RGR2" s="299"/>
      <c r="RGS2" s="299"/>
      <c r="RGT2" s="299"/>
      <c r="RGU2" s="299"/>
      <c r="RGV2" s="299"/>
      <c r="RGW2" s="299"/>
      <c r="RGX2" s="299"/>
      <c r="RGY2" s="299"/>
      <c r="RGZ2" s="299"/>
      <c r="RHA2" s="299"/>
      <c r="RHB2" s="299"/>
      <c r="RHC2" s="299"/>
      <c r="RHD2" s="299"/>
      <c r="RHE2" s="299"/>
      <c r="RHF2" s="299"/>
      <c r="RHG2" s="299"/>
      <c r="RHH2" s="299"/>
      <c r="RHI2" s="299"/>
      <c r="RHJ2" s="299"/>
      <c r="RHK2" s="299"/>
      <c r="RHL2" s="299"/>
      <c r="RHM2" s="299"/>
      <c r="RHN2" s="299"/>
      <c r="RHO2" s="299"/>
      <c r="RHP2" s="299"/>
      <c r="RHQ2" s="299"/>
      <c r="RHR2" s="299"/>
      <c r="RHS2" s="299"/>
      <c r="RHT2" s="299"/>
      <c r="RHU2" s="299"/>
      <c r="RHV2" s="299"/>
      <c r="RHW2" s="299"/>
      <c r="RHX2" s="299"/>
      <c r="RHY2" s="299"/>
      <c r="RHZ2" s="299"/>
      <c r="RIA2" s="299"/>
      <c r="RIB2" s="299"/>
      <c r="RIC2" s="299"/>
      <c r="RID2" s="299"/>
      <c r="RIE2" s="299"/>
      <c r="RIF2" s="299"/>
      <c r="RIG2" s="299"/>
      <c r="RIH2" s="299"/>
      <c r="RII2" s="299"/>
      <c r="RIJ2" s="299"/>
      <c r="RIK2" s="299"/>
      <c r="RIL2" s="299"/>
      <c r="RIM2" s="299"/>
      <c r="RIN2" s="299"/>
      <c r="RIO2" s="299"/>
      <c r="RIP2" s="299"/>
      <c r="RIQ2" s="299"/>
      <c r="RIR2" s="299"/>
      <c r="RIS2" s="299"/>
      <c r="RIT2" s="299"/>
      <c r="RIU2" s="299"/>
      <c r="RIV2" s="299"/>
      <c r="RIW2" s="299"/>
      <c r="RIX2" s="299"/>
      <c r="RIY2" s="299"/>
      <c r="RIZ2" s="299"/>
      <c r="RJA2" s="299"/>
      <c r="RJB2" s="299"/>
      <c r="RJC2" s="299"/>
      <c r="RJD2" s="299"/>
      <c r="RJE2" s="299"/>
      <c r="RJF2" s="299"/>
      <c r="RJG2" s="299"/>
      <c r="RJH2" s="299"/>
      <c r="RJI2" s="299"/>
      <c r="RJJ2" s="299"/>
      <c r="RJK2" s="299"/>
      <c r="RJL2" s="299"/>
      <c r="RJM2" s="299"/>
      <c r="RJN2" s="299"/>
      <c r="RJO2" s="299"/>
      <c r="RJP2" s="299"/>
      <c r="RJQ2" s="299"/>
      <c r="RJR2" s="299"/>
      <c r="RJS2" s="299"/>
      <c r="RJT2" s="299"/>
      <c r="RJU2" s="299"/>
      <c r="RJV2" s="299"/>
      <c r="RJW2" s="299"/>
      <c r="RJX2" s="299"/>
      <c r="RJY2" s="299"/>
      <c r="RJZ2" s="299"/>
      <c r="RKA2" s="299"/>
      <c r="RKB2" s="299"/>
      <c r="RKC2" s="299"/>
      <c r="RKD2" s="299"/>
      <c r="RKE2" s="299"/>
      <c r="RKF2" s="299"/>
      <c r="RKG2" s="299"/>
      <c r="RKH2" s="299"/>
      <c r="RKI2" s="299"/>
      <c r="RKJ2" s="299"/>
      <c r="RKK2" s="299"/>
      <c r="RKL2" s="299"/>
      <c r="RKM2" s="299"/>
      <c r="RKN2" s="299"/>
      <c r="RKO2" s="299"/>
      <c r="RKP2" s="299"/>
      <c r="RKQ2" s="299"/>
      <c r="RKR2" s="299"/>
      <c r="RKS2" s="299"/>
      <c r="RKT2" s="299"/>
      <c r="RKU2" s="299"/>
      <c r="RKV2" s="299"/>
      <c r="RKW2" s="299"/>
      <c r="RKX2" s="299"/>
      <c r="RKY2" s="299"/>
      <c r="RKZ2" s="299"/>
      <c r="RLA2" s="299"/>
      <c r="RLB2" s="299"/>
      <c r="RLC2" s="299"/>
      <c r="RLD2" s="299"/>
      <c r="RLE2" s="299"/>
      <c r="RLF2" s="299"/>
      <c r="RLG2" s="299"/>
      <c r="RLH2" s="299"/>
      <c r="RLI2" s="299"/>
      <c r="RLJ2" s="299"/>
      <c r="RLK2" s="299"/>
      <c r="RLL2" s="299"/>
      <c r="RLM2" s="299"/>
      <c r="RLN2" s="299"/>
      <c r="RLO2" s="299"/>
      <c r="RLP2" s="299"/>
      <c r="RLQ2" s="299"/>
      <c r="RLR2" s="299"/>
      <c r="RLS2" s="299"/>
      <c r="RLT2" s="299"/>
      <c r="RLU2" s="299"/>
      <c r="RLV2" s="299"/>
      <c r="RLW2" s="299"/>
      <c r="RLX2" s="299"/>
      <c r="RLY2" s="299"/>
      <c r="RLZ2" s="299"/>
      <c r="RMA2" s="299"/>
      <c r="RMB2" s="299"/>
      <c r="RMC2" s="299"/>
      <c r="RMD2" s="299"/>
      <c r="RME2" s="299"/>
      <c r="RMF2" s="299"/>
      <c r="RMG2" s="299"/>
      <c r="RMH2" s="299"/>
      <c r="RMI2" s="299"/>
      <c r="RMJ2" s="299"/>
      <c r="RMK2" s="299"/>
      <c r="RML2" s="299"/>
      <c r="RMM2" s="299"/>
      <c r="RMN2" s="299"/>
      <c r="RMO2" s="299"/>
      <c r="RMP2" s="299"/>
      <c r="RMQ2" s="299"/>
      <c r="RMR2" s="299"/>
      <c r="RMS2" s="299"/>
      <c r="RMT2" s="299"/>
      <c r="RMU2" s="299"/>
      <c r="RMV2" s="299"/>
      <c r="RMW2" s="299"/>
      <c r="RMX2" s="299"/>
      <c r="RMY2" s="299"/>
      <c r="RMZ2" s="299"/>
      <c r="RNA2" s="299"/>
      <c r="RNB2" s="299"/>
      <c r="RNC2" s="299"/>
      <c r="RND2" s="299"/>
      <c r="RNE2" s="299"/>
      <c r="RNF2" s="299"/>
      <c r="RNG2" s="299"/>
      <c r="RNH2" s="299"/>
      <c r="RNI2" s="299"/>
      <c r="RNJ2" s="299"/>
      <c r="RNK2" s="299"/>
      <c r="RNL2" s="299"/>
      <c r="RNM2" s="299"/>
      <c r="RNN2" s="299"/>
      <c r="RNO2" s="299"/>
      <c r="RNP2" s="299"/>
      <c r="RNQ2" s="299"/>
      <c r="RNR2" s="299"/>
      <c r="RNS2" s="299"/>
      <c r="RNT2" s="299"/>
      <c r="RNU2" s="299"/>
      <c r="RNV2" s="299"/>
      <c r="RNW2" s="299"/>
      <c r="RNX2" s="299"/>
      <c r="RNY2" s="299"/>
      <c r="RNZ2" s="299"/>
      <c r="ROA2" s="299"/>
      <c r="ROB2" s="299"/>
      <c r="ROC2" s="299"/>
      <c r="ROD2" s="299"/>
      <c r="ROE2" s="299"/>
      <c r="ROF2" s="299"/>
      <c r="ROG2" s="299"/>
      <c r="ROH2" s="299"/>
      <c r="ROI2" s="299"/>
      <c r="ROJ2" s="299"/>
      <c r="ROK2" s="299"/>
      <c r="ROL2" s="299"/>
      <c r="ROM2" s="299"/>
      <c r="RON2" s="299"/>
      <c r="ROO2" s="299"/>
      <c r="ROP2" s="299"/>
      <c r="ROQ2" s="299"/>
      <c r="ROR2" s="299"/>
      <c r="ROS2" s="299"/>
      <c r="ROT2" s="299"/>
      <c r="ROU2" s="299"/>
      <c r="ROV2" s="299"/>
      <c r="ROW2" s="299"/>
      <c r="ROX2" s="299"/>
      <c r="ROY2" s="299"/>
      <c r="ROZ2" s="299"/>
      <c r="RPA2" s="299"/>
      <c r="RPB2" s="299"/>
      <c r="RPC2" s="299"/>
      <c r="RPD2" s="299"/>
      <c r="RPE2" s="299"/>
      <c r="RPF2" s="299"/>
      <c r="RPG2" s="299"/>
      <c r="RPH2" s="299"/>
      <c r="RPI2" s="299"/>
      <c r="RPJ2" s="299"/>
      <c r="RPK2" s="299"/>
      <c r="RPL2" s="299"/>
      <c r="RPM2" s="299"/>
      <c r="RPN2" s="299"/>
      <c r="RPO2" s="299"/>
      <c r="RPP2" s="299"/>
      <c r="RPQ2" s="299"/>
      <c r="RPR2" s="299"/>
      <c r="RPS2" s="299"/>
      <c r="RPT2" s="299"/>
      <c r="RPU2" s="299"/>
      <c r="RPV2" s="299"/>
      <c r="RPW2" s="299"/>
      <c r="RPX2" s="299"/>
      <c r="RPY2" s="299"/>
      <c r="RPZ2" s="299"/>
      <c r="RQA2" s="299"/>
      <c r="RQB2" s="299"/>
      <c r="RQC2" s="299"/>
      <c r="RQD2" s="299"/>
      <c r="RQE2" s="299"/>
      <c r="RQF2" s="299"/>
      <c r="RQG2" s="299"/>
      <c r="RQH2" s="299"/>
      <c r="RQI2" s="299"/>
      <c r="RQJ2" s="299"/>
      <c r="RQK2" s="299"/>
      <c r="RQL2" s="299"/>
      <c r="RQM2" s="299"/>
      <c r="RQN2" s="299"/>
      <c r="RQO2" s="299"/>
      <c r="RQP2" s="299"/>
      <c r="RQQ2" s="299"/>
      <c r="RQR2" s="299"/>
      <c r="RQS2" s="299"/>
      <c r="RQT2" s="299"/>
      <c r="RQU2" s="299"/>
      <c r="RQV2" s="299"/>
      <c r="RQW2" s="299"/>
      <c r="RQX2" s="299"/>
      <c r="RQY2" s="299"/>
      <c r="RQZ2" s="299"/>
      <c r="RRA2" s="299"/>
      <c r="RRB2" s="299"/>
      <c r="RRC2" s="299"/>
      <c r="RRD2" s="299"/>
      <c r="RRE2" s="299"/>
      <c r="RRF2" s="299"/>
      <c r="RRG2" s="299"/>
      <c r="RRH2" s="299"/>
      <c r="RRI2" s="299"/>
      <c r="RRJ2" s="299"/>
      <c r="RRK2" s="299"/>
      <c r="RRL2" s="299"/>
      <c r="RRM2" s="299"/>
      <c r="RRN2" s="299"/>
      <c r="RRO2" s="299"/>
      <c r="RRP2" s="299"/>
      <c r="RRQ2" s="299"/>
      <c r="RRR2" s="299"/>
      <c r="RRS2" s="299"/>
      <c r="RRT2" s="299"/>
      <c r="RRU2" s="299"/>
      <c r="RRV2" s="299"/>
      <c r="RRW2" s="299"/>
      <c r="RRX2" s="299"/>
      <c r="RRY2" s="299"/>
      <c r="RRZ2" s="299"/>
      <c r="RSA2" s="299"/>
      <c r="RSB2" s="299"/>
      <c r="RSC2" s="299"/>
      <c r="RSD2" s="299"/>
      <c r="RSE2" s="299"/>
      <c r="RSF2" s="299"/>
      <c r="RSG2" s="299"/>
      <c r="RSH2" s="299"/>
      <c r="RSI2" s="299"/>
      <c r="RSJ2" s="299"/>
      <c r="RSK2" s="299"/>
      <c r="RSL2" s="299"/>
      <c r="RSM2" s="299"/>
      <c r="RSN2" s="299"/>
      <c r="RSO2" s="299"/>
      <c r="RSP2" s="299"/>
      <c r="RSQ2" s="299"/>
      <c r="RSR2" s="299"/>
      <c r="RSS2" s="299"/>
      <c r="RST2" s="299"/>
      <c r="RSU2" s="299"/>
      <c r="RSV2" s="299"/>
      <c r="RSW2" s="299"/>
      <c r="RSX2" s="299"/>
      <c r="RSY2" s="299"/>
      <c r="RSZ2" s="299"/>
      <c r="RTA2" s="299"/>
      <c r="RTB2" s="299"/>
      <c r="RTC2" s="299"/>
      <c r="RTD2" s="299"/>
      <c r="RTE2" s="299"/>
      <c r="RTF2" s="299"/>
      <c r="RTG2" s="299"/>
      <c r="RTH2" s="299"/>
      <c r="RTI2" s="299"/>
      <c r="RTJ2" s="299"/>
      <c r="RTK2" s="299"/>
      <c r="RTL2" s="299"/>
      <c r="RTM2" s="299"/>
      <c r="RTN2" s="299"/>
      <c r="RTO2" s="299"/>
      <c r="RTP2" s="299"/>
      <c r="RTQ2" s="299"/>
      <c r="RTR2" s="299"/>
      <c r="RTS2" s="299"/>
      <c r="RTT2" s="299"/>
      <c r="RTU2" s="299"/>
      <c r="RTV2" s="299"/>
      <c r="RTW2" s="299"/>
      <c r="RTX2" s="299"/>
      <c r="RTY2" s="299"/>
      <c r="RTZ2" s="299"/>
      <c r="RUA2" s="299"/>
      <c r="RUB2" s="299"/>
      <c r="RUC2" s="299"/>
      <c r="RUD2" s="299"/>
      <c r="RUE2" s="299"/>
      <c r="RUF2" s="299"/>
      <c r="RUG2" s="299"/>
      <c r="RUH2" s="299"/>
      <c r="RUI2" s="299"/>
      <c r="RUJ2" s="299"/>
      <c r="RUK2" s="299"/>
      <c r="RUL2" s="299"/>
      <c r="RUM2" s="299"/>
      <c r="RUN2" s="299"/>
      <c r="RUO2" s="299"/>
      <c r="RUP2" s="299"/>
      <c r="RUQ2" s="299"/>
      <c r="RUR2" s="299"/>
      <c r="RUS2" s="299"/>
      <c r="RUT2" s="299"/>
      <c r="RUU2" s="299"/>
      <c r="RUV2" s="299"/>
      <c r="RUW2" s="299"/>
      <c r="RUX2" s="299"/>
      <c r="RUY2" s="299"/>
      <c r="RUZ2" s="299"/>
      <c r="RVA2" s="299"/>
      <c r="RVB2" s="299"/>
      <c r="RVC2" s="299"/>
      <c r="RVD2" s="299"/>
      <c r="RVE2" s="299"/>
      <c r="RVF2" s="299"/>
      <c r="RVG2" s="299"/>
      <c r="RVH2" s="299"/>
      <c r="RVI2" s="299"/>
      <c r="RVJ2" s="299"/>
      <c r="RVK2" s="299"/>
      <c r="RVL2" s="299"/>
      <c r="RVM2" s="299"/>
      <c r="RVN2" s="299"/>
      <c r="RVO2" s="299"/>
      <c r="RVP2" s="299"/>
      <c r="RVQ2" s="299"/>
      <c r="RVR2" s="299"/>
      <c r="RVS2" s="299"/>
      <c r="RVT2" s="299"/>
      <c r="RVU2" s="299"/>
      <c r="RVV2" s="299"/>
      <c r="RVW2" s="299"/>
      <c r="RVX2" s="299"/>
      <c r="RVY2" s="299"/>
      <c r="RVZ2" s="299"/>
      <c r="RWA2" s="299"/>
      <c r="RWB2" s="299"/>
      <c r="RWC2" s="299"/>
      <c r="RWD2" s="299"/>
      <c r="RWE2" s="299"/>
      <c r="RWF2" s="299"/>
      <c r="RWG2" s="299"/>
      <c r="RWH2" s="299"/>
      <c r="RWI2" s="299"/>
      <c r="RWJ2" s="299"/>
      <c r="RWK2" s="299"/>
      <c r="RWL2" s="299"/>
      <c r="RWM2" s="299"/>
      <c r="RWN2" s="299"/>
      <c r="RWO2" s="299"/>
      <c r="RWP2" s="299"/>
      <c r="RWQ2" s="299"/>
      <c r="RWR2" s="299"/>
      <c r="RWS2" s="299"/>
      <c r="RWT2" s="299"/>
      <c r="RWU2" s="299"/>
      <c r="RWV2" s="299"/>
      <c r="RWW2" s="299"/>
      <c r="RWX2" s="299"/>
      <c r="RWY2" s="299"/>
      <c r="RWZ2" s="299"/>
      <c r="RXA2" s="299"/>
      <c r="RXB2" s="299"/>
      <c r="RXC2" s="299"/>
      <c r="RXD2" s="299"/>
      <c r="RXE2" s="299"/>
      <c r="RXF2" s="299"/>
      <c r="RXG2" s="299"/>
      <c r="RXH2" s="299"/>
      <c r="RXI2" s="299"/>
      <c r="RXJ2" s="299"/>
      <c r="RXK2" s="299"/>
      <c r="RXL2" s="299"/>
      <c r="RXM2" s="299"/>
      <c r="RXN2" s="299"/>
      <c r="RXO2" s="299"/>
      <c r="RXP2" s="299"/>
      <c r="RXQ2" s="299"/>
      <c r="RXR2" s="299"/>
      <c r="RXS2" s="299"/>
      <c r="RXT2" s="299"/>
      <c r="RXU2" s="299"/>
      <c r="RXV2" s="299"/>
      <c r="RXW2" s="299"/>
      <c r="RXX2" s="299"/>
      <c r="RXY2" s="299"/>
      <c r="RXZ2" s="299"/>
      <c r="RYA2" s="299"/>
      <c r="RYB2" s="299"/>
      <c r="RYC2" s="299"/>
      <c r="RYD2" s="299"/>
      <c r="RYE2" s="299"/>
      <c r="RYF2" s="299"/>
      <c r="RYG2" s="299"/>
      <c r="RYH2" s="299"/>
      <c r="RYI2" s="299"/>
      <c r="RYJ2" s="299"/>
      <c r="RYK2" s="299"/>
      <c r="RYL2" s="299"/>
      <c r="RYM2" s="299"/>
      <c r="RYN2" s="299"/>
      <c r="RYO2" s="299"/>
      <c r="RYP2" s="299"/>
      <c r="RYQ2" s="299"/>
      <c r="RYR2" s="299"/>
      <c r="RYS2" s="299"/>
      <c r="RYT2" s="299"/>
      <c r="RYU2" s="299"/>
      <c r="RYV2" s="299"/>
      <c r="RYW2" s="299"/>
      <c r="RYX2" s="299"/>
      <c r="RYY2" s="299"/>
      <c r="RYZ2" s="299"/>
      <c r="RZA2" s="299"/>
      <c r="RZB2" s="299"/>
      <c r="RZC2" s="299"/>
      <c r="RZD2" s="299"/>
      <c r="RZE2" s="299"/>
      <c r="RZF2" s="299"/>
      <c r="RZG2" s="299"/>
      <c r="RZH2" s="299"/>
      <c r="RZI2" s="299"/>
      <c r="RZJ2" s="299"/>
      <c r="RZK2" s="299"/>
      <c r="RZL2" s="299"/>
      <c r="RZM2" s="299"/>
      <c r="RZN2" s="299"/>
      <c r="RZO2" s="299"/>
      <c r="RZP2" s="299"/>
      <c r="RZQ2" s="299"/>
      <c r="RZR2" s="299"/>
      <c r="RZS2" s="299"/>
      <c r="RZT2" s="299"/>
      <c r="RZU2" s="299"/>
      <c r="RZV2" s="299"/>
      <c r="RZW2" s="299"/>
      <c r="RZX2" s="299"/>
      <c r="RZY2" s="299"/>
      <c r="RZZ2" s="299"/>
      <c r="SAA2" s="299"/>
      <c r="SAB2" s="299"/>
      <c r="SAC2" s="299"/>
      <c r="SAD2" s="299"/>
      <c r="SAE2" s="299"/>
      <c r="SAF2" s="299"/>
      <c r="SAG2" s="299"/>
      <c r="SAH2" s="299"/>
      <c r="SAI2" s="299"/>
      <c r="SAJ2" s="299"/>
      <c r="SAK2" s="299"/>
      <c r="SAL2" s="299"/>
      <c r="SAM2" s="299"/>
      <c r="SAN2" s="299"/>
      <c r="SAO2" s="299"/>
      <c r="SAP2" s="299"/>
      <c r="SAQ2" s="299"/>
      <c r="SAR2" s="299"/>
      <c r="SAS2" s="299"/>
      <c r="SAT2" s="299"/>
      <c r="SAU2" s="299"/>
      <c r="SAV2" s="299"/>
      <c r="SAW2" s="299"/>
      <c r="SAX2" s="299"/>
      <c r="SAY2" s="299"/>
      <c r="SAZ2" s="299"/>
      <c r="SBA2" s="299"/>
      <c r="SBB2" s="299"/>
      <c r="SBC2" s="299"/>
      <c r="SBD2" s="299"/>
      <c r="SBE2" s="299"/>
      <c r="SBF2" s="299"/>
      <c r="SBG2" s="299"/>
      <c r="SBH2" s="299"/>
      <c r="SBI2" s="299"/>
      <c r="SBJ2" s="299"/>
      <c r="SBK2" s="299"/>
      <c r="SBL2" s="299"/>
      <c r="SBM2" s="299"/>
      <c r="SBN2" s="299"/>
      <c r="SBO2" s="299"/>
      <c r="SBP2" s="299"/>
      <c r="SBQ2" s="299"/>
      <c r="SBR2" s="299"/>
      <c r="SBS2" s="299"/>
      <c r="SBT2" s="299"/>
      <c r="SBU2" s="299"/>
      <c r="SBV2" s="299"/>
      <c r="SBW2" s="299"/>
      <c r="SBX2" s="299"/>
      <c r="SBY2" s="299"/>
      <c r="SBZ2" s="299"/>
      <c r="SCA2" s="299"/>
      <c r="SCB2" s="299"/>
      <c r="SCC2" s="299"/>
      <c r="SCD2" s="299"/>
      <c r="SCE2" s="299"/>
      <c r="SCF2" s="299"/>
      <c r="SCG2" s="299"/>
      <c r="SCH2" s="299"/>
      <c r="SCI2" s="299"/>
      <c r="SCJ2" s="299"/>
      <c r="SCK2" s="299"/>
      <c r="SCL2" s="299"/>
      <c r="SCM2" s="299"/>
      <c r="SCN2" s="299"/>
      <c r="SCO2" s="299"/>
      <c r="SCP2" s="299"/>
      <c r="SCQ2" s="299"/>
      <c r="SCR2" s="299"/>
      <c r="SCS2" s="299"/>
      <c r="SCT2" s="299"/>
      <c r="SCU2" s="299"/>
      <c r="SCV2" s="299"/>
      <c r="SCW2" s="299"/>
      <c r="SCX2" s="299"/>
      <c r="SCY2" s="299"/>
      <c r="SCZ2" s="299"/>
      <c r="SDA2" s="299"/>
      <c r="SDB2" s="299"/>
      <c r="SDC2" s="299"/>
      <c r="SDD2" s="299"/>
      <c r="SDE2" s="299"/>
      <c r="SDF2" s="299"/>
      <c r="SDG2" s="299"/>
      <c r="SDH2" s="299"/>
      <c r="SDI2" s="299"/>
      <c r="SDJ2" s="299"/>
      <c r="SDK2" s="299"/>
      <c r="SDL2" s="299"/>
      <c r="SDM2" s="299"/>
      <c r="SDN2" s="299"/>
      <c r="SDO2" s="299"/>
      <c r="SDP2" s="299"/>
      <c r="SDQ2" s="299"/>
      <c r="SDR2" s="299"/>
      <c r="SDS2" s="299"/>
      <c r="SDT2" s="299"/>
      <c r="SDU2" s="299"/>
      <c r="SDV2" s="299"/>
      <c r="SDW2" s="299"/>
      <c r="SDX2" s="299"/>
      <c r="SDY2" s="299"/>
      <c r="SDZ2" s="299"/>
      <c r="SEA2" s="299"/>
      <c r="SEB2" s="299"/>
      <c r="SEC2" s="299"/>
      <c r="SED2" s="299"/>
      <c r="SEE2" s="299"/>
      <c r="SEF2" s="299"/>
      <c r="SEG2" s="299"/>
      <c r="SEH2" s="299"/>
      <c r="SEI2" s="299"/>
      <c r="SEJ2" s="299"/>
      <c r="SEK2" s="299"/>
      <c r="SEL2" s="299"/>
      <c r="SEM2" s="299"/>
      <c r="SEN2" s="299"/>
      <c r="SEO2" s="299"/>
      <c r="SEP2" s="299"/>
      <c r="SEQ2" s="299"/>
      <c r="SER2" s="299"/>
      <c r="SES2" s="299"/>
      <c r="SET2" s="299"/>
      <c r="SEU2" s="299"/>
      <c r="SEV2" s="299"/>
      <c r="SEW2" s="299"/>
      <c r="SEX2" s="299"/>
      <c r="SEY2" s="299"/>
      <c r="SEZ2" s="299"/>
      <c r="SFA2" s="299"/>
      <c r="SFB2" s="299"/>
      <c r="SFC2" s="299"/>
      <c r="SFD2" s="299"/>
      <c r="SFE2" s="299"/>
      <c r="SFF2" s="299"/>
      <c r="SFG2" s="299"/>
      <c r="SFH2" s="299"/>
      <c r="SFI2" s="299"/>
      <c r="SFJ2" s="299"/>
      <c r="SFK2" s="299"/>
      <c r="SFL2" s="299"/>
      <c r="SFM2" s="299"/>
      <c r="SFN2" s="299"/>
      <c r="SFO2" s="299"/>
      <c r="SFP2" s="299"/>
      <c r="SFQ2" s="299"/>
      <c r="SFR2" s="299"/>
      <c r="SFS2" s="299"/>
      <c r="SFT2" s="299"/>
      <c r="SFU2" s="299"/>
      <c r="SFV2" s="299"/>
      <c r="SFW2" s="299"/>
      <c r="SFX2" s="299"/>
      <c r="SFY2" s="299"/>
      <c r="SFZ2" s="299"/>
      <c r="SGA2" s="299"/>
      <c r="SGB2" s="299"/>
      <c r="SGC2" s="299"/>
      <c r="SGD2" s="299"/>
      <c r="SGE2" s="299"/>
      <c r="SGF2" s="299"/>
      <c r="SGG2" s="299"/>
      <c r="SGH2" s="299"/>
      <c r="SGI2" s="299"/>
      <c r="SGJ2" s="299"/>
      <c r="SGK2" s="299"/>
      <c r="SGL2" s="299"/>
      <c r="SGM2" s="299"/>
      <c r="SGN2" s="299"/>
      <c r="SGO2" s="299"/>
      <c r="SGP2" s="299"/>
      <c r="SGQ2" s="299"/>
      <c r="SGR2" s="299"/>
      <c r="SGS2" s="299"/>
      <c r="SGT2" s="299"/>
      <c r="SGU2" s="299"/>
      <c r="SGV2" s="299"/>
      <c r="SGW2" s="299"/>
      <c r="SGX2" s="299"/>
      <c r="SGY2" s="299"/>
      <c r="SGZ2" s="299"/>
      <c r="SHA2" s="299"/>
      <c r="SHB2" s="299"/>
      <c r="SHC2" s="299"/>
      <c r="SHD2" s="299"/>
      <c r="SHE2" s="299"/>
      <c r="SHF2" s="299"/>
      <c r="SHG2" s="299"/>
      <c r="SHH2" s="299"/>
      <c r="SHI2" s="299"/>
      <c r="SHJ2" s="299"/>
      <c r="SHK2" s="299"/>
      <c r="SHL2" s="299"/>
      <c r="SHM2" s="299"/>
      <c r="SHN2" s="299"/>
      <c r="SHO2" s="299"/>
      <c r="SHP2" s="299"/>
      <c r="SHQ2" s="299"/>
      <c r="SHR2" s="299"/>
      <c r="SHS2" s="299"/>
      <c r="SHT2" s="299"/>
      <c r="SHU2" s="299"/>
      <c r="SHV2" s="299"/>
      <c r="SHW2" s="299"/>
      <c r="SHX2" s="299"/>
      <c r="SHY2" s="299"/>
      <c r="SHZ2" s="299"/>
      <c r="SIA2" s="299"/>
      <c r="SIB2" s="299"/>
      <c r="SIC2" s="299"/>
      <c r="SID2" s="299"/>
      <c r="SIE2" s="299"/>
      <c r="SIF2" s="299"/>
      <c r="SIG2" s="299"/>
      <c r="SIH2" s="299"/>
      <c r="SII2" s="299"/>
      <c r="SIJ2" s="299"/>
      <c r="SIK2" s="299"/>
      <c r="SIL2" s="299"/>
      <c r="SIM2" s="299"/>
      <c r="SIN2" s="299"/>
      <c r="SIO2" s="299"/>
      <c r="SIP2" s="299"/>
      <c r="SIQ2" s="299"/>
      <c r="SIR2" s="299"/>
      <c r="SIS2" s="299"/>
      <c r="SIT2" s="299"/>
      <c r="SIU2" s="299"/>
      <c r="SIV2" s="299"/>
      <c r="SIW2" s="299"/>
      <c r="SIX2" s="299"/>
      <c r="SIY2" s="299"/>
      <c r="SIZ2" s="299"/>
      <c r="SJA2" s="299"/>
      <c r="SJB2" s="299"/>
      <c r="SJC2" s="299"/>
      <c r="SJD2" s="299"/>
      <c r="SJE2" s="299"/>
      <c r="SJF2" s="299"/>
      <c r="SJG2" s="299"/>
      <c r="SJH2" s="299"/>
      <c r="SJI2" s="299"/>
      <c r="SJJ2" s="299"/>
      <c r="SJK2" s="299"/>
      <c r="SJL2" s="299"/>
      <c r="SJM2" s="299"/>
      <c r="SJN2" s="299"/>
      <c r="SJO2" s="299"/>
      <c r="SJP2" s="299"/>
      <c r="SJQ2" s="299"/>
      <c r="SJR2" s="299"/>
      <c r="SJS2" s="299"/>
      <c r="SJT2" s="299"/>
      <c r="SJU2" s="299"/>
      <c r="SJV2" s="299"/>
      <c r="SJW2" s="299"/>
      <c r="SJX2" s="299"/>
      <c r="SJY2" s="299"/>
      <c r="SJZ2" s="299"/>
      <c r="SKA2" s="299"/>
      <c r="SKB2" s="299"/>
      <c r="SKC2" s="299"/>
      <c r="SKD2" s="299"/>
      <c r="SKE2" s="299"/>
      <c r="SKF2" s="299"/>
      <c r="SKG2" s="299"/>
      <c r="SKH2" s="299"/>
      <c r="SKI2" s="299"/>
      <c r="SKJ2" s="299"/>
      <c r="SKK2" s="299"/>
      <c r="SKL2" s="299"/>
      <c r="SKM2" s="299"/>
      <c r="SKN2" s="299"/>
      <c r="SKO2" s="299"/>
      <c r="SKP2" s="299"/>
      <c r="SKQ2" s="299"/>
      <c r="SKR2" s="299"/>
      <c r="SKS2" s="299"/>
      <c r="SKT2" s="299"/>
      <c r="SKU2" s="299"/>
      <c r="SKV2" s="299"/>
      <c r="SKW2" s="299"/>
      <c r="SKX2" s="299"/>
      <c r="SKY2" s="299"/>
      <c r="SKZ2" s="299"/>
      <c r="SLA2" s="299"/>
      <c r="SLB2" s="299"/>
      <c r="SLC2" s="299"/>
      <c r="SLD2" s="299"/>
      <c r="SLE2" s="299"/>
      <c r="SLF2" s="299"/>
      <c r="SLG2" s="299"/>
      <c r="SLH2" s="299"/>
      <c r="SLI2" s="299"/>
      <c r="SLJ2" s="299"/>
      <c r="SLK2" s="299"/>
      <c r="SLL2" s="299"/>
      <c r="SLM2" s="299"/>
      <c r="SLN2" s="299"/>
      <c r="SLO2" s="299"/>
      <c r="SLP2" s="299"/>
      <c r="SLQ2" s="299"/>
      <c r="SLR2" s="299"/>
      <c r="SLS2" s="299"/>
      <c r="SLT2" s="299"/>
      <c r="SLU2" s="299"/>
      <c r="SLV2" s="299"/>
      <c r="SLW2" s="299"/>
      <c r="SLX2" s="299"/>
      <c r="SLY2" s="299"/>
      <c r="SLZ2" s="299"/>
      <c r="SMA2" s="299"/>
      <c r="SMB2" s="299"/>
      <c r="SMC2" s="299"/>
      <c r="SMD2" s="299"/>
      <c r="SME2" s="299"/>
      <c r="SMF2" s="299"/>
      <c r="SMG2" s="299"/>
      <c r="SMH2" s="299"/>
      <c r="SMI2" s="299"/>
      <c r="SMJ2" s="299"/>
      <c r="SMK2" s="299"/>
      <c r="SML2" s="299"/>
      <c r="SMM2" s="299"/>
      <c r="SMN2" s="299"/>
      <c r="SMO2" s="299"/>
      <c r="SMP2" s="299"/>
      <c r="SMQ2" s="299"/>
      <c r="SMR2" s="299"/>
      <c r="SMS2" s="299"/>
      <c r="SMT2" s="299"/>
      <c r="SMU2" s="299"/>
      <c r="SMV2" s="299"/>
      <c r="SMW2" s="299"/>
      <c r="SMX2" s="299"/>
      <c r="SMY2" s="299"/>
      <c r="SMZ2" s="299"/>
      <c r="SNA2" s="299"/>
      <c r="SNB2" s="299"/>
      <c r="SNC2" s="299"/>
      <c r="SND2" s="299"/>
      <c r="SNE2" s="299"/>
      <c r="SNF2" s="299"/>
      <c r="SNG2" s="299"/>
      <c r="SNH2" s="299"/>
      <c r="SNI2" s="299"/>
      <c r="SNJ2" s="299"/>
      <c r="SNK2" s="299"/>
      <c r="SNL2" s="299"/>
      <c r="SNM2" s="299"/>
      <c r="SNN2" s="299"/>
      <c r="SNO2" s="299"/>
      <c r="SNP2" s="299"/>
      <c r="SNQ2" s="299"/>
      <c r="SNR2" s="299"/>
      <c r="SNS2" s="299"/>
      <c r="SNT2" s="299"/>
      <c r="SNU2" s="299"/>
      <c r="SNV2" s="299"/>
      <c r="SNW2" s="299"/>
      <c r="SNX2" s="299"/>
      <c r="SNY2" s="299"/>
      <c r="SNZ2" s="299"/>
      <c r="SOA2" s="299"/>
      <c r="SOB2" s="299"/>
      <c r="SOC2" s="299"/>
      <c r="SOD2" s="299"/>
      <c r="SOE2" s="299"/>
      <c r="SOF2" s="299"/>
      <c r="SOG2" s="299"/>
      <c r="SOH2" s="299"/>
      <c r="SOI2" s="299"/>
      <c r="SOJ2" s="299"/>
      <c r="SOK2" s="299"/>
      <c r="SOL2" s="299"/>
      <c r="SOM2" s="299"/>
      <c r="SON2" s="299"/>
      <c r="SOO2" s="299"/>
      <c r="SOP2" s="299"/>
      <c r="SOQ2" s="299"/>
      <c r="SOR2" s="299"/>
      <c r="SOS2" s="299"/>
      <c r="SOT2" s="299"/>
      <c r="SOU2" s="299"/>
      <c r="SOV2" s="299"/>
      <c r="SOW2" s="299"/>
      <c r="SOX2" s="299"/>
      <c r="SOY2" s="299"/>
      <c r="SOZ2" s="299"/>
      <c r="SPA2" s="299"/>
      <c r="SPB2" s="299"/>
      <c r="SPC2" s="299"/>
      <c r="SPD2" s="299"/>
      <c r="SPE2" s="299"/>
      <c r="SPF2" s="299"/>
      <c r="SPG2" s="299"/>
      <c r="SPH2" s="299"/>
      <c r="SPI2" s="299"/>
      <c r="SPJ2" s="299"/>
      <c r="SPK2" s="299"/>
      <c r="SPL2" s="299"/>
      <c r="SPM2" s="299"/>
      <c r="SPN2" s="299"/>
      <c r="SPO2" s="299"/>
      <c r="SPP2" s="299"/>
      <c r="SPQ2" s="299"/>
      <c r="SPR2" s="299"/>
      <c r="SPS2" s="299"/>
      <c r="SPT2" s="299"/>
      <c r="SPU2" s="299"/>
      <c r="SPV2" s="299"/>
      <c r="SPW2" s="299"/>
      <c r="SPX2" s="299"/>
      <c r="SPY2" s="299"/>
      <c r="SPZ2" s="299"/>
      <c r="SQA2" s="299"/>
      <c r="SQB2" s="299"/>
      <c r="SQC2" s="299"/>
      <c r="SQD2" s="299"/>
      <c r="SQE2" s="299"/>
      <c r="SQF2" s="299"/>
      <c r="SQG2" s="299"/>
      <c r="SQH2" s="299"/>
      <c r="SQI2" s="299"/>
      <c r="SQJ2" s="299"/>
      <c r="SQK2" s="299"/>
      <c r="SQL2" s="299"/>
      <c r="SQM2" s="299"/>
      <c r="SQN2" s="299"/>
      <c r="SQO2" s="299"/>
      <c r="SQP2" s="299"/>
      <c r="SQQ2" s="299"/>
      <c r="SQR2" s="299"/>
      <c r="SQS2" s="299"/>
      <c r="SQT2" s="299"/>
      <c r="SQU2" s="299"/>
      <c r="SQV2" s="299"/>
      <c r="SQW2" s="299"/>
      <c r="SQX2" s="299"/>
      <c r="SQY2" s="299"/>
      <c r="SQZ2" s="299"/>
      <c r="SRA2" s="299"/>
      <c r="SRB2" s="299"/>
      <c r="SRC2" s="299"/>
      <c r="SRD2" s="299"/>
      <c r="SRE2" s="299"/>
      <c r="SRF2" s="299"/>
      <c r="SRG2" s="299"/>
      <c r="SRH2" s="299"/>
      <c r="SRI2" s="299"/>
      <c r="SRJ2" s="299"/>
      <c r="SRK2" s="299"/>
      <c r="SRL2" s="299"/>
      <c r="SRM2" s="299"/>
      <c r="SRN2" s="299"/>
      <c r="SRO2" s="299"/>
      <c r="SRP2" s="299"/>
      <c r="SRQ2" s="299"/>
      <c r="SRR2" s="299"/>
      <c r="SRS2" s="299"/>
      <c r="SRT2" s="299"/>
      <c r="SRU2" s="299"/>
      <c r="SRV2" s="299"/>
      <c r="SRW2" s="299"/>
      <c r="SRX2" s="299"/>
      <c r="SRY2" s="299"/>
      <c r="SRZ2" s="299"/>
      <c r="SSA2" s="299"/>
      <c r="SSB2" s="299"/>
      <c r="SSC2" s="299"/>
      <c r="SSD2" s="299"/>
      <c r="SSE2" s="299"/>
      <c r="SSF2" s="299"/>
      <c r="SSG2" s="299"/>
      <c r="SSH2" s="299"/>
      <c r="SSI2" s="299"/>
      <c r="SSJ2" s="299"/>
      <c r="SSK2" s="299"/>
      <c r="SSL2" s="299"/>
      <c r="SSM2" s="299"/>
      <c r="SSN2" s="299"/>
      <c r="SSO2" s="299"/>
      <c r="SSP2" s="299"/>
      <c r="SSQ2" s="299"/>
      <c r="SSR2" s="299"/>
      <c r="SSS2" s="299"/>
      <c r="SST2" s="299"/>
      <c r="SSU2" s="299"/>
      <c r="SSV2" s="299"/>
      <c r="SSW2" s="299"/>
      <c r="SSX2" s="299"/>
      <c r="SSY2" s="299"/>
      <c r="SSZ2" s="299"/>
      <c r="STA2" s="299"/>
      <c r="STB2" s="299"/>
      <c r="STC2" s="299"/>
      <c r="STD2" s="299"/>
      <c r="STE2" s="299"/>
      <c r="STF2" s="299"/>
      <c r="STG2" s="299"/>
      <c r="STH2" s="299"/>
      <c r="STI2" s="299"/>
      <c r="STJ2" s="299"/>
      <c r="STK2" s="299"/>
      <c r="STL2" s="299"/>
      <c r="STM2" s="299"/>
      <c r="STN2" s="299"/>
      <c r="STO2" s="299"/>
      <c r="STP2" s="299"/>
      <c r="STQ2" s="299"/>
      <c r="STR2" s="299"/>
      <c r="STS2" s="299"/>
      <c r="STT2" s="299"/>
      <c r="STU2" s="299"/>
      <c r="STV2" s="299"/>
      <c r="STW2" s="299"/>
      <c r="STX2" s="299"/>
      <c r="STY2" s="299"/>
      <c r="STZ2" s="299"/>
      <c r="SUA2" s="299"/>
      <c r="SUB2" s="299"/>
      <c r="SUC2" s="299"/>
      <c r="SUD2" s="299"/>
      <c r="SUE2" s="299"/>
      <c r="SUF2" s="299"/>
      <c r="SUG2" s="299"/>
      <c r="SUH2" s="299"/>
      <c r="SUI2" s="299"/>
      <c r="SUJ2" s="299"/>
      <c r="SUK2" s="299"/>
      <c r="SUL2" s="299"/>
      <c r="SUM2" s="299"/>
      <c r="SUN2" s="299"/>
      <c r="SUO2" s="299"/>
      <c r="SUP2" s="299"/>
      <c r="SUQ2" s="299"/>
      <c r="SUR2" s="299"/>
      <c r="SUS2" s="299"/>
      <c r="SUT2" s="299"/>
      <c r="SUU2" s="299"/>
      <c r="SUV2" s="299"/>
      <c r="SUW2" s="299"/>
      <c r="SUX2" s="299"/>
      <c r="SUY2" s="299"/>
      <c r="SUZ2" s="299"/>
      <c r="SVA2" s="299"/>
      <c r="SVB2" s="299"/>
      <c r="SVC2" s="299"/>
      <c r="SVD2" s="299"/>
      <c r="SVE2" s="299"/>
      <c r="SVF2" s="299"/>
      <c r="SVG2" s="299"/>
      <c r="SVH2" s="299"/>
      <c r="SVI2" s="299"/>
      <c r="SVJ2" s="299"/>
      <c r="SVK2" s="299"/>
      <c r="SVL2" s="299"/>
      <c r="SVM2" s="299"/>
      <c r="SVN2" s="299"/>
      <c r="SVO2" s="299"/>
      <c r="SVP2" s="299"/>
      <c r="SVQ2" s="299"/>
      <c r="SVR2" s="299"/>
      <c r="SVS2" s="299"/>
      <c r="SVT2" s="299"/>
      <c r="SVU2" s="299"/>
      <c r="SVV2" s="299"/>
      <c r="SVW2" s="299"/>
      <c r="SVX2" s="299"/>
      <c r="SVY2" s="299"/>
      <c r="SVZ2" s="299"/>
      <c r="SWA2" s="299"/>
      <c r="SWB2" s="299"/>
      <c r="SWC2" s="299"/>
      <c r="SWD2" s="299"/>
      <c r="SWE2" s="299"/>
      <c r="SWF2" s="299"/>
      <c r="SWG2" s="299"/>
      <c r="SWH2" s="299"/>
      <c r="SWI2" s="299"/>
      <c r="SWJ2" s="299"/>
      <c r="SWK2" s="299"/>
      <c r="SWL2" s="299"/>
      <c r="SWM2" s="299"/>
      <c r="SWN2" s="299"/>
      <c r="SWO2" s="299"/>
      <c r="SWP2" s="299"/>
      <c r="SWQ2" s="299"/>
      <c r="SWR2" s="299"/>
      <c r="SWS2" s="299"/>
      <c r="SWT2" s="299"/>
      <c r="SWU2" s="299"/>
      <c r="SWV2" s="299"/>
      <c r="SWW2" s="299"/>
      <c r="SWX2" s="299"/>
      <c r="SWY2" s="299"/>
      <c r="SWZ2" s="299"/>
      <c r="SXA2" s="299"/>
      <c r="SXB2" s="299"/>
      <c r="SXC2" s="299"/>
      <c r="SXD2" s="299"/>
      <c r="SXE2" s="299"/>
      <c r="SXF2" s="299"/>
      <c r="SXG2" s="299"/>
      <c r="SXH2" s="299"/>
      <c r="SXI2" s="299"/>
      <c r="SXJ2" s="299"/>
      <c r="SXK2" s="299"/>
      <c r="SXL2" s="299"/>
      <c r="SXM2" s="299"/>
      <c r="SXN2" s="299"/>
      <c r="SXO2" s="299"/>
      <c r="SXP2" s="299"/>
      <c r="SXQ2" s="299"/>
      <c r="SXR2" s="299"/>
      <c r="SXS2" s="299"/>
      <c r="SXT2" s="299"/>
      <c r="SXU2" s="299"/>
      <c r="SXV2" s="299"/>
      <c r="SXW2" s="299"/>
      <c r="SXX2" s="299"/>
      <c r="SXY2" s="299"/>
      <c r="SXZ2" s="299"/>
      <c r="SYA2" s="299"/>
      <c r="SYB2" s="299"/>
      <c r="SYC2" s="299"/>
      <c r="SYD2" s="299"/>
      <c r="SYE2" s="299"/>
      <c r="SYF2" s="299"/>
      <c r="SYG2" s="299"/>
      <c r="SYH2" s="299"/>
      <c r="SYI2" s="299"/>
      <c r="SYJ2" s="299"/>
      <c r="SYK2" s="299"/>
      <c r="SYL2" s="299"/>
      <c r="SYM2" s="299"/>
      <c r="SYN2" s="299"/>
      <c r="SYO2" s="299"/>
      <c r="SYP2" s="299"/>
      <c r="SYQ2" s="299"/>
      <c r="SYR2" s="299"/>
      <c r="SYS2" s="299"/>
      <c r="SYT2" s="299"/>
      <c r="SYU2" s="299"/>
      <c r="SYV2" s="299"/>
      <c r="SYW2" s="299"/>
      <c r="SYX2" s="299"/>
      <c r="SYY2" s="299"/>
      <c r="SYZ2" s="299"/>
      <c r="SZA2" s="299"/>
      <c r="SZB2" s="299"/>
      <c r="SZC2" s="299"/>
      <c r="SZD2" s="299"/>
      <c r="SZE2" s="299"/>
      <c r="SZF2" s="299"/>
      <c r="SZG2" s="299"/>
      <c r="SZH2" s="299"/>
      <c r="SZI2" s="299"/>
      <c r="SZJ2" s="299"/>
      <c r="SZK2" s="299"/>
      <c r="SZL2" s="299"/>
      <c r="SZM2" s="299"/>
      <c r="SZN2" s="299"/>
      <c r="SZO2" s="299"/>
      <c r="SZP2" s="299"/>
      <c r="SZQ2" s="299"/>
      <c r="SZR2" s="299"/>
      <c r="SZS2" s="299"/>
      <c r="SZT2" s="299"/>
      <c r="SZU2" s="299"/>
      <c r="SZV2" s="299"/>
      <c r="SZW2" s="299"/>
      <c r="SZX2" s="299"/>
      <c r="SZY2" s="299"/>
      <c r="SZZ2" s="299"/>
      <c r="TAA2" s="299"/>
      <c r="TAB2" s="299"/>
      <c r="TAC2" s="299"/>
      <c r="TAD2" s="299"/>
      <c r="TAE2" s="299"/>
      <c r="TAF2" s="299"/>
      <c r="TAG2" s="299"/>
      <c r="TAH2" s="299"/>
      <c r="TAI2" s="299"/>
      <c r="TAJ2" s="299"/>
      <c r="TAK2" s="299"/>
      <c r="TAL2" s="299"/>
      <c r="TAM2" s="299"/>
      <c r="TAN2" s="299"/>
      <c r="TAO2" s="299"/>
      <c r="TAP2" s="299"/>
      <c r="TAQ2" s="299"/>
      <c r="TAR2" s="299"/>
      <c r="TAS2" s="299"/>
      <c r="TAT2" s="299"/>
      <c r="TAU2" s="299"/>
      <c r="TAV2" s="299"/>
      <c r="TAW2" s="299"/>
      <c r="TAX2" s="299"/>
      <c r="TAY2" s="299"/>
      <c r="TAZ2" s="299"/>
      <c r="TBA2" s="299"/>
      <c r="TBB2" s="299"/>
      <c r="TBC2" s="299"/>
      <c r="TBD2" s="299"/>
      <c r="TBE2" s="299"/>
      <c r="TBF2" s="299"/>
      <c r="TBG2" s="299"/>
      <c r="TBH2" s="299"/>
      <c r="TBI2" s="299"/>
      <c r="TBJ2" s="299"/>
      <c r="TBK2" s="299"/>
      <c r="TBL2" s="299"/>
      <c r="TBM2" s="299"/>
      <c r="TBN2" s="299"/>
      <c r="TBO2" s="299"/>
      <c r="TBP2" s="299"/>
      <c r="TBQ2" s="299"/>
      <c r="TBR2" s="299"/>
      <c r="TBS2" s="299"/>
      <c r="TBT2" s="299"/>
      <c r="TBU2" s="299"/>
      <c r="TBV2" s="299"/>
      <c r="TBW2" s="299"/>
      <c r="TBX2" s="299"/>
      <c r="TBY2" s="299"/>
      <c r="TBZ2" s="299"/>
      <c r="TCA2" s="299"/>
      <c r="TCB2" s="299"/>
      <c r="TCC2" s="299"/>
      <c r="TCD2" s="299"/>
      <c r="TCE2" s="299"/>
      <c r="TCF2" s="299"/>
      <c r="TCG2" s="299"/>
      <c r="TCH2" s="299"/>
      <c r="TCI2" s="299"/>
      <c r="TCJ2" s="299"/>
      <c r="TCK2" s="299"/>
      <c r="TCL2" s="299"/>
      <c r="TCM2" s="299"/>
      <c r="TCN2" s="299"/>
      <c r="TCO2" s="299"/>
      <c r="TCP2" s="299"/>
      <c r="TCQ2" s="299"/>
      <c r="TCR2" s="299"/>
      <c r="TCS2" s="299"/>
      <c r="TCT2" s="299"/>
      <c r="TCU2" s="299"/>
      <c r="TCV2" s="299"/>
      <c r="TCW2" s="299"/>
      <c r="TCX2" s="299"/>
      <c r="TCY2" s="299"/>
      <c r="TCZ2" s="299"/>
      <c r="TDA2" s="299"/>
      <c r="TDB2" s="299"/>
      <c r="TDC2" s="299"/>
      <c r="TDD2" s="299"/>
      <c r="TDE2" s="299"/>
      <c r="TDF2" s="299"/>
      <c r="TDG2" s="299"/>
      <c r="TDH2" s="299"/>
      <c r="TDI2" s="299"/>
      <c r="TDJ2" s="299"/>
      <c r="TDK2" s="299"/>
      <c r="TDL2" s="299"/>
      <c r="TDM2" s="299"/>
      <c r="TDN2" s="299"/>
      <c r="TDO2" s="299"/>
      <c r="TDP2" s="299"/>
      <c r="TDQ2" s="299"/>
      <c r="TDR2" s="299"/>
      <c r="TDS2" s="299"/>
      <c r="TDT2" s="299"/>
      <c r="TDU2" s="299"/>
      <c r="TDV2" s="299"/>
      <c r="TDW2" s="299"/>
      <c r="TDX2" s="299"/>
      <c r="TDY2" s="299"/>
      <c r="TDZ2" s="299"/>
      <c r="TEA2" s="299"/>
      <c r="TEB2" s="299"/>
      <c r="TEC2" s="299"/>
      <c r="TED2" s="299"/>
      <c r="TEE2" s="299"/>
      <c r="TEF2" s="299"/>
      <c r="TEG2" s="299"/>
      <c r="TEH2" s="299"/>
      <c r="TEI2" s="299"/>
      <c r="TEJ2" s="299"/>
      <c r="TEK2" s="299"/>
      <c r="TEL2" s="299"/>
      <c r="TEM2" s="299"/>
      <c r="TEN2" s="299"/>
      <c r="TEO2" s="299"/>
      <c r="TEP2" s="299"/>
      <c r="TEQ2" s="299"/>
      <c r="TER2" s="299"/>
      <c r="TES2" s="299"/>
      <c r="TET2" s="299"/>
      <c r="TEU2" s="299"/>
      <c r="TEV2" s="299"/>
      <c r="TEW2" s="299"/>
      <c r="TEX2" s="299"/>
      <c r="TEY2" s="299"/>
      <c r="TEZ2" s="299"/>
      <c r="TFA2" s="299"/>
      <c r="TFB2" s="299"/>
      <c r="TFC2" s="299"/>
      <c r="TFD2" s="299"/>
      <c r="TFE2" s="299"/>
      <c r="TFF2" s="299"/>
      <c r="TFG2" s="299"/>
      <c r="TFH2" s="299"/>
      <c r="TFI2" s="299"/>
      <c r="TFJ2" s="299"/>
      <c r="TFK2" s="299"/>
      <c r="TFL2" s="299"/>
      <c r="TFM2" s="299"/>
      <c r="TFN2" s="299"/>
      <c r="TFO2" s="299"/>
      <c r="TFP2" s="299"/>
      <c r="TFQ2" s="299"/>
      <c r="TFR2" s="299"/>
      <c r="TFS2" s="299"/>
      <c r="TFT2" s="299"/>
      <c r="TFU2" s="299"/>
      <c r="TFV2" s="299"/>
      <c r="TFW2" s="299"/>
      <c r="TFX2" s="299"/>
      <c r="TFY2" s="299"/>
      <c r="TFZ2" s="299"/>
      <c r="TGA2" s="299"/>
      <c r="TGB2" s="299"/>
      <c r="TGC2" s="299"/>
      <c r="TGD2" s="299"/>
      <c r="TGE2" s="299"/>
      <c r="TGF2" s="299"/>
      <c r="TGG2" s="299"/>
      <c r="TGH2" s="299"/>
      <c r="TGI2" s="299"/>
      <c r="TGJ2" s="299"/>
      <c r="TGK2" s="299"/>
      <c r="TGL2" s="299"/>
      <c r="TGM2" s="299"/>
      <c r="TGN2" s="299"/>
      <c r="TGO2" s="299"/>
      <c r="TGP2" s="299"/>
      <c r="TGQ2" s="299"/>
      <c r="TGR2" s="299"/>
      <c r="TGS2" s="299"/>
      <c r="TGT2" s="299"/>
      <c r="TGU2" s="299"/>
      <c r="TGV2" s="299"/>
      <c r="TGW2" s="299"/>
      <c r="TGX2" s="299"/>
      <c r="TGY2" s="299"/>
      <c r="TGZ2" s="299"/>
      <c r="THA2" s="299"/>
      <c r="THB2" s="299"/>
      <c r="THC2" s="299"/>
      <c r="THD2" s="299"/>
      <c r="THE2" s="299"/>
      <c r="THF2" s="299"/>
      <c r="THG2" s="299"/>
      <c r="THH2" s="299"/>
      <c r="THI2" s="299"/>
      <c r="THJ2" s="299"/>
      <c r="THK2" s="299"/>
      <c r="THL2" s="299"/>
      <c r="THM2" s="299"/>
      <c r="THN2" s="299"/>
      <c r="THO2" s="299"/>
      <c r="THP2" s="299"/>
      <c r="THQ2" s="299"/>
      <c r="THR2" s="299"/>
      <c r="THS2" s="299"/>
      <c r="THT2" s="299"/>
      <c r="THU2" s="299"/>
      <c r="THV2" s="299"/>
      <c r="THW2" s="299"/>
      <c r="THX2" s="299"/>
      <c r="THY2" s="299"/>
      <c r="THZ2" s="299"/>
      <c r="TIA2" s="299"/>
      <c r="TIB2" s="299"/>
      <c r="TIC2" s="299"/>
      <c r="TID2" s="299"/>
      <c r="TIE2" s="299"/>
      <c r="TIF2" s="299"/>
      <c r="TIG2" s="299"/>
      <c r="TIH2" s="299"/>
      <c r="TII2" s="299"/>
      <c r="TIJ2" s="299"/>
      <c r="TIK2" s="299"/>
      <c r="TIL2" s="299"/>
      <c r="TIM2" s="299"/>
      <c r="TIN2" s="299"/>
      <c r="TIO2" s="299"/>
      <c r="TIP2" s="299"/>
      <c r="TIQ2" s="299"/>
      <c r="TIR2" s="299"/>
      <c r="TIS2" s="299"/>
      <c r="TIT2" s="299"/>
      <c r="TIU2" s="299"/>
      <c r="TIV2" s="299"/>
      <c r="TIW2" s="299"/>
      <c r="TIX2" s="299"/>
      <c r="TIY2" s="299"/>
      <c r="TIZ2" s="299"/>
      <c r="TJA2" s="299"/>
      <c r="TJB2" s="299"/>
      <c r="TJC2" s="299"/>
      <c r="TJD2" s="299"/>
      <c r="TJE2" s="299"/>
      <c r="TJF2" s="299"/>
      <c r="TJG2" s="299"/>
      <c r="TJH2" s="299"/>
      <c r="TJI2" s="299"/>
      <c r="TJJ2" s="299"/>
      <c r="TJK2" s="299"/>
      <c r="TJL2" s="299"/>
      <c r="TJM2" s="299"/>
      <c r="TJN2" s="299"/>
      <c r="TJO2" s="299"/>
      <c r="TJP2" s="299"/>
      <c r="TJQ2" s="299"/>
      <c r="TJR2" s="299"/>
      <c r="TJS2" s="299"/>
      <c r="TJT2" s="299"/>
      <c r="TJU2" s="299"/>
      <c r="TJV2" s="299"/>
      <c r="TJW2" s="299"/>
      <c r="TJX2" s="299"/>
      <c r="TJY2" s="299"/>
      <c r="TJZ2" s="299"/>
      <c r="TKA2" s="299"/>
      <c r="TKB2" s="299"/>
      <c r="TKC2" s="299"/>
      <c r="TKD2" s="299"/>
      <c r="TKE2" s="299"/>
      <c r="TKF2" s="299"/>
      <c r="TKG2" s="299"/>
      <c r="TKH2" s="299"/>
      <c r="TKI2" s="299"/>
      <c r="TKJ2" s="299"/>
      <c r="TKK2" s="299"/>
      <c r="TKL2" s="299"/>
      <c r="TKM2" s="299"/>
      <c r="TKN2" s="299"/>
      <c r="TKO2" s="299"/>
      <c r="TKP2" s="299"/>
      <c r="TKQ2" s="299"/>
      <c r="TKR2" s="299"/>
      <c r="TKS2" s="299"/>
      <c r="TKT2" s="299"/>
      <c r="TKU2" s="299"/>
      <c r="TKV2" s="299"/>
      <c r="TKW2" s="299"/>
      <c r="TKX2" s="299"/>
      <c r="TKY2" s="299"/>
      <c r="TKZ2" s="299"/>
      <c r="TLA2" s="299"/>
      <c r="TLB2" s="299"/>
      <c r="TLC2" s="299"/>
      <c r="TLD2" s="299"/>
      <c r="TLE2" s="299"/>
      <c r="TLF2" s="299"/>
      <c r="TLG2" s="299"/>
      <c r="TLH2" s="299"/>
      <c r="TLI2" s="299"/>
      <c r="TLJ2" s="299"/>
      <c r="TLK2" s="299"/>
      <c r="TLL2" s="299"/>
      <c r="TLM2" s="299"/>
      <c r="TLN2" s="299"/>
      <c r="TLO2" s="299"/>
      <c r="TLP2" s="299"/>
      <c r="TLQ2" s="299"/>
      <c r="TLR2" s="299"/>
      <c r="TLS2" s="299"/>
      <c r="TLT2" s="299"/>
      <c r="TLU2" s="299"/>
      <c r="TLV2" s="299"/>
      <c r="TLW2" s="299"/>
      <c r="TLX2" s="299"/>
      <c r="TLY2" s="299"/>
      <c r="TLZ2" s="299"/>
      <c r="TMA2" s="299"/>
      <c r="TMB2" s="299"/>
      <c r="TMC2" s="299"/>
      <c r="TMD2" s="299"/>
      <c r="TME2" s="299"/>
      <c r="TMF2" s="299"/>
      <c r="TMG2" s="299"/>
      <c r="TMH2" s="299"/>
      <c r="TMI2" s="299"/>
      <c r="TMJ2" s="299"/>
      <c r="TMK2" s="299"/>
      <c r="TML2" s="299"/>
      <c r="TMM2" s="299"/>
      <c r="TMN2" s="299"/>
      <c r="TMO2" s="299"/>
      <c r="TMP2" s="299"/>
      <c r="TMQ2" s="299"/>
      <c r="TMR2" s="299"/>
      <c r="TMS2" s="299"/>
      <c r="TMT2" s="299"/>
      <c r="TMU2" s="299"/>
      <c r="TMV2" s="299"/>
      <c r="TMW2" s="299"/>
      <c r="TMX2" s="299"/>
      <c r="TMY2" s="299"/>
      <c r="TMZ2" s="299"/>
      <c r="TNA2" s="299"/>
      <c r="TNB2" s="299"/>
      <c r="TNC2" s="299"/>
      <c r="TND2" s="299"/>
      <c r="TNE2" s="299"/>
      <c r="TNF2" s="299"/>
      <c r="TNG2" s="299"/>
      <c r="TNH2" s="299"/>
      <c r="TNI2" s="299"/>
      <c r="TNJ2" s="299"/>
      <c r="TNK2" s="299"/>
      <c r="TNL2" s="299"/>
      <c r="TNM2" s="299"/>
      <c r="TNN2" s="299"/>
      <c r="TNO2" s="299"/>
      <c r="TNP2" s="299"/>
      <c r="TNQ2" s="299"/>
      <c r="TNR2" s="299"/>
      <c r="TNS2" s="299"/>
      <c r="TNT2" s="299"/>
      <c r="TNU2" s="299"/>
      <c r="TNV2" s="299"/>
      <c r="TNW2" s="299"/>
      <c r="TNX2" s="299"/>
      <c r="TNY2" s="299"/>
      <c r="TNZ2" s="299"/>
      <c r="TOA2" s="299"/>
      <c r="TOB2" s="299"/>
      <c r="TOC2" s="299"/>
      <c r="TOD2" s="299"/>
      <c r="TOE2" s="299"/>
      <c r="TOF2" s="299"/>
      <c r="TOG2" s="299"/>
      <c r="TOH2" s="299"/>
      <c r="TOI2" s="299"/>
      <c r="TOJ2" s="299"/>
      <c r="TOK2" s="299"/>
      <c r="TOL2" s="299"/>
      <c r="TOM2" s="299"/>
      <c r="TON2" s="299"/>
      <c r="TOO2" s="299"/>
      <c r="TOP2" s="299"/>
      <c r="TOQ2" s="299"/>
      <c r="TOR2" s="299"/>
      <c r="TOS2" s="299"/>
      <c r="TOT2" s="299"/>
      <c r="TOU2" s="299"/>
      <c r="TOV2" s="299"/>
      <c r="TOW2" s="299"/>
      <c r="TOX2" s="299"/>
      <c r="TOY2" s="299"/>
      <c r="TOZ2" s="299"/>
      <c r="TPA2" s="299"/>
      <c r="TPB2" s="299"/>
      <c r="TPC2" s="299"/>
      <c r="TPD2" s="299"/>
      <c r="TPE2" s="299"/>
      <c r="TPF2" s="299"/>
      <c r="TPG2" s="299"/>
      <c r="TPH2" s="299"/>
      <c r="TPI2" s="299"/>
      <c r="TPJ2" s="299"/>
      <c r="TPK2" s="299"/>
      <c r="TPL2" s="299"/>
      <c r="TPM2" s="299"/>
      <c r="TPN2" s="299"/>
      <c r="TPO2" s="299"/>
      <c r="TPP2" s="299"/>
      <c r="TPQ2" s="299"/>
      <c r="TPR2" s="299"/>
      <c r="TPS2" s="299"/>
      <c r="TPT2" s="299"/>
      <c r="TPU2" s="299"/>
      <c r="TPV2" s="299"/>
      <c r="TPW2" s="299"/>
      <c r="TPX2" s="299"/>
      <c r="TPY2" s="299"/>
      <c r="TPZ2" s="299"/>
      <c r="TQA2" s="299"/>
      <c r="TQB2" s="299"/>
      <c r="TQC2" s="299"/>
      <c r="TQD2" s="299"/>
      <c r="TQE2" s="299"/>
      <c r="TQF2" s="299"/>
      <c r="TQG2" s="299"/>
      <c r="TQH2" s="299"/>
      <c r="TQI2" s="299"/>
      <c r="TQJ2" s="299"/>
      <c r="TQK2" s="299"/>
      <c r="TQL2" s="299"/>
      <c r="TQM2" s="299"/>
      <c r="TQN2" s="299"/>
      <c r="TQO2" s="299"/>
      <c r="TQP2" s="299"/>
      <c r="TQQ2" s="299"/>
      <c r="TQR2" s="299"/>
      <c r="TQS2" s="299"/>
      <c r="TQT2" s="299"/>
      <c r="TQU2" s="299"/>
      <c r="TQV2" s="299"/>
      <c r="TQW2" s="299"/>
      <c r="TQX2" s="299"/>
      <c r="TQY2" s="299"/>
      <c r="TQZ2" s="299"/>
      <c r="TRA2" s="299"/>
      <c r="TRB2" s="299"/>
      <c r="TRC2" s="299"/>
      <c r="TRD2" s="299"/>
      <c r="TRE2" s="299"/>
      <c r="TRF2" s="299"/>
      <c r="TRG2" s="299"/>
      <c r="TRH2" s="299"/>
      <c r="TRI2" s="299"/>
      <c r="TRJ2" s="299"/>
      <c r="TRK2" s="299"/>
      <c r="TRL2" s="299"/>
      <c r="TRM2" s="299"/>
      <c r="TRN2" s="299"/>
      <c r="TRO2" s="299"/>
      <c r="TRP2" s="299"/>
      <c r="TRQ2" s="299"/>
      <c r="TRR2" s="299"/>
      <c r="TRS2" s="299"/>
      <c r="TRT2" s="299"/>
      <c r="TRU2" s="299"/>
      <c r="TRV2" s="299"/>
      <c r="TRW2" s="299"/>
      <c r="TRX2" s="299"/>
      <c r="TRY2" s="299"/>
      <c r="TRZ2" s="299"/>
      <c r="TSA2" s="299"/>
      <c r="TSB2" s="299"/>
      <c r="TSC2" s="299"/>
      <c r="TSD2" s="299"/>
      <c r="TSE2" s="299"/>
      <c r="TSF2" s="299"/>
      <c r="TSG2" s="299"/>
      <c r="TSH2" s="299"/>
      <c r="TSI2" s="299"/>
      <c r="TSJ2" s="299"/>
      <c r="TSK2" s="299"/>
      <c r="TSL2" s="299"/>
      <c r="TSM2" s="299"/>
      <c r="TSN2" s="299"/>
      <c r="TSO2" s="299"/>
      <c r="TSP2" s="299"/>
      <c r="TSQ2" s="299"/>
      <c r="TSR2" s="299"/>
      <c r="TSS2" s="299"/>
      <c r="TST2" s="299"/>
      <c r="TSU2" s="299"/>
      <c r="TSV2" s="299"/>
      <c r="TSW2" s="299"/>
      <c r="TSX2" s="299"/>
      <c r="TSY2" s="299"/>
      <c r="TSZ2" s="299"/>
      <c r="TTA2" s="299"/>
      <c r="TTB2" s="299"/>
      <c r="TTC2" s="299"/>
      <c r="TTD2" s="299"/>
      <c r="TTE2" s="299"/>
      <c r="TTF2" s="299"/>
      <c r="TTG2" s="299"/>
      <c r="TTH2" s="299"/>
      <c r="TTI2" s="299"/>
      <c r="TTJ2" s="299"/>
      <c r="TTK2" s="299"/>
      <c r="TTL2" s="299"/>
      <c r="TTM2" s="299"/>
      <c r="TTN2" s="299"/>
      <c r="TTO2" s="299"/>
      <c r="TTP2" s="299"/>
      <c r="TTQ2" s="299"/>
      <c r="TTR2" s="299"/>
      <c r="TTS2" s="299"/>
      <c r="TTT2" s="299"/>
      <c r="TTU2" s="299"/>
      <c r="TTV2" s="299"/>
      <c r="TTW2" s="299"/>
      <c r="TTX2" s="299"/>
      <c r="TTY2" s="299"/>
      <c r="TTZ2" s="299"/>
      <c r="TUA2" s="299"/>
      <c r="TUB2" s="299"/>
      <c r="TUC2" s="299"/>
      <c r="TUD2" s="299"/>
      <c r="TUE2" s="299"/>
      <c r="TUF2" s="299"/>
      <c r="TUG2" s="299"/>
      <c r="TUH2" s="299"/>
      <c r="TUI2" s="299"/>
      <c r="TUJ2" s="299"/>
      <c r="TUK2" s="299"/>
      <c r="TUL2" s="299"/>
      <c r="TUM2" s="299"/>
      <c r="TUN2" s="299"/>
      <c r="TUO2" s="299"/>
      <c r="TUP2" s="299"/>
      <c r="TUQ2" s="299"/>
      <c r="TUR2" s="299"/>
      <c r="TUS2" s="299"/>
      <c r="TUT2" s="299"/>
      <c r="TUU2" s="299"/>
      <c r="TUV2" s="299"/>
      <c r="TUW2" s="299"/>
      <c r="TUX2" s="299"/>
      <c r="TUY2" s="299"/>
      <c r="TUZ2" s="299"/>
      <c r="TVA2" s="299"/>
      <c r="TVB2" s="299"/>
      <c r="TVC2" s="299"/>
      <c r="TVD2" s="299"/>
      <c r="TVE2" s="299"/>
      <c r="TVF2" s="299"/>
      <c r="TVG2" s="299"/>
      <c r="TVH2" s="299"/>
      <c r="TVI2" s="299"/>
      <c r="TVJ2" s="299"/>
      <c r="TVK2" s="299"/>
      <c r="TVL2" s="299"/>
      <c r="TVM2" s="299"/>
      <c r="TVN2" s="299"/>
      <c r="TVO2" s="299"/>
      <c r="TVP2" s="299"/>
      <c r="TVQ2" s="299"/>
      <c r="TVR2" s="299"/>
      <c r="TVS2" s="299"/>
      <c r="TVT2" s="299"/>
      <c r="TVU2" s="299"/>
      <c r="TVV2" s="299"/>
      <c r="TVW2" s="299"/>
      <c r="TVX2" s="299"/>
      <c r="TVY2" s="299"/>
      <c r="TVZ2" s="299"/>
      <c r="TWA2" s="299"/>
      <c r="TWB2" s="299"/>
      <c r="TWC2" s="299"/>
      <c r="TWD2" s="299"/>
      <c r="TWE2" s="299"/>
      <c r="TWF2" s="299"/>
      <c r="TWG2" s="299"/>
      <c r="TWH2" s="299"/>
      <c r="TWI2" s="299"/>
      <c r="TWJ2" s="299"/>
      <c r="TWK2" s="299"/>
      <c r="TWL2" s="299"/>
      <c r="TWM2" s="299"/>
      <c r="TWN2" s="299"/>
      <c r="TWO2" s="299"/>
      <c r="TWP2" s="299"/>
      <c r="TWQ2" s="299"/>
      <c r="TWR2" s="299"/>
      <c r="TWS2" s="299"/>
      <c r="TWT2" s="299"/>
      <c r="TWU2" s="299"/>
      <c r="TWV2" s="299"/>
      <c r="TWW2" s="299"/>
      <c r="TWX2" s="299"/>
      <c r="TWY2" s="299"/>
      <c r="TWZ2" s="299"/>
      <c r="TXA2" s="299"/>
      <c r="TXB2" s="299"/>
      <c r="TXC2" s="299"/>
      <c r="TXD2" s="299"/>
      <c r="TXE2" s="299"/>
      <c r="TXF2" s="299"/>
      <c r="TXG2" s="299"/>
      <c r="TXH2" s="299"/>
      <c r="TXI2" s="299"/>
      <c r="TXJ2" s="299"/>
      <c r="TXK2" s="299"/>
      <c r="TXL2" s="299"/>
      <c r="TXM2" s="299"/>
      <c r="TXN2" s="299"/>
      <c r="TXO2" s="299"/>
      <c r="TXP2" s="299"/>
      <c r="TXQ2" s="299"/>
      <c r="TXR2" s="299"/>
      <c r="TXS2" s="299"/>
      <c r="TXT2" s="299"/>
      <c r="TXU2" s="299"/>
      <c r="TXV2" s="299"/>
      <c r="TXW2" s="299"/>
      <c r="TXX2" s="299"/>
      <c r="TXY2" s="299"/>
      <c r="TXZ2" s="299"/>
      <c r="TYA2" s="299"/>
      <c r="TYB2" s="299"/>
      <c r="TYC2" s="299"/>
      <c r="TYD2" s="299"/>
      <c r="TYE2" s="299"/>
      <c r="TYF2" s="299"/>
      <c r="TYG2" s="299"/>
      <c r="TYH2" s="299"/>
      <c r="TYI2" s="299"/>
      <c r="TYJ2" s="299"/>
      <c r="TYK2" s="299"/>
      <c r="TYL2" s="299"/>
      <c r="TYM2" s="299"/>
      <c r="TYN2" s="299"/>
      <c r="TYO2" s="299"/>
      <c r="TYP2" s="299"/>
      <c r="TYQ2" s="299"/>
      <c r="TYR2" s="299"/>
      <c r="TYS2" s="299"/>
      <c r="TYT2" s="299"/>
      <c r="TYU2" s="299"/>
      <c r="TYV2" s="299"/>
      <c r="TYW2" s="299"/>
      <c r="TYX2" s="299"/>
      <c r="TYY2" s="299"/>
      <c r="TYZ2" s="299"/>
      <c r="TZA2" s="299"/>
      <c r="TZB2" s="299"/>
      <c r="TZC2" s="299"/>
      <c r="TZD2" s="299"/>
      <c r="TZE2" s="299"/>
      <c r="TZF2" s="299"/>
      <c r="TZG2" s="299"/>
      <c r="TZH2" s="299"/>
      <c r="TZI2" s="299"/>
      <c r="TZJ2" s="299"/>
      <c r="TZK2" s="299"/>
      <c r="TZL2" s="299"/>
      <c r="TZM2" s="299"/>
      <c r="TZN2" s="299"/>
      <c r="TZO2" s="299"/>
      <c r="TZP2" s="299"/>
      <c r="TZQ2" s="299"/>
      <c r="TZR2" s="299"/>
      <c r="TZS2" s="299"/>
      <c r="TZT2" s="299"/>
      <c r="TZU2" s="299"/>
      <c r="TZV2" s="299"/>
      <c r="TZW2" s="299"/>
      <c r="TZX2" s="299"/>
      <c r="TZY2" s="299"/>
      <c r="TZZ2" s="299"/>
      <c r="UAA2" s="299"/>
      <c r="UAB2" s="299"/>
      <c r="UAC2" s="299"/>
      <c r="UAD2" s="299"/>
      <c r="UAE2" s="299"/>
      <c r="UAF2" s="299"/>
      <c r="UAG2" s="299"/>
      <c r="UAH2" s="299"/>
      <c r="UAI2" s="299"/>
      <c r="UAJ2" s="299"/>
      <c r="UAK2" s="299"/>
      <c r="UAL2" s="299"/>
      <c r="UAM2" s="299"/>
      <c r="UAN2" s="299"/>
      <c r="UAO2" s="299"/>
      <c r="UAP2" s="299"/>
      <c r="UAQ2" s="299"/>
      <c r="UAR2" s="299"/>
      <c r="UAS2" s="299"/>
      <c r="UAT2" s="299"/>
      <c r="UAU2" s="299"/>
      <c r="UAV2" s="299"/>
      <c r="UAW2" s="299"/>
      <c r="UAX2" s="299"/>
      <c r="UAY2" s="299"/>
      <c r="UAZ2" s="299"/>
      <c r="UBA2" s="299"/>
      <c r="UBB2" s="299"/>
      <c r="UBC2" s="299"/>
      <c r="UBD2" s="299"/>
      <c r="UBE2" s="299"/>
      <c r="UBF2" s="299"/>
      <c r="UBG2" s="299"/>
      <c r="UBH2" s="299"/>
      <c r="UBI2" s="299"/>
      <c r="UBJ2" s="299"/>
      <c r="UBK2" s="299"/>
      <c r="UBL2" s="299"/>
      <c r="UBM2" s="299"/>
      <c r="UBN2" s="299"/>
      <c r="UBO2" s="299"/>
      <c r="UBP2" s="299"/>
      <c r="UBQ2" s="299"/>
      <c r="UBR2" s="299"/>
      <c r="UBS2" s="299"/>
      <c r="UBT2" s="299"/>
      <c r="UBU2" s="299"/>
      <c r="UBV2" s="299"/>
      <c r="UBW2" s="299"/>
      <c r="UBX2" s="299"/>
      <c r="UBY2" s="299"/>
      <c r="UBZ2" s="299"/>
      <c r="UCA2" s="299"/>
      <c r="UCB2" s="299"/>
      <c r="UCC2" s="299"/>
      <c r="UCD2" s="299"/>
      <c r="UCE2" s="299"/>
      <c r="UCF2" s="299"/>
      <c r="UCG2" s="299"/>
      <c r="UCH2" s="299"/>
      <c r="UCI2" s="299"/>
      <c r="UCJ2" s="299"/>
      <c r="UCK2" s="299"/>
      <c r="UCL2" s="299"/>
      <c r="UCM2" s="299"/>
      <c r="UCN2" s="299"/>
      <c r="UCO2" s="299"/>
      <c r="UCP2" s="299"/>
      <c r="UCQ2" s="299"/>
      <c r="UCR2" s="299"/>
      <c r="UCS2" s="299"/>
      <c r="UCT2" s="299"/>
      <c r="UCU2" s="299"/>
      <c r="UCV2" s="299"/>
      <c r="UCW2" s="299"/>
      <c r="UCX2" s="299"/>
      <c r="UCY2" s="299"/>
      <c r="UCZ2" s="299"/>
      <c r="UDA2" s="299"/>
      <c r="UDB2" s="299"/>
      <c r="UDC2" s="299"/>
      <c r="UDD2" s="299"/>
      <c r="UDE2" s="299"/>
      <c r="UDF2" s="299"/>
      <c r="UDG2" s="299"/>
      <c r="UDH2" s="299"/>
      <c r="UDI2" s="299"/>
      <c r="UDJ2" s="299"/>
      <c r="UDK2" s="299"/>
      <c r="UDL2" s="299"/>
      <c r="UDM2" s="299"/>
      <c r="UDN2" s="299"/>
      <c r="UDO2" s="299"/>
      <c r="UDP2" s="299"/>
      <c r="UDQ2" s="299"/>
      <c r="UDR2" s="299"/>
      <c r="UDS2" s="299"/>
      <c r="UDT2" s="299"/>
      <c r="UDU2" s="299"/>
      <c r="UDV2" s="299"/>
      <c r="UDW2" s="299"/>
      <c r="UDX2" s="299"/>
      <c r="UDY2" s="299"/>
      <c r="UDZ2" s="299"/>
      <c r="UEA2" s="299"/>
      <c r="UEB2" s="299"/>
      <c r="UEC2" s="299"/>
      <c r="UED2" s="299"/>
      <c r="UEE2" s="299"/>
      <c r="UEF2" s="299"/>
      <c r="UEG2" s="299"/>
      <c r="UEH2" s="299"/>
      <c r="UEI2" s="299"/>
      <c r="UEJ2" s="299"/>
      <c r="UEK2" s="299"/>
      <c r="UEL2" s="299"/>
      <c r="UEM2" s="299"/>
      <c r="UEN2" s="299"/>
      <c r="UEO2" s="299"/>
      <c r="UEP2" s="299"/>
      <c r="UEQ2" s="299"/>
      <c r="UER2" s="299"/>
      <c r="UES2" s="299"/>
      <c r="UET2" s="299"/>
      <c r="UEU2" s="299"/>
      <c r="UEV2" s="299"/>
      <c r="UEW2" s="299"/>
      <c r="UEX2" s="299"/>
      <c r="UEY2" s="299"/>
      <c r="UEZ2" s="299"/>
      <c r="UFA2" s="299"/>
      <c r="UFB2" s="299"/>
      <c r="UFC2" s="299"/>
      <c r="UFD2" s="299"/>
      <c r="UFE2" s="299"/>
      <c r="UFF2" s="299"/>
      <c r="UFG2" s="299"/>
      <c r="UFH2" s="299"/>
      <c r="UFI2" s="299"/>
      <c r="UFJ2" s="299"/>
      <c r="UFK2" s="299"/>
      <c r="UFL2" s="299"/>
      <c r="UFM2" s="299"/>
      <c r="UFN2" s="299"/>
      <c r="UFO2" s="299"/>
      <c r="UFP2" s="299"/>
      <c r="UFQ2" s="299"/>
      <c r="UFR2" s="299"/>
      <c r="UFS2" s="299"/>
      <c r="UFT2" s="299"/>
      <c r="UFU2" s="299"/>
      <c r="UFV2" s="299"/>
      <c r="UFW2" s="299"/>
      <c r="UFX2" s="299"/>
      <c r="UFY2" s="299"/>
      <c r="UFZ2" s="299"/>
      <c r="UGA2" s="299"/>
      <c r="UGB2" s="299"/>
      <c r="UGC2" s="299"/>
      <c r="UGD2" s="299"/>
      <c r="UGE2" s="299"/>
      <c r="UGF2" s="299"/>
      <c r="UGG2" s="299"/>
      <c r="UGH2" s="299"/>
      <c r="UGI2" s="299"/>
      <c r="UGJ2" s="299"/>
      <c r="UGK2" s="299"/>
      <c r="UGL2" s="299"/>
      <c r="UGM2" s="299"/>
      <c r="UGN2" s="299"/>
      <c r="UGO2" s="299"/>
      <c r="UGP2" s="299"/>
      <c r="UGQ2" s="299"/>
      <c r="UGR2" s="299"/>
      <c r="UGS2" s="299"/>
      <c r="UGT2" s="299"/>
      <c r="UGU2" s="299"/>
      <c r="UGV2" s="299"/>
      <c r="UGW2" s="299"/>
      <c r="UGX2" s="299"/>
      <c r="UGY2" s="299"/>
      <c r="UGZ2" s="299"/>
      <c r="UHA2" s="299"/>
      <c r="UHB2" s="299"/>
      <c r="UHC2" s="299"/>
      <c r="UHD2" s="299"/>
      <c r="UHE2" s="299"/>
      <c r="UHF2" s="299"/>
      <c r="UHG2" s="299"/>
      <c r="UHH2" s="299"/>
      <c r="UHI2" s="299"/>
      <c r="UHJ2" s="299"/>
      <c r="UHK2" s="299"/>
      <c r="UHL2" s="299"/>
      <c r="UHM2" s="299"/>
      <c r="UHN2" s="299"/>
      <c r="UHO2" s="299"/>
      <c r="UHP2" s="299"/>
      <c r="UHQ2" s="299"/>
      <c r="UHR2" s="299"/>
      <c r="UHS2" s="299"/>
      <c r="UHT2" s="299"/>
      <c r="UHU2" s="299"/>
      <c r="UHV2" s="299"/>
      <c r="UHW2" s="299"/>
      <c r="UHX2" s="299"/>
      <c r="UHY2" s="299"/>
      <c r="UHZ2" s="299"/>
      <c r="UIA2" s="299"/>
      <c r="UIB2" s="299"/>
      <c r="UIC2" s="299"/>
      <c r="UID2" s="299"/>
      <c r="UIE2" s="299"/>
      <c r="UIF2" s="299"/>
      <c r="UIG2" s="299"/>
      <c r="UIH2" s="299"/>
      <c r="UII2" s="299"/>
      <c r="UIJ2" s="299"/>
      <c r="UIK2" s="299"/>
      <c r="UIL2" s="299"/>
      <c r="UIM2" s="299"/>
      <c r="UIN2" s="299"/>
      <c r="UIO2" s="299"/>
      <c r="UIP2" s="299"/>
      <c r="UIQ2" s="299"/>
      <c r="UIR2" s="299"/>
      <c r="UIS2" s="299"/>
      <c r="UIT2" s="299"/>
      <c r="UIU2" s="299"/>
      <c r="UIV2" s="299"/>
      <c r="UIW2" s="299"/>
      <c r="UIX2" s="299"/>
      <c r="UIY2" s="299"/>
      <c r="UIZ2" s="299"/>
      <c r="UJA2" s="299"/>
      <c r="UJB2" s="299"/>
      <c r="UJC2" s="299"/>
      <c r="UJD2" s="299"/>
      <c r="UJE2" s="299"/>
      <c r="UJF2" s="299"/>
      <c r="UJG2" s="299"/>
      <c r="UJH2" s="299"/>
      <c r="UJI2" s="299"/>
      <c r="UJJ2" s="299"/>
      <c r="UJK2" s="299"/>
      <c r="UJL2" s="299"/>
      <c r="UJM2" s="299"/>
      <c r="UJN2" s="299"/>
      <c r="UJO2" s="299"/>
      <c r="UJP2" s="299"/>
      <c r="UJQ2" s="299"/>
      <c r="UJR2" s="299"/>
      <c r="UJS2" s="299"/>
      <c r="UJT2" s="299"/>
      <c r="UJU2" s="299"/>
      <c r="UJV2" s="299"/>
      <c r="UJW2" s="299"/>
      <c r="UJX2" s="299"/>
      <c r="UJY2" s="299"/>
      <c r="UJZ2" s="299"/>
      <c r="UKA2" s="299"/>
      <c r="UKB2" s="299"/>
      <c r="UKC2" s="299"/>
      <c r="UKD2" s="299"/>
      <c r="UKE2" s="299"/>
      <c r="UKF2" s="299"/>
      <c r="UKG2" s="299"/>
      <c r="UKH2" s="299"/>
      <c r="UKI2" s="299"/>
      <c r="UKJ2" s="299"/>
      <c r="UKK2" s="299"/>
      <c r="UKL2" s="299"/>
      <c r="UKM2" s="299"/>
      <c r="UKN2" s="299"/>
      <c r="UKO2" s="299"/>
      <c r="UKP2" s="299"/>
      <c r="UKQ2" s="299"/>
      <c r="UKR2" s="299"/>
      <c r="UKS2" s="299"/>
      <c r="UKT2" s="299"/>
      <c r="UKU2" s="299"/>
      <c r="UKV2" s="299"/>
      <c r="UKW2" s="299"/>
      <c r="UKX2" s="299"/>
      <c r="UKY2" s="299"/>
      <c r="UKZ2" s="299"/>
      <c r="ULA2" s="299"/>
      <c r="ULB2" s="299"/>
      <c r="ULC2" s="299"/>
      <c r="ULD2" s="299"/>
      <c r="ULE2" s="299"/>
      <c r="ULF2" s="299"/>
      <c r="ULG2" s="299"/>
      <c r="ULH2" s="299"/>
      <c r="ULI2" s="299"/>
      <c r="ULJ2" s="299"/>
      <c r="ULK2" s="299"/>
      <c r="ULL2" s="299"/>
      <c r="ULM2" s="299"/>
      <c r="ULN2" s="299"/>
      <c r="ULO2" s="299"/>
      <c r="ULP2" s="299"/>
      <c r="ULQ2" s="299"/>
      <c r="ULR2" s="299"/>
      <c r="ULS2" s="299"/>
      <c r="ULT2" s="299"/>
      <c r="ULU2" s="299"/>
      <c r="ULV2" s="299"/>
      <c r="ULW2" s="299"/>
      <c r="ULX2" s="299"/>
      <c r="ULY2" s="299"/>
      <c r="ULZ2" s="299"/>
      <c r="UMA2" s="299"/>
      <c r="UMB2" s="299"/>
      <c r="UMC2" s="299"/>
      <c r="UMD2" s="299"/>
      <c r="UME2" s="299"/>
      <c r="UMF2" s="299"/>
      <c r="UMG2" s="299"/>
      <c r="UMH2" s="299"/>
      <c r="UMI2" s="299"/>
      <c r="UMJ2" s="299"/>
      <c r="UMK2" s="299"/>
      <c r="UML2" s="299"/>
      <c r="UMM2" s="299"/>
      <c r="UMN2" s="299"/>
      <c r="UMO2" s="299"/>
      <c r="UMP2" s="299"/>
      <c r="UMQ2" s="299"/>
      <c r="UMR2" s="299"/>
      <c r="UMS2" s="299"/>
      <c r="UMT2" s="299"/>
      <c r="UMU2" s="299"/>
      <c r="UMV2" s="299"/>
      <c r="UMW2" s="299"/>
      <c r="UMX2" s="299"/>
      <c r="UMY2" s="299"/>
      <c r="UMZ2" s="299"/>
      <c r="UNA2" s="299"/>
      <c r="UNB2" s="299"/>
      <c r="UNC2" s="299"/>
      <c r="UND2" s="299"/>
      <c r="UNE2" s="299"/>
      <c r="UNF2" s="299"/>
      <c r="UNG2" s="299"/>
      <c r="UNH2" s="299"/>
      <c r="UNI2" s="299"/>
      <c r="UNJ2" s="299"/>
      <c r="UNK2" s="299"/>
      <c r="UNL2" s="299"/>
      <c r="UNM2" s="299"/>
      <c r="UNN2" s="299"/>
      <c r="UNO2" s="299"/>
      <c r="UNP2" s="299"/>
      <c r="UNQ2" s="299"/>
      <c r="UNR2" s="299"/>
      <c r="UNS2" s="299"/>
      <c r="UNT2" s="299"/>
      <c r="UNU2" s="299"/>
      <c r="UNV2" s="299"/>
      <c r="UNW2" s="299"/>
      <c r="UNX2" s="299"/>
      <c r="UNY2" s="299"/>
      <c r="UNZ2" s="299"/>
      <c r="UOA2" s="299"/>
      <c r="UOB2" s="299"/>
      <c r="UOC2" s="299"/>
      <c r="UOD2" s="299"/>
      <c r="UOE2" s="299"/>
      <c r="UOF2" s="299"/>
      <c r="UOG2" s="299"/>
      <c r="UOH2" s="299"/>
      <c r="UOI2" s="299"/>
      <c r="UOJ2" s="299"/>
      <c r="UOK2" s="299"/>
      <c r="UOL2" s="299"/>
      <c r="UOM2" s="299"/>
      <c r="UON2" s="299"/>
      <c r="UOO2" s="299"/>
      <c r="UOP2" s="299"/>
      <c r="UOQ2" s="299"/>
      <c r="UOR2" s="299"/>
      <c r="UOS2" s="299"/>
      <c r="UOT2" s="299"/>
      <c r="UOU2" s="299"/>
      <c r="UOV2" s="299"/>
      <c r="UOW2" s="299"/>
      <c r="UOX2" s="299"/>
      <c r="UOY2" s="299"/>
      <c r="UOZ2" s="299"/>
      <c r="UPA2" s="299"/>
      <c r="UPB2" s="299"/>
      <c r="UPC2" s="299"/>
      <c r="UPD2" s="299"/>
      <c r="UPE2" s="299"/>
      <c r="UPF2" s="299"/>
      <c r="UPG2" s="299"/>
      <c r="UPH2" s="299"/>
      <c r="UPI2" s="299"/>
      <c r="UPJ2" s="299"/>
      <c r="UPK2" s="299"/>
      <c r="UPL2" s="299"/>
      <c r="UPM2" s="299"/>
      <c r="UPN2" s="299"/>
      <c r="UPO2" s="299"/>
      <c r="UPP2" s="299"/>
      <c r="UPQ2" s="299"/>
      <c r="UPR2" s="299"/>
      <c r="UPS2" s="299"/>
      <c r="UPT2" s="299"/>
      <c r="UPU2" s="299"/>
      <c r="UPV2" s="299"/>
      <c r="UPW2" s="299"/>
      <c r="UPX2" s="299"/>
      <c r="UPY2" s="299"/>
      <c r="UPZ2" s="299"/>
      <c r="UQA2" s="299"/>
      <c r="UQB2" s="299"/>
      <c r="UQC2" s="299"/>
      <c r="UQD2" s="299"/>
      <c r="UQE2" s="299"/>
      <c r="UQF2" s="299"/>
      <c r="UQG2" s="299"/>
      <c r="UQH2" s="299"/>
      <c r="UQI2" s="299"/>
      <c r="UQJ2" s="299"/>
      <c r="UQK2" s="299"/>
      <c r="UQL2" s="299"/>
      <c r="UQM2" s="299"/>
      <c r="UQN2" s="299"/>
      <c r="UQO2" s="299"/>
      <c r="UQP2" s="299"/>
      <c r="UQQ2" s="299"/>
      <c r="UQR2" s="299"/>
      <c r="UQS2" s="299"/>
      <c r="UQT2" s="299"/>
      <c r="UQU2" s="299"/>
      <c r="UQV2" s="299"/>
      <c r="UQW2" s="299"/>
      <c r="UQX2" s="299"/>
      <c r="UQY2" s="299"/>
      <c r="UQZ2" s="299"/>
      <c r="URA2" s="299"/>
      <c r="URB2" s="299"/>
      <c r="URC2" s="299"/>
      <c r="URD2" s="299"/>
      <c r="URE2" s="299"/>
      <c r="URF2" s="299"/>
      <c r="URG2" s="299"/>
      <c r="URH2" s="299"/>
      <c r="URI2" s="299"/>
      <c r="URJ2" s="299"/>
      <c r="URK2" s="299"/>
      <c r="URL2" s="299"/>
      <c r="URM2" s="299"/>
      <c r="URN2" s="299"/>
      <c r="URO2" s="299"/>
      <c r="URP2" s="299"/>
      <c r="URQ2" s="299"/>
      <c r="URR2" s="299"/>
      <c r="URS2" s="299"/>
      <c r="URT2" s="299"/>
      <c r="URU2" s="299"/>
      <c r="URV2" s="299"/>
      <c r="URW2" s="299"/>
      <c r="URX2" s="299"/>
      <c r="URY2" s="299"/>
      <c r="URZ2" s="299"/>
      <c r="USA2" s="299"/>
      <c r="USB2" s="299"/>
      <c r="USC2" s="299"/>
      <c r="USD2" s="299"/>
      <c r="USE2" s="299"/>
      <c r="USF2" s="299"/>
      <c r="USG2" s="299"/>
      <c r="USH2" s="299"/>
      <c r="USI2" s="299"/>
      <c r="USJ2" s="299"/>
      <c r="USK2" s="299"/>
      <c r="USL2" s="299"/>
      <c r="USM2" s="299"/>
      <c r="USN2" s="299"/>
      <c r="USO2" s="299"/>
      <c r="USP2" s="299"/>
      <c r="USQ2" s="299"/>
      <c r="USR2" s="299"/>
      <c r="USS2" s="299"/>
      <c r="UST2" s="299"/>
      <c r="USU2" s="299"/>
      <c r="USV2" s="299"/>
      <c r="USW2" s="299"/>
      <c r="USX2" s="299"/>
      <c r="USY2" s="299"/>
      <c r="USZ2" s="299"/>
      <c r="UTA2" s="299"/>
      <c r="UTB2" s="299"/>
      <c r="UTC2" s="299"/>
      <c r="UTD2" s="299"/>
      <c r="UTE2" s="299"/>
      <c r="UTF2" s="299"/>
      <c r="UTG2" s="299"/>
      <c r="UTH2" s="299"/>
      <c r="UTI2" s="299"/>
      <c r="UTJ2" s="299"/>
      <c r="UTK2" s="299"/>
      <c r="UTL2" s="299"/>
      <c r="UTM2" s="299"/>
      <c r="UTN2" s="299"/>
      <c r="UTO2" s="299"/>
      <c r="UTP2" s="299"/>
      <c r="UTQ2" s="299"/>
      <c r="UTR2" s="299"/>
      <c r="UTS2" s="299"/>
      <c r="UTT2" s="299"/>
      <c r="UTU2" s="299"/>
      <c r="UTV2" s="299"/>
      <c r="UTW2" s="299"/>
      <c r="UTX2" s="299"/>
      <c r="UTY2" s="299"/>
      <c r="UTZ2" s="299"/>
      <c r="UUA2" s="299"/>
      <c r="UUB2" s="299"/>
      <c r="UUC2" s="299"/>
      <c r="UUD2" s="299"/>
      <c r="UUE2" s="299"/>
      <c r="UUF2" s="299"/>
      <c r="UUG2" s="299"/>
      <c r="UUH2" s="299"/>
      <c r="UUI2" s="299"/>
      <c r="UUJ2" s="299"/>
      <c r="UUK2" s="299"/>
      <c r="UUL2" s="299"/>
      <c r="UUM2" s="299"/>
      <c r="UUN2" s="299"/>
      <c r="UUO2" s="299"/>
      <c r="UUP2" s="299"/>
      <c r="UUQ2" s="299"/>
      <c r="UUR2" s="299"/>
      <c r="UUS2" s="299"/>
      <c r="UUT2" s="299"/>
      <c r="UUU2" s="299"/>
      <c r="UUV2" s="299"/>
      <c r="UUW2" s="299"/>
      <c r="UUX2" s="299"/>
      <c r="UUY2" s="299"/>
      <c r="UUZ2" s="299"/>
      <c r="UVA2" s="299"/>
      <c r="UVB2" s="299"/>
      <c r="UVC2" s="299"/>
      <c r="UVD2" s="299"/>
      <c r="UVE2" s="299"/>
      <c r="UVF2" s="299"/>
      <c r="UVG2" s="299"/>
      <c r="UVH2" s="299"/>
      <c r="UVI2" s="299"/>
      <c r="UVJ2" s="299"/>
      <c r="UVK2" s="299"/>
      <c r="UVL2" s="299"/>
      <c r="UVM2" s="299"/>
      <c r="UVN2" s="299"/>
      <c r="UVO2" s="299"/>
      <c r="UVP2" s="299"/>
      <c r="UVQ2" s="299"/>
      <c r="UVR2" s="299"/>
      <c r="UVS2" s="299"/>
      <c r="UVT2" s="299"/>
      <c r="UVU2" s="299"/>
      <c r="UVV2" s="299"/>
      <c r="UVW2" s="299"/>
      <c r="UVX2" s="299"/>
      <c r="UVY2" s="299"/>
      <c r="UVZ2" s="299"/>
      <c r="UWA2" s="299"/>
      <c r="UWB2" s="299"/>
      <c r="UWC2" s="299"/>
      <c r="UWD2" s="299"/>
      <c r="UWE2" s="299"/>
      <c r="UWF2" s="299"/>
      <c r="UWG2" s="299"/>
      <c r="UWH2" s="299"/>
      <c r="UWI2" s="299"/>
      <c r="UWJ2" s="299"/>
      <c r="UWK2" s="299"/>
      <c r="UWL2" s="299"/>
      <c r="UWM2" s="299"/>
      <c r="UWN2" s="299"/>
      <c r="UWO2" s="299"/>
      <c r="UWP2" s="299"/>
      <c r="UWQ2" s="299"/>
      <c r="UWR2" s="299"/>
      <c r="UWS2" s="299"/>
      <c r="UWT2" s="299"/>
      <c r="UWU2" s="299"/>
      <c r="UWV2" s="299"/>
      <c r="UWW2" s="299"/>
      <c r="UWX2" s="299"/>
      <c r="UWY2" s="299"/>
      <c r="UWZ2" s="299"/>
      <c r="UXA2" s="299"/>
      <c r="UXB2" s="299"/>
      <c r="UXC2" s="299"/>
      <c r="UXD2" s="299"/>
      <c r="UXE2" s="299"/>
      <c r="UXF2" s="299"/>
      <c r="UXG2" s="299"/>
      <c r="UXH2" s="299"/>
      <c r="UXI2" s="299"/>
      <c r="UXJ2" s="299"/>
      <c r="UXK2" s="299"/>
      <c r="UXL2" s="299"/>
      <c r="UXM2" s="299"/>
      <c r="UXN2" s="299"/>
      <c r="UXO2" s="299"/>
      <c r="UXP2" s="299"/>
      <c r="UXQ2" s="299"/>
      <c r="UXR2" s="299"/>
      <c r="UXS2" s="299"/>
      <c r="UXT2" s="299"/>
      <c r="UXU2" s="299"/>
      <c r="UXV2" s="299"/>
      <c r="UXW2" s="299"/>
      <c r="UXX2" s="299"/>
      <c r="UXY2" s="299"/>
      <c r="UXZ2" s="299"/>
      <c r="UYA2" s="299"/>
      <c r="UYB2" s="299"/>
      <c r="UYC2" s="299"/>
      <c r="UYD2" s="299"/>
      <c r="UYE2" s="299"/>
      <c r="UYF2" s="299"/>
      <c r="UYG2" s="299"/>
      <c r="UYH2" s="299"/>
      <c r="UYI2" s="299"/>
      <c r="UYJ2" s="299"/>
      <c r="UYK2" s="299"/>
      <c r="UYL2" s="299"/>
      <c r="UYM2" s="299"/>
      <c r="UYN2" s="299"/>
      <c r="UYO2" s="299"/>
      <c r="UYP2" s="299"/>
      <c r="UYQ2" s="299"/>
      <c r="UYR2" s="299"/>
      <c r="UYS2" s="299"/>
      <c r="UYT2" s="299"/>
      <c r="UYU2" s="299"/>
      <c r="UYV2" s="299"/>
      <c r="UYW2" s="299"/>
      <c r="UYX2" s="299"/>
      <c r="UYY2" s="299"/>
      <c r="UYZ2" s="299"/>
      <c r="UZA2" s="299"/>
      <c r="UZB2" s="299"/>
      <c r="UZC2" s="299"/>
      <c r="UZD2" s="299"/>
      <c r="UZE2" s="299"/>
      <c r="UZF2" s="299"/>
      <c r="UZG2" s="299"/>
      <c r="UZH2" s="299"/>
      <c r="UZI2" s="299"/>
      <c r="UZJ2" s="299"/>
      <c r="UZK2" s="299"/>
      <c r="UZL2" s="299"/>
      <c r="UZM2" s="299"/>
      <c r="UZN2" s="299"/>
      <c r="UZO2" s="299"/>
      <c r="UZP2" s="299"/>
      <c r="UZQ2" s="299"/>
      <c r="UZR2" s="299"/>
      <c r="UZS2" s="299"/>
      <c r="UZT2" s="299"/>
      <c r="UZU2" s="299"/>
      <c r="UZV2" s="299"/>
      <c r="UZW2" s="299"/>
      <c r="UZX2" s="299"/>
      <c r="UZY2" s="299"/>
      <c r="UZZ2" s="299"/>
      <c r="VAA2" s="299"/>
      <c r="VAB2" s="299"/>
      <c r="VAC2" s="299"/>
      <c r="VAD2" s="299"/>
      <c r="VAE2" s="299"/>
      <c r="VAF2" s="299"/>
      <c r="VAG2" s="299"/>
      <c r="VAH2" s="299"/>
      <c r="VAI2" s="299"/>
      <c r="VAJ2" s="299"/>
      <c r="VAK2" s="299"/>
      <c r="VAL2" s="299"/>
      <c r="VAM2" s="299"/>
      <c r="VAN2" s="299"/>
      <c r="VAO2" s="299"/>
      <c r="VAP2" s="299"/>
      <c r="VAQ2" s="299"/>
      <c r="VAR2" s="299"/>
      <c r="VAS2" s="299"/>
      <c r="VAT2" s="299"/>
      <c r="VAU2" s="299"/>
      <c r="VAV2" s="299"/>
      <c r="VAW2" s="299"/>
      <c r="VAX2" s="299"/>
      <c r="VAY2" s="299"/>
      <c r="VAZ2" s="299"/>
      <c r="VBA2" s="299"/>
      <c r="VBB2" s="299"/>
      <c r="VBC2" s="299"/>
      <c r="VBD2" s="299"/>
      <c r="VBE2" s="299"/>
      <c r="VBF2" s="299"/>
      <c r="VBG2" s="299"/>
      <c r="VBH2" s="299"/>
      <c r="VBI2" s="299"/>
      <c r="VBJ2" s="299"/>
      <c r="VBK2" s="299"/>
      <c r="VBL2" s="299"/>
      <c r="VBM2" s="299"/>
      <c r="VBN2" s="299"/>
      <c r="VBO2" s="299"/>
      <c r="VBP2" s="299"/>
      <c r="VBQ2" s="299"/>
      <c r="VBR2" s="299"/>
      <c r="VBS2" s="299"/>
      <c r="VBT2" s="299"/>
      <c r="VBU2" s="299"/>
      <c r="VBV2" s="299"/>
      <c r="VBW2" s="299"/>
      <c r="VBX2" s="299"/>
      <c r="VBY2" s="299"/>
      <c r="VBZ2" s="299"/>
      <c r="VCA2" s="299"/>
      <c r="VCB2" s="299"/>
      <c r="VCC2" s="299"/>
      <c r="VCD2" s="299"/>
      <c r="VCE2" s="299"/>
      <c r="VCF2" s="299"/>
      <c r="VCG2" s="299"/>
      <c r="VCH2" s="299"/>
      <c r="VCI2" s="299"/>
      <c r="VCJ2" s="299"/>
      <c r="VCK2" s="299"/>
      <c r="VCL2" s="299"/>
      <c r="VCM2" s="299"/>
      <c r="VCN2" s="299"/>
      <c r="VCO2" s="299"/>
      <c r="VCP2" s="299"/>
      <c r="VCQ2" s="299"/>
      <c r="VCR2" s="299"/>
      <c r="VCS2" s="299"/>
      <c r="VCT2" s="299"/>
      <c r="VCU2" s="299"/>
      <c r="VCV2" s="299"/>
      <c r="VCW2" s="299"/>
      <c r="VCX2" s="299"/>
      <c r="VCY2" s="299"/>
      <c r="VCZ2" s="299"/>
      <c r="VDA2" s="299"/>
      <c r="VDB2" s="299"/>
      <c r="VDC2" s="299"/>
      <c r="VDD2" s="299"/>
      <c r="VDE2" s="299"/>
      <c r="VDF2" s="299"/>
      <c r="VDG2" s="299"/>
      <c r="VDH2" s="299"/>
      <c r="VDI2" s="299"/>
      <c r="VDJ2" s="299"/>
      <c r="VDK2" s="299"/>
      <c r="VDL2" s="299"/>
      <c r="VDM2" s="299"/>
      <c r="VDN2" s="299"/>
      <c r="VDO2" s="299"/>
      <c r="VDP2" s="299"/>
      <c r="VDQ2" s="299"/>
      <c r="VDR2" s="299"/>
      <c r="VDS2" s="299"/>
      <c r="VDT2" s="299"/>
      <c r="VDU2" s="299"/>
      <c r="VDV2" s="299"/>
      <c r="VDW2" s="299"/>
      <c r="VDX2" s="299"/>
      <c r="VDY2" s="299"/>
      <c r="VDZ2" s="299"/>
      <c r="VEA2" s="299"/>
      <c r="VEB2" s="299"/>
      <c r="VEC2" s="299"/>
      <c r="VED2" s="299"/>
      <c r="VEE2" s="299"/>
      <c r="VEF2" s="299"/>
      <c r="VEG2" s="299"/>
      <c r="VEH2" s="299"/>
      <c r="VEI2" s="299"/>
      <c r="VEJ2" s="299"/>
      <c r="VEK2" s="299"/>
      <c r="VEL2" s="299"/>
      <c r="VEM2" s="299"/>
      <c r="VEN2" s="299"/>
      <c r="VEO2" s="299"/>
      <c r="VEP2" s="299"/>
      <c r="VEQ2" s="299"/>
      <c r="VER2" s="299"/>
      <c r="VES2" s="299"/>
      <c r="VET2" s="299"/>
      <c r="VEU2" s="299"/>
      <c r="VEV2" s="299"/>
      <c r="VEW2" s="299"/>
      <c r="VEX2" s="299"/>
      <c r="VEY2" s="299"/>
      <c r="VEZ2" s="299"/>
      <c r="VFA2" s="299"/>
      <c r="VFB2" s="299"/>
      <c r="VFC2" s="299"/>
      <c r="VFD2" s="299"/>
      <c r="VFE2" s="299"/>
      <c r="VFF2" s="299"/>
      <c r="VFG2" s="299"/>
      <c r="VFH2" s="299"/>
      <c r="VFI2" s="299"/>
      <c r="VFJ2" s="299"/>
      <c r="VFK2" s="299"/>
      <c r="VFL2" s="299"/>
      <c r="VFM2" s="299"/>
      <c r="VFN2" s="299"/>
      <c r="VFO2" s="299"/>
      <c r="VFP2" s="299"/>
      <c r="VFQ2" s="299"/>
      <c r="VFR2" s="299"/>
      <c r="VFS2" s="299"/>
      <c r="VFT2" s="299"/>
      <c r="VFU2" s="299"/>
      <c r="VFV2" s="299"/>
      <c r="VFW2" s="299"/>
      <c r="VFX2" s="299"/>
      <c r="VFY2" s="299"/>
      <c r="VFZ2" s="299"/>
      <c r="VGA2" s="299"/>
      <c r="VGB2" s="299"/>
      <c r="VGC2" s="299"/>
      <c r="VGD2" s="299"/>
      <c r="VGE2" s="299"/>
      <c r="VGF2" s="299"/>
      <c r="VGG2" s="299"/>
      <c r="VGH2" s="299"/>
      <c r="VGI2" s="299"/>
      <c r="VGJ2" s="299"/>
      <c r="VGK2" s="299"/>
      <c r="VGL2" s="299"/>
      <c r="VGM2" s="299"/>
      <c r="VGN2" s="299"/>
      <c r="VGO2" s="299"/>
      <c r="VGP2" s="299"/>
      <c r="VGQ2" s="299"/>
      <c r="VGR2" s="299"/>
      <c r="VGS2" s="299"/>
      <c r="VGT2" s="299"/>
      <c r="VGU2" s="299"/>
      <c r="VGV2" s="299"/>
      <c r="VGW2" s="299"/>
      <c r="VGX2" s="299"/>
      <c r="VGY2" s="299"/>
      <c r="VGZ2" s="299"/>
      <c r="VHA2" s="299"/>
      <c r="VHB2" s="299"/>
      <c r="VHC2" s="299"/>
      <c r="VHD2" s="299"/>
      <c r="VHE2" s="299"/>
      <c r="VHF2" s="299"/>
      <c r="VHG2" s="299"/>
      <c r="VHH2" s="299"/>
      <c r="VHI2" s="299"/>
      <c r="VHJ2" s="299"/>
      <c r="VHK2" s="299"/>
      <c r="VHL2" s="299"/>
      <c r="VHM2" s="299"/>
      <c r="VHN2" s="299"/>
      <c r="VHO2" s="299"/>
      <c r="VHP2" s="299"/>
      <c r="VHQ2" s="299"/>
      <c r="VHR2" s="299"/>
      <c r="VHS2" s="299"/>
      <c r="VHT2" s="299"/>
      <c r="VHU2" s="299"/>
      <c r="VHV2" s="299"/>
      <c r="VHW2" s="299"/>
      <c r="VHX2" s="299"/>
      <c r="VHY2" s="299"/>
      <c r="VHZ2" s="299"/>
      <c r="VIA2" s="299"/>
      <c r="VIB2" s="299"/>
      <c r="VIC2" s="299"/>
      <c r="VID2" s="299"/>
      <c r="VIE2" s="299"/>
      <c r="VIF2" s="299"/>
      <c r="VIG2" s="299"/>
      <c r="VIH2" s="299"/>
      <c r="VII2" s="299"/>
      <c r="VIJ2" s="299"/>
      <c r="VIK2" s="299"/>
      <c r="VIL2" s="299"/>
      <c r="VIM2" s="299"/>
      <c r="VIN2" s="299"/>
      <c r="VIO2" s="299"/>
      <c r="VIP2" s="299"/>
      <c r="VIQ2" s="299"/>
      <c r="VIR2" s="299"/>
      <c r="VIS2" s="299"/>
      <c r="VIT2" s="299"/>
      <c r="VIU2" s="299"/>
      <c r="VIV2" s="299"/>
      <c r="VIW2" s="299"/>
      <c r="VIX2" s="299"/>
      <c r="VIY2" s="299"/>
      <c r="VIZ2" s="299"/>
      <c r="VJA2" s="299"/>
      <c r="VJB2" s="299"/>
      <c r="VJC2" s="299"/>
      <c r="VJD2" s="299"/>
      <c r="VJE2" s="299"/>
      <c r="VJF2" s="299"/>
      <c r="VJG2" s="299"/>
      <c r="VJH2" s="299"/>
      <c r="VJI2" s="299"/>
      <c r="VJJ2" s="299"/>
      <c r="VJK2" s="299"/>
      <c r="VJL2" s="299"/>
      <c r="VJM2" s="299"/>
      <c r="VJN2" s="299"/>
      <c r="VJO2" s="299"/>
      <c r="VJP2" s="299"/>
      <c r="VJQ2" s="299"/>
      <c r="VJR2" s="299"/>
      <c r="VJS2" s="299"/>
      <c r="VJT2" s="299"/>
      <c r="VJU2" s="299"/>
      <c r="VJV2" s="299"/>
      <c r="VJW2" s="299"/>
      <c r="VJX2" s="299"/>
      <c r="VJY2" s="299"/>
      <c r="VJZ2" s="299"/>
      <c r="VKA2" s="299"/>
      <c r="VKB2" s="299"/>
      <c r="VKC2" s="299"/>
      <c r="VKD2" s="299"/>
      <c r="VKE2" s="299"/>
      <c r="VKF2" s="299"/>
      <c r="VKG2" s="299"/>
      <c r="VKH2" s="299"/>
      <c r="VKI2" s="299"/>
      <c r="VKJ2" s="299"/>
      <c r="VKK2" s="299"/>
      <c r="VKL2" s="299"/>
      <c r="VKM2" s="299"/>
      <c r="VKN2" s="299"/>
      <c r="VKO2" s="299"/>
      <c r="VKP2" s="299"/>
      <c r="VKQ2" s="299"/>
      <c r="VKR2" s="299"/>
      <c r="VKS2" s="299"/>
      <c r="VKT2" s="299"/>
      <c r="VKU2" s="299"/>
      <c r="VKV2" s="299"/>
      <c r="VKW2" s="299"/>
      <c r="VKX2" s="299"/>
      <c r="VKY2" s="299"/>
      <c r="VKZ2" s="299"/>
      <c r="VLA2" s="299"/>
      <c r="VLB2" s="299"/>
      <c r="VLC2" s="299"/>
      <c r="VLD2" s="299"/>
      <c r="VLE2" s="299"/>
      <c r="VLF2" s="299"/>
      <c r="VLG2" s="299"/>
      <c r="VLH2" s="299"/>
      <c r="VLI2" s="299"/>
      <c r="VLJ2" s="299"/>
      <c r="VLK2" s="299"/>
      <c r="VLL2" s="299"/>
      <c r="VLM2" s="299"/>
      <c r="VLN2" s="299"/>
      <c r="VLO2" s="299"/>
      <c r="VLP2" s="299"/>
      <c r="VLQ2" s="299"/>
      <c r="VLR2" s="299"/>
      <c r="VLS2" s="299"/>
      <c r="VLT2" s="299"/>
      <c r="VLU2" s="299"/>
      <c r="VLV2" s="299"/>
      <c r="VLW2" s="299"/>
      <c r="VLX2" s="299"/>
      <c r="VLY2" s="299"/>
      <c r="VLZ2" s="299"/>
      <c r="VMA2" s="299"/>
      <c r="VMB2" s="299"/>
      <c r="VMC2" s="299"/>
      <c r="VMD2" s="299"/>
      <c r="VME2" s="299"/>
      <c r="VMF2" s="299"/>
      <c r="VMG2" s="299"/>
      <c r="VMH2" s="299"/>
      <c r="VMI2" s="299"/>
      <c r="VMJ2" s="299"/>
      <c r="VMK2" s="299"/>
      <c r="VML2" s="299"/>
      <c r="VMM2" s="299"/>
      <c r="VMN2" s="299"/>
      <c r="VMO2" s="299"/>
      <c r="VMP2" s="299"/>
      <c r="VMQ2" s="299"/>
      <c r="VMR2" s="299"/>
      <c r="VMS2" s="299"/>
      <c r="VMT2" s="299"/>
      <c r="VMU2" s="299"/>
      <c r="VMV2" s="299"/>
      <c r="VMW2" s="299"/>
      <c r="VMX2" s="299"/>
      <c r="VMY2" s="299"/>
      <c r="VMZ2" s="299"/>
      <c r="VNA2" s="299"/>
      <c r="VNB2" s="299"/>
      <c r="VNC2" s="299"/>
      <c r="VND2" s="299"/>
      <c r="VNE2" s="299"/>
      <c r="VNF2" s="299"/>
      <c r="VNG2" s="299"/>
      <c r="VNH2" s="299"/>
      <c r="VNI2" s="299"/>
      <c r="VNJ2" s="299"/>
      <c r="VNK2" s="299"/>
      <c r="VNL2" s="299"/>
      <c r="VNM2" s="299"/>
      <c r="VNN2" s="299"/>
      <c r="VNO2" s="299"/>
      <c r="VNP2" s="299"/>
      <c r="VNQ2" s="299"/>
      <c r="VNR2" s="299"/>
      <c r="VNS2" s="299"/>
      <c r="VNT2" s="299"/>
      <c r="VNU2" s="299"/>
      <c r="VNV2" s="299"/>
      <c r="VNW2" s="299"/>
      <c r="VNX2" s="299"/>
      <c r="VNY2" s="299"/>
      <c r="VNZ2" s="299"/>
      <c r="VOA2" s="299"/>
      <c r="VOB2" s="299"/>
      <c r="VOC2" s="299"/>
      <c r="VOD2" s="299"/>
      <c r="VOE2" s="299"/>
      <c r="VOF2" s="299"/>
      <c r="VOG2" s="299"/>
      <c r="VOH2" s="299"/>
      <c r="VOI2" s="299"/>
      <c r="VOJ2" s="299"/>
      <c r="VOK2" s="299"/>
      <c r="VOL2" s="299"/>
      <c r="VOM2" s="299"/>
      <c r="VON2" s="299"/>
      <c r="VOO2" s="299"/>
      <c r="VOP2" s="299"/>
      <c r="VOQ2" s="299"/>
      <c r="VOR2" s="299"/>
      <c r="VOS2" s="299"/>
      <c r="VOT2" s="299"/>
      <c r="VOU2" s="299"/>
      <c r="VOV2" s="299"/>
      <c r="VOW2" s="299"/>
      <c r="VOX2" s="299"/>
      <c r="VOY2" s="299"/>
      <c r="VOZ2" s="299"/>
      <c r="VPA2" s="299"/>
      <c r="VPB2" s="299"/>
      <c r="VPC2" s="299"/>
      <c r="VPD2" s="299"/>
      <c r="VPE2" s="299"/>
      <c r="VPF2" s="299"/>
      <c r="VPG2" s="299"/>
      <c r="VPH2" s="299"/>
      <c r="VPI2" s="299"/>
      <c r="VPJ2" s="299"/>
      <c r="VPK2" s="299"/>
      <c r="VPL2" s="299"/>
      <c r="VPM2" s="299"/>
      <c r="VPN2" s="299"/>
      <c r="VPO2" s="299"/>
      <c r="VPP2" s="299"/>
      <c r="VPQ2" s="299"/>
      <c r="VPR2" s="299"/>
      <c r="VPS2" s="299"/>
      <c r="VPT2" s="299"/>
      <c r="VPU2" s="299"/>
      <c r="VPV2" s="299"/>
      <c r="VPW2" s="299"/>
      <c r="VPX2" s="299"/>
      <c r="VPY2" s="299"/>
      <c r="VPZ2" s="299"/>
      <c r="VQA2" s="299"/>
      <c r="VQB2" s="299"/>
      <c r="VQC2" s="299"/>
      <c r="VQD2" s="299"/>
      <c r="VQE2" s="299"/>
      <c r="VQF2" s="299"/>
      <c r="VQG2" s="299"/>
      <c r="VQH2" s="299"/>
      <c r="VQI2" s="299"/>
      <c r="VQJ2" s="299"/>
      <c r="VQK2" s="299"/>
      <c r="VQL2" s="299"/>
      <c r="VQM2" s="299"/>
      <c r="VQN2" s="299"/>
      <c r="VQO2" s="299"/>
      <c r="VQP2" s="299"/>
      <c r="VQQ2" s="299"/>
      <c r="VQR2" s="299"/>
      <c r="VQS2" s="299"/>
      <c r="VQT2" s="299"/>
      <c r="VQU2" s="299"/>
      <c r="VQV2" s="299"/>
      <c r="VQW2" s="299"/>
      <c r="VQX2" s="299"/>
      <c r="VQY2" s="299"/>
      <c r="VQZ2" s="299"/>
      <c r="VRA2" s="299"/>
      <c r="VRB2" s="299"/>
      <c r="VRC2" s="299"/>
      <c r="VRD2" s="299"/>
      <c r="VRE2" s="299"/>
      <c r="VRF2" s="299"/>
      <c r="VRG2" s="299"/>
      <c r="VRH2" s="299"/>
      <c r="VRI2" s="299"/>
      <c r="VRJ2" s="299"/>
      <c r="VRK2" s="299"/>
      <c r="VRL2" s="299"/>
      <c r="VRM2" s="299"/>
      <c r="VRN2" s="299"/>
      <c r="VRO2" s="299"/>
      <c r="VRP2" s="299"/>
      <c r="VRQ2" s="299"/>
      <c r="VRR2" s="299"/>
      <c r="VRS2" s="299"/>
      <c r="VRT2" s="299"/>
      <c r="VRU2" s="299"/>
      <c r="VRV2" s="299"/>
      <c r="VRW2" s="299"/>
      <c r="VRX2" s="299"/>
      <c r="VRY2" s="299"/>
      <c r="VRZ2" s="299"/>
      <c r="VSA2" s="299"/>
      <c r="VSB2" s="299"/>
      <c r="VSC2" s="299"/>
      <c r="VSD2" s="299"/>
      <c r="VSE2" s="299"/>
      <c r="VSF2" s="299"/>
      <c r="VSG2" s="299"/>
      <c r="VSH2" s="299"/>
      <c r="VSI2" s="299"/>
      <c r="VSJ2" s="299"/>
      <c r="VSK2" s="299"/>
      <c r="VSL2" s="299"/>
      <c r="VSM2" s="299"/>
      <c r="VSN2" s="299"/>
      <c r="VSO2" s="299"/>
      <c r="VSP2" s="299"/>
      <c r="VSQ2" s="299"/>
      <c r="VSR2" s="299"/>
      <c r="VSS2" s="299"/>
      <c r="VST2" s="299"/>
      <c r="VSU2" s="299"/>
      <c r="VSV2" s="299"/>
      <c r="VSW2" s="299"/>
      <c r="VSX2" s="299"/>
      <c r="VSY2" s="299"/>
      <c r="VSZ2" s="299"/>
      <c r="VTA2" s="299"/>
      <c r="VTB2" s="299"/>
      <c r="VTC2" s="299"/>
      <c r="VTD2" s="299"/>
      <c r="VTE2" s="299"/>
      <c r="VTF2" s="299"/>
      <c r="VTG2" s="299"/>
      <c r="VTH2" s="299"/>
      <c r="VTI2" s="299"/>
      <c r="VTJ2" s="299"/>
      <c r="VTK2" s="299"/>
      <c r="VTL2" s="299"/>
      <c r="VTM2" s="299"/>
      <c r="VTN2" s="299"/>
      <c r="VTO2" s="299"/>
      <c r="VTP2" s="299"/>
      <c r="VTQ2" s="299"/>
      <c r="VTR2" s="299"/>
      <c r="VTS2" s="299"/>
      <c r="VTT2" s="299"/>
      <c r="VTU2" s="299"/>
      <c r="VTV2" s="299"/>
      <c r="VTW2" s="299"/>
      <c r="VTX2" s="299"/>
      <c r="VTY2" s="299"/>
      <c r="VTZ2" s="299"/>
      <c r="VUA2" s="299"/>
      <c r="VUB2" s="299"/>
      <c r="VUC2" s="299"/>
      <c r="VUD2" s="299"/>
      <c r="VUE2" s="299"/>
      <c r="VUF2" s="299"/>
      <c r="VUG2" s="299"/>
      <c r="VUH2" s="299"/>
      <c r="VUI2" s="299"/>
      <c r="VUJ2" s="299"/>
      <c r="VUK2" s="299"/>
      <c r="VUL2" s="299"/>
      <c r="VUM2" s="299"/>
      <c r="VUN2" s="299"/>
      <c r="VUO2" s="299"/>
      <c r="VUP2" s="299"/>
      <c r="VUQ2" s="299"/>
      <c r="VUR2" s="299"/>
      <c r="VUS2" s="299"/>
      <c r="VUT2" s="299"/>
      <c r="VUU2" s="299"/>
      <c r="VUV2" s="299"/>
      <c r="VUW2" s="299"/>
      <c r="VUX2" s="299"/>
      <c r="VUY2" s="299"/>
      <c r="VUZ2" s="299"/>
      <c r="VVA2" s="299"/>
      <c r="VVB2" s="299"/>
      <c r="VVC2" s="299"/>
      <c r="VVD2" s="299"/>
      <c r="VVE2" s="299"/>
      <c r="VVF2" s="299"/>
      <c r="VVG2" s="299"/>
      <c r="VVH2" s="299"/>
      <c r="VVI2" s="299"/>
      <c r="VVJ2" s="299"/>
      <c r="VVK2" s="299"/>
      <c r="VVL2" s="299"/>
      <c r="VVM2" s="299"/>
      <c r="VVN2" s="299"/>
      <c r="VVO2" s="299"/>
      <c r="VVP2" s="299"/>
      <c r="VVQ2" s="299"/>
      <c r="VVR2" s="299"/>
      <c r="VVS2" s="299"/>
      <c r="VVT2" s="299"/>
      <c r="VVU2" s="299"/>
      <c r="VVV2" s="299"/>
      <c r="VVW2" s="299"/>
      <c r="VVX2" s="299"/>
      <c r="VVY2" s="299"/>
      <c r="VVZ2" s="299"/>
      <c r="VWA2" s="299"/>
      <c r="VWB2" s="299"/>
      <c r="VWC2" s="299"/>
      <c r="VWD2" s="299"/>
      <c r="VWE2" s="299"/>
      <c r="VWF2" s="299"/>
      <c r="VWG2" s="299"/>
      <c r="VWH2" s="299"/>
      <c r="VWI2" s="299"/>
      <c r="VWJ2" s="299"/>
      <c r="VWK2" s="299"/>
      <c r="VWL2" s="299"/>
      <c r="VWM2" s="299"/>
      <c r="VWN2" s="299"/>
      <c r="VWO2" s="299"/>
      <c r="VWP2" s="299"/>
      <c r="VWQ2" s="299"/>
      <c r="VWR2" s="299"/>
      <c r="VWS2" s="299"/>
      <c r="VWT2" s="299"/>
      <c r="VWU2" s="299"/>
      <c r="VWV2" s="299"/>
      <c r="VWW2" s="299"/>
      <c r="VWX2" s="299"/>
      <c r="VWY2" s="299"/>
      <c r="VWZ2" s="299"/>
      <c r="VXA2" s="299"/>
      <c r="VXB2" s="299"/>
      <c r="VXC2" s="299"/>
      <c r="VXD2" s="299"/>
      <c r="VXE2" s="299"/>
      <c r="VXF2" s="299"/>
      <c r="VXG2" s="299"/>
      <c r="VXH2" s="299"/>
      <c r="VXI2" s="299"/>
      <c r="VXJ2" s="299"/>
      <c r="VXK2" s="299"/>
      <c r="VXL2" s="299"/>
      <c r="VXM2" s="299"/>
      <c r="VXN2" s="299"/>
      <c r="VXO2" s="299"/>
      <c r="VXP2" s="299"/>
      <c r="VXQ2" s="299"/>
      <c r="VXR2" s="299"/>
      <c r="VXS2" s="299"/>
      <c r="VXT2" s="299"/>
      <c r="VXU2" s="299"/>
      <c r="VXV2" s="299"/>
      <c r="VXW2" s="299"/>
      <c r="VXX2" s="299"/>
      <c r="VXY2" s="299"/>
      <c r="VXZ2" s="299"/>
      <c r="VYA2" s="299"/>
      <c r="VYB2" s="299"/>
      <c r="VYC2" s="299"/>
      <c r="VYD2" s="299"/>
      <c r="VYE2" s="299"/>
      <c r="VYF2" s="299"/>
      <c r="VYG2" s="299"/>
      <c r="VYH2" s="299"/>
      <c r="VYI2" s="299"/>
      <c r="VYJ2" s="299"/>
      <c r="VYK2" s="299"/>
      <c r="VYL2" s="299"/>
      <c r="VYM2" s="299"/>
      <c r="VYN2" s="299"/>
      <c r="VYO2" s="299"/>
      <c r="VYP2" s="299"/>
      <c r="VYQ2" s="299"/>
      <c r="VYR2" s="299"/>
      <c r="VYS2" s="299"/>
      <c r="VYT2" s="299"/>
      <c r="VYU2" s="299"/>
      <c r="VYV2" s="299"/>
      <c r="VYW2" s="299"/>
      <c r="VYX2" s="299"/>
      <c r="VYY2" s="299"/>
      <c r="VYZ2" s="299"/>
      <c r="VZA2" s="299"/>
      <c r="VZB2" s="299"/>
      <c r="VZC2" s="299"/>
      <c r="VZD2" s="299"/>
      <c r="VZE2" s="299"/>
      <c r="VZF2" s="299"/>
      <c r="VZG2" s="299"/>
      <c r="VZH2" s="299"/>
      <c r="VZI2" s="299"/>
      <c r="VZJ2" s="299"/>
      <c r="VZK2" s="299"/>
      <c r="VZL2" s="299"/>
      <c r="VZM2" s="299"/>
      <c r="VZN2" s="299"/>
      <c r="VZO2" s="299"/>
      <c r="VZP2" s="299"/>
      <c r="VZQ2" s="299"/>
      <c r="VZR2" s="299"/>
      <c r="VZS2" s="299"/>
      <c r="VZT2" s="299"/>
      <c r="VZU2" s="299"/>
      <c r="VZV2" s="299"/>
      <c r="VZW2" s="299"/>
      <c r="VZX2" s="299"/>
      <c r="VZY2" s="299"/>
      <c r="VZZ2" s="299"/>
      <c r="WAA2" s="299"/>
      <c r="WAB2" s="299"/>
      <c r="WAC2" s="299"/>
      <c r="WAD2" s="299"/>
      <c r="WAE2" s="299"/>
      <c r="WAF2" s="299"/>
      <c r="WAG2" s="299"/>
      <c r="WAH2" s="299"/>
      <c r="WAI2" s="299"/>
      <c r="WAJ2" s="299"/>
      <c r="WAK2" s="299"/>
      <c r="WAL2" s="299"/>
      <c r="WAM2" s="299"/>
      <c r="WAN2" s="299"/>
      <c r="WAO2" s="299"/>
      <c r="WAP2" s="299"/>
      <c r="WAQ2" s="299"/>
      <c r="WAR2" s="299"/>
      <c r="WAS2" s="299"/>
      <c r="WAT2" s="299"/>
      <c r="WAU2" s="299"/>
      <c r="WAV2" s="299"/>
      <c r="WAW2" s="299"/>
      <c r="WAX2" s="299"/>
      <c r="WAY2" s="299"/>
      <c r="WAZ2" s="299"/>
      <c r="WBA2" s="299"/>
      <c r="WBB2" s="299"/>
      <c r="WBC2" s="299"/>
      <c r="WBD2" s="299"/>
      <c r="WBE2" s="299"/>
      <c r="WBF2" s="299"/>
      <c r="WBG2" s="299"/>
      <c r="WBH2" s="299"/>
      <c r="WBI2" s="299"/>
      <c r="WBJ2" s="299"/>
      <c r="WBK2" s="299"/>
      <c r="WBL2" s="299"/>
      <c r="WBM2" s="299"/>
      <c r="WBN2" s="299"/>
      <c r="WBO2" s="299"/>
      <c r="WBP2" s="299"/>
      <c r="WBQ2" s="299"/>
      <c r="WBR2" s="299"/>
      <c r="WBS2" s="299"/>
      <c r="WBT2" s="299"/>
      <c r="WBU2" s="299"/>
      <c r="WBV2" s="299"/>
      <c r="WBW2" s="299"/>
      <c r="WBX2" s="299"/>
      <c r="WBY2" s="299"/>
      <c r="WBZ2" s="299"/>
      <c r="WCA2" s="299"/>
      <c r="WCB2" s="299"/>
      <c r="WCC2" s="299"/>
      <c r="WCD2" s="299"/>
      <c r="WCE2" s="299"/>
      <c r="WCF2" s="299"/>
      <c r="WCG2" s="299"/>
      <c r="WCH2" s="299"/>
      <c r="WCI2" s="299"/>
      <c r="WCJ2" s="299"/>
      <c r="WCK2" s="299"/>
      <c r="WCL2" s="299"/>
      <c r="WCM2" s="299"/>
      <c r="WCN2" s="299"/>
      <c r="WCO2" s="299"/>
      <c r="WCP2" s="299"/>
      <c r="WCQ2" s="299"/>
      <c r="WCR2" s="299"/>
      <c r="WCS2" s="299"/>
      <c r="WCT2" s="299"/>
      <c r="WCU2" s="299"/>
      <c r="WCV2" s="299"/>
      <c r="WCW2" s="299"/>
      <c r="WCX2" s="299"/>
      <c r="WCY2" s="299"/>
      <c r="WCZ2" s="299"/>
      <c r="WDA2" s="299"/>
      <c r="WDB2" s="299"/>
      <c r="WDC2" s="299"/>
      <c r="WDD2" s="299"/>
      <c r="WDE2" s="299"/>
      <c r="WDF2" s="299"/>
      <c r="WDG2" s="299"/>
      <c r="WDH2" s="299"/>
      <c r="WDI2" s="299"/>
      <c r="WDJ2" s="299"/>
      <c r="WDK2" s="299"/>
      <c r="WDL2" s="299"/>
      <c r="WDM2" s="299"/>
      <c r="WDN2" s="299"/>
      <c r="WDO2" s="299"/>
      <c r="WDP2" s="299"/>
      <c r="WDQ2" s="299"/>
      <c r="WDR2" s="299"/>
      <c r="WDS2" s="299"/>
      <c r="WDT2" s="299"/>
      <c r="WDU2" s="299"/>
      <c r="WDV2" s="299"/>
      <c r="WDW2" s="299"/>
      <c r="WDX2" s="299"/>
      <c r="WDY2" s="299"/>
      <c r="WDZ2" s="299"/>
      <c r="WEA2" s="299"/>
      <c r="WEB2" s="299"/>
      <c r="WEC2" s="299"/>
      <c r="WED2" s="299"/>
      <c r="WEE2" s="299"/>
      <c r="WEF2" s="299"/>
      <c r="WEG2" s="299"/>
      <c r="WEH2" s="299"/>
      <c r="WEI2" s="299"/>
      <c r="WEJ2" s="299"/>
      <c r="WEK2" s="299"/>
      <c r="WEL2" s="299"/>
      <c r="WEM2" s="299"/>
      <c r="WEN2" s="299"/>
      <c r="WEO2" s="299"/>
      <c r="WEP2" s="299"/>
      <c r="WEQ2" s="299"/>
      <c r="WER2" s="299"/>
      <c r="WES2" s="299"/>
      <c r="WET2" s="299"/>
      <c r="WEU2" s="299"/>
      <c r="WEV2" s="299"/>
      <c r="WEW2" s="299"/>
      <c r="WEX2" s="299"/>
      <c r="WEY2" s="299"/>
      <c r="WEZ2" s="299"/>
      <c r="WFA2" s="299"/>
      <c r="WFB2" s="299"/>
      <c r="WFC2" s="299"/>
      <c r="WFD2" s="299"/>
      <c r="WFE2" s="299"/>
      <c r="WFF2" s="299"/>
      <c r="WFG2" s="299"/>
      <c r="WFH2" s="299"/>
      <c r="WFI2" s="299"/>
      <c r="WFJ2" s="299"/>
      <c r="WFK2" s="299"/>
      <c r="WFL2" s="299"/>
      <c r="WFM2" s="299"/>
      <c r="WFN2" s="299"/>
      <c r="WFO2" s="299"/>
      <c r="WFP2" s="299"/>
      <c r="WFQ2" s="299"/>
      <c r="WFR2" s="299"/>
      <c r="WFS2" s="299"/>
      <c r="WFT2" s="299"/>
      <c r="WFU2" s="299"/>
      <c r="WFV2" s="299"/>
      <c r="WFW2" s="299"/>
      <c r="WFX2" s="299"/>
      <c r="WFY2" s="299"/>
      <c r="WFZ2" s="299"/>
      <c r="WGA2" s="299"/>
      <c r="WGB2" s="299"/>
      <c r="WGC2" s="299"/>
      <c r="WGD2" s="299"/>
      <c r="WGE2" s="299"/>
      <c r="WGF2" s="299"/>
      <c r="WGG2" s="299"/>
      <c r="WGH2" s="299"/>
      <c r="WGI2" s="299"/>
      <c r="WGJ2" s="299"/>
      <c r="WGK2" s="299"/>
      <c r="WGL2" s="299"/>
      <c r="WGM2" s="299"/>
      <c r="WGN2" s="299"/>
      <c r="WGO2" s="299"/>
      <c r="WGP2" s="299"/>
      <c r="WGQ2" s="299"/>
      <c r="WGR2" s="299"/>
      <c r="WGS2" s="299"/>
      <c r="WGT2" s="299"/>
      <c r="WGU2" s="299"/>
      <c r="WGV2" s="299"/>
      <c r="WGW2" s="299"/>
      <c r="WGX2" s="299"/>
      <c r="WGY2" s="299"/>
      <c r="WGZ2" s="299"/>
      <c r="WHA2" s="299"/>
      <c r="WHB2" s="299"/>
      <c r="WHC2" s="299"/>
      <c r="WHD2" s="299"/>
      <c r="WHE2" s="299"/>
      <c r="WHF2" s="299"/>
      <c r="WHG2" s="299"/>
      <c r="WHH2" s="299"/>
      <c r="WHI2" s="299"/>
      <c r="WHJ2" s="299"/>
      <c r="WHK2" s="299"/>
      <c r="WHL2" s="299"/>
      <c r="WHM2" s="299"/>
      <c r="WHN2" s="299"/>
      <c r="WHO2" s="299"/>
      <c r="WHP2" s="299"/>
      <c r="WHQ2" s="299"/>
      <c r="WHR2" s="299"/>
      <c r="WHS2" s="299"/>
      <c r="WHT2" s="299"/>
      <c r="WHU2" s="299"/>
      <c r="WHV2" s="299"/>
      <c r="WHW2" s="299"/>
      <c r="WHX2" s="299"/>
      <c r="WHY2" s="299"/>
      <c r="WHZ2" s="299"/>
      <c r="WIA2" s="299"/>
      <c r="WIB2" s="299"/>
      <c r="WIC2" s="299"/>
      <c r="WID2" s="299"/>
      <c r="WIE2" s="299"/>
      <c r="WIF2" s="299"/>
      <c r="WIG2" s="299"/>
      <c r="WIH2" s="299"/>
      <c r="WII2" s="299"/>
      <c r="WIJ2" s="299"/>
      <c r="WIK2" s="299"/>
      <c r="WIL2" s="299"/>
      <c r="WIM2" s="299"/>
      <c r="WIN2" s="299"/>
      <c r="WIO2" s="299"/>
      <c r="WIP2" s="299"/>
      <c r="WIQ2" s="299"/>
      <c r="WIR2" s="299"/>
      <c r="WIS2" s="299"/>
      <c r="WIT2" s="299"/>
      <c r="WIU2" s="299"/>
      <c r="WIV2" s="299"/>
      <c r="WIW2" s="299"/>
      <c r="WIX2" s="299"/>
      <c r="WIY2" s="299"/>
      <c r="WIZ2" s="299"/>
      <c r="WJA2" s="299"/>
      <c r="WJB2" s="299"/>
      <c r="WJC2" s="299"/>
      <c r="WJD2" s="299"/>
      <c r="WJE2" s="299"/>
      <c r="WJF2" s="299"/>
      <c r="WJG2" s="299"/>
      <c r="WJH2" s="299"/>
      <c r="WJI2" s="299"/>
      <c r="WJJ2" s="299"/>
      <c r="WJK2" s="299"/>
      <c r="WJL2" s="299"/>
      <c r="WJM2" s="299"/>
      <c r="WJN2" s="299"/>
      <c r="WJO2" s="299"/>
      <c r="WJP2" s="299"/>
      <c r="WJQ2" s="299"/>
      <c r="WJR2" s="299"/>
      <c r="WJS2" s="299"/>
      <c r="WJT2" s="299"/>
      <c r="WJU2" s="299"/>
      <c r="WJV2" s="299"/>
      <c r="WJW2" s="299"/>
      <c r="WJX2" s="299"/>
      <c r="WJY2" s="299"/>
      <c r="WJZ2" s="299"/>
      <c r="WKA2" s="299"/>
      <c r="WKB2" s="299"/>
      <c r="WKC2" s="299"/>
      <c r="WKD2" s="299"/>
      <c r="WKE2" s="299"/>
      <c r="WKF2" s="299"/>
      <c r="WKG2" s="299"/>
      <c r="WKH2" s="299"/>
      <c r="WKI2" s="299"/>
      <c r="WKJ2" s="299"/>
      <c r="WKK2" s="299"/>
      <c r="WKL2" s="299"/>
      <c r="WKM2" s="299"/>
      <c r="WKN2" s="299"/>
      <c r="WKO2" s="299"/>
      <c r="WKP2" s="299"/>
      <c r="WKQ2" s="299"/>
      <c r="WKR2" s="299"/>
      <c r="WKS2" s="299"/>
      <c r="WKT2" s="299"/>
      <c r="WKU2" s="299"/>
      <c r="WKV2" s="299"/>
      <c r="WKW2" s="299"/>
      <c r="WKX2" s="299"/>
      <c r="WKY2" s="299"/>
      <c r="WKZ2" s="299"/>
      <c r="WLA2" s="299"/>
      <c r="WLB2" s="299"/>
      <c r="WLC2" s="299"/>
      <c r="WLD2" s="299"/>
      <c r="WLE2" s="299"/>
      <c r="WLF2" s="299"/>
      <c r="WLG2" s="299"/>
      <c r="WLH2" s="299"/>
      <c r="WLI2" s="299"/>
      <c r="WLJ2" s="299"/>
      <c r="WLK2" s="299"/>
      <c r="WLL2" s="299"/>
      <c r="WLM2" s="299"/>
      <c r="WLN2" s="299"/>
      <c r="WLO2" s="299"/>
      <c r="WLP2" s="299"/>
      <c r="WLQ2" s="299"/>
      <c r="WLR2" s="299"/>
      <c r="WLS2" s="299"/>
      <c r="WLT2" s="299"/>
      <c r="WLU2" s="299"/>
      <c r="WLV2" s="299"/>
      <c r="WLW2" s="299"/>
      <c r="WLX2" s="299"/>
      <c r="WLY2" s="299"/>
      <c r="WLZ2" s="299"/>
      <c r="WMA2" s="299"/>
      <c r="WMB2" s="299"/>
      <c r="WMC2" s="299"/>
      <c r="WMD2" s="299"/>
      <c r="WME2" s="299"/>
      <c r="WMF2" s="299"/>
      <c r="WMG2" s="299"/>
      <c r="WMH2" s="299"/>
      <c r="WMI2" s="299"/>
      <c r="WMJ2" s="299"/>
      <c r="WMK2" s="299"/>
      <c r="WML2" s="299"/>
      <c r="WMM2" s="299"/>
      <c r="WMN2" s="299"/>
      <c r="WMO2" s="299"/>
      <c r="WMP2" s="299"/>
      <c r="WMQ2" s="299"/>
      <c r="WMR2" s="299"/>
      <c r="WMS2" s="299"/>
      <c r="WMT2" s="299"/>
      <c r="WMU2" s="299"/>
      <c r="WMV2" s="299"/>
      <c r="WMW2" s="299"/>
      <c r="WMX2" s="299"/>
      <c r="WMY2" s="299"/>
      <c r="WMZ2" s="299"/>
      <c r="WNA2" s="299"/>
      <c r="WNB2" s="299"/>
      <c r="WNC2" s="299"/>
      <c r="WND2" s="299"/>
      <c r="WNE2" s="299"/>
      <c r="WNF2" s="299"/>
      <c r="WNG2" s="299"/>
      <c r="WNH2" s="299"/>
      <c r="WNI2" s="299"/>
      <c r="WNJ2" s="299"/>
      <c r="WNK2" s="299"/>
      <c r="WNL2" s="299"/>
      <c r="WNM2" s="299"/>
      <c r="WNN2" s="299"/>
      <c r="WNO2" s="299"/>
      <c r="WNP2" s="299"/>
      <c r="WNQ2" s="299"/>
      <c r="WNR2" s="299"/>
      <c r="WNS2" s="299"/>
      <c r="WNT2" s="299"/>
      <c r="WNU2" s="299"/>
      <c r="WNV2" s="299"/>
      <c r="WNW2" s="299"/>
      <c r="WNX2" s="299"/>
      <c r="WNY2" s="299"/>
      <c r="WNZ2" s="299"/>
      <c r="WOA2" s="299"/>
      <c r="WOB2" s="299"/>
      <c r="WOC2" s="299"/>
      <c r="WOD2" s="299"/>
      <c r="WOE2" s="299"/>
      <c r="WOF2" s="299"/>
      <c r="WOG2" s="299"/>
      <c r="WOH2" s="299"/>
      <c r="WOI2" s="299"/>
      <c r="WOJ2" s="299"/>
      <c r="WOK2" s="299"/>
      <c r="WOL2" s="299"/>
      <c r="WOM2" s="299"/>
      <c r="WON2" s="299"/>
      <c r="WOO2" s="299"/>
      <c r="WOP2" s="299"/>
      <c r="WOQ2" s="299"/>
      <c r="WOR2" s="299"/>
      <c r="WOS2" s="299"/>
      <c r="WOT2" s="299"/>
      <c r="WOU2" s="299"/>
      <c r="WOV2" s="299"/>
      <c r="WOW2" s="299"/>
      <c r="WOX2" s="299"/>
      <c r="WOY2" s="299"/>
      <c r="WOZ2" s="299"/>
      <c r="WPA2" s="299"/>
      <c r="WPB2" s="299"/>
      <c r="WPC2" s="299"/>
      <c r="WPD2" s="299"/>
      <c r="WPE2" s="299"/>
      <c r="WPF2" s="299"/>
      <c r="WPG2" s="299"/>
      <c r="WPH2" s="299"/>
      <c r="WPI2" s="299"/>
      <c r="WPJ2" s="299"/>
      <c r="WPK2" s="299"/>
      <c r="WPL2" s="299"/>
      <c r="WPM2" s="299"/>
      <c r="WPN2" s="299"/>
      <c r="WPO2" s="299"/>
      <c r="WPP2" s="299"/>
      <c r="WPQ2" s="299"/>
      <c r="WPR2" s="299"/>
      <c r="WPS2" s="299"/>
      <c r="WPT2" s="299"/>
      <c r="WPU2" s="299"/>
      <c r="WPV2" s="299"/>
      <c r="WPW2" s="299"/>
      <c r="WPX2" s="299"/>
      <c r="WPY2" s="299"/>
      <c r="WPZ2" s="299"/>
      <c r="WQA2" s="299"/>
      <c r="WQB2" s="299"/>
      <c r="WQC2" s="299"/>
      <c r="WQD2" s="299"/>
      <c r="WQE2" s="299"/>
      <c r="WQF2" s="299"/>
      <c r="WQG2" s="299"/>
      <c r="WQH2" s="299"/>
      <c r="WQI2" s="299"/>
      <c r="WQJ2" s="299"/>
      <c r="WQK2" s="299"/>
      <c r="WQL2" s="299"/>
      <c r="WQM2" s="299"/>
      <c r="WQN2" s="299"/>
      <c r="WQO2" s="299"/>
      <c r="WQP2" s="299"/>
      <c r="WQQ2" s="299"/>
      <c r="WQR2" s="299"/>
      <c r="WQS2" s="299"/>
      <c r="WQT2" s="299"/>
      <c r="WQU2" s="299"/>
      <c r="WQV2" s="299"/>
      <c r="WQW2" s="299"/>
      <c r="WQX2" s="299"/>
      <c r="WQY2" s="299"/>
      <c r="WQZ2" s="299"/>
      <c r="WRA2" s="299"/>
      <c r="WRB2" s="299"/>
      <c r="WRC2" s="299"/>
      <c r="WRD2" s="299"/>
      <c r="WRE2" s="299"/>
      <c r="WRF2" s="299"/>
      <c r="WRG2" s="299"/>
      <c r="WRH2" s="299"/>
      <c r="WRI2" s="299"/>
      <c r="WRJ2" s="299"/>
      <c r="WRK2" s="299"/>
      <c r="WRL2" s="299"/>
      <c r="WRM2" s="299"/>
      <c r="WRN2" s="299"/>
      <c r="WRO2" s="299"/>
      <c r="WRP2" s="299"/>
      <c r="WRQ2" s="299"/>
      <c r="WRR2" s="299"/>
      <c r="WRS2" s="299"/>
      <c r="WRT2" s="299"/>
      <c r="WRU2" s="299"/>
      <c r="WRV2" s="299"/>
      <c r="WRW2" s="299"/>
      <c r="WRX2" s="299"/>
      <c r="WRY2" s="299"/>
      <c r="WRZ2" s="299"/>
      <c r="WSA2" s="299"/>
      <c r="WSB2" s="299"/>
      <c r="WSC2" s="299"/>
      <c r="WSD2" s="299"/>
      <c r="WSE2" s="299"/>
      <c r="WSF2" s="299"/>
      <c r="WSG2" s="299"/>
      <c r="WSH2" s="299"/>
      <c r="WSI2" s="299"/>
      <c r="WSJ2" s="299"/>
      <c r="WSK2" s="299"/>
      <c r="WSL2" s="299"/>
      <c r="WSM2" s="299"/>
      <c r="WSN2" s="299"/>
      <c r="WSO2" s="299"/>
      <c r="WSP2" s="299"/>
      <c r="WSQ2" s="299"/>
      <c r="WSR2" s="299"/>
      <c r="WSS2" s="299"/>
      <c r="WST2" s="299"/>
      <c r="WSU2" s="299"/>
      <c r="WSV2" s="299"/>
      <c r="WSW2" s="299"/>
      <c r="WSX2" s="299"/>
      <c r="WSY2" s="299"/>
      <c r="WSZ2" s="299"/>
      <c r="WTA2" s="299"/>
      <c r="WTB2" s="299"/>
      <c r="WTC2" s="299"/>
      <c r="WTD2" s="299"/>
      <c r="WTE2" s="299"/>
      <c r="WTF2" s="299"/>
      <c r="WTG2" s="299"/>
      <c r="WTH2" s="299"/>
      <c r="WTI2" s="299"/>
      <c r="WTJ2" s="299"/>
      <c r="WTK2" s="299"/>
      <c r="WTL2" s="299"/>
      <c r="WTM2" s="299"/>
      <c r="WTN2" s="299"/>
      <c r="WTO2" s="299"/>
      <c r="WTP2" s="299"/>
      <c r="WTQ2" s="299"/>
      <c r="WTR2" s="299"/>
      <c r="WTS2" s="299"/>
      <c r="WTT2" s="299"/>
      <c r="WTU2" s="299"/>
      <c r="WTV2" s="299"/>
      <c r="WTW2" s="299"/>
      <c r="WTX2" s="299"/>
      <c r="WTY2" s="299"/>
      <c r="WTZ2" s="299"/>
      <c r="WUA2" s="299"/>
      <c r="WUB2" s="299"/>
      <c r="WUC2" s="299"/>
      <c r="WUD2" s="299"/>
      <c r="WUE2" s="299"/>
      <c r="WUF2" s="299"/>
      <c r="WUG2" s="299"/>
      <c r="WUH2" s="299"/>
      <c r="WUI2" s="299"/>
      <c r="WUJ2" s="299"/>
      <c r="WUK2" s="299"/>
      <c r="WUL2" s="299"/>
      <c r="WUM2" s="299"/>
      <c r="WUN2" s="299"/>
      <c r="WUO2" s="299"/>
      <c r="WUP2" s="299"/>
      <c r="WUQ2" s="299"/>
      <c r="WUR2" s="299"/>
      <c r="WUS2" s="299"/>
      <c r="WUT2" s="299"/>
      <c r="WUU2" s="299"/>
      <c r="WUV2" s="299"/>
      <c r="WUW2" s="299"/>
      <c r="WUX2" s="299"/>
      <c r="WUY2" s="299"/>
      <c r="WUZ2" s="299"/>
      <c r="WVA2" s="299"/>
      <c r="WVB2" s="299"/>
      <c r="WVC2" s="299"/>
      <c r="WVD2" s="299"/>
      <c r="WVE2" s="299"/>
      <c r="WVF2" s="299"/>
      <c r="WVG2" s="299"/>
      <c r="WVH2" s="299"/>
      <c r="WVI2" s="299"/>
      <c r="WVJ2" s="299"/>
      <c r="WVK2" s="299"/>
      <c r="WVL2" s="299"/>
      <c r="WVM2" s="299"/>
      <c r="WVN2" s="299"/>
      <c r="WVO2" s="299"/>
      <c r="WVP2" s="299"/>
      <c r="WVQ2" s="299"/>
      <c r="WVR2" s="299"/>
      <c r="WVS2" s="299"/>
      <c r="WVT2" s="299"/>
      <c r="WVU2" s="299"/>
      <c r="WVV2" s="299"/>
      <c r="WVW2" s="299"/>
      <c r="WVX2" s="299"/>
      <c r="WVY2" s="299"/>
      <c r="WVZ2" s="299"/>
      <c r="WWA2" s="299"/>
      <c r="WWB2" s="299"/>
      <c r="WWC2" s="299"/>
      <c r="WWD2" s="299"/>
      <c r="WWE2" s="299"/>
      <c r="WWF2" s="299"/>
      <c r="WWG2" s="299"/>
      <c r="WWH2" s="299"/>
      <c r="WWI2" s="299"/>
      <c r="WWJ2" s="299"/>
      <c r="WWK2" s="299"/>
      <c r="WWL2" s="299"/>
      <c r="WWM2" s="299"/>
      <c r="WWN2" s="299"/>
      <c r="WWO2" s="299"/>
      <c r="WWP2" s="299"/>
      <c r="WWQ2" s="299"/>
      <c r="WWR2" s="299"/>
      <c r="WWS2" s="299"/>
      <c r="WWT2" s="299"/>
      <c r="WWU2" s="299"/>
      <c r="WWV2" s="299"/>
      <c r="WWW2" s="299"/>
      <c r="WWX2" s="299"/>
      <c r="WWY2" s="299"/>
      <c r="WWZ2" s="299"/>
      <c r="WXA2" s="299"/>
      <c r="WXB2" s="299"/>
      <c r="WXC2" s="299"/>
      <c r="WXD2" s="299"/>
      <c r="WXE2" s="299"/>
      <c r="WXF2" s="299"/>
      <c r="WXG2" s="299"/>
      <c r="WXH2" s="299"/>
      <c r="WXI2" s="299"/>
      <c r="WXJ2" s="299"/>
      <c r="WXK2" s="299"/>
      <c r="WXL2" s="299"/>
      <c r="WXM2" s="299"/>
      <c r="WXN2" s="299"/>
      <c r="WXO2" s="299"/>
      <c r="WXP2" s="299"/>
      <c r="WXQ2" s="299"/>
      <c r="WXR2" s="299"/>
      <c r="WXS2" s="299"/>
      <c r="WXT2" s="299"/>
      <c r="WXU2" s="299"/>
      <c r="WXV2" s="299"/>
      <c r="WXW2" s="299"/>
      <c r="WXX2" s="299"/>
      <c r="WXY2" s="299"/>
      <c r="WXZ2" s="299"/>
      <c r="WYA2" s="299"/>
      <c r="WYB2" s="299"/>
      <c r="WYC2" s="299"/>
      <c r="WYD2" s="299"/>
      <c r="WYE2" s="299"/>
      <c r="WYF2" s="299"/>
      <c r="WYG2" s="299"/>
      <c r="WYH2" s="299"/>
      <c r="WYI2" s="299"/>
      <c r="WYJ2" s="299"/>
      <c r="WYK2" s="299"/>
      <c r="WYL2" s="299"/>
      <c r="WYM2" s="299"/>
      <c r="WYN2" s="299"/>
      <c r="WYO2" s="299"/>
      <c r="WYP2" s="299"/>
      <c r="WYQ2" s="299"/>
      <c r="WYR2" s="299"/>
      <c r="WYS2" s="299"/>
      <c r="WYT2" s="299"/>
      <c r="WYU2" s="299"/>
      <c r="WYV2" s="299"/>
      <c r="WYW2" s="299"/>
      <c r="WYX2" s="299"/>
      <c r="WYY2" s="299"/>
      <c r="WYZ2" s="299"/>
      <c r="WZA2" s="299"/>
      <c r="WZB2" s="299"/>
      <c r="WZC2" s="299"/>
      <c r="WZD2" s="299"/>
      <c r="WZE2" s="299"/>
      <c r="WZF2" s="299"/>
      <c r="WZG2" s="299"/>
      <c r="WZH2" s="299"/>
      <c r="WZI2" s="299"/>
      <c r="WZJ2" s="299"/>
      <c r="WZK2" s="299"/>
      <c r="WZL2" s="299"/>
      <c r="WZM2" s="299"/>
      <c r="WZN2" s="299"/>
      <c r="WZO2" s="299"/>
      <c r="WZP2" s="299"/>
      <c r="WZQ2" s="299"/>
      <c r="WZR2" s="299"/>
      <c r="WZS2" s="299"/>
      <c r="WZT2" s="299"/>
      <c r="WZU2" s="299"/>
      <c r="WZV2" s="299"/>
      <c r="WZW2" s="299"/>
      <c r="WZX2" s="299"/>
      <c r="WZY2" s="299"/>
      <c r="WZZ2" s="299"/>
      <c r="XAA2" s="299"/>
      <c r="XAB2" s="299"/>
      <c r="XAC2" s="299"/>
      <c r="XAD2" s="299"/>
      <c r="XAE2" s="299"/>
      <c r="XAF2" s="299"/>
      <c r="XAG2" s="299"/>
      <c r="XAH2" s="299"/>
      <c r="XAI2" s="299"/>
      <c r="XAJ2" s="299"/>
      <c r="XAK2" s="299"/>
      <c r="XAL2" s="299"/>
      <c r="XAM2" s="299"/>
      <c r="XAN2" s="299"/>
      <c r="XAO2" s="299"/>
      <c r="XAP2" s="299"/>
      <c r="XAQ2" s="299"/>
      <c r="XAR2" s="299"/>
      <c r="XAS2" s="299"/>
      <c r="XAT2" s="299"/>
      <c r="XAU2" s="299"/>
      <c r="XAV2" s="299"/>
      <c r="XAW2" s="299"/>
      <c r="XAX2" s="299"/>
      <c r="XAY2" s="299"/>
      <c r="XAZ2" s="299"/>
      <c r="XBA2" s="299"/>
      <c r="XBB2" s="299"/>
      <c r="XBC2" s="299"/>
      <c r="XBD2" s="299"/>
      <c r="XBE2" s="299"/>
      <c r="XBF2" s="299"/>
      <c r="XBG2" s="299"/>
      <c r="XBH2" s="299"/>
      <c r="XBI2" s="299"/>
      <c r="XBJ2" s="299"/>
      <c r="XBK2" s="299"/>
      <c r="XBL2" s="299"/>
      <c r="XBM2" s="299"/>
      <c r="XBN2" s="299"/>
      <c r="XBO2" s="299"/>
      <c r="XBP2" s="299"/>
      <c r="XBQ2" s="299"/>
      <c r="XBR2" s="299"/>
      <c r="XBS2" s="299"/>
      <c r="XBT2" s="299"/>
      <c r="XBU2" s="299"/>
      <c r="XBV2" s="299"/>
      <c r="XBW2" s="299"/>
      <c r="XBX2" s="299"/>
      <c r="XBY2" s="299"/>
      <c r="XBZ2" s="299"/>
      <c r="XCA2" s="299"/>
      <c r="XCB2" s="299"/>
      <c r="XCC2" s="299"/>
      <c r="XCD2" s="299"/>
      <c r="XCE2" s="299"/>
      <c r="XCF2" s="299"/>
      <c r="XCG2" s="299"/>
      <c r="XCH2" s="299"/>
      <c r="XCI2" s="299"/>
      <c r="XCJ2" s="299"/>
      <c r="XCK2" s="299"/>
      <c r="XCL2" s="299"/>
      <c r="XCM2" s="299"/>
      <c r="XCN2" s="299"/>
      <c r="XCO2" s="299"/>
      <c r="XCP2" s="299"/>
      <c r="XCQ2" s="299"/>
      <c r="XCR2" s="299"/>
      <c r="XCS2" s="299"/>
      <c r="XCT2" s="299"/>
      <c r="XCU2" s="299"/>
      <c r="XCV2" s="299"/>
      <c r="XCW2" s="299"/>
      <c r="XCX2" s="299"/>
      <c r="XCY2" s="299"/>
      <c r="XCZ2" s="299"/>
      <c r="XDA2" s="299"/>
      <c r="XDB2" s="299"/>
      <c r="XDC2" s="299"/>
      <c r="XDD2" s="299"/>
      <c r="XDE2" s="299"/>
      <c r="XDF2" s="299"/>
      <c r="XDG2" s="299"/>
      <c r="XDH2" s="299"/>
      <c r="XDI2" s="299"/>
      <c r="XDJ2" s="299"/>
      <c r="XDK2" s="299"/>
      <c r="XDL2" s="299"/>
      <c r="XDM2" s="299"/>
      <c r="XDN2" s="299"/>
      <c r="XDO2" s="299"/>
      <c r="XDP2" s="299"/>
      <c r="XDQ2" s="299"/>
      <c r="XDR2" s="299"/>
      <c r="XDS2" s="299"/>
      <c r="XDT2" s="299"/>
      <c r="XDU2" s="299"/>
      <c r="XDV2" s="299"/>
      <c r="XDW2" s="299"/>
      <c r="XDX2" s="299"/>
      <c r="XDY2" s="299"/>
      <c r="XDZ2" s="299"/>
      <c r="XEA2" s="299"/>
      <c r="XEB2" s="299"/>
      <c r="XEC2" s="299"/>
      <c r="XED2" s="299"/>
      <c r="XEE2" s="299"/>
      <c r="XEF2" s="299"/>
      <c r="XEG2" s="299"/>
      <c r="XEH2" s="299"/>
      <c r="XEI2" s="299"/>
      <c r="XEJ2" s="299"/>
      <c r="XEK2" s="299"/>
      <c r="XEL2" s="299"/>
      <c r="XEM2" s="299"/>
      <c r="XEN2" s="299"/>
      <c r="XEO2" s="299"/>
      <c r="XEP2" s="299"/>
      <c r="XEQ2" s="299"/>
      <c r="XER2" s="299"/>
      <c r="XES2" s="299"/>
      <c r="XET2" s="299"/>
      <c r="XEU2" s="299"/>
      <c r="XEV2" s="299"/>
      <c r="XEW2" s="299"/>
      <c r="XEX2" s="299"/>
      <c r="XEY2" s="299"/>
      <c r="XEZ2" s="299"/>
      <c r="XFA2" s="299"/>
      <c r="XFB2" s="299"/>
      <c r="XFC2" s="299"/>
      <c r="XFD2" s="299"/>
    </row>
    <row r="3" spans="1:16384" s="8" customFormat="1" ht="16.5" customHeight="1" x14ac:dyDescent="0.45">
      <c r="A3" s="44"/>
      <c r="B3" s="304">
        <f>Comparative!B3</f>
        <v>450</v>
      </c>
      <c r="C3" s="304"/>
      <c r="D3" s="304"/>
      <c r="E3" s="305">
        <f>Comparative!E3</f>
        <v>3622324</v>
      </c>
      <c r="F3" s="305"/>
      <c r="G3" s="305"/>
      <c r="H3" s="306">
        <f>Comparative!H3</f>
        <v>1752324</v>
      </c>
      <c r="I3" s="306"/>
      <c r="J3" s="306"/>
      <c r="K3" s="55"/>
      <c r="L3" s="32"/>
      <c r="M3" s="57"/>
      <c r="Q3" s="15"/>
    </row>
    <row r="4" spans="1:16384" ht="30" x14ac:dyDescent="0.45">
      <c r="A4" s="45"/>
      <c r="B4" s="56" t="s">
        <v>220</v>
      </c>
      <c r="C4" s="11"/>
      <c r="D4" s="12"/>
      <c r="E4" s="307" t="s">
        <v>229</v>
      </c>
      <c r="F4" s="308"/>
      <c r="G4" s="308"/>
      <c r="H4" s="296" t="s">
        <v>230</v>
      </c>
      <c r="I4" s="297"/>
      <c r="J4" s="297"/>
      <c r="K4" s="297"/>
      <c r="L4" s="298"/>
      <c r="M4" s="46"/>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299"/>
      <c r="AV4" s="299"/>
      <c r="AW4" s="299"/>
      <c r="AX4" s="299"/>
      <c r="AY4" s="299"/>
      <c r="AZ4" s="299"/>
      <c r="BA4" s="299"/>
      <c r="BB4" s="299"/>
      <c r="BC4" s="299"/>
      <c r="BD4" s="299"/>
      <c r="BE4" s="299"/>
      <c r="BF4" s="299"/>
      <c r="BG4" s="299"/>
      <c r="BH4" s="299"/>
      <c r="BI4" s="299"/>
      <c r="BJ4" s="299"/>
      <c r="BK4" s="299"/>
      <c r="BL4" s="299"/>
      <c r="BM4" s="299"/>
      <c r="BN4" s="299"/>
      <c r="BO4" s="299"/>
      <c r="BP4" s="299"/>
      <c r="BQ4" s="299"/>
      <c r="BR4" s="299"/>
      <c r="BS4" s="299"/>
      <c r="BT4" s="299"/>
      <c r="BU4" s="299"/>
      <c r="BV4" s="299"/>
      <c r="BW4" s="299"/>
      <c r="BX4" s="299"/>
      <c r="BY4" s="299"/>
      <c r="BZ4" s="299"/>
      <c r="CA4" s="299"/>
      <c r="CB4" s="299"/>
      <c r="CC4" s="299"/>
      <c r="CD4" s="299"/>
      <c r="CE4" s="299"/>
      <c r="CF4" s="299"/>
      <c r="CG4" s="299"/>
      <c r="CH4" s="299"/>
      <c r="CI4" s="299"/>
      <c r="CJ4" s="299"/>
      <c r="CK4" s="299"/>
      <c r="CL4" s="299"/>
      <c r="CM4" s="299"/>
      <c r="CN4" s="299"/>
      <c r="CO4" s="299"/>
      <c r="CP4" s="299"/>
      <c r="CQ4" s="299"/>
      <c r="CR4" s="299"/>
      <c r="CS4" s="299"/>
      <c r="CT4" s="299"/>
      <c r="CU4" s="299"/>
      <c r="CV4" s="299"/>
      <c r="CW4" s="299"/>
      <c r="CX4" s="299"/>
      <c r="CY4" s="299"/>
      <c r="CZ4" s="299"/>
      <c r="DA4" s="299"/>
      <c r="DB4" s="299"/>
      <c r="DC4" s="299"/>
      <c r="DD4" s="299"/>
      <c r="DE4" s="299"/>
      <c r="DF4" s="299"/>
      <c r="DG4" s="299"/>
      <c r="DH4" s="299"/>
      <c r="DI4" s="299"/>
      <c r="DJ4" s="299"/>
      <c r="DK4" s="299"/>
      <c r="DL4" s="299"/>
      <c r="DM4" s="299"/>
      <c r="DN4" s="299"/>
      <c r="DO4" s="299"/>
      <c r="DP4" s="299"/>
      <c r="DQ4" s="299"/>
      <c r="DR4" s="299"/>
      <c r="DS4" s="299"/>
      <c r="DT4" s="299"/>
      <c r="DU4" s="299"/>
      <c r="DV4" s="299"/>
      <c r="DW4" s="299"/>
      <c r="DX4" s="299"/>
      <c r="DY4" s="299"/>
      <c r="DZ4" s="299"/>
      <c r="EA4" s="299"/>
      <c r="EB4" s="299"/>
      <c r="EC4" s="299"/>
      <c r="ED4" s="299"/>
      <c r="EE4" s="299"/>
      <c r="EF4" s="299"/>
      <c r="EG4" s="299"/>
      <c r="EH4" s="299"/>
      <c r="EI4" s="299"/>
      <c r="EJ4" s="299"/>
      <c r="EK4" s="299"/>
      <c r="EL4" s="299"/>
      <c r="EM4" s="299"/>
      <c r="EN4" s="299"/>
      <c r="EO4" s="299"/>
      <c r="EP4" s="299"/>
      <c r="EQ4" s="299"/>
      <c r="ER4" s="299"/>
      <c r="ES4" s="299"/>
      <c r="ET4" s="299"/>
      <c r="EU4" s="299"/>
      <c r="EV4" s="299"/>
      <c r="EW4" s="299"/>
      <c r="EX4" s="299"/>
      <c r="EY4" s="299"/>
      <c r="EZ4" s="299"/>
      <c r="FA4" s="299"/>
      <c r="FB4" s="299"/>
      <c r="FC4" s="299"/>
      <c r="FD4" s="299"/>
      <c r="FE4" s="299"/>
      <c r="FF4" s="299"/>
      <c r="FG4" s="299"/>
      <c r="FH4" s="299"/>
      <c r="FI4" s="299"/>
      <c r="FJ4" s="299"/>
      <c r="FK4" s="299"/>
      <c r="FL4" s="299"/>
      <c r="FM4" s="299"/>
      <c r="FN4" s="299"/>
      <c r="FO4" s="299"/>
      <c r="FP4" s="299"/>
      <c r="FQ4" s="299"/>
      <c r="FR4" s="299"/>
      <c r="FS4" s="299"/>
      <c r="FT4" s="299"/>
      <c r="FU4" s="299"/>
      <c r="FV4" s="299"/>
      <c r="FW4" s="299"/>
      <c r="FX4" s="299"/>
      <c r="FY4" s="299"/>
      <c r="FZ4" s="299"/>
      <c r="GA4" s="299"/>
      <c r="GB4" s="299"/>
      <c r="GC4" s="299"/>
      <c r="GD4" s="299"/>
      <c r="GE4" s="299"/>
      <c r="GF4" s="299"/>
      <c r="GG4" s="299"/>
      <c r="GH4" s="299"/>
      <c r="GI4" s="299"/>
      <c r="GJ4" s="299"/>
      <c r="GK4" s="299"/>
      <c r="GL4" s="299"/>
      <c r="GM4" s="299"/>
      <c r="GN4" s="299"/>
      <c r="GO4" s="299"/>
      <c r="GP4" s="299"/>
      <c r="GQ4" s="299"/>
      <c r="GR4" s="299"/>
      <c r="GS4" s="299"/>
      <c r="GT4" s="299"/>
      <c r="GU4" s="299"/>
      <c r="GV4" s="299"/>
      <c r="GW4" s="299"/>
      <c r="GX4" s="299"/>
      <c r="GY4" s="299"/>
      <c r="GZ4" s="299"/>
      <c r="HA4" s="299"/>
      <c r="HB4" s="299"/>
      <c r="HC4" s="299"/>
      <c r="HD4" s="299"/>
      <c r="HE4" s="299"/>
      <c r="HF4" s="299"/>
      <c r="HG4" s="299"/>
      <c r="HH4" s="299"/>
      <c r="HI4" s="299"/>
      <c r="HJ4" s="299"/>
      <c r="HK4" s="299"/>
      <c r="HL4" s="299"/>
      <c r="HM4" s="299"/>
      <c r="HN4" s="299"/>
      <c r="HO4" s="299"/>
      <c r="HP4" s="299"/>
      <c r="HQ4" s="299"/>
      <c r="HR4" s="299"/>
      <c r="HS4" s="299"/>
      <c r="HT4" s="299"/>
      <c r="HU4" s="299"/>
      <c r="HV4" s="299"/>
      <c r="HW4" s="299"/>
      <c r="HX4" s="299"/>
      <c r="HY4" s="299"/>
      <c r="HZ4" s="299"/>
      <c r="IA4" s="299"/>
      <c r="IB4" s="299"/>
      <c r="IC4" s="299"/>
      <c r="ID4" s="299"/>
      <c r="IE4" s="299"/>
      <c r="IF4" s="299"/>
      <c r="IG4" s="299"/>
      <c r="IH4" s="299"/>
      <c r="II4" s="299"/>
      <c r="IJ4" s="299"/>
      <c r="IK4" s="299"/>
      <c r="IL4" s="299"/>
      <c r="IM4" s="299"/>
      <c r="IN4" s="299"/>
      <c r="IO4" s="299"/>
      <c r="IP4" s="299"/>
      <c r="IQ4" s="299"/>
      <c r="IR4" s="299"/>
      <c r="IS4" s="299"/>
      <c r="IT4" s="299"/>
      <c r="IU4" s="299"/>
      <c r="IV4" s="299"/>
      <c r="IW4" s="299"/>
      <c r="IX4" s="299"/>
      <c r="IY4" s="299"/>
      <c r="IZ4" s="299"/>
      <c r="JA4" s="299"/>
      <c r="JB4" s="299"/>
      <c r="JC4" s="299"/>
      <c r="JD4" s="299"/>
      <c r="JE4" s="299"/>
      <c r="JF4" s="299"/>
      <c r="JG4" s="299"/>
      <c r="JH4" s="299"/>
      <c r="JI4" s="299"/>
      <c r="JJ4" s="299"/>
      <c r="JK4" s="299"/>
      <c r="JL4" s="299"/>
      <c r="JM4" s="299"/>
      <c r="JN4" s="299"/>
      <c r="JO4" s="299"/>
      <c r="JP4" s="299"/>
      <c r="JQ4" s="299"/>
      <c r="JR4" s="299"/>
      <c r="JS4" s="299"/>
      <c r="JT4" s="299"/>
      <c r="JU4" s="299"/>
      <c r="JV4" s="299"/>
      <c r="JW4" s="299"/>
      <c r="JX4" s="299"/>
      <c r="JY4" s="299"/>
      <c r="JZ4" s="299"/>
      <c r="KA4" s="299"/>
      <c r="KB4" s="299"/>
      <c r="KC4" s="299"/>
      <c r="KD4" s="299"/>
      <c r="KE4" s="299"/>
      <c r="KF4" s="299"/>
      <c r="KG4" s="299"/>
      <c r="KH4" s="299"/>
      <c r="KI4" s="299"/>
      <c r="KJ4" s="299"/>
      <c r="KK4" s="299"/>
      <c r="KL4" s="299"/>
      <c r="KM4" s="299"/>
      <c r="KN4" s="299"/>
      <c r="KO4" s="299"/>
      <c r="KP4" s="299"/>
      <c r="KQ4" s="299"/>
      <c r="KR4" s="299"/>
      <c r="KS4" s="299"/>
      <c r="KT4" s="299"/>
      <c r="KU4" s="299"/>
      <c r="KV4" s="299"/>
      <c r="KW4" s="299"/>
      <c r="KX4" s="299"/>
      <c r="KY4" s="299"/>
      <c r="KZ4" s="299"/>
      <c r="LA4" s="299"/>
      <c r="LB4" s="299"/>
      <c r="LC4" s="299"/>
      <c r="LD4" s="299"/>
      <c r="LE4" s="299"/>
      <c r="LF4" s="299"/>
      <c r="LG4" s="299"/>
      <c r="LH4" s="299"/>
      <c r="LI4" s="299"/>
      <c r="LJ4" s="299"/>
      <c r="LK4" s="299"/>
      <c r="LL4" s="299"/>
      <c r="LM4" s="299"/>
      <c r="LN4" s="299"/>
      <c r="LO4" s="299"/>
      <c r="LP4" s="299"/>
      <c r="LQ4" s="299"/>
      <c r="LR4" s="299"/>
      <c r="LS4" s="299"/>
      <c r="LT4" s="299"/>
      <c r="LU4" s="299"/>
      <c r="LV4" s="299"/>
      <c r="LW4" s="299"/>
      <c r="LX4" s="299"/>
      <c r="LY4" s="299"/>
      <c r="LZ4" s="299"/>
      <c r="MA4" s="299"/>
      <c r="MB4" s="299"/>
      <c r="MC4" s="299"/>
      <c r="MD4" s="299"/>
      <c r="ME4" s="299"/>
      <c r="MF4" s="299"/>
      <c r="MG4" s="299"/>
      <c r="MH4" s="299"/>
      <c r="MI4" s="299"/>
      <c r="MJ4" s="299"/>
      <c r="MK4" s="299"/>
      <c r="ML4" s="299"/>
      <c r="MM4" s="299"/>
      <c r="MN4" s="299"/>
      <c r="MO4" s="299"/>
      <c r="MP4" s="299"/>
      <c r="MQ4" s="299"/>
      <c r="MR4" s="299"/>
      <c r="MS4" s="299"/>
      <c r="MT4" s="299"/>
      <c r="MU4" s="299"/>
      <c r="MV4" s="299"/>
      <c r="MW4" s="299"/>
      <c r="MX4" s="299"/>
      <c r="MY4" s="299"/>
      <c r="MZ4" s="299"/>
      <c r="NA4" s="299"/>
      <c r="NB4" s="299"/>
      <c r="NC4" s="299"/>
      <c r="ND4" s="299"/>
      <c r="NE4" s="299"/>
      <c r="NF4" s="299"/>
      <c r="NG4" s="299"/>
      <c r="NH4" s="299"/>
      <c r="NI4" s="299"/>
      <c r="NJ4" s="299"/>
      <c r="NK4" s="299"/>
      <c r="NL4" s="299"/>
      <c r="NM4" s="299"/>
      <c r="NN4" s="299"/>
      <c r="NO4" s="299"/>
      <c r="NP4" s="299"/>
      <c r="NQ4" s="299"/>
      <c r="NR4" s="299"/>
      <c r="NS4" s="299"/>
      <c r="NT4" s="299"/>
      <c r="NU4" s="299"/>
      <c r="NV4" s="299"/>
      <c r="NW4" s="299"/>
      <c r="NX4" s="299"/>
      <c r="NY4" s="299"/>
      <c r="NZ4" s="299"/>
      <c r="OA4" s="299"/>
      <c r="OB4" s="299"/>
      <c r="OC4" s="299"/>
      <c r="OD4" s="299"/>
      <c r="OE4" s="299"/>
      <c r="OF4" s="299"/>
      <c r="OG4" s="299"/>
      <c r="OH4" s="299"/>
      <c r="OI4" s="299"/>
      <c r="OJ4" s="299"/>
      <c r="OK4" s="299"/>
      <c r="OL4" s="299"/>
      <c r="OM4" s="299"/>
      <c r="ON4" s="299"/>
      <c r="OO4" s="299"/>
      <c r="OP4" s="299"/>
      <c r="OQ4" s="299"/>
      <c r="OR4" s="299"/>
      <c r="OS4" s="299"/>
      <c r="OT4" s="299"/>
      <c r="OU4" s="299"/>
      <c r="OV4" s="299"/>
      <c r="OW4" s="299"/>
      <c r="OX4" s="299"/>
      <c r="OY4" s="299"/>
      <c r="OZ4" s="299"/>
      <c r="PA4" s="299"/>
      <c r="PB4" s="299"/>
      <c r="PC4" s="299"/>
      <c r="PD4" s="299"/>
      <c r="PE4" s="299"/>
      <c r="PF4" s="299"/>
      <c r="PG4" s="299"/>
      <c r="PH4" s="299"/>
      <c r="PI4" s="299"/>
      <c r="PJ4" s="299"/>
      <c r="PK4" s="299"/>
      <c r="PL4" s="299"/>
      <c r="PM4" s="299"/>
      <c r="PN4" s="299"/>
      <c r="PO4" s="299"/>
      <c r="PP4" s="299"/>
      <c r="PQ4" s="299"/>
      <c r="PR4" s="299"/>
      <c r="PS4" s="299"/>
      <c r="PT4" s="299"/>
      <c r="PU4" s="299"/>
      <c r="PV4" s="299"/>
      <c r="PW4" s="299"/>
      <c r="PX4" s="299"/>
      <c r="PY4" s="299"/>
      <c r="PZ4" s="299"/>
      <c r="QA4" s="299"/>
      <c r="QB4" s="299"/>
      <c r="QC4" s="299"/>
      <c r="QD4" s="299"/>
      <c r="QE4" s="299"/>
      <c r="QF4" s="299"/>
      <c r="QG4" s="299"/>
      <c r="QH4" s="299"/>
      <c r="QI4" s="299"/>
      <c r="QJ4" s="299"/>
      <c r="QK4" s="299"/>
      <c r="QL4" s="299"/>
      <c r="QM4" s="299"/>
      <c r="QN4" s="299"/>
      <c r="QO4" s="299"/>
      <c r="QP4" s="299"/>
      <c r="QQ4" s="299"/>
      <c r="QR4" s="299"/>
      <c r="QS4" s="299"/>
      <c r="QT4" s="299"/>
      <c r="QU4" s="299"/>
      <c r="QV4" s="299"/>
      <c r="QW4" s="299"/>
      <c r="QX4" s="299"/>
      <c r="QY4" s="299"/>
      <c r="QZ4" s="299"/>
      <c r="RA4" s="299"/>
      <c r="RB4" s="299"/>
      <c r="RC4" s="299"/>
      <c r="RD4" s="299"/>
      <c r="RE4" s="299"/>
      <c r="RF4" s="299"/>
      <c r="RG4" s="299"/>
      <c r="RH4" s="299"/>
      <c r="RI4" s="299"/>
      <c r="RJ4" s="299"/>
      <c r="RK4" s="299"/>
      <c r="RL4" s="299"/>
      <c r="RM4" s="299"/>
      <c r="RN4" s="299"/>
      <c r="RO4" s="299"/>
      <c r="RP4" s="299"/>
      <c r="RQ4" s="299"/>
      <c r="RR4" s="299"/>
      <c r="RS4" s="299"/>
      <c r="RT4" s="299"/>
      <c r="RU4" s="299"/>
      <c r="RV4" s="299"/>
      <c r="RW4" s="299"/>
      <c r="RX4" s="299"/>
      <c r="RY4" s="299"/>
      <c r="RZ4" s="299"/>
      <c r="SA4" s="299"/>
      <c r="SB4" s="299"/>
      <c r="SC4" s="299"/>
      <c r="SD4" s="299"/>
      <c r="SE4" s="299"/>
      <c r="SF4" s="299"/>
      <c r="SG4" s="299"/>
      <c r="SH4" s="299"/>
      <c r="SI4" s="299"/>
      <c r="SJ4" s="299"/>
      <c r="SK4" s="299"/>
      <c r="SL4" s="299"/>
      <c r="SM4" s="299"/>
      <c r="SN4" s="299"/>
      <c r="SO4" s="299"/>
      <c r="SP4" s="299"/>
      <c r="SQ4" s="299"/>
      <c r="SR4" s="299"/>
      <c r="SS4" s="299"/>
      <c r="ST4" s="299"/>
      <c r="SU4" s="299"/>
      <c r="SV4" s="299"/>
      <c r="SW4" s="299"/>
      <c r="SX4" s="299"/>
      <c r="SY4" s="299"/>
      <c r="SZ4" s="299"/>
      <c r="TA4" s="299"/>
      <c r="TB4" s="299"/>
      <c r="TC4" s="299"/>
      <c r="TD4" s="299"/>
      <c r="TE4" s="299"/>
      <c r="TF4" s="299"/>
      <c r="TG4" s="299"/>
      <c r="TH4" s="299"/>
      <c r="TI4" s="299"/>
      <c r="TJ4" s="299"/>
      <c r="TK4" s="299"/>
      <c r="TL4" s="299"/>
      <c r="TM4" s="299"/>
      <c r="TN4" s="299"/>
      <c r="TO4" s="299"/>
      <c r="TP4" s="299"/>
      <c r="TQ4" s="299"/>
      <c r="TR4" s="299"/>
      <c r="TS4" s="299"/>
      <c r="TT4" s="299"/>
      <c r="TU4" s="299"/>
      <c r="TV4" s="299"/>
      <c r="TW4" s="299"/>
      <c r="TX4" s="299"/>
      <c r="TY4" s="299"/>
      <c r="TZ4" s="299"/>
      <c r="UA4" s="299"/>
      <c r="UB4" s="299"/>
      <c r="UC4" s="299"/>
      <c r="UD4" s="299"/>
      <c r="UE4" s="299"/>
      <c r="UF4" s="299"/>
      <c r="UG4" s="299"/>
      <c r="UH4" s="299"/>
      <c r="UI4" s="299"/>
      <c r="UJ4" s="299"/>
      <c r="UK4" s="299"/>
      <c r="UL4" s="299"/>
      <c r="UM4" s="299"/>
      <c r="UN4" s="299"/>
      <c r="UO4" s="299"/>
      <c r="UP4" s="299"/>
      <c r="UQ4" s="299"/>
      <c r="UR4" s="299"/>
      <c r="US4" s="299"/>
      <c r="UT4" s="299"/>
      <c r="UU4" s="299"/>
      <c r="UV4" s="299"/>
      <c r="UW4" s="299"/>
      <c r="UX4" s="299"/>
      <c r="UY4" s="299"/>
      <c r="UZ4" s="299"/>
      <c r="VA4" s="299"/>
      <c r="VB4" s="299"/>
      <c r="VC4" s="299"/>
      <c r="VD4" s="299"/>
      <c r="VE4" s="299"/>
      <c r="VF4" s="299"/>
      <c r="VG4" s="299"/>
      <c r="VH4" s="299"/>
      <c r="VI4" s="299"/>
      <c r="VJ4" s="299"/>
      <c r="VK4" s="299"/>
      <c r="VL4" s="299"/>
      <c r="VM4" s="299"/>
      <c r="VN4" s="299"/>
      <c r="VO4" s="299"/>
      <c r="VP4" s="299"/>
      <c r="VQ4" s="299"/>
      <c r="VR4" s="299"/>
      <c r="VS4" s="299"/>
      <c r="VT4" s="299"/>
      <c r="VU4" s="299"/>
      <c r="VV4" s="299"/>
      <c r="VW4" s="299"/>
      <c r="VX4" s="299"/>
      <c r="VY4" s="299"/>
      <c r="VZ4" s="299"/>
      <c r="WA4" s="299"/>
      <c r="WB4" s="299"/>
      <c r="WC4" s="299"/>
      <c r="WD4" s="299"/>
      <c r="WE4" s="299"/>
      <c r="WF4" s="299"/>
      <c r="WG4" s="299"/>
      <c r="WH4" s="299"/>
      <c r="WI4" s="299"/>
      <c r="WJ4" s="299"/>
      <c r="WK4" s="299"/>
      <c r="WL4" s="299"/>
      <c r="WM4" s="299"/>
      <c r="WN4" s="299"/>
      <c r="WO4" s="299"/>
      <c r="WP4" s="299"/>
      <c r="WQ4" s="299"/>
      <c r="WR4" s="299"/>
      <c r="WS4" s="299"/>
      <c r="WT4" s="299"/>
      <c r="WU4" s="299"/>
      <c r="WV4" s="299"/>
      <c r="WW4" s="299"/>
      <c r="WX4" s="299"/>
      <c r="WY4" s="299"/>
      <c r="WZ4" s="299"/>
      <c r="XA4" s="299"/>
      <c r="XB4" s="299"/>
      <c r="XC4" s="299"/>
      <c r="XD4" s="299"/>
      <c r="XE4" s="299"/>
      <c r="XF4" s="299"/>
      <c r="XG4" s="299"/>
      <c r="XH4" s="299"/>
      <c r="XI4" s="299"/>
      <c r="XJ4" s="299"/>
      <c r="XK4" s="299"/>
      <c r="XL4" s="299"/>
      <c r="XM4" s="299"/>
      <c r="XN4" s="299"/>
      <c r="XO4" s="299"/>
      <c r="XP4" s="299"/>
      <c r="XQ4" s="299"/>
      <c r="XR4" s="299"/>
      <c r="XS4" s="299"/>
      <c r="XT4" s="299"/>
      <c r="XU4" s="299"/>
      <c r="XV4" s="299"/>
      <c r="XW4" s="299"/>
      <c r="XX4" s="299"/>
      <c r="XY4" s="299"/>
      <c r="XZ4" s="299"/>
      <c r="YA4" s="299"/>
      <c r="YB4" s="299"/>
      <c r="YC4" s="299"/>
      <c r="YD4" s="299"/>
      <c r="YE4" s="299"/>
      <c r="YF4" s="299"/>
      <c r="YG4" s="299"/>
      <c r="YH4" s="299"/>
      <c r="YI4" s="299"/>
      <c r="YJ4" s="299"/>
      <c r="YK4" s="299"/>
      <c r="YL4" s="299"/>
      <c r="YM4" s="299"/>
      <c r="YN4" s="299"/>
      <c r="YO4" s="299"/>
      <c r="YP4" s="299"/>
      <c r="YQ4" s="299"/>
      <c r="YR4" s="299"/>
      <c r="YS4" s="299"/>
      <c r="YT4" s="299"/>
      <c r="YU4" s="299"/>
      <c r="YV4" s="299"/>
      <c r="YW4" s="299"/>
      <c r="YX4" s="299"/>
      <c r="YY4" s="299"/>
      <c r="YZ4" s="299"/>
      <c r="ZA4" s="299"/>
      <c r="ZB4" s="299"/>
      <c r="ZC4" s="299"/>
      <c r="ZD4" s="299"/>
      <c r="ZE4" s="299"/>
      <c r="ZF4" s="299"/>
      <c r="ZG4" s="299"/>
      <c r="ZH4" s="299"/>
      <c r="ZI4" s="299"/>
      <c r="ZJ4" s="299"/>
      <c r="ZK4" s="299"/>
      <c r="ZL4" s="299"/>
      <c r="ZM4" s="299"/>
      <c r="ZN4" s="299"/>
      <c r="ZO4" s="299"/>
      <c r="ZP4" s="299"/>
      <c r="ZQ4" s="299"/>
      <c r="ZR4" s="299"/>
      <c r="ZS4" s="299"/>
      <c r="ZT4" s="299"/>
      <c r="ZU4" s="299"/>
      <c r="ZV4" s="299"/>
      <c r="ZW4" s="299"/>
      <c r="ZX4" s="299"/>
      <c r="ZY4" s="299"/>
      <c r="ZZ4" s="299"/>
      <c r="AAA4" s="299"/>
      <c r="AAB4" s="299"/>
      <c r="AAC4" s="299"/>
      <c r="AAD4" s="299"/>
      <c r="AAE4" s="299"/>
      <c r="AAF4" s="299"/>
      <c r="AAG4" s="299"/>
      <c r="AAH4" s="299"/>
      <c r="AAI4" s="299"/>
      <c r="AAJ4" s="299"/>
      <c r="AAK4" s="299"/>
      <c r="AAL4" s="299"/>
      <c r="AAM4" s="299"/>
      <c r="AAN4" s="299"/>
      <c r="AAO4" s="299"/>
      <c r="AAP4" s="299"/>
      <c r="AAQ4" s="299"/>
      <c r="AAR4" s="299"/>
      <c r="AAS4" s="299"/>
      <c r="AAT4" s="299"/>
      <c r="AAU4" s="299"/>
      <c r="AAV4" s="299"/>
      <c r="AAW4" s="299"/>
      <c r="AAX4" s="299"/>
      <c r="AAY4" s="299"/>
      <c r="AAZ4" s="299"/>
      <c r="ABA4" s="299"/>
      <c r="ABB4" s="299"/>
      <c r="ABC4" s="299"/>
      <c r="ABD4" s="299"/>
      <c r="ABE4" s="299"/>
      <c r="ABF4" s="299"/>
      <c r="ABG4" s="299"/>
      <c r="ABH4" s="299"/>
      <c r="ABI4" s="299"/>
      <c r="ABJ4" s="299"/>
      <c r="ABK4" s="299"/>
      <c r="ABL4" s="299"/>
      <c r="ABM4" s="299"/>
      <c r="ABN4" s="299"/>
      <c r="ABO4" s="299"/>
      <c r="ABP4" s="299"/>
      <c r="ABQ4" s="299"/>
      <c r="ABR4" s="299"/>
      <c r="ABS4" s="299"/>
      <c r="ABT4" s="299"/>
      <c r="ABU4" s="299"/>
      <c r="ABV4" s="299"/>
      <c r="ABW4" s="299"/>
      <c r="ABX4" s="299"/>
      <c r="ABY4" s="299"/>
      <c r="ABZ4" s="299"/>
      <c r="ACA4" s="299"/>
      <c r="ACB4" s="299"/>
      <c r="ACC4" s="299"/>
      <c r="ACD4" s="299"/>
      <c r="ACE4" s="299"/>
      <c r="ACF4" s="299"/>
      <c r="ACG4" s="299"/>
      <c r="ACH4" s="299"/>
      <c r="ACI4" s="299"/>
      <c r="ACJ4" s="299"/>
      <c r="ACK4" s="299"/>
      <c r="ACL4" s="299"/>
      <c r="ACM4" s="299"/>
      <c r="ACN4" s="299"/>
      <c r="ACO4" s="299"/>
      <c r="ACP4" s="299"/>
      <c r="ACQ4" s="299"/>
      <c r="ACR4" s="299"/>
      <c r="ACS4" s="299"/>
      <c r="ACT4" s="299"/>
      <c r="ACU4" s="299"/>
      <c r="ACV4" s="299"/>
      <c r="ACW4" s="299"/>
      <c r="ACX4" s="299"/>
      <c r="ACY4" s="299"/>
      <c r="ACZ4" s="299"/>
      <c r="ADA4" s="299"/>
      <c r="ADB4" s="299"/>
      <c r="ADC4" s="299"/>
      <c r="ADD4" s="299"/>
      <c r="ADE4" s="299"/>
      <c r="ADF4" s="299"/>
      <c r="ADG4" s="299"/>
      <c r="ADH4" s="299"/>
      <c r="ADI4" s="299"/>
      <c r="ADJ4" s="299"/>
      <c r="ADK4" s="299"/>
      <c r="ADL4" s="299"/>
      <c r="ADM4" s="299"/>
      <c r="ADN4" s="299"/>
      <c r="ADO4" s="299"/>
      <c r="ADP4" s="299"/>
      <c r="ADQ4" s="299"/>
      <c r="ADR4" s="299"/>
      <c r="ADS4" s="299"/>
      <c r="ADT4" s="299"/>
      <c r="ADU4" s="299"/>
      <c r="ADV4" s="299"/>
      <c r="ADW4" s="299"/>
      <c r="ADX4" s="299"/>
      <c r="ADY4" s="299"/>
      <c r="ADZ4" s="299"/>
      <c r="AEA4" s="299"/>
      <c r="AEB4" s="299"/>
      <c r="AEC4" s="299"/>
      <c r="AED4" s="299"/>
      <c r="AEE4" s="299"/>
      <c r="AEF4" s="299"/>
      <c r="AEG4" s="299"/>
      <c r="AEH4" s="299"/>
      <c r="AEI4" s="299"/>
      <c r="AEJ4" s="299"/>
      <c r="AEK4" s="299"/>
      <c r="AEL4" s="299"/>
      <c r="AEM4" s="299"/>
      <c r="AEN4" s="299"/>
      <c r="AEO4" s="299"/>
      <c r="AEP4" s="299"/>
      <c r="AEQ4" s="299"/>
      <c r="AER4" s="299"/>
      <c r="AES4" s="299"/>
      <c r="AET4" s="299"/>
      <c r="AEU4" s="299"/>
      <c r="AEV4" s="299"/>
      <c r="AEW4" s="299"/>
      <c r="AEX4" s="299"/>
      <c r="AEY4" s="299"/>
      <c r="AEZ4" s="299"/>
      <c r="AFA4" s="299"/>
      <c r="AFB4" s="299"/>
      <c r="AFC4" s="299"/>
      <c r="AFD4" s="299"/>
      <c r="AFE4" s="299"/>
      <c r="AFF4" s="299"/>
      <c r="AFG4" s="299"/>
      <c r="AFH4" s="299"/>
      <c r="AFI4" s="299"/>
      <c r="AFJ4" s="299"/>
      <c r="AFK4" s="299"/>
      <c r="AFL4" s="299"/>
      <c r="AFM4" s="299"/>
      <c r="AFN4" s="299"/>
      <c r="AFO4" s="299"/>
      <c r="AFP4" s="299"/>
      <c r="AFQ4" s="299"/>
      <c r="AFR4" s="299"/>
      <c r="AFS4" s="299"/>
      <c r="AFT4" s="299"/>
      <c r="AFU4" s="299"/>
      <c r="AFV4" s="299"/>
      <c r="AFW4" s="299"/>
      <c r="AFX4" s="299"/>
      <c r="AFY4" s="299"/>
      <c r="AFZ4" s="299"/>
      <c r="AGA4" s="299"/>
      <c r="AGB4" s="299"/>
      <c r="AGC4" s="299"/>
      <c r="AGD4" s="299"/>
      <c r="AGE4" s="299"/>
      <c r="AGF4" s="299"/>
      <c r="AGG4" s="299"/>
      <c r="AGH4" s="299"/>
      <c r="AGI4" s="299"/>
      <c r="AGJ4" s="299"/>
      <c r="AGK4" s="299"/>
      <c r="AGL4" s="299"/>
      <c r="AGM4" s="299"/>
      <c r="AGN4" s="299"/>
      <c r="AGO4" s="299"/>
      <c r="AGP4" s="299"/>
      <c r="AGQ4" s="299"/>
      <c r="AGR4" s="299"/>
      <c r="AGS4" s="299"/>
      <c r="AGT4" s="299"/>
      <c r="AGU4" s="299"/>
      <c r="AGV4" s="299"/>
      <c r="AGW4" s="299"/>
      <c r="AGX4" s="299"/>
      <c r="AGY4" s="299"/>
      <c r="AGZ4" s="299"/>
      <c r="AHA4" s="299"/>
      <c r="AHB4" s="299"/>
      <c r="AHC4" s="299"/>
      <c r="AHD4" s="299"/>
      <c r="AHE4" s="299"/>
      <c r="AHF4" s="299"/>
      <c r="AHG4" s="299"/>
      <c r="AHH4" s="299"/>
      <c r="AHI4" s="299"/>
      <c r="AHJ4" s="299"/>
      <c r="AHK4" s="299"/>
      <c r="AHL4" s="299"/>
      <c r="AHM4" s="299"/>
      <c r="AHN4" s="299"/>
      <c r="AHO4" s="299"/>
      <c r="AHP4" s="299"/>
      <c r="AHQ4" s="299"/>
      <c r="AHR4" s="299"/>
      <c r="AHS4" s="299"/>
      <c r="AHT4" s="299"/>
      <c r="AHU4" s="299"/>
      <c r="AHV4" s="299"/>
      <c r="AHW4" s="299"/>
      <c r="AHX4" s="299"/>
      <c r="AHY4" s="299"/>
      <c r="AHZ4" s="299"/>
      <c r="AIA4" s="299"/>
      <c r="AIB4" s="299"/>
      <c r="AIC4" s="299"/>
      <c r="AID4" s="299"/>
      <c r="AIE4" s="299"/>
      <c r="AIF4" s="299"/>
      <c r="AIG4" s="299"/>
      <c r="AIH4" s="299"/>
      <c r="AII4" s="299"/>
      <c r="AIJ4" s="299"/>
      <c r="AIK4" s="299"/>
      <c r="AIL4" s="299"/>
      <c r="AIM4" s="299"/>
      <c r="AIN4" s="299"/>
      <c r="AIO4" s="299"/>
      <c r="AIP4" s="299"/>
      <c r="AIQ4" s="299"/>
      <c r="AIR4" s="299"/>
      <c r="AIS4" s="299"/>
      <c r="AIT4" s="299"/>
      <c r="AIU4" s="299"/>
      <c r="AIV4" s="299"/>
      <c r="AIW4" s="299"/>
      <c r="AIX4" s="299"/>
      <c r="AIY4" s="299"/>
      <c r="AIZ4" s="299"/>
      <c r="AJA4" s="299"/>
      <c r="AJB4" s="299"/>
      <c r="AJC4" s="299"/>
      <c r="AJD4" s="299"/>
      <c r="AJE4" s="299"/>
      <c r="AJF4" s="299"/>
      <c r="AJG4" s="299"/>
      <c r="AJH4" s="299"/>
      <c r="AJI4" s="299"/>
      <c r="AJJ4" s="299"/>
      <c r="AJK4" s="299"/>
      <c r="AJL4" s="299"/>
      <c r="AJM4" s="299"/>
      <c r="AJN4" s="299"/>
      <c r="AJO4" s="299"/>
      <c r="AJP4" s="299"/>
      <c r="AJQ4" s="299"/>
      <c r="AJR4" s="299"/>
      <c r="AJS4" s="299"/>
      <c r="AJT4" s="299"/>
      <c r="AJU4" s="299"/>
      <c r="AJV4" s="299"/>
      <c r="AJW4" s="299"/>
      <c r="AJX4" s="299"/>
      <c r="AJY4" s="299"/>
      <c r="AJZ4" s="299"/>
      <c r="AKA4" s="299"/>
      <c r="AKB4" s="299"/>
      <c r="AKC4" s="299"/>
      <c r="AKD4" s="299"/>
      <c r="AKE4" s="299"/>
      <c r="AKF4" s="299"/>
      <c r="AKG4" s="299"/>
      <c r="AKH4" s="299"/>
      <c r="AKI4" s="299"/>
      <c r="AKJ4" s="299"/>
      <c r="AKK4" s="299"/>
      <c r="AKL4" s="299"/>
      <c r="AKM4" s="299"/>
      <c r="AKN4" s="299"/>
      <c r="AKO4" s="299"/>
      <c r="AKP4" s="299"/>
      <c r="AKQ4" s="299"/>
      <c r="AKR4" s="299"/>
      <c r="AKS4" s="299"/>
      <c r="AKT4" s="299"/>
      <c r="AKU4" s="299"/>
      <c r="AKV4" s="299"/>
      <c r="AKW4" s="299"/>
      <c r="AKX4" s="299"/>
      <c r="AKY4" s="299"/>
      <c r="AKZ4" s="299"/>
      <c r="ALA4" s="299"/>
      <c r="ALB4" s="299"/>
      <c r="ALC4" s="299"/>
      <c r="ALD4" s="299"/>
      <c r="ALE4" s="299"/>
      <c r="ALF4" s="299"/>
      <c r="ALG4" s="299"/>
      <c r="ALH4" s="299"/>
      <c r="ALI4" s="299"/>
      <c r="ALJ4" s="299"/>
      <c r="ALK4" s="299"/>
      <c r="ALL4" s="299"/>
      <c r="ALM4" s="299"/>
      <c r="ALN4" s="299"/>
      <c r="ALO4" s="299"/>
      <c r="ALP4" s="299"/>
      <c r="ALQ4" s="299"/>
      <c r="ALR4" s="299"/>
      <c r="ALS4" s="299"/>
      <c r="ALT4" s="299"/>
      <c r="ALU4" s="299"/>
      <c r="ALV4" s="299"/>
      <c r="ALW4" s="299"/>
      <c r="ALX4" s="299"/>
      <c r="ALY4" s="299"/>
      <c r="ALZ4" s="299"/>
      <c r="AMA4" s="299"/>
      <c r="AMB4" s="299"/>
      <c r="AMC4" s="299"/>
      <c r="AMD4" s="299"/>
      <c r="AME4" s="299"/>
      <c r="AMF4" s="299"/>
      <c r="AMG4" s="299"/>
      <c r="AMH4" s="299"/>
      <c r="AMI4" s="299"/>
      <c r="AMJ4" s="299"/>
      <c r="AMK4" s="299"/>
      <c r="AML4" s="299"/>
      <c r="AMM4" s="299"/>
      <c r="AMN4" s="299"/>
      <c r="AMO4" s="299"/>
      <c r="AMP4" s="299"/>
      <c r="AMQ4" s="299"/>
      <c r="AMR4" s="299"/>
      <c r="AMS4" s="299"/>
      <c r="AMT4" s="299"/>
      <c r="AMU4" s="299"/>
      <c r="AMV4" s="299"/>
      <c r="AMW4" s="299"/>
      <c r="AMX4" s="299"/>
      <c r="AMY4" s="299"/>
      <c r="AMZ4" s="299"/>
      <c r="ANA4" s="299"/>
      <c r="ANB4" s="299"/>
      <c r="ANC4" s="299"/>
      <c r="AND4" s="299"/>
      <c r="ANE4" s="299"/>
      <c r="ANF4" s="299"/>
      <c r="ANG4" s="299"/>
      <c r="ANH4" s="299"/>
      <c r="ANI4" s="299"/>
      <c r="ANJ4" s="299"/>
      <c r="ANK4" s="299"/>
      <c r="ANL4" s="299"/>
      <c r="ANM4" s="299"/>
      <c r="ANN4" s="299"/>
      <c r="ANO4" s="299"/>
      <c r="ANP4" s="299"/>
      <c r="ANQ4" s="299"/>
      <c r="ANR4" s="299"/>
      <c r="ANS4" s="299"/>
      <c r="ANT4" s="299"/>
      <c r="ANU4" s="299"/>
      <c r="ANV4" s="299"/>
      <c r="ANW4" s="299"/>
      <c r="ANX4" s="299"/>
      <c r="ANY4" s="299"/>
      <c r="ANZ4" s="299"/>
      <c r="AOA4" s="299"/>
      <c r="AOB4" s="299"/>
      <c r="AOC4" s="299"/>
      <c r="AOD4" s="299"/>
      <c r="AOE4" s="299"/>
      <c r="AOF4" s="299"/>
      <c r="AOG4" s="299"/>
      <c r="AOH4" s="299"/>
      <c r="AOI4" s="299"/>
      <c r="AOJ4" s="299"/>
      <c r="AOK4" s="299"/>
      <c r="AOL4" s="299"/>
      <c r="AOM4" s="299"/>
      <c r="AON4" s="299"/>
      <c r="AOO4" s="299"/>
      <c r="AOP4" s="299"/>
      <c r="AOQ4" s="299"/>
      <c r="AOR4" s="299"/>
      <c r="AOS4" s="299"/>
      <c r="AOT4" s="299"/>
      <c r="AOU4" s="299"/>
      <c r="AOV4" s="299"/>
      <c r="AOW4" s="299"/>
      <c r="AOX4" s="299"/>
      <c r="AOY4" s="299"/>
      <c r="AOZ4" s="299"/>
      <c r="APA4" s="299"/>
      <c r="APB4" s="299"/>
      <c r="APC4" s="299"/>
      <c r="APD4" s="299"/>
      <c r="APE4" s="299"/>
      <c r="APF4" s="299"/>
      <c r="APG4" s="299"/>
      <c r="APH4" s="299"/>
      <c r="API4" s="299"/>
      <c r="APJ4" s="299"/>
      <c r="APK4" s="299"/>
      <c r="APL4" s="299"/>
      <c r="APM4" s="299"/>
      <c r="APN4" s="299"/>
      <c r="APO4" s="299"/>
      <c r="APP4" s="299"/>
      <c r="APQ4" s="299"/>
      <c r="APR4" s="299"/>
      <c r="APS4" s="299"/>
      <c r="APT4" s="299"/>
      <c r="APU4" s="299"/>
      <c r="APV4" s="299"/>
      <c r="APW4" s="299"/>
      <c r="APX4" s="299"/>
      <c r="APY4" s="299"/>
      <c r="APZ4" s="299"/>
      <c r="AQA4" s="299"/>
      <c r="AQB4" s="299"/>
      <c r="AQC4" s="299"/>
      <c r="AQD4" s="299"/>
      <c r="AQE4" s="299"/>
      <c r="AQF4" s="299"/>
      <c r="AQG4" s="299"/>
      <c r="AQH4" s="299"/>
      <c r="AQI4" s="299"/>
      <c r="AQJ4" s="299"/>
      <c r="AQK4" s="299"/>
      <c r="AQL4" s="299"/>
      <c r="AQM4" s="299"/>
      <c r="AQN4" s="299"/>
      <c r="AQO4" s="299"/>
      <c r="AQP4" s="299"/>
      <c r="AQQ4" s="299"/>
      <c r="AQR4" s="299"/>
      <c r="AQS4" s="299"/>
      <c r="AQT4" s="299"/>
      <c r="AQU4" s="299"/>
      <c r="AQV4" s="299"/>
      <c r="AQW4" s="299"/>
      <c r="AQX4" s="299"/>
      <c r="AQY4" s="299"/>
      <c r="AQZ4" s="299"/>
      <c r="ARA4" s="299"/>
      <c r="ARB4" s="299"/>
      <c r="ARC4" s="299"/>
      <c r="ARD4" s="299"/>
      <c r="ARE4" s="299"/>
      <c r="ARF4" s="299"/>
      <c r="ARG4" s="299"/>
      <c r="ARH4" s="299"/>
      <c r="ARI4" s="299"/>
      <c r="ARJ4" s="299"/>
      <c r="ARK4" s="299"/>
      <c r="ARL4" s="299"/>
      <c r="ARM4" s="299"/>
      <c r="ARN4" s="299"/>
      <c r="ARO4" s="299"/>
      <c r="ARP4" s="299"/>
      <c r="ARQ4" s="299"/>
      <c r="ARR4" s="299"/>
      <c r="ARS4" s="299"/>
      <c r="ART4" s="299"/>
      <c r="ARU4" s="299"/>
      <c r="ARV4" s="299"/>
      <c r="ARW4" s="299"/>
      <c r="ARX4" s="299"/>
      <c r="ARY4" s="299"/>
      <c r="ARZ4" s="299"/>
      <c r="ASA4" s="299"/>
      <c r="ASB4" s="299"/>
      <c r="ASC4" s="299"/>
      <c r="ASD4" s="299"/>
      <c r="ASE4" s="299"/>
      <c r="ASF4" s="299"/>
      <c r="ASG4" s="299"/>
      <c r="ASH4" s="299"/>
      <c r="ASI4" s="299"/>
      <c r="ASJ4" s="299"/>
      <c r="ASK4" s="299"/>
      <c r="ASL4" s="299"/>
      <c r="ASM4" s="299"/>
      <c r="ASN4" s="299"/>
      <c r="ASO4" s="299"/>
      <c r="ASP4" s="299"/>
      <c r="ASQ4" s="299"/>
      <c r="ASR4" s="299"/>
      <c r="ASS4" s="299"/>
      <c r="AST4" s="299"/>
      <c r="ASU4" s="299"/>
      <c r="ASV4" s="299"/>
      <c r="ASW4" s="299"/>
      <c r="ASX4" s="299"/>
      <c r="ASY4" s="299"/>
      <c r="ASZ4" s="299"/>
      <c r="ATA4" s="299"/>
      <c r="ATB4" s="299"/>
      <c r="ATC4" s="299"/>
      <c r="ATD4" s="299"/>
      <c r="ATE4" s="299"/>
      <c r="ATF4" s="299"/>
      <c r="ATG4" s="299"/>
      <c r="ATH4" s="299"/>
      <c r="ATI4" s="299"/>
      <c r="ATJ4" s="299"/>
      <c r="ATK4" s="299"/>
      <c r="ATL4" s="299"/>
      <c r="ATM4" s="299"/>
      <c r="ATN4" s="299"/>
      <c r="ATO4" s="299"/>
      <c r="ATP4" s="299"/>
      <c r="ATQ4" s="299"/>
      <c r="ATR4" s="299"/>
      <c r="ATS4" s="299"/>
      <c r="ATT4" s="299"/>
      <c r="ATU4" s="299"/>
      <c r="ATV4" s="299"/>
      <c r="ATW4" s="299"/>
      <c r="ATX4" s="299"/>
      <c r="ATY4" s="299"/>
      <c r="ATZ4" s="299"/>
      <c r="AUA4" s="299"/>
      <c r="AUB4" s="299"/>
      <c r="AUC4" s="299"/>
      <c r="AUD4" s="299"/>
      <c r="AUE4" s="299"/>
      <c r="AUF4" s="299"/>
      <c r="AUG4" s="299"/>
      <c r="AUH4" s="299"/>
      <c r="AUI4" s="299"/>
      <c r="AUJ4" s="299"/>
      <c r="AUK4" s="299"/>
      <c r="AUL4" s="299"/>
      <c r="AUM4" s="299"/>
      <c r="AUN4" s="299"/>
      <c r="AUO4" s="299"/>
      <c r="AUP4" s="299"/>
      <c r="AUQ4" s="299"/>
      <c r="AUR4" s="299"/>
      <c r="AUS4" s="299"/>
      <c r="AUT4" s="299"/>
      <c r="AUU4" s="299"/>
      <c r="AUV4" s="299"/>
      <c r="AUW4" s="299"/>
      <c r="AUX4" s="299"/>
      <c r="AUY4" s="299"/>
      <c r="AUZ4" s="299"/>
      <c r="AVA4" s="299"/>
      <c r="AVB4" s="299"/>
      <c r="AVC4" s="299"/>
      <c r="AVD4" s="299"/>
      <c r="AVE4" s="299"/>
      <c r="AVF4" s="299"/>
      <c r="AVG4" s="299"/>
      <c r="AVH4" s="299"/>
      <c r="AVI4" s="299"/>
      <c r="AVJ4" s="299"/>
      <c r="AVK4" s="299"/>
      <c r="AVL4" s="299"/>
      <c r="AVM4" s="299"/>
      <c r="AVN4" s="299"/>
      <c r="AVO4" s="299"/>
      <c r="AVP4" s="299"/>
      <c r="AVQ4" s="299"/>
      <c r="AVR4" s="299"/>
      <c r="AVS4" s="299"/>
      <c r="AVT4" s="299"/>
      <c r="AVU4" s="299"/>
      <c r="AVV4" s="299"/>
      <c r="AVW4" s="299"/>
      <c r="AVX4" s="299"/>
      <c r="AVY4" s="299"/>
      <c r="AVZ4" s="299"/>
      <c r="AWA4" s="299"/>
      <c r="AWB4" s="299"/>
      <c r="AWC4" s="299"/>
      <c r="AWD4" s="299"/>
      <c r="AWE4" s="299"/>
      <c r="AWF4" s="299"/>
      <c r="AWG4" s="299"/>
      <c r="AWH4" s="299"/>
      <c r="AWI4" s="299"/>
      <c r="AWJ4" s="299"/>
      <c r="AWK4" s="299"/>
      <c r="AWL4" s="299"/>
      <c r="AWM4" s="299"/>
      <c r="AWN4" s="299"/>
      <c r="AWO4" s="299"/>
      <c r="AWP4" s="299"/>
      <c r="AWQ4" s="299"/>
      <c r="AWR4" s="299"/>
      <c r="AWS4" s="299"/>
      <c r="AWT4" s="299"/>
      <c r="AWU4" s="299"/>
      <c r="AWV4" s="299"/>
      <c r="AWW4" s="299"/>
      <c r="AWX4" s="299"/>
      <c r="AWY4" s="299"/>
      <c r="AWZ4" s="299"/>
      <c r="AXA4" s="299"/>
      <c r="AXB4" s="299"/>
      <c r="AXC4" s="299"/>
      <c r="AXD4" s="299"/>
      <c r="AXE4" s="299"/>
      <c r="AXF4" s="299"/>
      <c r="AXG4" s="299"/>
      <c r="AXH4" s="299"/>
      <c r="AXI4" s="299"/>
      <c r="AXJ4" s="299"/>
      <c r="AXK4" s="299"/>
      <c r="AXL4" s="299"/>
      <c r="AXM4" s="299"/>
      <c r="AXN4" s="299"/>
      <c r="AXO4" s="299"/>
      <c r="AXP4" s="299"/>
      <c r="AXQ4" s="299"/>
      <c r="AXR4" s="299"/>
      <c r="AXS4" s="299"/>
      <c r="AXT4" s="299"/>
      <c r="AXU4" s="299"/>
      <c r="AXV4" s="299"/>
      <c r="AXW4" s="299"/>
      <c r="AXX4" s="299"/>
      <c r="AXY4" s="299"/>
      <c r="AXZ4" s="299"/>
      <c r="AYA4" s="299"/>
      <c r="AYB4" s="299"/>
      <c r="AYC4" s="299"/>
      <c r="AYD4" s="299"/>
      <c r="AYE4" s="299"/>
      <c r="AYF4" s="299"/>
      <c r="AYG4" s="299"/>
      <c r="AYH4" s="299"/>
      <c r="AYI4" s="299"/>
      <c r="AYJ4" s="299"/>
      <c r="AYK4" s="299"/>
      <c r="AYL4" s="299"/>
      <c r="AYM4" s="299"/>
      <c r="AYN4" s="299"/>
      <c r="AYO4" s="299"/>
      <c r="AYP4" s="299"/>
      <c r="AYQ4" s="299"/>
      <c r="AYR4" s="299"/>
      <c r="AYS4" s="299"/>
      <c r="AYT4" s="299"/>
      <c r="AYU4" s="299"/>
      <c r="AYV4" s="299"/>
      <c r="AYW4" s="299"/>
      <c r="AYX4" s="299"/>
      <c r="AYY4" s="299"/>
      <c r="AYZ4" s="299"/>
      <c r="AZA4" s="299"/>
      <c r="AZB4" s="299"/>
      <c r="AZC4" s="299"/>
      <c r="AZD4" s="299"/>
      <c r="AZE4" s="299"/>
      <c r="AZF4" s="299"/>
      <c r="AZG4" s="299"/>
      <c r="AZH4" s="299"/>
      <c r="AZI4" s="299"/>
      <c r="AZJ4" s="299"/>
      <c r="AZK4" s="299"/>
      <c r="AZL4" s="299"/>
      <c r="AZM4" s="299"/>
      <c r="AZN4" s="299"/>
      <c r="AZO4" s="299"/>
      <c r="AZP4" s="299"/>
      <c r="AZQ4" s="299"/>
      <c r="AZR4" s="299"/>
      <c r="AZS4" s="299"/>
      <c r="AZT4" s="299"/>
      <c r="AZU4" s="299"/>
      <c r="AZV4" s="299"/>
      <c r="AZW4" s="299"/>
      <c r="AZX4" s="299"/>
      <c r="AZY4" s="299"/>
      <c r="AZZ4" s="299"/>
      <c r="BAA4" s="299"/>
      <c r="BAB4" s="299"/>
      <c r="BAC4" s="299"/>
      <c r="BAD4" s="299"/>
      <c r="BAE4" s="299"/>
      <c r="BAF4" s="299"/>
      <c r="BAG4" s="299"/>
      <c r="BAH4" s="299"/>
      <c r="BAI4" s="299"/>
      <c r="BAJ4" s="299"/>
      <c r="BAK4" s="299"/>
      <c r="BAL4" s="299"/>
      <c r="BAM4" s="299"/>
      <c r="BAN4" s="299"/>
      <c r="BAO4" s="299"/>
      <c r="BAP4" s="299"/>
      <c r="BAQ4" s="299"/>
      <c r="BAR4" s="299"/>
      <c r="BAS4" s="299"/>
      <c r="BAT4" s="299"/>
      <c r="BAU4" s="299"/>
      <c r="BAV4" s="299"/>
      <c r="BAW4" s="299"/>
      <c r="BAX4" s="299"/>
      <c r="BAY4" s="299"/>
      <c r="BAZ4" s="299"/>
      <c r="BBA4" s="299"/>
      <c r="BBB4" s="299"/>
      <c r="BBC4" s="299"/>
      <c r="BBD4" s="299"/>
      <c r="BBE4" s="299"/>
      <c r="BBF4" s="299"/>
      <c r="BBG4" s="299"/>
      <c r="BBH4" s="299"/>
      <c r="BBI4" s="299"/>
      <c r="BBJ4" s="299"/>
      <c r="BBK4" s="299"/>
      <c r="BBL4" s="299"/>
      <c r="BBM4" s="299"/>
      <c r="BBN4" s="299"/>
      <c r="BBO4" s="299"/>
      <c r="BBP4" s="299"/>
      <c r="BBQ4" s="299"/>
      <c r="BBR4" s="299"/>
      <c r="BBS4" s="299"/>
      <c r="BBT4" s="299"/>
      <c r="BBU4" s="299"/>
      <c r="BBV4" s="299"/>
      <c r="BBW4" s="299"/>
      <c r="BBX4" s="299"/>
      <c r="BBY4" s="299"/>
      <c r="BBZ4" s="299"/>
      <c r="BCA4" s="299"/>
      <c r="BCB4" s="299"/>
      <c r="BCC4" s="299"/>
      <c r="BCD4" s="299"/>
      <c r="BCE4" s="299"/>
      <c r="BCF4" s="299"/>
      <c r="BCG4" s="299"/>
      <c r="BCH4" s="299"/>
      <c r="BCI4" s="299"/>
      <c r="BCJ4" s="299"/>
      <c r="BCK4" s="299"/>
      <c r="BCL4" s="299"/>
      <c r="BCM4" s="299"/>
      <c r="BCN4" s="299"/>
      <c r="BCO4" s="299"/>
      <c r="BCP4" s="299"/>
      <c r="BCQ4" s="299"/>
      <c r="BCR4" s="299"/>
      <c r="BCS4" s="299"/>
      <c r="BCT4" s="299"/>
      <c r="BCU4" s="299"/>
      <c r="BCV4" s="299"/>
      <c r="BCW4" s="299"/>
      <c r="BCX4" s="299"/>
      <c r="BCY4" s="299"/>
      <c r="BCZ4" s="299"/>
      <c r="BDA4" s="299"/>
      <c r="BDB4" s="299"/>
      <c r="BDC4" s="299"/>
      <c r="BDD4" s="299"/>
      <c r="BDE4" s="299"/>
      <c r="BDF4" s="299"/>
      <c r="BDG4" s="299"/>
      <c r="BDH4" s="299"/>
      <c r="BDI4" s="299"/>
      <c r="BDJ4" s="299"/>
      <c r="BDK4" s="299"/>
      <c r="BDL4" s="299"/>
      <c r="BDM4" s="299"/>
      <c r="BDN4" s="299"/>
      <c r="BDO4" s="299"/>
      <c r="BDP4" s="299"/>
      <c r="BDQ4" s="299"/>
      <c r="BDR4" s="299"/>
      <c r="BDS4" s="299"/>
      <c r="BDT4" s="299"/>
      <c r="BDU4" s="299"/>
      <c r="BDV4" s="299"/>
      <c r="BDW4" s="299"/>
      <c r="BDX4" s="299"/>
      <c r="BDY4" s="299"/>
      <c r="BDZ4" s="299"/>
      <c r="BEA4" s="299"/>
      <c r="BEB4" s="299"/>
      <c r="BEC4" s="299"/>
      <c r="BED4" s="299"/>
      <c r="BEE4" s="299"/>
      <c r="BEF4" s="299"/>
      <c r="BEG4" s="299"/>
      <c r="BEH4" s="299"/>
      <c r="BEI4" s="299"/>
      <c r="BEJ4" s="299"/>
      <c r="BEK4" s="299"/>
      <c r="BEL4" s="299"/>
      <c r="BEM4" s="299"/>
      <c r="BEN4" s="299"/>
      <c r="BEO4" s="299"/>
      <c r="BEP4" s="299"/>
      <c r="BEQ4" s="299"/>
      <c r="BER4" s="299"/>
      <c r="BES4" s="299"/>
      <c r="BET4" s="299"/>
      <c r="BEU4" s="299"/>
      <c r="BEV4" s="299"/>
      <c r="BEW4" s="299"/>
      <c r="BEX4" s="299"/>
      <c r="BEY4" s="299"/>
      <c r="BEZ4" s="299"/>
      <c r="BFA4" s="299"/>
      <c r="BFB4" s="299"/>
      <c r="BFC4" s="299"/>
      <c r="BFD4" s="299"/>
      <c r="BFE4" s="299"/>
      <c r="BFF4" s="299"/>
      <c r="BFG4" s="299"/>
      <c r="BFH4" s="299"/>
      <c r="BFI4" s="299"/>
      <c r="BFJ4" s="299"/>
      <c r="BFK4" s="299"/>
      <c r="BFL4" s="299"/>
      <c r="BFM4" s="299"/>
      <c r="BFN4" s="299"/>
      <c r="BFO4" s="299"/>
      <c r="BFP4" s="299"/>
      <c r="BFQ4" s="299"/>
      <c r="BFR4" s="299"/>
      <c r="BFS4" s="299"/>
      <c r="BFT4" s="299"/>
      <c r="BFU4" s="299"/>
      <c r="BFV4" s="299"/>
      <c r="BFW4" s="299"/>
      <c r="BFX4" s="299"/>
      <c r="BFY4" s="299"/>
      <c r="BFZ4" s="299"/>
      <c r="BGA4" s="299"/>
      <c r="BGB4" s="299"/>
      <c r="BGC4" s="299"/>
      <c r="BGD4" s="299"/>
      <c r="BGE4" s="299"/>
      <c r="BGF4" s="299"/>
      <c r="BGG4" s="299"/>
      <c r="BGH4" s="299"/>
      <c r="BGI4" s="299"/>
      <c r="BGJ4" s="299"/>
      <c r="BGK4" s="299"/>
      <c r="BGL4" s="299"/>
      <c r="BGM4" s="299"/>
      <c r="BGN4" s="299"/>
      <c r="BGO4" s="299"/>
      <c r="BGP4" s="299"/>
      <c r="BGQ4" s="299"/>
      <c r="BGR4" s="299"/>
      <c r="BGS4" s="299"/>
      <c r="BGT4" s="299"/>
      <c r="BGU4" s="299"/>
      <c r="BGV4" s="299"/>
      <c r="BGW4" s="299"/>
      <c r="BGX4" s="299"/>
      <c r="BGY4" s="299"/>
      <c r="BGZ4" s="299"/>
      <c r="BHA4" s="299"/>
      <c r="BHB4" s="299"/>
      <c r="BHC4" s="299"/>
      <c r="BHD4" s="299"/>
      <c r="BHE4" s="299"/>
      <c r="BHF4" s="299"/>
      <c r="BHG4" s="299"/>
      <c r="BHH4" s="299"/>
      <c r="BHI4" s="299"/>
      <c r="BHJ4" s="299"/>
      <c r="BHK4" s="299"/>
      <c r="BHL4" s="299"/>
      <c r="BHM4" s="299"/>
      <c r="BHN4" s="299"/>
      <c r="BHO4" s="299"/>
      <c r="BHP4" s="299"/>
      <c r="BHQ4" s="299"/>
      <c r="BHR4" s="299"/>
      <c r="BHS4" s="299"/>
      <c r="BHT4" s="299"/>
      <c r="BHU4" s="299"/>
      <c r="BHV4" s="299"/>
      <c r="BHW4" s="299"/>
      <c r="BHX4" s="299"/>
      <c r="BHY4" s="299"/>
      <c r="BHZ4" s="299"/>
      <c r="BIA4" s="299"/>
      <c r="BIB4" s="299"/>
      <c r="BIC4" s="299"/>
      <c r="BID4" s="299"/>
      <c r="BIE4" s="299"/>
      <c r="BIF4" s="299"/>
      <c r="BIG4" s="299"/>
      <c r="BIH4" s="299"/>
      <c r="BII4" s="299"/>
      <c r="BIJ4" s="299"/>
      <c r="BIK4" s="299"/>
      <c r="BIL4" s="299"/>
      <c r="BIM4" s="299"/>
      <c r="BIN4" s="299"/>
      <c r="BIO4" s="299"/>
      <c r="BIP4" s="299"/>
      <c r="BIQ4" s="299"/>
      <c r="BIR4" s="299"/>
      <c r="BIS4" s="299"/>
      <c r="BIT4" s="299"/>
      <c r="BIU4" s="299"/>
      <c r="BIV4" s="299"/>
      <c r="BIW4" s="299"/>
      <c r="BIX4" s="299"/>
      <c r="BIY4" s="299"/>
      <c r="BIZ4" s="299"/>
      <c r="BJA4" s="299"/>
      <c r="BJB4" s="299"/>
      <c r="BJC4" s="299"/>
      <c r="BJD4" s="299"/>
      <c r="BJE4" s="299"/>
      <c r="BJF4" s="299"/>
      <c r="BJG4" s="299"/>
      <c r="BJH4" s="299"/>
      <c r="BJI4" s="299"/>
      <c r="BJJ4" s="299"/>
      <c r="BJK4" s="299"/>
      <c r="BJL4" s="299"/>
      <c r="BJM4" s="299"/>
      <c r="BJN4" s="299"/>
      <c r="BJO4" s="299"/>
      <c r="BJP4" s="299"/>
      <c r="BJQ4" s="299"/>
      <c r="BJR4" s="299"/>
      <c r="BJS4" s="299"/>
      <c r="BJT4" s="299"/>
      <c r="BJU4" s="299"/>
      <c r="BJV4" s="299"/>
      <c r="BJW4" s="299"/>
      <c r="BJX4" s="299"/>
      <c r="BJY4" s="299"/>
      <c r="BJZ4" s="299"/>
      <c r="BKA4" s="299"/>
      <c r="BKB4" s="299"/>
      <c r="BKC4" s="299"/>
      <c r="BKD4" s="299"/>
      <c r="BKE4" s="299"/>
      <c r="BKF4" s="299"/>
      <c r="BKG4" s="299"/>
      <c r="BKH4" s="299"/>
      <c r="BKI4" s="299"/>
      <c r="BKJ4" s="299"/>
      <c r="BKK4" s="299"/>
      <c r="BKL4" s="299"/>
      <c r="BKM4" s="299"/>
      <c r="BKN4" s="299"/>
      <c r="BKO4" s="299"/>
      <c r="BKP4" s="299"/>
      <c r="BKQ4" s="299"/>
      <c r="BKR4" s="299"/>
      <c r="BKS4" s="299"/>
      <c r="BKT4" s="299"/>
      <c r="BKU4" s="299"/>
      <c r="BKV4" s="299"/>
      <c r="BKW4" s="299"/>
      <c r="BKX4" s="299"/>
      <c r="BKY4" s="299"/>
      <c r="BKZ4" s="299"/>
      <c r="BLA4" s="299"/>
      <c r="BLB4" s="299"/>
      <c r="BLC4" s="299"/>
      <c r="BLD4" s="299"/>
      <c r="BLE4" s="299"/>
      <c r="BLF4" s="299"/>
      <c r="BLG4" s="299"/>
      <c r="BLH4" s="299"/>
      <c r="BLI4" s="299"/>
      <c r="BLJ4" s="299"/>
      <c r="BLK4" s="299"/>
      <c r="BLL4" s="299"/>
      <c r="BLM4" s="299"/>
      <c r="BLN4" s="299"/>
      <c r="BLO4" s="299"/>
      <c r="BLP4" s="299"/>
      <c r="BLQ4" s="299"/>
      <c r="BLR4" s="299"/>
      <c r="BLS4" s="299"/>
      <c r="BLT4" s="299"/>
      <c r="BLU4" s="299"/>
      <c r="BLV4" s="299"/>
      <c r="BLW4" s="299"/>
      <c r="BLX4" s="299"/>
      <c r="BLY4" s="299"/>
      <c r="BLZ4" s="299"/>
      <c r="BMA4" s="299"/>
      <c r="BMB4" s="299"/>
      <c r="BMC4" s="299"/>
      <c r="BMD4" s="299"/>
      <c r="BME4" s="299"/>
      <c r="BMF4" s="299"/>
      <c r="BMG4" s="299"/>
      <c r="BMH4" s="299"/>
      <c r="BMI4" s="299"/>
      <c r="BMJ4" s="299"/>
      <c r="BMK4" s="299"/>
      <c r="BML4" s="299"/>
      <c r="BMM4" s="299"/>
      <c r="BMN4" s="299"/>
      <c r="BMO4" s="299"/>
      <c r="BMP4" s="299"/>
      <c r="BMQ4" s="299"/>
      <c r="BMR4" s="299"/>
      <c r="BMS4" s="299"/>
      <c r="BMT4" s="299"/>
      <c r="BMU4" s="299"/>
      <c r="BMV4" s="299"/>
      <c r="BMW4" s="299"/>
      <c r="BMX4" s="299"/>
      <c r="BMY4" s="299"/>
      <c r="BMZ4" s="299"/>
      <c r="BNA4" s="299"/>
      <c r="BNB4" s="299"/>
      <c r="BNC4" s="299"/>
      <c r="BND4" s="299"/>
      <c r="BNE4" s="299"/>
      <c r="BNF4" s="299"/>
      <c r="BNG4" s="299"/>
      <c r="BNH4" s="299"/>
      <c r="BNI4" s="299"/>
      <c r="BNJ4" s="299"/>
      <c r="BNK4" s="299"/>
      <c r="BNL4" s="299"/>
      <c r="BNM4" s="299"/>
      <c r="BNN4" s="299"/>
      <c r="BNO4" s="299"/>
      <c r="BNP4" s="299"/>
      <c r="BNQ4" s="299"/>
      <c r="BNR4" s="299"/>
      <c r="BNS4" s="299"/>
      <c r="BNT4" s="299"/>
      <c r="BNU4" s="299"/>
      <c r="BNV4" s="299"/>
      <c r="BNW4" s="299"/>
      <c r="BNX4" s="299"/>
      <c r="BNY4" s="299"/>
      <c r="BNZ4" s="299"/>
      <c r="BOA4" s="299"/>
      <c r="BOB4" s="299"/>
      <c r="BOC4" s="299"/>
      <c r="BOD4" s="299"/>
      <c r="BOE4" s="299"/>
      <c r="BOF4" s="299"/>
      <c r="BOG4" s="299"/>
      <c r="BOH4" s="299"/>
      <c r="BOI4" s="299"/>
      <c r="BOJ4" s="299"/>
      <c r="BOK4" s="299"/>
      <c r="BOL4" s="299"/>
      <c r="BOM4" s="299"/>
      <c r="BON4" s="299"/>
      <c r="BOO4" s="299"/>
      <c r="BOP4" s="299"/>
      <c r="BOQ4" s="299"/>
      <c r="BOR4" s="299"/>
      <c r="BOS4" s="299"/>
      <c r="BOT4" s="299"/>
      <c r="BOU4" s="299"/>
      <c r="BOV4" s="299"/>
      <c r="BOW4" s="299"/>
      <c r="BOX4" s="299"/>
      <c r="BOY4" s="299"/>
      <c r="BOZ4" s="299"/>
      <c r="BPA4" s="299"/>
      <c r="BPB4" s="299"/>
      <c r="BPC4" s="299"/>
      <c r="BPD4" s="299"/>
      <c r="BPE4" s="299"/>
      <c r="BPF4" s="299"/>
      <c r="BPG4" s="299"/>
      <c r="BPH4" s="299"/>
      <c r="BPI4" s="299"/>
      <c r="BPJ4" s="299"/>
      <c r="BPK4" s="299"/>
      <c r="BPL4" s="299"/>
      <c r="BPM4" s="299"/>
      <c r="BPN4" s="299"/>
      <c r="BPO4" s="299"/>
      <c r="BPP4" s="299"/>
      <c r="BPQ4" s="299"/>
      <c r="BPR4" s="299"/>
      <c r="BPS4" s="299"/>
      <c r="BPT4" s="299"/>
      <c r="BPU4" s="299"/>
      <c r="BPV4" s="299"/>
      <c r="BPW4" s="299"/>
      <c r="BPX4" s="299"/>
      <c r="BPY4" s="299"/>
      <c r="BPZ4" s="299"/>
      <c r="BQA4" s="299"/>
      <c r="BQB4" s="299"/>
      <c r="BQC4" s="299"/>
      <c r="BQD4" s="299"/>
      <c r="BQE4" s="299"/>
      <c r="BQF4" s="299"/>
      <c r="BQG4" s="299"/>
      <c r="BQH4" s="299"/>
      <c r="BQI4" s="299"/>
      <c r="BQJ4" s="299"/>
      <c r="BQK4" s="299"/>
      <c r="BQL4" s="299"/>
      <c r="BQM4" s="299"/>
      <c r="BQN4" s="299"/>
      <c r="BQO4" s="299"/>
      <c r="BQP4" s="299"/>
      <c r="BQQ4" s="299"/>
      <c r="BQR4" s="299"/>
      <c r="BQS4" s="299"/>
      <c r="BQT4" s="299"/>
      <c r="BQU4" s="299"/>
      <c r="BQV4" s="299"/>
      <c r="BQW4" s="299"/>
      <c r="BQX4" s="299"/>
      <c r="BQY4" s="299"/>
      <c r="BQZ4" s="299"/>
      <c r="BRA4" s="299"/>
      <c r="BRB4" s="299"/>
      <c r="BRC4" s="299"/>
      <c r="BRD4" s="299"/>
      <c r="BRE4" s="299"/>
      <c r="BRF4" s="299"/>
      <c r="BRG4" s="299"/>
      <c r="BRH4" s="299"/>
      <c r="BRI4" s="299"/>
      <c r="BRJ4" s="299"/>
      <c r="BRK4" s="299"/>
      <c r="BRL4" s="299"/>
      <c r="BRM4" s="299"/>
      <c r="BRN4" s="299"/>
      <c r="BRO4" s="299"/>
      <c r="BRP4" s="299"/>
      <c r="BRQ4" s="299"/>
      <c r="BRR4" s="299"/>
      <c r="BRS4" s="299"/>
      <c r="BRT4" s="299"/>
      <c r="BRU4" s="299"/>
      <c r="BRV4" s="299"/>
      <c r="BRW4" s="299"/>
      <c r="BRX4" s="299"/>
      <c r="BRY4" s="299"/>
      <c r="BRZ4" s="299"/>
      <c r="BSA4" s="299"/>
      <c r="BSB4" s="299"/>
      <c r="BSC4" s="299"/>
      <c r="BSD4" s="299"/>
      <c r="BSE4" s="299"/>
      <c r="BSF4" s="299"/>
      <c r="BSG4" s="299"/>
      <c r="BSH4" s="299"/>
      <c r="BSI4" s="299"/>
      <c r="BSJ4" s="299"/>
      <c r="BSK4" s="299"/>
      <c r="BSL4" s="299"/>
      <c r="BSM4" s="299"/>
      <c r="BSN4" s="299"/>
      <c r="BSO4" s="299"/>
      <c r="BSP4" s="299"/>
      <c r="BSQ4" s="299"/>
      <c r="BSR4" s="299"/>
      <c r="BSS4" s="299"/>
      <c r="BST4" s="299"/>
      <c r="BSU4" s="299"/>
      <c r="BSV4" s="299"/>
      <c r="BSW4" s="299"/>
      <c r="BSX4" s="299"/>
      <c r="BSY4" s="299"/>
      <c r="BSZ4" s="299"/>
      <c r="BTA4" s="299"/>
      <c r="BTB4" s="299"/>
      <c r="BTC4" s="299"/>
      <c r="BTD4" s="299"/>
      <c r="BTE4" s="299"/>
      <c r="BTF4" s="299"/>
      <c r="BTG4" s="299"/>
      <c r="BTH4" s="299"/>
      <c r="BTI4" s="299"/>
      <c r="BTJ4" s="299"/>
      <c r="BTK4" s="299"/>
      <c r="BTL4" s="299"/>
      <c r="BTM4" s="299"/>
      <c r="BTN4" s="299"/>
      <c r="BTO4" s="299"/>
      <c r="BTP4" s="299"/>
      <c r="BTQ4" s="299"/>
      <c r="BTR4" s="299"/>
      <c r="BTS4" s="299"/>
      <c r="BTT4" s="299"/>
      <c r="BTU4" s="299"/>
      <c r="BTV4" s="299"/>
      <c r="BTW4" s="299"/>
      <c r="BTX4" s="299"/>
      <c r="BTY4" s="299"/>
      <c r="BTZ4" s="299"/>
      <c r="BUA4" s="299"/>
      <c r="BUB4" s="299"/>
      <c r="BUC4" s="299"/>
      <c r="BUD4" s="299"/>
      <c r="BUE4" s="299"/>
      <c r="BUF4" s="299"/>
      <c r="BUG4" s="299"/>
      <c r="BUH4" s="299"/>
      <c r="BUI4" s="299"/>
      <c r="BUJ4" s="299"/>
      <c r="BUK4" s="299"/>
      <c r="BUL4" s="299"/>
      <c r="BUM4" s="299"/>
      <c r="BUN4" s="299"/>
      <c r="BUO4" s="299"/>
      <c r="BUP4" s="299"/>
      <c r="BUQ4" s="299"/>
      <c r="BUR4" s="299"/>
      <c r="BUS4" s="299"/>
      <c r="BUT4" s="299"/>
      <c r="BUU4" s="299"/>
      <c r="BUV4" s="299"/>
      <c r="BUW4" s="299"/>
      <c r="BUX4" s="299"/>
      <c r="BUY4" s="299"/>
      <c r="BUZ4" s="299"/>
      <c r="BVA4" s="299"/>
      <c r="BVB4" s="299"/>
      <c r="BVC4" s="299"/>
      <c r="BVD4" s="299"/>
      <c r="BVE4" s="299"/>
      <c r="BVF4" s="299"/>
      <c r="BVG4" s="299"/>
      <c r="BVH4" s="299"/>
      <c r="BVI4" s="299"/>
      <c r="BVJ4" s="299"/>
      <c r="BVK4" s="299"/>
      <c r="BVL4" s="299"/>
      <c r="BVM4" s="299"/>
      <c r="BVN4" s="299"/>
      <c r="BVO4" s="299"/>
      <c r="BVP4" s="299"/>
      <c r="BVQ4" s="299"/>
      <c r="BVR4" s="299"/>
      <c r="BVS4" s="299"/>
      <c r="BVT4" s="299"/>
      <c r="BVU4" s="299"/>
      <c r="BVV4" s="299"/>
      <c r="BVW4" s="299"/>
      <c r="BVX4" s="299"/>
      <c r="BVY4" s="299"/>
      <c r="BVZ4" s="299"/>
      <c r="BWA4" s="299"/>
      <c r="BWB4" s="299"/>
      <c r="BWC4" s="299"/>
      <c r="BWD4" s="299"/>
      <c r="BWE4" s="299"/>
      <c r="BWF4" s="299"/>
      <c r="BWG4" s="299"/>
      <c r="BWH4" s="299"/>
      <c r="BWI4" s="299"/>
      <c r="BWJ4" s="299"/>
      <c r="BWK4" s="299"/>
      <c r="BWL4" s="299"/>
      <c r="BWM4" s="299"/>
      <c r="BWN4" s="299"/>
      <c r="BWO4" s="299"/>
      <c r="BWP4" s="299"/>
      <c r="BWQ4" s="299"/>
      <c r="BWR4" s="299"/>
      <c r="BWS4" s="299"/>
      <c r="BWT4" s="299"/>
      <c r="BWU4" s="299"/>
      <c r="BWV4" s="299"/>
      <c r="BWW4" s="299"/>
      <c r="BWX4" s="299"/>
      <c r="BWY4" s="299"/>
      <c r="BWZ4" s="299"/>
      <c r="BXA4" s="299"/>
      <c r="BXB4" s="299"/>
      <c r="BXC4" s="299"/>
      <c r="BXD4" s="299"/>
      <c r="BXE4" s="299"/>
      <c r="BXF4" s="299"/>
      <c r="BXG4" s="299"/>
      <c r="BXH4" s="299"/>
      <c r="BXI4" s="299"/>
      <c r="BXJ4" s="299"/>
      <c r="BXK4" s="299"/>
      <c r="BXL4" s="299"/>
      <c r="BXM4" s="299"/>
      <c r="BXN4" s="299"/>
      <c r="BXO4" s="299"/>
      <c r="BXP4" s="299"/>
      <c r="BXQ4" s="299"/>
      <c r="BXR4" s="299"/>
      <c r="BXS4" s="299"/>
      <c r="BXT4" s="299"/>
      <c r="BXU4" s="299"/>
      <c r="BXV4" s="299"/>
      <c r="BXW4" s="299"/>
      <c r="BXX4" s="299"/>
      <c r="BXY4" s="299"/>
      <c r="BXZ4" s="299"/>
      <c r="BYA4" s="299"/>
      <c r="BYB4" s="299"/>
      <c r="BYC4" s="299"/>
      <c r="BYD4" s="299"/>
      <c r="BYE4" s="299"/>
      <c r="BYF4" s="299"/>
      <c r="BYG4" s="299"/>
      <c r="BYH4" s="299"/>
      <c r="BYI4" s="299"/>
      <c r="BYJ4" s="299"/>
      <c r="BYK4" s="299"/>
      <c r="BYL4" s="299"/>
      <c r="BYM4" s="299"/>
      <c r="BYN4" s="299"/>
      <c r="BYO4" s="299"/>
      <c r="BYP4" s="299"/>
      <c r="BYQ4" s="299"/>
      <c r="BYR4" s="299"/>
      <c r="BYS4" s="299"/>
      <c r="BYT4" s="299"/>
      <c r="BYU4" s="299"/>
      <c r="BYV4" s="299"/>
      <c r="BYW4" s="299"/>
      <c r="BYX4" s="299"/>
      <c r="BYY4" s="299"/>
      <c r="BYZ4" s="299"/>
      <c r="BZA4" s="299"/>
      <c r="BZB4" s="299"/>
      <c r="BZC4" s="299"/>
      <c r="BZD4" s="299"/>
      <c r="BZE4" s="299"/>
      <c r="BZF4" s="299"/>
      <c r="BZG4" s="299"/>
      <c r="BZH4" s="299"/>
      <c r="BZI4" s="299"/>
      <c r="BZJ4" s="299"/>
      <c r="BZK4" s="299"/>
      <c r="BZL4" s="299"/>
      <c r="BZM4" s="299"/>
      <c r="BZN4" s="299"/>
      <c r="BZO4" s="299"/>
      <c r="BZP4" s="299"/>
      <c r="BZQ4" s="299"/>
      <c r="BZR4" s="299"/>
      <c r="BZS4" s="299"/>
      <c r="BZT4" s="299"/>
      <c r="BZU4" s="299"/>
      <c r="BZV4" s="299"/>
      <c r="BZW4" s="299"/>
      <c r="BZX4" s="299"/>
      <c r="BZY4" s="299"/>
      <c r="BZZ4" s="299"/>
      <c r="CAA4" s="299"/>
      <c r="CAB4" s="299"/>
      <c r="CAC4" s="299"/>
      <c r="CAD4" s="299"/>
      <c r="CAE4" s="299"/>
      <c r="CAF4" s="299"/>
      <c r="CAG4" s="299"/>
      <c r="CAH4" s="299"/>
      <c r="CAI4" s="299"/>
      <c r="CAJ4" s="299"/>
      <c r="CAK4" s="299"/>
      <c r="CAL4" s="299"/>
      <c r="CAM4" s="299"/>
      <c r="CAN4" s="299"/>
      <c r="CAO4" s="299"/>
      <c r="CAP4" s="299"/>
      <c r="CAQ4" s="299"/>
      <c r="CAR4" s="299"/>
      <c r="CAS4" s="299"/>
      <c r="CAT4" s="299"/>
      <c r="CAU4" s="299"/>
      <c r="CAV4" s="299"/>
      <c r="CAW4" s="299"/>
      <c r="CAX4" s="299"/>
      <c r="CAY4" s="299"/>
      <c r="CAZ4" s="299"/>
      <c r="CBA4" s="299"/>
      <c r="CBB4" s="299"/>
      <c r="CBC4" s="299"/>
      <c r="CBD4" s="299"/>
      <c r="CBE4" s="299"/>
      <c r="CBF4" s="299"/>
      <c r="CBG4" s="299"/>
      <c r="CBH4" s="299"/>
      <c r="CBI4" s="299"/>
      <c r="CBJ4" s="299"/>
      <c r="CBK4" s="299"/>
      <c r="CBL4" s="299"/>
      <c r="CBM4" s="299"/>
      <c r="CBN4" s="299"/>
      <c r="CBO4" s="299"/>
      <c r="CBP4" s="299"/>
      <c r="CBQ4" s="299"/>
      <c r="CBR4" s="299"/>
      <c r="CBS4" s="299"/>
      <c r="CBT4" s="299"/>
      <c r="CBU4" s="299"/>
      <c r="CBV4" s="299"/>
      <c r="CBW4" s="299"/>
      <c r="CBX4" s="299"/>
      <c r="CBY4" s="299"/>
      <c r="CBZ4" s="299"/>
      <c r="CCA4" s="299"/>
      <c r="CCB4" s="299"/>
      <c r="CCC4" s="299"/>
      <c r="CCD4" s="299"/>
      <c r="CCE4" s="299"/>
      <c r="CCF4" s="299"/>
      <c r="CCG4" s="299"/>
      <c r="CCH4" s="299"/>
      <c r="CCI4" s="299"/>
      <c r="CCJ4" s="299"/>
      <c r="CCK4" s="299"/>
      <c r="CCL4" s="299"/>
      <c r="CCM4" s="299"/>
      <c r="CCN4" s="299"/>
      <c r="CCO4" s="299"/>
      <c r="CCP4" s="299"/>
      <c r="CCQ4" s="299"/>
      <c r="CCR4" s="299"/>
      <c r="CCS4" s="299"/>
      <c r="CCT4" s="299"/>
      <c r="CCU4" s="299"/>
      <c r="CCV4" s="299"/>
      <c r="CCW4" s="299"/>
      <c r="CCX4" s="299"/>
      <c r="CCY4" s="299"/>
      <c r="CCZ4" s="299"/>
      <c r="CDA4" s="299"/>
      <c r="CDB4" s="299"/>
      <c r="CDC4" s="299"/>
      <c r="CDD4" s="299"/>
      <c r="CDE4" s="299"/>
      <c r="CDF4" s="299"/>
      <c r="CDG4" s="299"/>
      <c r="CDH4" s="299"/>
      <c r="CDI4" s="299"/>
      <c r="CDJ4" s="299"/>
      <c r="CDK4" s="299"/>
      <c r="CDL4" s="299"/>
      <c r="CDM4" s="299"/>
      <c r="CDN4" s="299"/>
      <c r="CDO4" s="299"/>
      <c r="CDP4" s="299"/>
      <c r="CDQ4" s="299"/>
      <c r="CDR4" s="299"/>
      <c r="CDS4" s="299"/>
      <c r="CDT4" s="299"/>
      <c r="CDU4" s="299"/>
      <c r="CDV4" s="299"/>
      <c r="CDW4" s="299"/>
      <c r="CDX4" s="299"/>
      <c r="CDY4" s="299"/>
      <c r="CDZ4" s="299"/>
      <c r="CEA4" s="299"/>
      <c r="CEB4" s="299"/>
      <c r="CEC4" s="299"/>
      <c r="CED4" s="299"/>
      <c r="CEE4" s="299"/>
      <c r="CEF4" s="299"/>
      <c r="CEG4" s="299"/>
      <c r="CEH4" s="299"/>
      <c r="CEI4" s="299"/>
      <c r="CEJ4" s="299"/>
      <c r="CEK4" s="299"/>
      <c r="CEL4" s="299"/>
      <c r="CEM4" s="299"/>
      <c r="CEN4" s="299"/>
      <c r="CEO4" s="299"/>
      <c r="CEP4" s="299"/>
      <c r="CEQ4" s="299"/>
      <c r="CER4" s="299"/>
      <c r="CES4" s="299"/>
      <c r="CET4" s="299"/>
      <c r="CEU4" s="299"/>
      <c r="CEV4" s="299"/>
      <c r="CEW4" s="299"/>
      <c r="CEX4" s="299"/>
      <c r="CEY4" s="299"/>
      <c r="CEZ4" s="299"/>
      <c r="CFA4" s="299"/>
      <c r="CFB4" s="299"/>
      <c r="CFC4" s="299"/>
      <c r="CFD4" s="299"/>
      <c r="CFE4" s="299"/>
      <c r="CFF4" s="299"/>
      <c r="CFG4" s="299"/>
      <c r="CFH4" s="299"/>
      <c r="CFI4" s="299"/>
      <c r="CFJ4" s="299"/>
      <c r="CFK4" s="299"/>
      <c r="CFL4" s="299"/>
      <c r="CFM4" s="299"/>
      <c r="CFN4" s="299"/>
      <c r="CFO4" s="299"/>
      <c r="CFP4" s="299"/>
      <c r="CFQ4" s="299"/>
      <c r="CFR4" s="299"/>
      <c r="CFS4" s="299"/>
      <c r="CFT4" s="299"/>
      <c r="CFU4" s="299"/>
      <c r="CFV4" s="299"/>
      <c r="CFW4" s="299"/>
      <c r="CFX4" s="299"/>
      <c r="CFY4" s="299"/>
      <c r="CFZ4" s="299"/>
      <c r="CGA4" s="299"/>
      <c r="CGB4" s="299"/>
      <c r="CGC4" s="299"/>
      <c r="CGD4" s="299"/>
      <c r="CGE4" s="299"/>
      <c r="CGF4" s="299"/>
      <c r="CGG4" s="299"/>
      <c r="CGH4" s="299"/>
      <c r="CGI4" s="299"/>
      <c r="CGJ4" s="299"/>
      <c r="CGK4" s="299"/>
      <c r="CGL4" s="299"/>
      <c r="CGM4" s="299"/>
      <c r="CGN4" s="299"/>
      <c r="CGO4" s="299"/>
      <c r="CGP4" s="299"/>
      <c r="CGQ4" s="299"/>
      <c r="CGR4" s="299"/>
      <c r="CGS4" s="299"/>
      <c r="CGT4" s="299"/>
      <c r="CGU4" s="299"/>
      <c r="CGV4" s="299"/>
      <c r="CGW4" s="299"/>
      <c r="CGX4" s="299"/>
      <c r="CGY4" s="299"/>
      <c r="CGZ4" s="299"/>
      <c r="CHA4" s="299"/>
      <c r="CHB4" s="299"/>
      <c r="CHC4" s="299"/>
      <c r="CHD4" s="299"/>
      <c r="CHE4" s="299"/>
      <c r="CHF4" s="299"/>
      <c r="CHG4" s="299"/>
      <c r="CHH4" s="299"/>
      <c r="CHI4" s="299"/>
      <c r="CHJ4" s="299"/>
      <c r="CHK4" s="299"/>
      <c r="CHL4" s="299"/>
      <c r="CHM4" s="299"/>
      <c r="CHN4" s="299"/>
      <c r="CHO4" s="299"/>
      <c r="CHP4" s="299"/>
      <c r="CHQ4" s="299"/>
      <c r="CHR4" s="299"/>
      <c r="CHS4" s="299"/>
      <c r="CHT4" s="299"/>
      <c r="CHU4" s="299"/>
      <c r="CHV4" s="299"/>
      <c r="CHW4" s="299"/>
      <c r="CHX4" s="299"/>
      <c r="CHY4" s="299"/>
      <c r="CHZ4" s="299"/>
      <c r="CIA4" s="299"/>
      <c r="CIB4" s="299"/>
      <c r="CIC4" s="299"/>
      <c r="CID4" s="299"/>
      <c r="CIE4" s="299"/>
      <c r="CIF4" s="299"/>
      <c r="CIG4" s="299"/>
      <c r="CIH4" s="299"/>
      <c r="CII4" s="299"/>
      <c r="CIJ4" s="299"/>
      <c r="CIK4" s="299"/>
      <c r="CIL4" s="299"/>
      <c r="CIM4" s="299"/>
      <c r="CIN4" s="299"/>
      <c r="CIO4" s="299"/>
      <c r="CIP4" s="299"/>
      <c r="CIQ4" s="299"/>
      <c r="CIR4" s="299"/>
      <c r="CIS4" s="299"/>
      <c r="CIT4" s="299"/>
      <c r="CIU4" s="299"/>
      <c r="CIV4" s="299"/>
      <c r="CIW4" s="299"/>
      <c r="CIX4" s="299"/>
      <c r="CIY4" s="299"/>
      <c r="CIZ4" s="299"/>
      <c r="CJA4" s="299"/>
      <c r="CJB4" s="299"/>
      <c r="CJC4" s="299"/>
      <c r="CJD4" s="299"/>
      <c r="CJE4" s="299"/>
      <c r="CJF4" s="299"/>
      <c r="CJG4" s="299"/>
      <c r="CJH4" s="299"/>
      <c r="CJI4" s="299"/>
      <c r="CJJ4" s="299"/>
      <c r="CJK4" s="299"/>
      <c r="CJL4" s="299"/>
      <c r="CJM4" s="299"/>
      <c r="CJN4" s="299"/>
      <c r="CJO4" s="299"/>
      <c r="CJP4" s="299"/>
      <c r="CJQ4" s="299"/>
      <c r="CJR4" s="299"/>
      <c r="CJS4" s="299"/>
      <c r="CJT4" s="299"/>
      <c r="CJU4" s="299"/>
      <c r="CJV4" s="299"/>
      <c r="CJW4" s="299"/>
      <c r="CJX4" s="299"/>
      <c r="CJY4" s="299"/>
      <c r="CJZ4" s="299"/>
      <c r="CKA4" s="299"/>
      <c r="CKB4" s="299"/>
      <c r="CKC4" s="299"/>
      <c r="CKD4" s="299"/>
      <c r="CKE4" s="299"/>
      <c r="CKF4" s="299"/>
      <c r="CKG4" s="299"/>
      <c r="CKH4" s="299"/>
      <c r="CKI4" s="299"/>
      <c r="CKJ4" s="299"/>
      <c r="CKK4" s="299"/>
      <c r="CKL4" s="299"/>
      <c r="CKM4" s="299"/>
      <c r="CKN4" s="299"/>
      <c r="CKO4" s="299"/>
      <c r="CKP4" s="299"/>
      <c r="CKQ4" s="299"/>
      <c r="CKR4" s="299"/>
      <c r="CKS4" s="299"/>
      <c r="CKT4" s="299"/>
      <c r="CKU4" s="299"/>
      <c r="CKV4" s="299"/>
      <c r="CKW4" s="299"/>
      <c r="CKX4" s="299"/>
      <c r="CKY4" s="299"/>
      <c r="CKZ4" s="299"/>
      <c r="CLA4" s="299"/>
      <c r="CLB4" s="299"/>
      <c r="CLC4" s="299"/>
      <c r="CLD4" s="299"/>
      <c r="CLE4" s="299"/>
      <c r="CLF4" s="299"/>
      <c r="CLG4" s="299"/>
      <c r="CLH4" s="299"/>
      <c r="CLI4" s="299"/>
      <c r="CLJ4" s="299"/>
      <c r="CLK4" s="299"/>
      <c r="CLL4" s="299"/>
      <c r="CLM4" s="299"/>
      <c r="CLN4" s="299"/>
      <c r="CLO4" s="299"/>
      <c r="CLP4" s="299"/>
      <c r="CLQ4" s="299"/>
      <c r="CLR4" s="299"/>
      <c r="CLS4" s="299"/>
      <c r="CLT4" s="299"/>
      <c r="CLU4" s="299"/>
      <c r="CLV4" s="299"/>
      <c r="CLW4" s="299"/>
      <c r="CLX4" s="299"/>
      <c r="CLY4" s="299"/>
      <c r="CLZ4" s="299"/>
      <c r="CMA4" s="299"/>
      <c r="CMB4" s="299"/>
      <c r="CMC4" s="299"/>
      <c r="CMD4" s="299"/>
      <c r="CME4" s="299"/>
      <c r="CMF4" s="299"/>
      <c r="CMG4" s="299"/>
      <c r="CMH4" s="299"/>
      <c r="CMI4" s="299"/>
      <c r="CMJ4" s="299"/>
      <c r="CMK4" s="299"/>
      <c r="CML4" s="299"/>
      <c r="CMM4" s="299"/>
      <c r="CMN4" s="299"/>
      <c r="CMO4" s="299"/>
      <c r="CMP4" s="299"/>
      <c r="CMQ4" s="299"/>
      <c r="CMR4" s="299"/>
      <c r="CMS4" s="299"/>
      <c r="CMT4" s="299"/>
      <c r="CMU4" s="299"/>
      <c r="CMV4" s="299"/>
      <c r="CMW4" s="299"/>
      <c r="CMX4" s="299"/>
      <c r="CMY4" s="299"/>
      <c r="CMZ4" s="299"/>
      <c r="CNA4" s="299"/>
      <c r="CNB4" s="299"/>
      <c r="CNC4" s="299"/>
      <c r="CND4" s="299"/>
      <c r="CNE4" s="299"/>
      <c r="CNF4" s="299"/>
      <c r="CNG4" s="299"/>
      <c r="CNH4" s="299"/>
      <c r="CNI4" s="299"/>
      <c r="CNJ4" s="299"/>
      <c r="CNK4" s="299"/>
      <c r="CNL4" s="299"/>
      <c r="CNM4" s="299"/>
      <c r="CNN4" s="299"/>
      <c r="CNO4" s="299"/>
      <c r="CNP4" s="299"/>
      <c r="CNQ4" s="299"/>
      <c r="CNR4" s="299"/>
      <c r="CNS4" s="299"/>
      <c r="CNT4" s="299"/>
      <c r="CNU4" s="299"/>
      <c r="CNV4" s="299"/>
      <c r="CNW4" s="299"/>
      <c r="CNX4" s="299"/>
      <c r="CNY4" s="299"/>
      <c r="CNZ4" s="299"/>
      <c r="COA4" s="299"/>
      <c r="COB4" s="299"/>
      <c r="COC4" s="299"/>
      <c r="COD4" s="299"/>
      <c r="COE4" s="299"/>
      <c r="COF4" s="299"/>
      <c r="COG4" s="299"/>
      <c r="COH4" s="299"/>
      <c r="COI4" s="299"/>
      <c r="COJ4" s="299"/>
      <c r="COK4" s="299"/>
      <c r="COL4" s="299"/>
      <c r="COM4" s="299"/>
      <c r="CON4" s="299"/>
      <c r="COO4" s="299"/>
      <c r="COP4" s="299"/>
      <c r="COQ4" s="299"/>
      <c r="COR4" s="299"/>
      <c r="COS4" s="299"/>
      <c r="COT4" s="299"/>
      <c r="COU4" s="299"/>
      <c r="COV4" s="299"/>
      <c r="COW4" s="299"/>
      <c r="COX4" s="299"/>
      <c r="COY4" s="299"/>
      <c r="COZ4" s="299"/>
      <c r="CPA4" s="299"/>
      <c r="CPB4" s="299"/>
      <c r="CPC4" s="299"/>
      <c r="CPD4" s="299"/>
      <c r="CPE4" s="299"/>
      <c r="CPF4" s="299"/>
      <c r="CPG4" s="299"/>
      <c r="CPH4" s="299"/>
      <c r="CPI4" s="299"/>
      <c r="CPJ4" s="299"/>
      <c r="CPK4" s="299"/>
      <c r="CPL4" s="299"/>
      <c r="CPM4" s="299"/>
      <c r="CPN4" s="299"/>
      <c r="CPO4" s="299"/>
      <c r="CPP4" s="299"/>
      <c r="CPQ4" s="299"/>
      <c r="CPR4" s="299"/>
      <c r="CPS4" s="299"/>
      <c r="CPT4" s="299"/>
      <c r="CPU4" s="299"/>
      <c r="CPV4" s="299"/>
      <c r="CPW4" s="299"/>
      <c r="CPX4" s="299"/>
      <c r="CPY4" s="299"/>
      <c r="CPZ4" s="299"/>
      <c r="CQA4" s="299"/>
      <c r="CQB4" s="299"/>
      <c r="CQC4" s="299"/>
      <c r="CQD4" s="299"/>
      <c r="CQE4" s="299"/>
      <c r="CQF4" s="299"/>
      <c r="CQG4" s="299"/>
      <c r="CQH4" s="299"/>
      <c r="CQI4" s="299"/>
      <c r="CQJ4" s="299"/>
      <c r="CQK4" s="299"/>
      <c r="CQL4" s="299"/>
      <c r="CQM4" s="299"/>
      <c r="CQN4" s="299"/>
      <c r="CQO4" s="299"/>
      <c r="CQP4" s="299"/>
      <c r="CQQ4" s="299"/>
      <c r="CQR4" s="299"/>
      <c r="CQS4" s="299"/>
      <c r="CQT4" s="299"/>
      <c r="CQU4" s="299"/>
      <c r="CQV4" s="299"/>
      <c r="CQW4" s="299"/>
      <c r="CQX4" s="299"/>
      <c r="CQY4" s="299"/>
      <c r="CQZ4" s="299"/>
      <c r="CRA4" s="299"/>
      <c r="CRB4" s="299"/>
      <c r="CRC4" s="299"/>
      <c r="CRD4" s="299"/>
      <c r="CRE4" s="299"/>
      <c r="CRF4" s="299"/>
      <c r="CRG4" s="299"/>
      <c r="CRH4" s="299"/>
      <c r="CRI4" s="299"/>
      <c r="CRJ4" s="299"/>
      <c r="CRK4" s="299"/>
      <c r="CRL4" s="299"/>
      <c r="CRM4" s="299"/>
      <c r="CRN4" s="299"/>
      <c r="CRO4" s="299"/>
      <c r="CRP4" s="299"/>
      <c r="CRQ4" s="299"/>
      <c r="CRR4" s="299"/>
      <c r="CRS4" s="299"/>
      <c r="CRT4" s="299"/>
      <c r="CRU4" s="299"/>
      <c r="CRV4" s="299"/>
      <c r="CRW4" s="299"/>
      <c r="CRX4" s="299"/>
      <c r="CRY4" s="299"/>
      <c r="CRZ4" s="299"/>
      <c r="CSA4" s="299"/>
      <c r="CSB4" s="299"/>
      <c r="CSC4" s="299"/>
      <c r="CSD4" s="299"/>
      <c r="CSE4" s="299"/>
      <c r="CSF4" s="299"/>
      <c r="CSG4" s="299"/>
      <c r="CSH4" s="299"/>
      <c r="CSI4" s="299"/>
      <c r="CSJ4" s="299"/>
      <c r="CSK4" s="299"/>
      <c r="CSL4" s="299"/>
      <c r="CSM4" s="299"/>
      <c r="CSN4" s="299"/>
      <c r="CSO4" s="299"/>
      <c r="CSP4" s="299"/>
      <c r="CSQ4" s="299"/>
      <c r="CSR4" s="299"/>
      <c r="CSS4" s="299"/>
      <c r="CST4" s="299"/>
      <c r="CSU4" s="299"/>
      <c r="CSV4" s="299"/>
      <c r="CSW4" s="299"/>
      <c r="CSX4" s="299"/>
      <c r="CSY4" s="299"/>
      <c r="CSZ4" s="299"/>
      <c r="CTA4" s="299"/>
      <c r="CTB4" s="299"/>
      <c r="CTC4" s="299"/>
      <c r="CTD4" s="299"/>
      <c r="CTE4" s="299"/>
      <c r="CTF4" s="299"/>
      <c r="CTG4" s="299"/>
      <c r="CTH4" s="299"/>
      <c r="CTI4" s="299"/>
      <c r="CTJ4" s="299"/>
      <c r="CTK4" s="299"/>
      <c r="CTL4" s="299"/>
      <c r="CTM4" s="299"/>
      <c r="CTN4" s="299"/>
      <c r="CTO4" s="299"/>
      <c r="CTP4" s="299"/>
      <c r="CTQ4" s="299"/>
      <c r="CTR4" s="299"/>
      <c r="CTS4" s="299"/>
      <c r="CTT4" s="299"/>
      <c r="CTU4" s="299"/>
      <c r="CTV4" s="299"/>
      <c r="CTW4" s="299"/>
      <c r="CTX4" s="299"/>
      <c r="CTY4" s="299"/>
      <c r="CTZ4" s="299"/>
      <c r="CUA4" s="299"/>
      <c r="CUB4" s="299"/>
      <c r="CUC4" s="299"/>
      <c r="CUD4" s="299"/>
      <c r="CUE4" s="299"/>
      <c r="CUF4" s="299"/>
      <c r="CUG4" s="299"/>
      <c r="CUH4" s="299"/>
      <c r="CUI4" s="299"/>
      <c r="CUJ4" s="299"/>
      <c r="CUK4" s="299"/>
      <c r="CUL4" s="299"/>
      <c r="CUM4" s="299"/>
      <c r="CUN4" s="299"/>
      <c r="CUO4" s="299"/>
      <c r="CUP4" s="299"/>
      <c r="CUQ4" s="299"/>
      <c r="CUR4" s="299"/>
      <c r="CUS4" s="299"/>
      <c r="CUT4" s="299"/>
      <c r="CUU4" s="299"/>
      <c r="CUV4" s="299"/>
      <c r="CUW4" s="299"/>
      <c r="CUX4" s="299"/>
      <c r="CUY4" s="299"/>
      <c r="CUZ4" s="299"/>
      <c r="CVA4" s="299"/>
      <c r="CVB4" s="299"/>
      <c r="CVC4" s="299"/>
      <c r="CVD4" s="299"/>
      <c r="CVE4" s="299"/>
      <c r="CVF4" s="299"/>
      <c r="CVG4" s="299"/>
      <c r="CVH4" s="299"/>
      <c r="CVI4" s="299"/>
      <c r="CVJ4" s="299"/>
      <c r="CVK4" s="299"/>
      <c r="CVL4" s="299"/>
      <c r="CVM4" s="299"/>
      <c r="CVN4" s="299"/>
      <c r="CVO4" s="299"/>
      <c r="CVP4" s="299"/>
      <c r="CVQ4" s="299"/>
      <c r="CVR4" s="299"/>
      <c r="CVS4" s="299"/>
      <c r="CVT4" s="299"/>
      <c r="CVU4" s="299"/>
      <c r="CVV4" s="299"/>
      <c r="CVW4" s="299"/>
      <c r="CVX4" s="299"/>
      <c r="CVY4" s="299"/>
      <c r="CVZ4" s="299"/>
      <c r="CWA4" s="299"/>
      <c r="CWB4" s="299"/>
      <c r="CWC4" s="299"/>
      <c r="CWD4" s="299"/>
      <c r="CWE4" s="299"/>
      <c r="CWF4" s="299"/>
      <c r="CWG4" s="299"/>
      <c r="CWH4" s="299"/>
      <c r="CWI4" s="299"/>
      <c r="CWJ4" s="299"/>
      <c r="CWK4" s="299"/>
      <c r="CWL4" s="299"/>
      <c r="CWM4" s="299"/>
      <c r="CWN4" s="299"/>
      <c r="CWO4" s="299"/>
      <c r="CWP4" s="299"/>
      <c r="CWQ4" s="299"/>
      <c r="CWR4" s="299"/>
      <c r="CWS4" s="299"/>
      <c r="CWT4" s="299"/>
      <c r="CWU4" s="299"/>
      <c r="CWV4" s="299"/>
      <c r="CWW4" s="299"/>
      <c r="CWX4" s="299"/>
      <c r="CWY4" s="299"/>
      <c r="CWZ4" s="299"/>
      <c r="CXA4" s="299"/>
      <c r="CXB4" s="299"/>
      <c r="CXC4" s="299"/>
      <c r="CXD4" s="299"/>
      <c r="CXE4" s="299"/>
      <c r="CXF4" s="299"/>
      <c r="CXG4" s="299"/>
      <c r="CXH4" s="299"/>
      <c r="CXI4" s="299"/>
      <c r="CXJ4" s="299"/>
      <c r="CXK4" s="299"/>
      <c r="CXL4" s="299"/>
      <c r="CXM4" s="299"/>
      <c r="CXN4" s="299"/>
      <c r="CXO4" s="299"/>
      <c r="CXP4" s="299"/>
      <c r="CXQ4" s="299"/>
      <c r="CXR4" s="299"/>
      <c r="CXS4" s="299"/>
      <c r="CXT4" s="299"/>
      <c r="CXU4" s="299"/>
      <c r="CXV4" s="299"/>
      <c r="CXW4" s="299"/>
      <c r="CXX4" s="299"/>
      <c r="CXY4" s="299"/>
      <c r="CXZ4" s="299"/>
      <c r="CYA4" s="299"/>
      <c r="CYB4" s="299"/>
      <c r="CYC4" s="299"/>
      <c r="CYD4" s="299"/>
      <c r="CYE4" s="299"/>
      <c r="CYF4" s="299"/>
      <c r="CYG4" s="299"/>
      <c r="CYH4" s="299"/>
      <c r="CYI4" s="299"/>
      <c r="CYJ4" s="299"/>
      <c r="CYK4" s="299"/>
      <c r="CYL4" s="299"/>
      <c r="CYM4" s="299"/>
      <c r="CYN4" s="299"/>
      <c r="CYO4" s="299"/>
      <c r="CYP4" s="299"/>
      <c r="CYQ4" s="299"/>
      <c r="CYR4" s="299"/>
      <c r="CYS4" s="299"/>
      <c r="CYT4" s="299"/>
      <c r="CYU4" s="299"/>
      <c r="CYV4" s="299"/>
      <c r="CYW4" s="299"/>
      <c r="CYX4" s="299"/>
      <c r="CYY4" s="299"/>
      <c r="CYZ4" s="299"/>
      <c r="CZA4" s="299"/>
      <c r="CZB4" s="299"/>
      <c r="CZC4" s="299"/>
      <c r="CZD4" s="299"/>
      <c r="CZE4" s="299"/>
      <c r="CZF4" s="299"/>
      <c r="CZG4" s="299"/>
      <c r="CZH4" s="299"/>
      <c r="CZI4" s="299"/>
      <c r="CZJ4" s="299"/>
      <c r="CZK4" s="299"/>
      <c r="CZL4" s="299"/>
      <c r="CZM4" s="299"/>
      <c r="CZN4" s="299"/>
      <c r="CZO4" s="299"/>
      <c r="CZP4" s="299"/>
      <c r="CZQ4" s="299"/>
      <c r="CZR4" s="299"/>
      <c r="CZS4" s="299"/>
      <c r="CZT4" s="299"/>
      <c r="CZU4" s="299"/>
      <c r="CZV4" s="299"/>
      <c r="CZW4" s="299"/>
      <c r="CZX4" s="299"/>
      <c r="CZY4" s="299"/>
      <c r="CZZ4" s="299"/>
      <c r="DAA4" s="299"/>
      <c r="DAB4" s="299"/>
      <c r="DAC4" s="299"/>
      <c r="DAD4" s="299"/>
      <c r="DAE4" s="299"/>
      <c r="DAF4" s="299"/>
      <c r="DAG4" s="299"/>
      <c r="DAH4" s="299"/>
      <c r="DAI4" s="299"/>
      <c r="DAJ4" s="299"/>
      <c r="DAK4" s="299"/>
      <c r="DAL4" s="299"/>
      <c r="DAM4" s="299"/>
      <c r="DAN4" s="299"/>
      <c r="DAO4" s="299"/>
      <c r="DAP4" s="299"/>
      <c r="DAQ4" s="299"/>
      <c r="DAR4" s="299"/>
      <c r="DAS4" s="299"/>
      <c r="DAT4" s="299"/>
      <c r="DAU4" s="299"/>
      <c r="DAV4" s="299"/>
      <c r="DAW4" s="299"/>
      <c r="DAX4" s="299"/>
      <c r="DAY4" s="299"/>
      <c r="DAZ4" s="299"/>
      <c r="DBA4" s="299"/>
      <c r="DBB4" s="299"/>
      <c r="DBC4" s="299"/>
      <c r="DBD4" s="299"/>
      <c r="DBE4" s="299"/>
      <c r="DBF4" s="299"/>
      <c r="DBG4" s="299"/>
      <c r="DBH4" s="299"/>
      <c r="DBI4" s="299"/>
      <c r="DBJ4" s="299"/>
      <c r="DBK4" s="299"/>
      <c r="DBL4" s="299"/>
      <c r="DBM4" s="299"/>
      <c r="DBN4" s="299"/>
      <c r="DBO4" s="299"/>
      <c r="DBP4" s="299"/>
      <c r="DBQ4" s="299"/>
      <c r="DBR4" s="299"/>
      <c r="DBS4" s="299"/>
      <c r="DBT4" s="299"/>
      <c r="DBU4" s="299"/>
      <c r="DBV4" s="299"/>
      <c r="DBW4" s="299"/>
      <c r="DBX4" s="299"/>
      <c r="DBY4" s="299"/>
      <c r="DBZ4" s="299"/>
      <c r="DCA4" s="299"/>
      <c r="DCB4" s="299"/>
      <c r="DCC4" s="299"/>
      <c r="DCD4" s="299"/>
      <c r="DCE4" s="299"/>
      <c r="DCF4" s="299"/>
      <c r="DCG4" s="299"/>
      <c r="DCH4" s="299"/>
      <c r="DCI4" s="299"/>
      <c r="DCJ4" s="299"/>
      <c r="DCK4" s="299"/>
      <c r="DCL4" s="299"/>
      <c r="DCM4" s="299"/>
      <c r="DCN4" s="299"/>
      <c r="DCO4" s="299"/>
      <c r="DCP4" s="299"/>
      <c r="DCQ4" s="299"/>
      <c r="DCR4" s="299"/>
      <c r="DCS4" s="299"/>
      <c r="DCT4" s="299"/>
      <c r="DCU4" s="299"/>
      <c r="DCV4" s="299"/>
      <c r="DCW4" s="299"/>
      <c r="DCX4" s="299"/>
      <c r="DCY4" s="299"/>
      <c r="DCZ4" s="299"/>
      <c r="DDA4" s="299"/>
      <c r="DDB4" s="299"/>
      <c r="DDC4" s="299"/>
      <c r="DDD4" s="299"/>
      <c r="DDE4" s="299"/>
      <c r="DDF4" s="299"/>
      <c r="DDG4" s="299"/>
      <c r="DDH4" s="299"/>
      <c r="DDI4" s="299"/>
      <c r="DDJ4" s="299"/>
      <c r="DDK4" s="299"/>
      <c r="DDL4" s="299"/>
      <c r="DDM4" s="299"/>
      <c r="DDN4" s="299"/>
      <c r="DDO4" s="299"/>
      <c r="DDP4" s="299"/>
      <c r="DDQ4" s="299"/>
      <c r="DDR4" s="299"/>
      <c r="DDS4" s="299"/>
      <c r="DDT4" s="299"/>
      <c r="DDU4" s="299"/>
      <c r="DDV4" s="299"/>
      <c r="DDW4" s="299"/>
      <c r="DDX4" s="299"/>
      <c r="DDY4" s="299"/>
      <c r="DDZ4" s="299"/>
      <c r="DEA4" s="299"/>
      <c r="DEB4" s="299"/>
      <c r="DEC4" s="299"/>
      <c r="DED4" s="299"/>
      <c r="DEE4" s="299"/>
      <c r="DEF4" s="299"/>
      <c r="DEG4" s="299"/>
      <c r="DEH4" s="299"/>
      <c r="DEI4" s="299"/>
      <c r="DEJ4" s="299"/>
      <c r="DEK4" s="299"/>
      <c r="DEL4" s="299"/>
      <c r="DEM4" s="299"/>
      <c r="DEN4" s="299"/>
      <c r="DEO4" s="299"/>
      <c r="DEP4" s="299"/>
      <c r="DEQ4" s="299"/>
      <c r="DER4" s="299"/>
      <c r="DES4" s="299"/>
      <c r="DET4" s="299"/>
      <c r="DEU4" s="299"/>
      <c r="DEV4" s="299"/>
      <c r="DEW4" s="299"/>
      <c r="DEX4" s="299"/>
      <c r="DEY4" s="299"/>
      <c r="DEZ4" s="299"/>
      <c r="DFA4" s="299"/>
      <c r="DFB4" s="299"/>
      <c r="DFC4" s="299"/>
      <c r="DFD4" s="299"/>
      <c r="DFE4" s="299"/>
      <c r="DFF4" s="299"/>
      <c r="DFG4" s="299"/>
      <c r="DFH4" s="299"/>
      <c r="DFI4" s="299"/>
      <c r="DFJ4" s="299"/>
      <c r="DFK4" s="299"/>
      <c r="DFL4" s="299"/>
      <c r="DFM4" s="299"/>
      <c r="DFN4" s="299"/>
      <c r="DFO4" s="299"/>
      <c r="DFP4" s="299"/>
      <c r="DFQ4" s="299"/>
      <c r="DFR4" s="299"/>
      <c r="DFS4" s="299"/>
      <c r="DFT4" s="299"/>
      <c r="DFU4" s="299"/>
      <c r="DFV4" s="299"/>
      <c r="DFW4" s="299"/>
      <c r="DFX4" s="299"/>
      <c r="DFY4" s="299"/>
      <c r="DFZ4" s="299"/>
      <c r="DGA4" s="299"/>
      <c r="DGB4" s="299"/>
      <c r="DGC4" s="299"/>
      <c r="DGD4" s="299"/>
      <c r="DGE4" s="299"/>
      <c r="DGF4" s="299"/>
      <c r="DGG4" s="299"/>
      <c r="DGH4" s="299"/>
      <c r="DGI4" s="299"/>
      <c r="DGJ4" s="299"/>
      <c r="DGK4" s="299"/>
      <c r="DGL4" s="299"/>
      <c r="DGM4" s="299"/>
      <c r="DGN4" s="299"/>
      <c r="DGO4" s="299"/>
      <c r="DGP4" s="299"/>
      <c r="DGQ4" s="299"/>
      <c r="DGR4" s="299"/>
      <c r="DGS4" s="299"/>
      <c r="DGT4" s="299"/>
      <c r="DGU4" s="299"/>
      <c r="DGV4" s="299"/>
      <c r="DGW4" s="299"/>
      <c r="DGX4" s="299"/>
      <c r="DGY4" s="299"/>
      <c r="DGZ4" s="299"/>
      <c r="DHA4" s="299"/>
      <c r="DHB4" s="299"/>
      <c r="DHC4" s="299"/>
      <c r="DHD4" s="299"/>
      <c r="DHE4" s="299"/>
      <c r="DHF4" s="299"/>
      <c r="DHG4" s="299"/>
      <c r="DHH4" s="299"/>
      <c r="DHI4" s="299"/>
      <c r="DHJ4" s="299"/>
      <c r="DHK4" s="299"/>
      <c r="DHL4" s="299"/>
      <c r="DHM4" s="299"/>
      <c r="DHN4" s="299"/>
      <c r="DHO4" s="299"/>
      <c r="DHP4" s="299"/>
      <c r="DHQ4" s="299"/>
      <c r="DHR4" s="299"/>
      <c r="DHS4" s="299"/>
      <c r="DHT4" s="299"/>
      <c r="DHU4" s="299"/>
      <c r="DHV4" s="299"/>
      <c r="DHW4" s="299"/>
      <c r="DHX4" s="299"/>
      <c r="DHY4" s="299"/>
      <c r="DHZ4" s="299"/>
      <c r="DIA4" s="299"/>
      <c r="DIB4" s="299"/>
      <c r="DIC4" s="299"/>
      <c r="DID4" s="299"/>
      <c r="DIE4" s="299"/>
      <c r="DIF4" s="299"/>
      <c r="DIG4" s="299"/>
      <c r="DIH4" s="299"/>
      <c r="DII4" s="299"/>
      <c r="DIJ4" s="299"/>
      <c r="DIK4" s="299"/>
      <c r="DIL4" s="299"/>
      <c r="DIM4" s="299"/>
      <c r="DIN4" s="299"/>
      <c r="DIO4" s="299"/>
      <c r="DIP4" s="299"/>
      <c r="DIQ4" s="299"/>
      <c r="DIR4" s="299"/>
      <c r="DIS4" s="299"/>
      <c r="DIT4" s="299"/>
      <c r="DIU4" s="299"/>
      <c r="DIV4" s="299"/>
      <c r="DIW4" s="299"/>
      <c r="DIX4" s="299"/>
      <c r="DIY4" s="299"/>
      <c r="DIZ4" s="299"/>
      <c r="DJA4" s="299"/>
      <c r="DJB4" s="299"/>
      <c r="DJC4" s="299"/>
      <c r="DJD4" s="299"/>
      <c r="DJE4" s="299"/>
      <c r="DJF4" s="299"/>
      <c r="DJG4" s="299"/>
      <c r="DJH4" s="299"/>
      <c r="DJI4" s="299"/>
      <c r="DJJ4" s="299"/>
      <c r="DJK4" s="299"/>
      <c r="DJL4" s="299"/>
      <c r="DJM4" s="299"/>
      <c r="DJN4" s="299"/>
      <c r="DJO4" s="299"/>
      <c r="DJP4" s="299"/>
      <c r="DJQ4" s="299"/>
      <c r="DJR4" s="299"/>
      <c r="DJS4" s="299"/>
      <c r="DJT4" s="299"/>
      <c r="DJU4" s="299"/>
      <c r="DJV4" s="299"/>
      <c r="DJW4" s="299"/>
      <c r="DJX4" s="299"/>
      <c r="DJY4" s="299"/>
      <c r="DJZ4" s="299"/>
      <c r="DKA4" s="299"/>
      <c r="DKB4" s="299"/>
      <c r="DKC4" s="299"/>
      <c r="DKD4" s="299"/>
      <c r="DKE4" s="299"/>
      <c r="DKF4" s="299"/>
      <c r="DKG4" s="299"/>
      <c r="DKH4" s="299"/>
      <c r="DKI4" s="299"/>
      <c r="DKJ4" s="299"/>
      <c r="DKK4" s="299"/>
      <c r="DKL4" s="299"/>
      <c r="DKM4" s="299"/>
      <c r="DKN4" s="299"/>
      <c r="DKO4" s="299"/>
      <c r="DKP4" s="299"/>
      <c r="DKQ4" s="299"/>
      <c r="DKR4" s="299"/>
      <c r="DKS4" s="299"/>
      <c r="DKT4" s="299"/>
      <c r="DKU4" s="299"/>
      <c r="DKV4" s="299"/>
      <c r="DKW4" s="299"/>
      <c r="DKX4" s="299"/>
      <c r="DKY4" s="299"/>
      <c r="DKZ4" s="299"/>
      <c r="DLA4" s="299"/>
      <c r="DLB4" s="299"/>
      <c r="DLC4" s="299"/>
      <c r="DLD4" s="299"/>
      <c r="DLE4" s="299"/>
      <c r="DLF4" s="299"/>
      <c r="DLG4" s="299"/>
      <c r="DLH4" s="299"/>
      <c r="DLI4" s="299"/>
      <c r="DLJ4" s="299"/>
      <c r="DLK4" s="299"/>
      <c r="DLL4" s="299"/>
      <c r="DLM4" s="299"/>
      <c r="DLN4" s="299"/>
      <c r="DLO4" s="299"/>
      <c r="DLP4" s="299"/>
      <c r="DLQ4" s="299"/>
      <c r="DLR4" s="299"/>
      <c r="DLS4" s="299"/>
      <c r="DLT4" s="299"/>
      <c r="DLU4" s="299"/>
      <c r="DLV4" s="299"/>
      <c r="DLW4" s="299"/>
      <c r="DLX4" s="299"/>
      <c r="DLY4" s="299"/>
      <c r="DLZ4" s="299"/>
      <c r="DMA4" s="299"/>
      <c r="DMB4" s="299"/>
      <c r="DMC4" s="299"/>
      <c r="DMD4" s="299"/>
      <c r="DME4" s="299"/>
      <c r="DMF4" s="299"/>
      <c r="DMG4" s="299"/>
      <c r="DMH4" s="299"/>
      <c r="DMI4" s="299"/>
      <c r="DMJ4" s="299"/>
      <c r="DMK4" s="299"/>
      <c r="DML4" s="299"/>
      <c r="DMM4" s="299"/>
      <c r="DMN4" s="299"/>
      <c r="DMO4" s="299"/>
      <c r="DMP4" s="299"/>
      <c r="DMQ4" s="299"/>
      <c r="DMR4" s="299"/>
      <c r="DMS4" s="299"/>
      <c r="DMT4" s="299"/>
      <c r="DMU4" s="299"/>
      <c r="DMV4" s="299"/>
      <c r="DMW4" s="299"/>
      <c r="DMX4" s="299"/>
      <c r="DMY4" s="299"/>
      <c r="DMZ4" s="299"/>
      <c r="DNA4" s="299"/>
      <c r="DNB4" s="299"/>
      <c r="DNC4" s="299"/>
      <c r="DND4" s="299"/>
      <c r="DNE4" s="299"/>
      <c r="DNF4" s="299"/>
      <c r="DNG4" s="299"/>
      <c r="DNH4" s="299"/>
      <c r="DNI4" s="299"/>
      <c r="DNJ4" s="299"/>
      <c r="DNK4" s="299"/>
      <c r="DNL4" s="299"/>
      <c r="DNM4" s="299"/>
      <c r="DNN4" s="299"/>
      <c r="DNO4" s="299"/>
      <c r="DNP4" s="299"/>
      <c r="DNQ4" s="299"/>
      <c r="DNR4" s="299"/>
      <c r="DNS4" s="299"/>
      <c r="DNT4" s="299"/>
      <c r="DNU4" s="299"/>
      <c r="DNV4" s="299"/>
      <c r="DNW4" s="299"/>
      <c r="DNX4" s="299"/>
      <c r="DNY4" s="299"/>
      <c r="DNZ4" s="299"/>
      <c r="DOA4" s="299"/>
      <c r="DOB4" s="299"/>
      <c r="DOC4" s="299"/>
      <c r="DOD4" s="299"/>
      <c r="DOE4" s="299"/>
      <c r="DOF4" s="299"/>
      <c r="DOG4" s="299"/>
      <c r="DOH4" s="299"/>
      <c r="DOI4" s="299"/>
      <c r="DOJ4" s="299"/>
      <c r="DOK4" s="299"/>
      <c r="DOL4" s="299"/>
      <c r="DOM4" s="299"/>
      <c r="DON4" s="299"/>
      <c r="DOO4" s="299"/>
      <c r="DOP4" s="299"/>
      <c r="DOQ4" s="299"/>
      <c r="DOR4" s="299"/>
      <c r="DOS4" s="299"/>
      <c r="DOT4" s="299"/>
      <c r="DOU4" s="299"/>
      <c r="DOV4" s="299"/>
      <c r="DOW4" s="299"/>
      <c r="DOX4" s="299"/>
      <c r="DOY4" s="299"/>
      <c r="DOZ4" s="299"/>
      <c r="DPA4" s="299"/>
      <c r="DPB4" s="299"/>
      <c r="DPC4" s="299"/>
      <c r="DPD4" s="299"/>
      <c r="DPE4" s="299"/>
      <c r="DPF4" s="299"/>
      <c r="DPG4" s="299"/>
      <c r="DPH4" s="299"/>
      <c r="DPI4" s="299"/>
      <c r="DPJ4" s="299"/>
      <c r="DPK4" s="299"/>
      <c r="DPL4" s="299"/>
      <c r="DPM4" s="299"/>
      <c r="DPN4" s="299"/>
      <c r="DPO4" s="299"/>
      <c r="DPP4" s="299"/>
      <c r="DPQ4" s="299"/>
      <c r="DPR4" s="299"/>
      <c r="DPS4" s="299"/>
      <c r="DPT4" s="299"/>
      <c r="DPU4" s="299"/>
      <c r="DPV4" s="299"/>
      <c r="DPW4" s="299"/>
      <c r="DPX4" s="299"/>
      <c r="DPY4" s="299"/>
      <c r="DPZ4" s="299"/>
      <c r="DQA4" s="299"/>
      <c r="DQB4" s="299"/>
      <c r="DQC4" s="299"/>
      <c r="DQD4" s="299"/>
      <c r="DQE4" s="299"/>
      <c r="DQF4" s="299"/>
      <c r="DQG4" s="299"/>
      <c r="DQH4" s="299"/>
      <c r="DQI4" s="299"/>
      <c r="DQJ4" s="299"/>
      <c r="DQK4" s="299"/>
      <c r="DQL4" s="299"/>
      <c r="DQM4" s="299"/>
      <c r="DQN4" s="299"/>
      <c r="DQO4" s="299"/>
      <c r="DQP4" s="299"/>
      <c r="DQQ4" s="299"/>
      <c r="DQR4" s="299"/>
      <c r="DQS4" s="299"/>
      <c r="DQT4" s="299"/>
      <c r="DQU4" s="299"/>
      <c r="DQV4" s="299"/>
      <c r="DQW4" s="299"/>
      <c r="DQX4" s="299"/>
      <c r="DQY4" s="299"/>
      <c r="DQZ4" s="299"/>
      <c r="DRA4" s="299"/>
      <c r="DRB4" s="299"/>
      <c r="DRC4" s="299"/>
      <c r="DRD4" s="299"/>
      <c r="DRE4" s="299"/>
      <c r="DRF4" s="299"/>
      <c r="DRG4" s="299"/>
      <c r="DRH4" s="299"/>
      <c r="DRI4" s="299"/>
      <c r="DRJ4" s="299"/>
      <c r="DRK4" s="299"/>
      <c r="DRL4" s="299"/>
      <c r="DRM4" s="299"/>
      <c r="DRN4" s="299"/>
      <c r="DRO4" s="299"/>
      <c r="DRP4" s="299"/>
      <c r="DRQ4" s="299"/>
      <c r="DRR4" s="299"/>
      <c r="DRS4" s="299"/>
      <c r="DRT4" s="299"/>
      <c r="DRU4" s="299"/>
      <c r="DRV4" s="299"/>
      <c r="DRW4" s="299"/>
      <c r="DRX4" s="299"/>
      <c r="DRY4" s="299"/>
      <c r="DRZ4" s="299"/>
      <c r="DSA4" s="299"/>
      <c r="DSB4" s="299"/>
      <c r="DSC4" s="299"/>
      <c r="DSD4" s="299"/>
      <c r="DSE4" s="299"/>
      <c r="DSF4" s="299"/>
      <c r="DSG4" s="299"/>
      <c r="DSH4" s="299"/>
      <c r="DSI4" s="299"/>
      <c r="DSJ4" s="299"/>
      <c r="DSK4" s="299"/>
      <c r="DSL4" s="299"/>
      <c r="DSM4" s="299"/>
      <c r="DSN4" s="299"/>
      <c r="DSO4" s="299"/>
      <c r="DSP4" s="299"/>
      <c r="DSQ4" s="299"/>
      <c r="DSR4" s="299"/>
      <c r="DSS4" s="299"/>
      <c r="DST4" s="299"/>
      <c r="DSU4" s="299"/>
      <c r="DSV4" s="299"/>
      <c r="DSW4" s="299"/>
      <c r="DSX4" s="299"/>
      <c r="DSY4" s="299"/>
      <c r="DSZ4" s="299"/>
      <c r="DTA4" s="299"/>
      <c r="DTB4" s="299"/>
      <c r="DTC4" s="299"/>
      <c r="DTD4" s="299"/>
      <c r="DTE4" s="299"/>
      <c r="DTF4" s="299"/>
      <c r="DTG4" s="299"/>
      <c r="DTH4" s="299"/>
      <c r="DTI4" s="299"/>
      <c r="DTJ4" s="299"/>
      <c r="DTK4" s="299"/>
      <c r="DTL4" s="299"/>
      <c r="DTM4" s="299"/>
      <c r="DTN4" s="299"/>
      <c r="DTO4" s="299"/>
      <c r="DTP4" s="299"/>
      <c r="DTQ4" s="299"/>
      <c r="DTR4" s="299"/>
      <c r="DTS4" s="299"/>
      <c r="DTT4" s="299"/>
      <c r="DTU4" s="299"/>
      <c r="DTV4" s="299"/>
      <c r="DTW4" s="299"/>
      <c r="DTX4" s="299"/>
      <c r="DTY4" s="299"/>
      <c r="DTZ4" s="299"/>
      <c r="DUA4" s="299"/>
      <c r="DUB4" s="299"/>
      <c r="DUC4" s="299"/>
      <c r="DUD4" s="299"/>
      <c r="DUE4" s="299"/>
      <c r="DUF4" s="299"/>
      <c r="DUG4" s="299"/>
      <c r="DUH4" s="299"/>
      <c r="DUI4" s="299"/>
      <c r="DUJ4" s="299"/>
      <c r="DUK4" s="299"/>
      <c r="DUL4" s="299"/>
      <c r="DUM4" s="299"/>
      <c r="DUN4" s="299"/>
      <c r="DUO4" s="299"/>
      <c r="DUP4" s="299"/>
      <c r="DUQ4" s="299"/>
      <c r="DUR4" s="299"/>
      <c r="DUS4" s="299"/>
      <c r="DUT4" s="299"/>
      <c r="DUU4" s="299"/>
      <c r="DUV4" s="299"/>
      <c r="DUW4" s="299"/>
      <c r="DUX4" s="299"/>
      <c r="DUY4" s="299"/>
      <c r="DUZ4" s="299"/>
      <c r="DVA4" s="299"/>
      <c r="DVB4" s="299"/>
      <c r="DVC4" s="299"/>
      <c r="DVD4" s="299"/>
      <c r="DVE4" s="299"/>
      <c r="DVF4" s="299"/>
      <c r="DVG4" s="299"/>
      <c r="DVH4" s="299"/>
      <c r="DVI4" s="299"/>
      <c r="DVJ4" s="299"/>
      <c r="DVK4" s="299"/>
      <c r="DVL4" s="299"/>
      <c r="DVM4" s="299"/>
      <c r="DVN4" s="299"/>
      <c r="DVO4" s="299"/>
      <c r="DVP4" s="299"/>
      <c r="DVQ4" s="299"/>
      <c r="DVR4" s="299"/>
      <c r="DVS4" s="299"/>
      <c r="DVT4" s="299"/>
      <c r="DVU4" s="299"/>
      <c r="DVV4" s="299"/>
      <c r="DVW4" s="299"/>
      <c r="DVX4" s="299"/>
      <c r="DVY4" s="299"/>
      <c r="DVZ4" s="299"/>
      <c r="DWA4" s="299"/>
      <c r="DWB4" s="299"/>
      <c r="DWC4" s="299"/>
      <c r="DWD4" s="299"/>
      <c r="DWE4" s="299"/>
      <c r="DWF4" s="299"/>
      <c r="DWG4" s="299"/>
      <c r="DWH4" s="299"/>
      <c r="DWI4" s="299"/>
      <c r="DWJ4" s="299"/>
      <c r="DWK4" s="299"/>
      <c r="DWL4" s="299"/>
      <c r="DWM4" s="299"/>
      <c r="DWN4" s="299"/>
      <c r="DWO4" s="299"/>
      <c r="DWP4" s="299"/>
      <c r="DWQ4" s="299"/>
      <c r="DWR4" s="299"/>
      <c r="DWS4" s="299"/>
      <c r="DWT4" s="299"/>
      <c r="DWU4" s="299"/>
      <c r="DWV4" s="299"/>
      <c r="DWW4" s="299"/>
      <c r="DWX4" s="299"/>
      <c r="DWY4" s="299"/>
      <c r="DWZ4" s="299"/>
      <c r="DXA4" s="299"/>
      <c r="DXB4" s="299"/>
      <c r="DXC4" s="299"/>
      <c r="DXD4" s="299"/>
      <c r="DXE4" s="299"/>
      <c r="DXF4" s="299"/>
      <c r="DXG4" s="299"/>
      <c r="DXH4" s="299"/>
      <c r="DXI4" s="299"/>
      <c r="DXJ4" s="299"/>
      <c r="DXK4" s="299"/>
      <c r="DXL4" s="299"/>
      <c r="DXM4" s="299"/>
      <c r="DXN4" s="299"/>
      <c r="DXO4" s="299"/>
      <c r="DXP4" s="299"/>
      <c r="DXQ4" s="299"/>
      <c r="DXR4" s="299"/>
      <c r="DXS4" s="299"/>
      <c r="DXT4" s="299"/>
      <c r="DXU4" s="299"/>
      <c r="DXV4" s="299"/>
      <c r="DXW4" s="299"/>
      <c r="DXX4" s="299"/>
      <c r="DXY4" s="299"/>
      <c r="DXZ4" s="299"/>
      <c r="DYA4" s="299"/>
      <c r="DYB4" s="299"/>
      <c r="DYC4" s="299"/>
      <c r="DYD4" s="299"/>
      <c r="DYE4" s="299"/>
      <c r="DYF4" s="299"/>
      <c r="DYG4" s="299"/>
      <c r="DYH4" s="299"/>
      <c r="DYI4" s="299"/>
      <c r="DYJ4" s="299"/>
      <c r="DYK4" s="299"/>
      <c r="DYL4" s="299"/>
      <c r="DYM4" s="299"/>
      <c r="DYN4" s="299"/>
      <c r="DYO4" s="299"/>
      <c r="DYP4" s="299"/>
      <c r="DYQ4" s="299"/>
      <c r="DYR4" s="299"/>
      <c r="DYS4" s="299"/>
      <c r="DYT4" s="299"/>
      <c r="DYU4" s="299"/>
      <c r="DYV4" s="299"/>
      <c r="DYW4" s="299"/>
      <c r="DYX4" s="299"/>
      <c r="DYY4" s="299"/>
      <c r="DYZ4" s="299"/>
      <c r="DZA4" s="299"/>
      <c r="DZB4" s="299"/>
      <c r="DZC4" s="299"/>
      <c r="DZD4" s="299"/>
      <c r="DZE4" s="299"/>
      <c r="DZF4" s="299"/>
      <c r="DZG4" s="299"/>
      <c r="DZH4" s="299"/>
      <c r="DZI4" s="299"/>
      <c r="DZJ4" s="299"/>
      <c r="DZK4" s="299"/>
      <c r="DZL4" s="299"/>
      <c r="DZM4" s="299"/>
      <c r="DZN4" s="299"/>
      <c r="DZO4" s="299"/>
      <c r="DZP4" s="299"/>
      <c r="DZQ4" s="299"/>
      <c r="DZR4" s="299"/>
      <c r="DZS4" s="299"/>
      <c r="DZT4" s="299"/>
      <c r="DZU4" s="299"/>
      <c r="DZV4" s="299"/>
      <c r="DZW4" s="299"/>
      <c r="DZX4" s="299"/>
      <c r="DZY4" s="299"/>
      <c r="DZZ4" s="299"/>
      <c r="EAA4" s="299"/>
      <c r="EAB4" s="299"/>
      <c r="EAC4" s="299"/>
      <c r="EAD4" s="299"/>
      <c r="EAE4" s="299"/>
      <c r="EAF4" s="299"/>
      <c r="EAG4" s="299"/>
      <c r="EAH4" s="299"/>
      <c r="EAI4" s="299"/>
      <c r="EAJ4" s="299"/>
      <c r="EAK4" s="299"/>
      <c r="EAL4" s="299"/>
      <c r="EAM4" s="299"/>
      <c r="EAN4" s="299"/>
      <c r="EAO4" s="299"/>
      <c r="EAP4" s="299"/>
      <c r="EAQ4" s="299"/>
      <c r="EAR4" s="299"/>
      <c r="EAS4" s="299"/>
      <c r="EAT4" s="299"/>
      <c r="EAU4" s="299"/>
      <c r="EAV4" s="299"/>
      <c r="EAW4" s="299"/>
      <c r="EAX4" s="299"/>
      <c r="EAY4" s="299"/>
      <c r="EAZ4" s="299"/>
      <c r="EBA4" s="299"/>
      <c r="EBB4" s="299"/>
      <c r="EBC4" s="299"/>
      <c r="EBD4" s="299"/>
      <c r="EBE4" s="299"/>
      <c r="EBF4" s="299"/>
      <c r="EBG4" s="299"/>
      <c r="EBH4" s="299"/>
      <c r="EBI4" s="299"/>
      <c r="EBJ4" s="299"/>
      <c r="EBK4" s="299"/>
      <c r="EBL4" s="299"/>
      <c r="EBM4" s="299"/>
      <c r="EBN4" s="299"/>
      <c r="EBO4" s="299"/>
      <c r="EBP4" s="299"/>
      <c r="EBQ4" s="299"/>
      <c r="EBR4" s="299"/>
      <c r="EBS4" s="299"/>
      <c r="EBT4" s="299"/>
      <c r="EBU4" s="299"/>
      <c r="EBV4" s="299"/>
      <c r="EBW4" s="299"/>
      <c r="EBX4" s="299"/>
      <c r="EBY4" s="299"/>
      <c r="EBZ4" s="299"/>
      <c r="ECA4" s="299"/>
      <c r="ECB4" s="299"/>
      <c r="ECC4" s="299"/>
      <c r="ECD4" s="299"/>
      <c r="ECE4" s="299"/>
      <c r="ECF4" s="299"/>
      <c r="ECG4" s="299"/>
      <c r="ECH4" s="299"/>
      <c r="ECI4" s="299"/>
      <c r="ECJ4" s="299"/>
      <c r="ECK4" s="299"/>
      <c r="ECL4" s="299"/>
      <c r="ECM4" s="299"/>
      <c r="ECN4" s="299"/>
      <c r="ECO4" s="299"/>
      <c r="ECP4" s="299"/>
      <c r="ECQ4" s="299"/>
      <c r="ECR4" s="299"/>
      <c r="ECS4" s="299"/>
      <c r="ECT4" s="299"/>
      <c r="ECU4" s="299"/>
      <c r="ECV4" s="299"/>
      <c r="ECW4" s="299"/>
      <c r="ECX4" s="299"/>
      <c r="ECY4" s="299"/>
      <c r="ECZ4" s="299"/>
      <c r="EDA4" s="299"/>
      <c r="EDB4" s="299"/>
      <c r="EDC4" s="299"/>
      <c r="EDD4" s="299"/>
      <c r="EDE4" s="299"/>
      <c r="EDF4" s="299"/>
      <c r="EDG4" s="299"/>
      <c r="EDH4" s="299"/>
      <c r="EDI4" s="299"/>
      <c r="EDJ4" s="299"/>
      <c r="EDK4" s="299"/>
      <c r="EDL4" s="299"/>
      <c r="EDM4" s="299"/>
      <c r="EDN4" s="299"/>
      <c r="EDO4" s="299"/>
      <c r="EDP4" s="299"/>
      <c r="EDQ4" s="299"/>
      <c r="EDR4" s="299"/>
      <c r="EDS4" s="299"/>
      <c r="EDT4" s="299"/>
      <c r="EDU4" s="299"/>
      <c r="EDV4" s="299"/>
      <c r="EDW4" s="299"/>
      <c r="EDX4" s="299"/>
      <c r="EDY4" s="299"/>
      <c r="EDZ4" s="299"/>
      <c r="EEA4" s="299"/>
      <c r="EEB4" s="299"/>
      <c r="EEC4" s="299"/>
      <c r="EED4" s="299"/>
      <c r="EEE4" s="299"/>
      <c r="EEF4" s="299"/>
      <c r="EEG4" s="299"/>
      <c r="EEH4" s="299"/>
      <c r="EEI4" s="299"/>
      <c r="EEJ4" s="299"/>
      <c r="EEK4" s="299"/>
      <c r="EEL4" s="299"/>
      <c r="EEM4" s="299"/>
      <c r="EEN4" s="299"/>
      <c r="EEO4" s="299"/>
      <c r="EEP4" s="299"/>
      <c r="EEQ4" s="299"/>
      <c r="EER4" s="299"/>
      <c r="EES4" s="299"/>
      <c r="EET4" s="299"/>
      <c r="EEU4" s="299"/>
      <c r="EEV4" s="299"/>
      <c r="EEW4" s="299"/>
      <c r="EEX4" s="299"/>
      <c r="EEY4" s="299"/>
      <c r="EEZ4" s="299"/>
      <c r="EFA4" s="299"/>
      <c r="EFB4" s="299"/>
      <c r="EFC4" s="299"/>
      <c r="EFD4" s="299"/>
      <c r="EFE4" s="299"/>
      <c r="EFF4" s="299"/>
      <c r="EFG4" s="299"/>
      <c r="EFH4" s="299"/>
      <c r="EFI4" s="299"/>
      <c r="EFJ4" s="299"/>
      <c r="EFK4" s="299"/>
      <c r="EFL4" s="299"/>
      <c r="EFM4" s="299"/>
      <c r="EFN4" s="299"/>
      <c r="EFO4" s="299"/>
      <c r="EFP4" s="299"/>
      <c r="EFQ4" s="299"/>
      <c r="EFR4" s="299"/>
      <c r="EFS4" s="299"/>
      <c r="EFT4" s="299"/>
      <c r="EFU4" s="299"/>
      <c r="EFV4" s="299"/>
      <c r="EFW4" s="299"/>
      <c r="EFX4" s="299"/>
      <c r="EFY4" s="299"/>
      <c r="EFZ4" s="299"/>
      <c r="EGA4" s="299"/>
      <c r="EGB4" s="299"/>
      <c r="EGC4" s="299"/>
      <c r="EGD4" s="299"/>
      <c r="EGE4" s="299"/>
      <c r="EGF4" s="299"/>
      <c r="EGG4" s="299"/>
      <c r="EGH4" s="299"/>
      <c r="EGI4" s="299"/>
      <c r="EGJ4" s="299"/>
      <c r="EGK4" s="299"/>
      <c r="EGL4" s="299"/>
      <c r="EGM4" s="299"/>
      <c r="EGN4" s="299"/>
      <c r="EGO4" s="299"/>
      <c r="EGP4" s="299"/>
      <c r="EGQ4" s="299"/>
      <c r="EGR4" s="299"/>
      <c r="EGS4" s="299"/>
      <c r="EGT4" s="299"/>
      <c r="EGU4" s="299"/>
      <c r="EGV4" s="299"/>
      <c r="EGW4" s="299"/>
      <c r="EGX4" s="299"/>
      <c r="EGY4" s="299"/>
      <c r="EGZ4" s="299"/>
      <c r="EHA4" s="299"/>
      <c r="EHB4" s="299"/>
      <c r="EHC4" s="299"/>
      <c r="EHD4" s="299"/>
      <c r="EHE4" s="299"/>
      <c r="EHF4" s="299"/>
      <c r="EHG4" s="299"/>
      <c r="EHH4" s="299"/>
      <c r="EHI4" s="299"/>
      <c r="EHJ4" s="299"/>
      <c r="EHK4" s="299"/>
      <c r="EHL4" s="299"/>
      <c r="EHM4" s="299"/>
      <c r="EHN4" s="299"/>
      <c r="EHO4" s="299"/>
      <c r="EHP4" s="299"/>
      <c r="EHQ4" s="299"/>
      <c r="EHR4" s="299"/>
      <c r="EHS4" s="299"/>
      <c r="EHT4" s="299"/>
      <c r="EHU4" s="299"/>
      <c r="EHV4" s="299"/>
      <c r="EHW4" s="299"/>
      <c r="EHX4" s="299"/>
      <c r="EHY4" s="299"/>
      <c r="EHZ4" s="299"/>
      <c r="EIA4" s="299"/>
      <c r="EIB4" s="299"/>
      <c r="EIC4" s="299"/>
      <c r="EID4" s="299"/>
      <c r="EIE4" s="299"/>
      <c r="EIF4" s="299"/>
      <c r="EIG4" s="299"/>
      <c r="EIH4" s="299"/>
      <c r="EII4" s="299"/>
      <c r="EIJ4" s="299"/>
      <c r="EIK4" s="299"/>
      <c r="EIL4" s="299"/>
      <c r="EIM4" s="299"/>
      <c r="EIN4" s="299"/>
      <c r="EIO4" s="299"/>
      <c r="EIP4" s="299"/>
      <c r="EIQ4" s="299"/>
      <c r="EIR4" s="299"/>
      <c r="EIS4" s="299"/>
      <c r="EIT4" s="299"/>
      <c r="EIU4" s="299"/>
      <c r="EIV4" s="299"/>
      <c r="EIW4" s="299"/>
      <c r="EIX4" s="299"/>
      <c r="EIY4" s="299"/>
      <c r="EIZ4" s="299"/>
      <c r="EJA4" s="299"/>
      <c r="EJB4" s="299"/>
      <c r="EJC4" s="299"/>
      <c r="EJD4" s="299"/>
      <c r="EJE4" s="299"/>
      <c r="EJF4" s="299"/>
      <c r="EJG4" s="299"/>
      <c r="EJH4" s="299"/>
      <c r="EJI4" s="299"/>
      <c r="EJJ4" s="299"/>
      <c r="EJK4" s="299"/>
      <c r="EJL4" s="299"/>
      <c r="EJM4" s="299"/>
      <c r="EJN4" s="299"/>
      <c r="EJO4" s="299"/>
      <c r="EJP4" s="299"/>
      <c r="EJQ4" s="299"/>
      <c r="EJR4" s="299"/>
      <c r="EJS4" s="299"/>
      <c r="EJT4" s="299"/>
      <c r="EJU4" s="299"/>
      <c r="EJV4" s="299"/>
      <c r="EJW4" s="299"/>
      <c r="EJX4" s="299"/>
      <c r="EJY4" s="299"/>
      <c r="EJZ4" s="299"/>
      <c r="EKA4" s="299"/>
      <c r="EKB4" s="299"/>
      <c r="EKC4" s="299"/>
      <c r="EKD4" s="299"/>
      <c r="EKE4" s="299"/>
      <c r="EKF4" s="299"/>
      <c r="EKG4" s="299"/>
      <c r="EKH4" s="299"/>
      <c r="EKI4" s="299"/>
      <c r="EKJ4" s="299"/>
      <c r="EKK4" s="299"/>
      <c r="EKL4" s="299"/>
      <c r="EKM4" s="299"/>
      <c r="EKN4" s="299"/>
      <c r="EKO4" s="299"/>
      <c r="EKP4" s="299"/>
      <c r="EKQ4" s="299"/>
      <c r="EKR4" s="299"/>
      <c r="EKS4" s="299"/>
      <c r="EKT4" s="299"/>
      <c r="EKU4" s="299"/>
      <c r="EKV4" s="299"/>
      <c r="EKW4" s="299"/>
      <c r="EKX4" s="299"/>
      <c r="EKY4" s="299"/>
      <c r="EKZ4" s="299"/>
      <c r="ELA4" s="299"/>
      <c r="ELB4" s="299"/>
      <c r="ELC4" s="299"/>
      <c r="ELD4" s="299"/>
      <c r="ELE4" s="299"/>
      <c r="ELF4" s="299"/>
      <c r="ELG4" s="299"/>
      <c r="ELH4" s="299"/>
      <c r="ELI4" s="299"/>
      <c r="ELJ4" s="299"/>
      <c r="ELK4" s="299"/>
      <c r="ELL4" s="299"/>
      <c r="ELM4" s="299"/>
      <c r="ELN4" s="299"/>
      <c r="ELO4" s="299"/>
      <c r="ELP4" s="299"/>
      <c r="ELQ4" s="299"/>
      <c r="ELR4" s="299"/>
      <c r="ELS4" s="299"/>
      <c r="ELT4" s="299"/>
      <c r="ELU4" s="299"/>
      <c r="ELV4" s="299"/>
      <c r="ELW4" s="299"/>
      <c r="ELX4" s="299"/>
      <c r="ELY4" s="299"/>
      <c r="ELZ4" s="299"/>
      <c r="EMA4" s="299"/>
      <c r="EMB4" s="299"/>
      <c r="EMC4" s="299"/>
      <c r="EMD4" s="299"/>
      <c r="EME4" s="299"/>
      <c r="EMF4" s="299"/>
      <c r="EMG4" s="299"/>
      <c r="EMH4" s="299"/>
      <c r="EMI4" s="299"/>
      <c r="EMJ4" s="299"/>
      <c r="EMK4" s="299"/>
      <c r="EML4" s="299"/>
      <c r="EMM4" s="299"/>
      <c r="EMN4" s="299"/>
      <c r="EMO4" s="299"/>
      <c r="EMP4" s="299"/>
      <c r="EMQ4" s="299"/>
      <c r="EMR4" s="299"/>
      <c r="EMS4" s="299"/>
      <c r="EMT4" s="299"/>
      <c r="EMU4" s="299"/>
      <c r="EMV4" s="299"/>
      <c r="EMW4" s="299"/>
      <c r="EMX4" s="299"/>
      <c r="EMY4" s="299"/>
      <c r="EMZ4" s="299"/>
      <c r="ENA4" s="299"/>
      <c r="ENB4" s="299"/>
      <c r="ENC4" s="299"/>
      <c r="END4" s="299"/>
      <c r="ENE4" s="299"/>
      <c r="ENF4" s="299"/>
      <c r="ENG4" s="299"/>
      <c r="ENH4" s="299"/>
      <c r="ENI4" s="299"/>
      <c r="ENJ4" s="299"/>
      <c r="ENK4" s="299"/>
      <c r="ENL4" s="299"/>
      <c r="ENM4" s="299"/>
      <c r="ENN4" s="299"/>
      <c r="ENO4" s="299"/>
      <c r="ENP4" s="299"/>
      <c r="ENQ4" s="299"/>
      <c r="ENR4" s="299"/>
      <c r="ENS4" s="299"/>
      <c r="ENT4" s="299"/>
      <c r="ENU4" s="299"/>
      <c r="ENV4" s="299"/>
      <c r="ENW4" s="299"/>
      <c r="ENX4" s="299"/>
      <c r="ENY4" s="299"/>
      <c r="ENZ4" s="299"/>
      <c r="EOA4" s="299"/>
      <c r="EOB4" s="299"/>
      <c r="EOC4" s="299"/>
      <c r="EOD4" s="299"/>
      <c r="EOE4" s="299"/>
      <c r="EOF4" s="299"/>
      <c r="EOG4" s="299"/>
      <c r="EOH4" s="299"/>
      <c r="EOI4" s="299"/>
      <c r="EOJ4" s="299"/>
      <c r="EOK4" s="299"/>
      <c r="EOL4" s="299"/>
      <c r="EOM4" s="299"/>
      <c r="EON4" s="299"/>
      <c r="EOO4" s="299"/>
      <c r="EOP4" s="299"/>
      <c r="EOQ4" s="299"/>
      <c r="EOR4" s="299"/>
      <c r="EOS4" s="299"/>
      <c r="EOT4" s="299"/>
      <c r="EOU4" s="299"/>
      <c r="EOV4" s="299"/>
      <c r="EOW4" s="299"/>
      <c r="EOX4" s="299"/>
      <c r="EOY4" s="299"/>
      <c r="EOZ4" s="299"/>
      <c r="EPA4" s="299"/>
      <c r="EPB4" s="299"/>
      <c r="EPC4" s="299"/>
      <c r="EPD4" s="299"/>
      <c r="EPE4" s="299"/>
      <c r="EPF4" s="299"/>
      <c r="EPG4" s="299"/>
      <c r="EPH4" s="299"/>
      <c r="EPI4" s="299"/>
      <c r="EPJ4" s="299"/>
      <c r="EPK4" s="299"/>
      <c r="EPL4" s="299"/>
      <c r="EPM4" s="299"/>
      <c r="EPN4" s="299"/>
      <c r="EPO4" s="299"/>
      <c r="EPP4" s="299"/>
      <c r="EPQ4" s="299"/>
      <c r="EPR4" s="299"/>
      <c r="EPS4" s="299"/>
      <c r="EPT4" s="299"/>
      <c r="EPU4" s="299"/>
      <c r="EPV4" s="299"/>
      <c r="EPW4" s="299"/>
      <c r="EPX4" s="299"/>
      <c r="EPY4" s="299"/>
      <c r="EPZ4" s="299"/>
      <c r="EQA4" s="299"/>
      <c r="EQB4" s="299"/>
      <c r="EQC4" s="299"/>
      <c r="EQD4" s="299"/>
      <c r="EQE4" s="299"/>
      <c r="EQF4" s="299"/>
      <c r="EQG4" s="299"/>
      <c r="EQH4" s="299"/>
      <c r="EQI4" s="299"/>
      <c r="EQJ4" s="299"/>
      <c r="EQK4" s="299"/>
      <c r="EQL4" s="299"/>
      <c r="EQM4" s="299"/>
      <c r="EQN4" s="299"/>
      <c r="EQO4" s="299"/>
      <c r="EQP4" s="299"/>
      <c r="EQQ4" s="299"/>
      <c r="EQR4" s="299"/>
      <c r="EQS4" s="299"/>
      <c r="EQT4" s="299"/>
      <c r="EQU4" s="299"/>
      <c r="EQV4" s="299"/>
      <c r="EQW4" s="299"/>
      <c r="EQX4" s="299"/>
      <c r="EQY4" s="299"/>
      <c r="EQZ4" s="299"/>
      <c r="ERA4" s="299"/>
      <c r="ERB4" s="299"/>
      <c r="ERC4" s="299"/>
      <c r="ERD4" s="299"/>
      <c r="ERE4" s="299"/>
      <c r="ERF4" s="299"/>
      <c r="ERG4" s="299"/>
      <c r="ERH4" s="299"/>
      <c r="ERI4" s="299"/>
      <c r="ERJ4" s="299"/>
      <c r="ERK4" s="299"/>
      <c r="ERL4" s="299"/>
      <c r="ERM4" s="299"/>
      <c r="ERN4" s="299"/>
      <c r="ERO4" s="299"/>
      <c r="ERP4" s="299"/>
      <c r="ERQ4" s="299"/>
      <c r="ERR4" s="299"/>
      <c r="ERS4" s="299"/>
      <c r="ERT4" s="299"/>
      <c r="ERU4" s="299"/>
      <c r="ERV4" s="299"/>
      <c r="ERW4" s="299"/>
      <c r="ERX4" s="299"/>
      <c r="ERY4" s="299"/>
      <c r="ERZ4" s="299"/>
      <c r="ESA4" s="299"/>
      <c r="ESB4" s="299"/>
      <c r="ESC4" s="299"/>
      <c r="ESD4" s="299"/>
      <c r="ESE4" s="299"/>
      <c r="ESF4" s="299"/>
      <c r="ESG4" s="299"/>
      <c r="ESH4" s="299"/>
      <c r="ESI4" s="299"/>
      <c r="ESJ4" s="299"/>
      <c r="ESK4" s="299"/>
      <c r="ESL4" s="299"/>
      <c r="ESM4" s="299"/>
      <c r="ESN4" s="299"/>
      <c r="ESO4" s="299"/>
      <c r="ESP4" s="299"/>
      <c r="ESQ4" s="299"/>
      <c r="ESR4" s="299"/>
      <c r="ESS4" s="299"/>
      <c r="EST4" s="299"/>
      <c r="ESU4" s="299"/>
      <c r="ESV4" s="299"/>
      <c r="ESW4" s="299"/>
      <c r="ESX4" s="299"/>
      <c r="ESY4" s="299"/>
      <c r="ESZ4" s="299"/>
      <c r="ETA4" s="299"/>
      <c r="ETB4" s="299"/>
      <c r="ETC4" s="299"/>
      <c r="ETD4" s="299"/>
      <c r="ETE4" s="299"/>
      <c r="ETF4" s="299"/>
      <c r="ETG4" s="299"/>
      <c r="ETH4" s="299"/>
      <c r="ETI4" s="299"/>
      <c r="ETJ4" s="299"/>
      <c r="ETK4" s="299"/>
      <c r="ETL4" s="299"/>
      <c r="ETM4" s="299"/>
      <c r="ETN4" s="299"/>
      <c r="ETO4" s="299"/>
      <c r="ETP4" s="299"/>
      <c r="ETQ4" s="299"/>
      <c r="ETR4" s="299"/>
      <c r="ETS4" s="299"/>
      <c r="ETT4" s="299"/>
      <c r="ETU4" s="299"/>
      <c r="ETV4" s="299"/>
      <c r="ETW4" s="299"/>
      <c r="ETX4" s="299"/>
      <c r="ETY4" s="299"/>
      <c r="ETZ4" s="299"/>
      <c r="EUA4" s="299"/>
      <c r="EUB4" s="299"/>
      <c r="EUC4" s="299"/>
      <c r="EUD4" s="299"/>
      <c r="EUE4" s="299"/>
      <c r="EUF4" s="299"/>
      <c r="EUG4" s="299"/>
      <c r="EUH4" s="299"/>
      <c r="EUI4" s="299"/>
      <c r="EUJ4" s="299"/>
      <c r="EUK4" s="299"/>
      <c r="EUL4" s="299"/>
      <c r="EUM4" s="299"/>
      <c r="EUN4" s="299"/>
      <c r="EUO4" s="299"/>
      <c r="EUP4" s="299"/>
      <c r="EUQ4" s="299"/>
      <c r="EUR4" s="299"/>
      <c r="EUS4" s="299"/>
      <c r="EUT4" s="299"/>
      <c r="EUU4" s="299"/>
      <c r="EUV4" s="299"/>
      <c r="EUW4" s="299"/>
      <c r="EUX4" s="299"/>
      <c r="EUY4" s="299"/>
      <c r="EUZ4" s="299"/>
      <c r="EVA4" s="299"/>
      <c r="EVB4" s="299"/>
      <c r="EVC4" s="299"/>
      <c r="EVD4" s="299"/>
      <c r="EVE4" s="299"/>
      <c r="EVF4" s="299"/>
      <c r="EVG4" s="299"/>
      <c r="EVH4" s="299"/>
      <c r="EVI4" s="299"/>
      <c r="EVJ4" s="299"/>
      <c r="EVK4" s="299"/>
      <c r="EVL4" s="299"/>
      <c r="EVM4" s="299"/>
      <c r="EVN4" s="299"/>
      <c r="EVO4" s="299"/>
      <c r="EVP4" s="299"/>
      <c r="EVQ4" s="299"/>
      <c r="EVR4" s="299"/>
      <c r="EVS4" s="299"/>
      <c r="EVT4" s="299"/>
      <c r="EVU4" s="299"/>
      <c r="EVV4" s="299"/>
      <c r="EVW4" s="299"/>
      <c r="EVX4" s="299"/>
      <c r="EVY4" s="299"/>
      <c r="EVZ4" s="299"/>
      <c r="EWA4" s="299"/>
      <c r="EWB4" s="299"/>
      <c r="EWC4" s="299"/>
      <c r="EWD4" s="299"/>
      <c r="EWE4" s="299"/>
      <c r="EWF4" s="299"/>
      <c r="EWG4" s="299"/>
      <c r="EWH4" s="299"/>
      <c r="EWI4" s="299"/>
      <c r="EWJ4" s="299"/>
      <c r="EWK4" s="299"/>
      <c r="EWL4" s="299"/>
      <c r="EWM4" s="299"/>
      <c r="EWN4" s="299"/>
      <c r="EWO4" s="299"/>
      <c r="EWP4" s="299"/>
      <c r="EWQ4" s="299"/>
      <c r="EWR4" s="299"/>
      <c r="EWS4" s="299"/>
      <c r="EWT4" s="299"/>
      <c r="EWU4" s="299"/>
      <c r="EWV4" s="299"/>
      <c r="EWW4" s="299"/>
      <c r="EWX4" s="299"/>
      <c r="EWY4" s="299"/>
      <c r="EWZ4" s="299"/>
      <c r="EXA4" s="299"/>
      <c r="EXB4" s="299"/>
      <c r="EXC4" s="299"/>
      <c r="EXD4" s="299"/>
      <c r="EXE4" s="299"/>
      <c r="EXF4" s="299"/>
      <c r="EXG4" s="299"/>
      <c r="EXH4" s="299"/>
      <c r="EXI4" s="299"/>
      <c r="EXJ4" s="299"/>
      <c r="EXK4" s="299"/>
      <c r="EXL4" s="299"/>
      <c r="EXM4" s="299"/>
      <c r="EXN4" s="299"/>
      <c r="EXO4" s="299"/>
      <c r="EXP4" s="299"/>
      <c r="EXQ4" s="299"/>
      <c r="EXR4" s="299"/>
      <c r="EXS4" s="299"/>
      <c r="EXT4" s="299"/>
      <c r="EXU4" s="299"/>
      <c r="EXV4" s="299"/>
      <c r="EXW4" s="299"/>
      <c r="EXX4" s="299"/>
      <c r="EXY4" s="299"/>
      <c r="EXZ4" s="299"/>
      <c r="EYA4" s="299"/>
      <c r="EYB4" s="299"/>
      <c r="EYC4" s="299"/>
      <c r="EYD4" s="299"/>
      <c r="EYE4" s="299"/>
      <c r="EYF4" s="299"/>
      <c r="EYG4" s="299"/>
      <c r="EYH4" s="299"/>
      <c r="EYI4" s="299"/>
      <c r="EYJ4" s="299"/>
      <c r="EYK4" s="299"/>
      <c r="EYL4" s="299"/>
      <c r="EYM4" s="299"/>
      <c r="EYN4" s="299"/>
      <c r="EYO4" s="299"/>
      <c r="EYP4" s="299"/>
      <c r="EYQ4" s="299"/>
      <c r="EYR4" s="299"/>
      <c r="EYS4" s="299"/>
      <c r="EYT4" s="299"/>
      <c r="EYU4" s="299"/>
      <c r="EYV4" s="299"/>
      <c r="EYW4" s="299"/>
      <c r="EYX4" s="299"/>
      <c r="EYY4" s="299"/>
      <c r="EYZ4" s="299"/>
      <c r="EZA4" s="299"/>
      <c r="EZB4" s="299"/>
      <c r="EZC4" s="299"/>
      <c r="EZD4" s="299"/>
      <c r="EZE4" s="299"/>
      <c r="EZF4" s="299"/>
      <c r="EZG4" s="299"/>
      <c r="EZH4" s="299"/>
      <c r="EZI4" s="299"/>
      <c r="EZJ4" s="299"/>
      <c r="EZK4" s="299"/>
      <c r="EZL4" s="299"/>
      <c r="EZM4" s="299"/>
      <c r="EZN4" s="299"/>
      <c r="EZO4" s="299"/>
      <c r="EZP4" s="299"/>
      <c r="EZQ4" s="299"/>
      <c r="EZR4" s="299"/>
      <c r="EZS4" s="299"/>
      <c r="EZT4" s="299"/>
      <c r="EZU4" s="299"/>
      <c r="EZV4" s="299"/>
      <c r="EZW4" s="299"/>
      <c r="EZX4" s="299"/>
      <c r="EZY4" s="299"/>
      <c r="EZZ4" s="299"/>
      <c r="FAA4" s="299"/>
      <c r="FAB4" s="299"/>
      <c r="FAC4" s="299"/>
      <c r="FAD4" s="299"/>
      <c r="FAE4" s="299"/>
      <c r="FAF4" s="299"/>
      <c r="FAG4" s="299"/>
      <c r="FAH4" s="299"/>
      <c r="FAI4" s="299"/>
      <c r="FAJ4" s="299"/>
      <c r="FAK4" s="299"/>
      <c r="FAL4" s="299"/>
      <c r="FAM4" s="299"/>
      <c r="FAN4" s="299"/>
      <c r="FAO4" s="299"/>
      <c r="FAP4" s="299"/>
      <c r="FAQ4" s="299"/>
      <c r="FAR4" s="299"/>
      <c r="FAS4" s="299"/>
      <c r="FAT4" s="299"/>
      <c r="FAU4" s="299"/>
      <c r="FAV4" s="299"/>
      <c r="FAW4" s="299"/>
      <c r="FAX4" s="299"/>
      <c r="FAY4" s="299"/>
      <c r="FAZ4" s="299"/>
      <c r="FBA4" s="299"/>
      <c r="FBB4" s="299"/>
      <c r="FBC4" s="299"/>
      <c r="FBD4" s="299"/>
      <c r="FBE4" s="299"/>
      <c r="FBF4" s="299"/>
      <c r="FBG4" s="299"/>
      <c r="FBH4" s="299"/>
      <c r="FBI4" s="299"/>
      <c r="FBJ4" s="299"/>
      <c r="FBK4" s="299"/>
      <c r="FBL4" s="299"/>
      <c r="FBM4" s="299"/>
      <c r="FBN4" s="299"/>
      <c r="FBO4" s="299"/>
      <c r="FBP4" s="299"/>
      <c r="FBQ4" s="299"/>
      <c r="FBR4" s="299"/>
      <c r="FBS4" s="299"/>
      <c r="FBT4" s="299"/>
      <c r="FBU4" s="299"/>
      <c r="FBV4" s="299"/>
      <c r="FBW4" s="299"/>
      <c r="FBX4" s="299"/>
      <c r="FBY4" s="299"/>
      <c r="FBZ4" s="299"/>
      <c r="FCA4" s="299"/>
      <c r="FCB4" s="299"/>
      <c r="FCC4" s="299"/>
      <c r="FCD4" s="299"/>
      <c r="FCE4" s="299"/>
      <c r="FCF4" s="299"/>
      <c r="FCG4" s="299"/>
      <c r="FCH4" s="299"/>
      <c r="FCI4" s="299"/>
      <c r="FCJ4" s="299"/>
      <c r="FCK4" s="299"/>
      <c r="FCL4" s="299"/>
      <c r="FCM4" s="299"/>
      <c r="FCN4" s="299"/>
      <c r="FCO4" s="299"/>
      <c r="FCP4" s="299"/>
      <c r="FCQ4" s="299"/>
      <c r="FCR4" s="299"/>
      <c r="FCS4" s="299"/>
      <c r="FCT4" s="299"/>
      <c r="FCU4" s="299"/>
      <c r="FCV4" s="299"/>
      <c r="FCW4" s="299"/>
      <c r="FCX4" s="299"/>
      <c r="FCY4" s="299"/>
      <c r="FCZ4" s="299"/>
      <c r="FDA4" s="299"/>
      <c r="FDB4" s="299"/>
      <c r="FDC4" s="299"/>
      <c r="FDD4" s="299"/>
      <c r="FDE4" s="299"/>
      <c r="FDF4" s="299"/>
      <c r="FDG4" s="299"/>
      <c r="FDH4" s="299"/>
      <c r="FDI4" s="299"/>
      <c r="FDJ4" s="299"/>
      <c r="FDK4" s="299"/>
      <c r="FDL4" s="299"/>
      <c r="FDM4" s="299"/>
      <c r="FDN4" s="299"/>
      <c r="FDO4" s="299"/>
      <c r="FDP4" s="299"/>
      <c r="FDQ4" s="299"/>
      <c r="FDR4" s="299"/>
      <c r="FDS4" s="299"/>
      <c r="FDT4" s="299"/>
      <c r="FDU4" s="299"/>
      <c r="FDV4" s="299"/>
      <c r="FDW4" s="299"/>
      <c r="FDX4" s="299"/>
      <c r="FDY4" s="299"/>
      <c r="FDZ4" s="299"/>
      <c r="FEA4" s="299"/>
      <c r="FEB4" s="299"/>
      <c r="FEC4" s="299"/>
      <c r="FED4" s="299"/>
      <c r="FEE4" s="299"/>
      <c r="FEF4" s="299"/>
      <c r="FEG4" s="299"/>
      <c r="FEH4" s="299"/>
      <c r="FEI4" s="299"/>
      <c r="FEJ4" s="299"/>
      <c r="FEK4" s="299"/>
      <c r="FEL4" s="299"/>
      <c r="FEM4" s="299"/>
      <c r="FEN4" s="299"/>
      <c r="FEO4" s="299"/>
      <c r="FEP4" s="299"/>
      <c r="FEQ4" s="299"/>
      <c r="FER4" s="299"/>
      <c r="FES4" s="299"/>
      <c r="FET4" s="299"/>
      <c r="FEU4" s="299"/>
      <c r="FEV4" s="299"/>
      <c r="FEW4" s="299"/>
      <c r="FEX4" s="299"/>
      <c r="FEY4" s="299"/>
      <c r="FEZ4" s="299"/>
      <c r="FFA4" s="299"/>
      <c r="FFB4" s="299"/>
      <c r="FFC4" s="299"/>
      <c r="FFD4" s="299"/>
      <c r="FFE4" s="299"/>
      <c r="FFF4" s="299"/>
      <c r="FFG4" s="299"/>
      <c r="FFH4" s="299"/>
      <c r="FFI4" s="299"/>
      <c r="FFJ4" s="299"/>
      <c r="FFK4" s="299"/>
      <c r="FFL4" s="299"/>
      <c r="FFM4" s="299"/>
      <c r="FFN4" s="299"/>
      <c r="FFO4" s="299"/>
      <c r="FFP4" s="299"/>
      <c r="FFQ4" s="299"/>
      <c r="FFR4" s="299"/>
      <c r="FFS4" s="299"/>
      <c r="FFT4" s="299"/>
      <c r="FFU4" s="299"/>
      <c r="FFV4" s="299"/>
      <c r="FFW4" s="299"/>
      <c r="FFX4" s="299"/>
      <c r="FFY4" s="299"/>
      <c r="FFZ4" s="299"/>
      <c r="FGA4" s="299"/>
      <c r="FGB4" s="299"/>
      <c r="FGC4" s="299"/>
      <c r="FGD4" s="299"/>
      <c r="FGE4" s="299"/>
      <c r="FGF4" s="299"/>
      <c r="FGG4" s="299"/>
      <c r="FGH4" s="299"/>
      <c r="FGI4" s="299"/>
      <c r="FGJ4" s="299"/>
      <c r="FGK4" s="299"/>
      <c r="FGL4" s="299"/>
      <c r="FGM4" s="299"/>
      <c r="FGN4" s="299"/>
      <c r="FGO4" s="299"/>
      <c r="FGP4" s="299"/>
      <c r="FGQ4" s="299"/>
      <c r="FGR4" s="299"/>
      <c r="FGS4" s="299"/>
      <c r="FGT4" s="299"/>
      <c r="FGU4" s="299"/>
      <c r="FGV4" s="299"/>
      <c r="FGW4" s="299"/>
      <c r="FGX4" s="299"/>
      <c r="FGY4" s="299"/>
      <c r="FGZ4" s="299"/>
      <c r="FHA4" s="299"/>
      <c r="FHB4" s="299"/>
      <c r="FHC4" s="299"/>
      <c r="FHD4" s="299"/>
      <c r="FHE4" s="299"/>
      <c r="FHF4" s="299"/>
      <c r="FHG4" s="299"/>
      <c r="FHH4" s="299"/>
      <c r="FHI4" s="299"/>
      <c r="FHJ4" s="299"/>
      <c r="FHK4" s="299"/>
      <c r="FHL4" s="299"/>
      <c r="FHM4" s="299"/>
      <c r="FHN4" s="299"/>
      <c r="FHO4" s="299"/>
      <c r="FHP4" s="299"/>
      <c r="FHQ4" s="299"/>
      <c r="FHR4" s="299"/>
      <c r="FHS4" s="299"/>
      <c r="FHT4" s="299"/>
      <c r="FHU4" s="299"/>
      <c r="FHV4" s="299"/>
      <c r="FHW4" s="299"/>
      <c r="FHX4" s="299"/>
      <c r="FHY4" s="299"/>
      <c r="FHZ4" s="299"/>
      <c r="FIA4" s="299"/>
      <c r="FIB4" s="299"/>
      <c r="FIC4" s="299"/>
      <c r="FID4" s="299"/>
      <c r="FIE4" s="299"/>
      <c r="FIF4" s="299"/>
      <c r="FIG4" s="299"/>
      <c r="FIH4" s="299"/>
      <c r="FII4" s="299"/>
      <c r="FIJ4" s="299"/>
      <c r="FIK4" s="299"/>
      <c r="FIL4" s="299"/>
      <c r="FIM4" s="299"/>
      <c r="FIN4" s="299"/>
      <c r="FIO4" s="299"/>
      <c r="FIP4" s="299"/>
      <c r="FIQ4" s="299"/>
      <c r="FIR4" s="299"/>
      <c r="FIS4" s="299"/>
      <c r="FIT4" s="299"/>
      <c r="FIU4" s="299"/>
      <c r="FIV4" s="299"/>
      <c r="FIW4" s="299"/>
      <c r="FIX4" s="299"/>
      <c r="FIY4" s="299"/>
      <c r="FIZ4" s="299"/>
      <c r="FJA4" s="299"/>
      <c r="FJB4" s="299"/>
      <c r="FJC4" s="299"/>
      <c r="FJD4" s="299"/>
      <c r="FJE4" s="299"/>
      <c r="FJF4" s="299"/>
      <c r="FJG4" s="299"/>
      <c r="FJH4" s="299"/>
      <c r="FJI4" s="299"/>
      <c r="FJJ4" s="299"/>
      <c r="FJK4" s="299"/>
      <c r="FJL4" s="299"/>
      <c r="FJM4" s="299"/>
      <c r="FJN4" s="299"/>
      <c r="FJO4" s="299"/>
      <c r="FJP4" s="299"/>
      <c r="FJQ4" s="299"/>
      <c r="FJR4" s="299"/>
      <c r="FJS4" s="299"/>
      <c r="FJT4" s="299"/>
      <c r="FJU4" s="299"/>
      <c r="FJV4" s="299"/>
      <c r="FJW4" s="299"/>
      <c r="FJX4" s="299"/>
      <c r="FJY4" s="299"/>
      <c r="FJZ4" s="299"/>
      <c r="FKA4" s="299"/>
      <c r="FKB4" s="299"/>
      <c r="FKC4" s="299"/>
      <c r="FKD4" s="299"/>
      <c r="FKE4" s="299"/>
      <c r="FKF4" s="299"/>
      <c r="FKG4" s="299"/>
      <c r="FKH4" s="299"/>
      <c r="FKI4" s="299"/>
      <c r="FKJ4" s="299"/>
      <c r="FKK4" s="299"/>
      <c r="FKL4" s="299"/>
      <c r="FKM4" s="299"/>
      <c r="FKN4" s="299"/>
      <c r="FKO4" s="299"/>
      <c r="FKP4" s="299"/>
      <c r="FKQ4" s="299"/>
      <c r="FKR4" s="299"/>
      <c r="FKS4" s="299"/>
      <c r="FKT4" s="299"/>
      <c r="FKU4" s="299"/>
      <c r="FKV4" s="299"/>
      <c r="FKW4" s="299"/>
      <c r="FKX4" s="299"/>
      <c r="FKY4" s="299"/>
      <c r="FKZ4" s="299"/>
      <c r="FLA4" s="299"/>
      <c r="FLB4" s="299"/>
      <c r="FLC4" s="299"/>
      <c r="FLD4" s="299"/>
      <c r="FLE4" s="299"/>
      <c r="FLF4" s="299"/>
      <c r="FLG4" s="299"/>
      <c r="FLH4" s="299"/>
      <c r="FLI4" s="299"/>
      <c r="FLJ4" s="299"/>
      <c r="FLK4" s="299"/>
      <c r="FLL4" s="299"/>
      <c r="FLM4" s="299"/>
      <c r="FLN4" s="299"/>
      <c r="FLO4" s="299"/>
      <c r="FLP4" s="299"/>
      <c r="FLQ4" s="299"/>
      <c r="FLR4" s="299"/>
      <c r="FLS4" s="299"/>
      <c r="FLT4" s="299"/>
      <c r="FLU4" s="299"/>
      <c r="FLV4" s="299"/>
      <c r="FLW4" s="299"/>
      <c r="FLX4" s="299"/>
      <c r="FLY4" s="299"/>
      <c r="FLZ4" s="299"/>
      <c r="FMA4" s="299"/>
      <c r="FMB4" s="299"/>
      <c r="FMC4" s="299"/>
      <c r="FMD4" s="299"/>
      <c r="FME4" s="299"/>
      <c r="FMF4" s="299"/>
      <c r="FMG4" s="299"/>
      <c r="FMH4" s="299"/>
      <c r="FMI4" s="299"/>
      <c r="FMJ4" s="299"/>
      <c r="FMK4" s="299"/>
      <c r="FML4" s="299"/>
      <c r="FMM4" s="299"/>
      <c r="FMN4" s="299"/>
      <c r="FMO4" s="299"/>
      <c r="FMP4" s="299"/>
      <c r="FMQ4" s="299"/>
      <c r="FMR4" s="299"/>
      <c r="FMS4" s="299"/>
      <c r="FMT4" s="299"/>
      <c r="FMU4" s="299"/>
      <c r="FMV4" s="299"/>
      <c r="FMW4" s="299"/>
      <c r="FMX4" s="299"/>
      <c r="FMY4" s="299"/>
      <c r="FMZ4" s="299"/>
      <c r="FNA4" s="299"/>
      <c r="FNB4" s="299"/>
      <c r="FNC4" s="299"/>
      <c r="FND4" s="299"/>
      <c r="FNE4" s="299"/>
      <c r="FNF4" s="299"/>
      <c r="FNG4" s="299"/>
      <c r="FNH4" s="299"/>
      <c r="FNI4" s="299"/>
      <c r="FNJ4" s="299"/>
      <c r="FNK4" s="299"/>
      <c r="FNL4" s="299"/>
      <c r="FNM4" s="299"/>
      <c r="FNN4" s="299"/>
      <c r="FNO4" s="299"/>
      <c r="FNP4" s="299"/>
      <c r="FNQ4" s="299"/>
      <c r="FNR4" s="299"/>
      <c r="FNS4" s="299"/>
      <c r="FNT4" s="299"/>
      <c r="FNU4" s="299"/>
      <c r="FNV4" s="299"/>
      <c r="FNW4" s="299"/>
      <c r="FNX4" s="299"/>
      <c r="FNY4" s="299"/>
      <c r="FNZ4" s="299"/>
      <c r="FOA4" s="299"/>
      <c r="FOB4" s="299"/>
      <c r="FOC4" s="299"/>
      <c r="FOD4" s="299"/>
      <c r="FOE4" s="299"/>
      <c r="FOF4" s="299"/>
      <c r="FOG4" s="299"/>
      <c r="FOH4" s="299"/>
      <c r="FOI4" s="299"/>
      <c r="FOJ4" s="299"/>
      <c r="FOK4" s="299"/>
      <c r="FOL4" s="299"/>
      <c r="FOM4" s="299"/>
      <c r="FON4" s="299"/>
      <c r="FOO4" s="299"/>
      <c r="FOP4" s="299"/>
      <c r="FOQ4" s="299"/>
      <c r="FOR4" s="299"/>
      <c r="FOS4" s="299"/>
      <c r="FOT4" s="299"/>
      <c r="FOU4" s="299"/>
      <c r="FOV4" s="299"/>
      <c r="FOW4" s="299"/>
      <c r="FOX4" s="299"/>
      <c r="FOY4" s="299"/>
      <c r="FOZ4" s="299"/>
      <c r="FPA4" s="299"/>
      <c r="FPB4" s="299"/>
      <c r="FPC4" s="299"/>
      <c r="FPD4" s="299"/>
      <c r="FPE4" s="299"/>
      <c r="FPF4" s="299"/>
      <c r="FPG4" s="299"/>
      <c r="FPH4" s="299"/>
      <c r="FPI4" s="299"/>
      <c r="FPJ4" s="299"/>
      <c r="FPK4" s="299"/>
      <c r="FPL4" s="299"/>
      <c r="FPM4" s="299"/>
      <c r="FPN4" s="299"/>
      <c r="FPO4" s="299"/>
      <c r="FPP4" s="299"/>
      <c r="FPQ4" s="299"/>
      <c r="FPR4" s="299"/>
      <c r="FPS4" s="299"/>
      <c r="FPT4" s="299"/>
      <c r="FPU4" s="299"/>
      <c r="FPV4" s="299"/>
      <c r="FPW4" s="299"/>
      <c r="FPX4" s="299"/>
      <c r="FPY4" s="299"/>
      <c r="FPZ4" s="299"/>
      <c r="FQA4" s="299"/>
      <c r="FQB4" s="299"/>
      <c r="FQC4" s="299"/>
      <c r="FQD4" s="299"/>
      <c r="FQE4" s="299"/>
      <c r="FQF4" s="299"/>
      <c r="FQG4" s="299"/>
      <c r="FQH4" s="299"/>
      <c r="FQI4" s="299"/>
      <c r="FQJ4" s="299"/>
      <c r="FQK4" s="299"/>
      <c r="FQL4" s="299"/>
      <c r="FQM4" s="299"/>
      <c r="FQN4" s="299"/>
      <c r="FQO4" s="299"/>
      <c r="FQP4" s="299"/>
      <c r="FQQ4" s="299"/>
      <c r="FQR4" s="299"/>
      <c r="FQS4" s="299"/>
      <c r="FQT4" s="299"/>
      <c r="FQU4" s="299"/>
      <c r="FQV4" s="299"/>
      <c r="FQW4" s="299"/>
      <c r="FQX4" s="299"/>
      <c r="FQY4" s="299"/>
      <c r="FQZ4" s="299"/>
      <c r="FRA4" s="299"/>
      <c r="FRB4" s="299"/>
      <c r="FRC4" s="299"/>
      <c r="FRD4" s="299"/>
      <c r="FRE4" s="299"/>
      <c r="FRF4" s="299"/>
      <c r="FRG4" s="299"/>
      <c r="FRH4" s="299"/>
      <c r="FRI4" s="299"/>
      <c r="FRJ4" s="299"/>
      <c r="FRK4" s="299"/>
      <c r="FRL4" s="299"/>
      <c r="FRM4" s="299"/>
      <c r="FRN4" s="299"/>
      <c r="FRO4" s="299"/>
      <c r="FRP4" s="299"/>
      <c r="FRQ4" s="299"/>
      <c r="FRR4" s="299"/>
      <c r="FRS4" s="299"/>
      <c r="FRT4" s="299"/>
      <c r="FRU4" s="299"/>
      <c r="FRV4" s="299"/>
      <c r="FRW4" s="299"/>
      <c r="FRX4" s="299"/>
      <c r="FRY4" s="299"/>
      <c r="FRZ4" s="299"/>
      <c r="FSA4" s="299"/>
      <c r="FSB4" s="299"/>
      <c r="FSC4" s="299"/>
      <c r="FSD4" s="299"/>
      <c r="FSE4" s="299"/>
      <c r="FSF4" s="299"/>
      <c r="FSG4" s="299"/>
      <c r="FSH4" s="299"/>
      <c r="FSI4" s="299"/>
      <c r="FSJ4" s="299"/>
      <c r="FSK4" s="299"/>
      <c r="FSL4" s="299"/>
      <c r="FSM4" s="299"/>
      <c r="FSN4" s="299"/>
      <c r="FSO4" s="299"/>
      <c r="FSP4" s="299"/>
      <c r="FSQ4" s="299"/>
      <c r="FSR4" s="299"/>
      <c r="FSS4" s="299"/>
      <c r="FST4" s="299"/>
      <c r="FSU4" s="299"/>
      <c r="FSV4" s="299"/>
      <c r="FSW4" s="299"/>
      <c r="FSX4" s="299"/>
      <c r="FSY4" s="299"/>
      <c r="FSZ4" s="299"/>
      <c r="FTA4" s="299"/>
      <c r="FTB4" s="299"/>
      <c r="FTC4" s="299"/>
      <c r="FTD4" s="299"/>
      <c r="FTE4" s="299"/>
      <c r="FTF4" s="299"/>
      <c r="FTG4" s="299"/>
      <c r="FTH4" s="299"/>
      <c r="FTI4" s="299"/>
      <c r="FTJ4" s="299"/>
      <c r="FTK4" s="299"/>
      <c r="FTL4" s="299"/>
      <c r="FTM4" s="299"/>
      <c r="FTN4" s="299"/>
      <c r="FTO4" s="299"/>
      <c r="FTP4" s="299"/>
      <c r="FTQ4" s="299"/>
      <c r="FTR4" s="299"/>
      <c r="FTS4" s="299"/>
      <c r="FTT4" s="299"/>
      <c r="FTU4" s="299"/>
      <c r="FTV4" s="299"/>
      <c r="FTW4" s="299"/>
      <c r="FTX4" s="299"/>
      <c r="FTY4" s="299"/>
      <c r="FTZ4" s="299"/>
      <c r="FUA4" s="299"/>
      <c r="FUB4" s="299"/>
      <c r="FUC4" s="299"/>
      <c r="FUD4" s="299"/>
      <c r="FUE4" s="299"/>
      <c r="FUF4" s="299"/>
      <c r="FUG4" s="299"/>
      <c r="FUH4" s="299"/>
      <c r="FUI4" s="299"/>
      <c r="FUJ4" s="299"/>
      <c r="FUK4" s="299"/>
      <c r="FUL4" s="299"/>
      <c r="FUM4" s="299"/>
      <c r="FUN4" s="299"/>
      <c r="FUO4" s="299"/>
      <c r="FUP4" s="299"/>
      <c r="FUQ4" s="299"/>
      <c r="FUR4" s="299"/>
      <c r="FUS4" s="299"/>
      <c r="FUT4" s="299"/>
      <c r="FUU4" s="299"/>
      <c r="FUV4" s="299"/>
      <c r="FUW4" s="299"/>
      <c r="FUX4" s="299"/>
      <c r="FUY4" s="299"/>
      <c r="FUZ4" s="299"/>
      <c r="FVA4" s="299"/>
      <c r="FVB4" s="299"/>
      <c r="FVC4" s="299"/>
      <c r="FVD4" s="299"/>
      <c r="FVE4" s="299"/>
      <c r="FVF4" s="299"/>
      <c r="FVG4" s="299"/>
      <c r="FVH4" s="299"/>
      <c r="FVI4" s="299"/>
      <c r="FVJ4" s="299"/>
      <c r="FVK4" s="299"/>
      <c r="FVL4" s="299"/>
      <c r="FVM4" s="299"/>
      <c r="FVN4" s="299"/>
      <c r="FVO4" s="299"/>
      <c r="FVP4" s="299"/>
      <c r="FVQ4" s="299"/>
      <c r="FVR4" s="299"/>
      <c r="FVS4" s="299"/>
      <c r="FVT4" s="299"/>
      <c r="FVU4" s="299"/>
      <c r="FVV4" s="299"/>
      <c r="FVW4" s="299"/>
      <c r="FVX4" s="299"/>
      <c r="FVY4" s="299"/>
      <c r="FVZ4" s="299"/>
      <c r="FWA4" s="299"/>
      <c r="FWB4" s="299"/>
      <c r="FWC4" s="299"/>
      <c r="FWD4" s="299"/>
      <c r="FWE4" s="299"/>
      <c r="FWF4" s="299"/>
      <c r="FWG4" s="299"/>
      <c r="FWH4" s="299"/>
      <c r="FWI4" s="299"/>
      <c r="FWJ4" s="299"/>
      <c r="FWK4" s="299"/>
      <c r="FWL4" s="299"/>
      <c r="FWM4" s="299"/>
      <c r="FWN4" s="299"/>
      <c r="FWO4" s="299"/>
      <c r="FWP4" s="299"/>
      <c r="FWQ4" s="299"/>
      <c r="FWR4" s="299"/>
      <c r="FWS4" s="299"/>
      <c r="FWT4" s="299"/>
      <c r="FWU4" s="299"/>
      <c r="FWV4" s="299"/>
      <c r="FWW4" s="299"/>
      <c r="FWX4" s="299"/>
      <c r="FWY4" s="299"/>
      <c r="FWZ4" s="299"/>
      <c r="FXA4" s="299"/>
      <c r="FXB4" s="299"/>
      <c r="FXC4" s="299"/>
      <c r="FXD4" s="299"/>
      <c r="FXE4" s="299"/>
      <c r="FXF4" s="299"/>
      <c r="FXG4" s="299"/>
      <c r="FXH4" s="299"/>
      <c r="FXI4" s="299"/>
      <c r="FXJ4" s="299"/>
      <c r="FXK4" s="299"/>
      <c r="FXL4" s="299"/>
      <c r="FXM4" s="299"/>
      <c r="FXN4" s="299"/>
      <c r="FXO4" s="299"/>
      <c r="FXP4" s="299"/>
      <c r="FXQ4" s="299"/>
      <c r="FXR4" s="299"/>
      <c r="FXS4" s="299"/>
      <c r="FXT4" s="299"/>
      <c r="FXU4" s="299"/>
      <c r="FXV4" s="299"/>
      <c r="FXW4" s="299"/>
      <c r="FXX4" s="299"/>
      <c r="FXY4" s="299"/>
      <c r="FXZ4" s="299"/>
      <c r="FYA4" s="299"/>
      <c r="FYB4" s="299"/>
      <c r="FYC4" s="299"/>
      <c r="FYD4" s="299"/>
      <c r="FYE4" s="299"/>
      <c r="FYF4" s="299"/>
      <c r="FYG4" s="299"/>
      <c r="FYH4" s="299"/>
      <c r="FYI4" s="299"/>
      <c r="FYJ4" s="299"/>
      <c r="FYK4" s="299"/>
      <c r="FYL4" s="299"/>
      <c r="FYM4" s="299"/>
      <c r="FYN4" s="299"/>
      <c r="FYO4" s="299"/>
      <c r="FYP4" s="299"/>
      <c r="FYQ4" s="299"/>
      <c r="FYR4" s="299"/>
      <c r="FYS4" s="299"/>
      <c r="FYT4" s="299"/>
      <c r="FYU4" s="299"/>
      <c r="FYV4" s="299"/>
      <c r="FYW4" s="299"/>
      <c r="FYX4" s="299"/>
      <c r="FYY4" s="299"/>
      <c r="FYZ4" s="299"/>
      <c r="FZA4" s="299"/>
      <c r="FZB4" s="299"/>
      <c r="FZC4" s="299"/>
      <c r="FZD4" s="299"/>
      <c r="FZE4" s="299"/>
      <c r="FZF4" s="299"/>
      <c r="FZG4" s="299"/>
      <c r="FZH4" s="299"/>
      <c r="FZI4" s="299"/>
      <c r="FZJ4" s="299"/>
      <c r="FZK4" s="299"/>
      <c r="FZL4" s="299"/>
      <c r="FZM4" s="299"/>
      <c r="FZN4" s="299"/>
      <c r="FZO4" s="299"/>
      <c r="FZP4" s="299"/>
      <c r="FZQ4" s="299"/>
      <c r="FZR4" s="299"/>
      <c r="FZS4" s="299"/>
      <c r="FZT4" s="299"/>
      <c r="FZU4" s="299"/>
      <c r="FZV4" s="299"/>
      <c r="FZW4" s="299"/>
      <c r="FZX4" s="299"/>
      <c r="FZY4" s="299"/>
      <c r="FZZ4" s="299"/>
      <c r="GAA4" s="299"/>
      <c r="GAB4" s="299"/>
      <c r="GAC4" s="299"/>
      <c r="GAD4" s="299"/>
      <c r="GAE4" s="299"/>
      <c r="GAF4" s="299"/>
      <c r="GAG4" s="299"/>
      <c r="GAH4" s="299"/>
      <c r="GAI4" s="299"/>
      <c r="GAJ4" s="299"/>
      <c r="GAK4" s="299"/>
      <c r="GAL4" s="299"/>
      <c r="GAM4" s="299"/>
      <c r="GAN4" s="299"/>
      <c r="GAO4" s="299"/>
      <c r="GAP4" s="299"/>
      <c r="GAQ4" s="299"/>
      <c r="GAR4" s="299"/>
      <c r="GAS4" s="299"/>
      <c r="GAT4" s="299"/>
      <c r="GAU4" s="299"/>
      <c r="GAV4" s="299"/>
      <c r="GAW4" s="299"/>
      <c r="GAX4" s="299"/>
      <c r="GAY4" s="299"/>
      <c r="GAZ4" s="299"/>
      <c r="GBA4" s="299"/>
      <c r="GBB4" s="299"/>
      <c r="GBC4" s="299"/>
      <c r="GBD4" s="299"/>
      <c r="GBE4" s="299"/>
      <c r="GBF4" s="299"/>
      <c r="GBG4" s="299"/>
      <c r="GBH4" s="299"/>
      <c r="GBI4" s="299"/>
      <c r="GBJ4" s="299"/>
      <c r="GBK4" s="299"/>
      <c r="GBL4" s="299"/>
      <c r="GBM4" s="299"/>
      <c r="GBN4" s="299"/>
      <c r="GBO4" s="299"/>
      <c r="GBP4" s="299"/>
      <c r="GBQ4" s="299"/>
      <c r="GBR4" s="299"/>
      <c r="GBS4" s="299"/>
      <c r="GBT4" s="299"/>
      <c r="GBU4" s="299"/>
      <c r="GBV4" s="299"/>
      <c r="GBW4" s="299"/>
      <c r="GBX4" s="299"/>
      <c r="GBY4" s="299"/>
      <c r="GBZ4" s="299"/>
      <c r="GCA4" s="299"/>
      <c r="GCB4" s="299"/>
      <c r="GCC4" s="299"/>
      <c r="GCD4" s="299"/>
      <c r="GCE4" s="299"/>
      <c r="GCF4" s="299"/>
      <c r="GCG4" s="299"/>
      <c r="GCH4" s="299"/>
      <c r="GCI4" s="299"/>
      <c r="GCJ4" s="299"/>
      <c r="GCK4" s="299"/>
      <c r="GCL4" s="299"/>
      <c r="GCM4" s="299"/>
      <c r="GCN4" s="299"/>
      <c r="GCO4" s="299"/>
      <c r="GCP4" s="299"/>
      <c r="GCQ4" s="299"/>
      <c r="GCR4" s="299"/>
      <c r="GCS4" s="299"/>
      <c r="GCT4" s="299"/>
      <c r="GCU4" s="299"/>
      <c r="GCV4" s="299"/>
      <c r="GCW4" s="299"/>
      <c r="GCX4" s="299"/>
      <c r="GCY4" s="299"/>
      <c r="GCZ4" s="299"/>
      <c r="GDA4" s="299"/>
      <c r="GDB4" s="299"/>
      <c r="GDC4" s="299"/>
      <c r="GDD4" s="299"/>
      <c r="GDE4" s="299"/>
      <c r="GDF4" s="299"/>
      <c r="GDG4" s="299"/>
      <c r="GDH4" s="299"/>
      <c r="GDI4" s="299"/>
      <c r="GDJ4" s="299"/>
      <c r="GDK4" s="299"/>
      <c r="GDL4" s="299"/>
      <c r="GDM4" s="299"/>
      <c r="GDN4" s="299"/>
      <c r="GDO4" s="299"/>
      <c r="GDP4" s="299"/>
      <c r="GDQ4" s="299"/>
      <c r="GDR4" s="299"/>
      <c r="GDS4" s="299"/>
      <c r="GDT4" s="299"/>
      <c r="GDU4" s="299"/>
      <c r="GDV4" s="299"/>
      <c r="GDW4" s="299"/>
      <c r="GDX4" s="299"/>
      <c r="GDY4" s="299"/>
      <c r="GDZ4" s="299"/>
      <c r="GEA4" s="299"/>
      <c r="GEB4" s="299"/>
      <c r="GEC4" s="299"/>
      <c r="GED4" s="299"/>
      <c r="GEE4" s="299"/>
      <c r="GEF4" s="299"/>
      <c r="GEG4" s="299"/>
      <c r="GEH4" s="299"/>
      <c r="GEI4" s="299"/>
      <c r="GEJ4" s="299"/>
      <c r="GEK4" s="299"/>
      <c r="GEL4" s="299"/>
      <c r="GEM4" s="299"/>
      <c r="GEN4" s="299"/>
      <c r="GEO4" s="299"/>
      <c r="GEP4" s="299"/>
      <c r="GEQ4" s="299"/>
      <c r="GER4" s="299"/>
      <c r="GES4" s="299"/>
      <c r="GET4" s="299"/>
      <c r="GEU4" s="299"/>
      <c r="GEV4" s="299"/>
      <c r="GEW4" s="299"/>
      <c r="GEX4" s="299"/>
      <c r="GEY4" s="299"/>
      <c r="GEZ4" s="299"/>
      <c r="GFA4" s="299"/>
      <c r="GFB4" s="299"/>
      <c r="GFC4" s="299"/>
      <c r="GFD4" s="299"/>
      <c r="GFE4" s="299"/>
      <c r="GFF4" s="299"/>
      <c r="GFG4" s="299"/>
      <c r="GFH4" s="299"/>
      <c r="GFI4" s="299"/>
      <c r="GFJ4" s="299"/>
      <c r="GFK4" s="299"/>
      <c r="GFL4" s="299"/>
      <c r="GFM4" s="299"/>
      <c r="GFN4" s="299"/>
      <c r="GFO4" s="299"/>
      <c r="GFP4" s="299"/>
      <c r="GFQ4" s="299"/>
      <c r="GFR4" s="299"/>
      <c r="GFS4" s="299"/>
      <c r="GFT4" s="299"/>
      <c r="GFU4" s="299"/>
      <c r="GFV4" s="299"/>
      <c r="GFW4" s="299"/>
      <c r="GFX4" s="299"/>
      <c r="GFY4" s="299"/>
      <c r="GFZ4" s="299"/>
      <c r="GGA4" s="299"/>
      <c r="GGB4" s="299"/>
      <c r="GGC4" s="299"/>
      <c r="GGD4" s="299"/>
      <c r="GGE4" s="299"/>
      <c r="GGF4" s="299"/>
      <c r="GGG4" s="299"/>
      <c r="GGH4" s="299"/>
      <c r="GGI4" s="299"/>
      <c r="GGJ4" s="299"/>
      <c r="GGK4" s="299"/>
      <c r="GGL4" s="299"/>
      <c r="GGM4" s="299"/>
      <c r="GGN4" s="299"/>
      <c r="GGO4" s="299"/>
      <c r="GGP4" s="299"/>
      <c r="GGQ4" s="299"/>
      <c r="GGR4" s="299"/>
      <c r="GGS4" s="299"/>
      <c r="GGT4" s="299"/>
      <c r="GGU4" s="299"/>
      <c r="GGV4" s="299"/>
      <c r="GGW4" s="299"/>
      <c r="GGX4" s="299"/>
      <c r="GGY4" s="299"/>
      <c r="GGZ4" s="299"/>
      <c r="GHA4" s="299"/>
      <c r="GHB4" s="299"/>
      <c r="GHC4" s="299"/>
      <c r="GHD4" s="299"/>
      <c r="GHE4" s="299"/>
      <c r="GHF4" s="299"/>
      <c r="GHG4" s="299"/>
      <c r="GHH4" s="299"/>
      <c r="GHI4" s="299"/>
      <c r="GHJ4" s="299"/>
      <c r="GHK4" s="299"/>
      <c r="GHL4" s="299"/>
      <c r="GHM4" s="299"/>
      <c r="GHN4" s="299"/>
      <c r="GHO4" s="299"/>
      <c r="GHP4" s="299"/>
      <c r="GHQ4" s="299"/>
      <c r="GHR4" s="299"/>
      <c r="GHS4" s="299"/>
      <c r="GHT4" s="299"/>
      <c r="GHU4" s="299"/>
      <c r="GHV4" s="299"/>
      <c r="GHW4" s="299"/>
      <c r="GHX4" s="299"/>
      <c r="GHY4" s="299"/>
      <c r="GHZ4" s="299"/>
      <c r="GIA4" s="299"/>
      <c r="GIB4" s="299"/>
      <c r="GIC4" s="299"/>
      <c r="GID4" s="299"/>
      <c r="GIE4" s="299"/>
      <c r="GIF4" s="299"/>
      <c r="GIG4" s="299"/>
      <c r="GIH4" s="299"/>
      <c r="GII4" s="299"/>
      <c r="GIJ4" s="299"/>
      <c r="GIK4" s="299"/>
      <c r="GIL4" s="299"/>
      <c r="GIM4" s="299"/>
      <c r="GIN4" s="299"/>
      <c r="GIO4" s="299"/>
      <c r="GIP4" s="299"/>
      <c r="GIQ4" s="299"/>
      <c r="GIR4" s="299"/>
      <c r="GIS4" s="299"/>
      <c r="GIT4" s="299"/>
      <c r="GIU4" s="299"/>
      <c r="GIV4" s="299"/>
      <c r="GIW4" s="299"/>
      <c r="GIX4" s="299"/>
      <c r="GIY4" s="299"/>
      <c r="GIZ4" s="299"/>
      <c r="GJA4" s="299"/>
      <c r="GJB4" s="299"/>
      <c r="GJC4" s="299"/>
      <c r="GJD4" s="299"/>
      <c r="GJE4" s="299"/>
      <c r="GJF4" s="299"/>
      <c r="GJG4" s="299"/>
      <c r="GJH4" s="299"/>
      <c r="GJI4" s="299"/>
      <c r="GJJ4" s="299"/>
      <c r="GJK4" s="299"/>
      <c r="GJL4" s="299"/>
      <c r="GJM4" s="299"/>
      <c r="GJN4" s="299"/>
      <c r="GJO4" s="299"/>
      <c r="GJP4" s="299"/>
      <c r="GJQ4" s="299"/>
      <c r="GJR4" s="299"/>
      <c r="GJS4" s="299"/>
      <c r="GJT4" s="299"/>
      <c r="GJU4" s="299"/>
      <c r="GJV4" s="299"/>
      <c r="GJW4" s="299"/>
      <c r="GJX4" s="299"/>
      <c r="GJY4" s="299"/>
      <c r="GJZ4" s="299"/>
      <c r="GKA4" s="299"/>
      <c r="GKB4" s="299"/>
      <c r="GKC4" s="299"/>
      <c r="GKD4" s="299"/>
      <c r="GKE4" s="299"/>
      <c r="GKF4" s="299"/>
      <c r="GKG4" s="299"/>
      <c r="GKH4" s="299"/>
      <c r="GKI4" s="299"/>
      <c r="GKJ4" s="299"/>
      <c r="GKK4" s="299"/>
      <c r="GKL4" s="299"/>
      <c r="GKM4" s="299"/>
      <c r="GKN4" s="299"/>
      <c r="GKO4" s="299"/>
      <c r="GKP4" s="299"/>
      <c r="GKQ4" s="299"/>
      <c r="GKR4" s="299"/>
      <c r="GKS4" s="299"/>
      <c r="GKT4" s="299"/>
      <c r="GKU4" s="299"/>
      <c r="GKV4" s="299"/>
      <c r="GKW4" s="299"/>
      <c r="GKX4" s="299"/>
      <c r="GKY4" s="299"/>
      <c r="GKZ4" s="299"/>
      <c r="GLA4" s="299"/>
      <c r="GLB4" s="299"/>
      <c r="GLC4" s="299"/>
      <c r="GLD4" s="299"/>
      <c r="GLE4" s="299"/>
      <c r="GLF4" s="299"/>
      <c r="GLG4" s="299"/>
      <c r="GLH4" s="299"/>
      <c r="GLI4" s="299"/>
      <c r="GLJ4" s="299"/>
      <c r="GLK4" s="299"/>
      <c r="GLL4" s="299"/>
      <c r="GLM4" s="299"/>
      <c r="GLN4" s="299"/>
      <c r="GLO4" s="299"/>
      <c r="GLP4" s="299"/>
      <c r="GLQ4" s="299"/>
      <c r="GLR4" s="299"/>
      <c r="GLS4" s="299"/>
      <c r="GLT4" s="299"/>
      <c r="GLU4" s="299"/>
      <c r="GLV4" s="299"/>
      <c r="GLW4" s="299"/>
      <c r="GLX4" s="299"/>
      <c r="GLY4" s="299"/>
      <c r="GLZ4" s="299"/>
      <c r="GMA4" s="299"/>
      <c r="GMB4" s="299"/>
      <c r="GMC4" s="299"/>
      <c r="GMD4" s="299"/>
      <c r="GME4" s="299"/>
      <c r="GMF4" s="299"/>
      <c r="GMG4" s="299"/>
      <c r="GMH4" s="299"/>
      <c r="GMI4" s="299"/>
      <c r="GMJ4" s="299"/>
      <c r="GMK4" s="299"/>
      <c r="GML4" s="299"/>
      <c r="GMM4" s="299"/>
      <c r="GMN4" s="299"/>
      <c r="GMO4" s="299"/>
      <c r="GMP4" s="299"/>
      <c r="GMQ4" s="299"/>
      <c r="GMR4" s="299"/>
      <c r="GMS4" s="299"/>
      <c r="GMT4" s="299"/>
      <c r="GMU4" s="299"/>
      <c r="GMV4" s="299"/>
      <c r="GMW4" s="299"/>
      <c r="GMX4" s="299"/>
      <c r="GMY4" s="299"/>
      <c r="GMZ4" s="299"/>
      <c r="GNA4" s="299"/>
      <c r="GNB4" s="299"/>
      <c r="GNC4" s="299"/>
      <c r="GND4" s="299"/>
      <c r="GNE4" s="299"/>
      <c r="GNF4" s="299"/>
      <c r="GNG4" s="299"/>
      <c r="GNH4" s="299"/>
      <c r="GNI4" s="299"/>
      <c r="GNJ4" s="299"/>
      <c r="GNK4" s="299"/>
      <c r="GNL4" s="299"/>
      <c r="GNM4" s="299"/>
      <c r="GNN4" s="299"/>
      <c r="GNO4" s="299"/>
      <c r="GNP4" s="299"/>
      <c r="GNQ4" s="299"/>
      <c r="GNR4" s="299"/>
      <c r="GNS4" s="299"/>
      <c r="GNT4" s="299"/>
      <c r="GNU4" s="299"/>
      <c r="GNV4" s="299"/>
      <c r="GNW4" s="299"/>
      <c r="GNX4" s="299"/>
      <c r="GNY4" s="299"/>
      <c r="GNZ4" s="299"/>
      <c r="GOA4" s="299"/>
      <c r="GOB4" s="299"/>
      <c r="GOC4" s="299"/>
      <c r="GOD4" s="299"/>
      <c r="GOE4" s="299"/>
      <c r="GOF4" s="299"/>
      <c r="GOG4" s="299"/>
      <c r="GOH4" s="299"/>
      <c r="GOI4" s="299"/>
      <c r="GOJ4" s="299"/>
      <c r="GOK4" s="299"/>
      <c r="GOL4" s="299"/>
      <c r="GOM4" s="299"/>
      <c r="GON4" s="299"/>
      <c r="GOO4" s="299"/>
      <c r="GOP4" s="299"/>
      <c r="GOQ4" s="299"/>
      <c r="GOR4" s="299"/>
      <c r="GOS4" s="299"/>
      <c r="GOT4" s="299"/>
      <c r="GOU4" s="299"/>
      <c r="GOV4" s="299"/>
      <c r="GOW4" s="299"/>
      <c r="GOX4" s="299"/>
      <c r="GOY4" s="299"/>
      <c r="GOZ4" s="299"/>
      <c r="GPA4" s="299"/>
      <c r="GPB4" s="299"/>
      <c r="GPC4" s="299"/>
      <c r="GPD4" s="299"/>
      <c r="GPE4" s="299"/>
      <c r="GPF4" s="299"/>
      <c r="GPG4" s="299"/>
      <c r="GPH4" s="299"/>
      <c r="GPI4" s="299"/>
      <c r="GPJ4" s="299"/>
      <c r="GPK4" s="299"/>
      <c r="GPL4" s="299"/>
      <c r="GPM4" s="299"/>
      <c r="GPN4" s="299"/>
      <c r="GPO4" s="299"/>
      <c r="GPP4" s="299"/>
      <c r="GPQ4" s="299"/>
      <c r="GPR4" s="299"/>
      <c r="GPS4" s="299"/>
      <c r="GPT4" s="299"/>
      <c r="GPU4" s="299"/>
      <c r="GPV4" s="299"/>
      <c r="GPW4" s="299"/>
      <c r="GPX4" s="299"/>
      <c r="GPY4" s="299"/>
      <c r="GPZ4" s="299"/>
      <c r="GQA4" s="299"/>
      <c r="GQB4" s="299"/>
      <c r="GQC4" s="299"/>
      <c r="GQD4" s="299"/>
      <c r="GQE4" s="299"/>
      <c r="GQF4" s="299"/>
      <c r="GQG4" s="299"/>
      <c r="GQH4" s="299"/>
      <c r="GQI4" s="299"/>
      <c r="GQJ4" s="299"/>
      <c r="GQK4" s="299"/>
      <c r="GQL4" s="299"/>
      <c r="GQM4" s="299"/>
      <c r="GQN4" s="299"/>
      <c r="GQO4" s="299"/>
      <c r="GQP4" s="299"/>
      <c r="GQQ4" s="299"/>
      <c r="GQR4" s="299"/>
      <c r="GQS4" s="299"/>
      <c r="GQT4" s="299"/>
      <c r="GQU4" s="299"/>
      <c r="GQV4" s="299"/>
      <c r="GQW4" s="299"/>
      <c r="GQX4" s="299"/>
      <c r="GQY4" s="299"/>
      <c r="GQZ4" s="299"/>
      <c r="GRA4" s="299"/>
      <c r="GRB4" s="299"/>
      <c r="GRC4" s="299"/>
      <c r="GRD4" s="299"/>
      <c r="GRE4" s="299"/>
      <c r="GRF4" s="299"/>
      <c r="GRG4" s="299"/>
      <c r="GRH4" s="299"/>
      <c r="GRI4" s="299"/>
      <c r="GRJ4" s="299"/>
      <c r="GRK4" s="299"/>
      <c r="GRL4" s="299"/>
      <c r="GRM4" s="299"/>
      <c r="GRN4" s="299"/>
      <c r="GRO4" s="299"/>
      <c r="GRP4" s="299"/>
      <c r="GRQ4" s="299"/>
      <c r="GRR4" s="299"/>
      <c r="GRS4" s="299"/>
      <c r="GRT4" s="299"/>
      <c r="GRU4" s="299"/>
      <c r="GRV4" s="299"/>
      <c r="GRW4" s="299"/>
      <c r="GRX4" s="299"/>
      <c r="GRY4" s="299"/>
      <c r="GRZ4" s="299"/>
      <c r="GSA4" s="299"/>
      <c r="GSB4" s="299"/>
      <c r="GSC4" s="299"/>
      <c r="GSD4" s="299"/>
      <c r="GSE4" s="299"/>
      <c r="GSF4" s="299"/>
      <c r="GSG4" s="299"/>
      <c r="GSH4" s="299"/>
      <c r="GSI4" s="299"/>
      <c r="GSJ4" s="299"/>
      <c r="GSK4" s="299"/>
      <c r="GSL4" s="299"/>
      <c r="GSM4" s="299"/>
      <c r="GSN4" s="299"/>
      <c r="GSO4" s="299"/>
      <c r="GSP4" s="299"/>
      <c r="GSQ4" s="299"/>
      <c r="GSR4" s="299"/>
      <c r="GSS4" s="299"/>
      <c r="GST4" s="299"/>
      <c r="GSU4" s="299"/>
      <c r="GSV4" s="299"/>
      <c r="GSW4" s="299"/>
      <c r="GSX4" s="299"/>
      <c r="GSY4" s="299"/>
      <c r="GSZ4" s="299"/>
      <c r="GTA4" s="299"/>
      <c r="GTB4" s="299"/>
      <c r="GTC4" s="299"/>
      <c r="GTD4" s="299"/>
      <c r="GTE4" s="299"/>
      <c r="GTF4" s="299"/>
      <c r="GTG4" s="299"/>
      <c r="GTH4" s="299"/>
      <c r="GTI4" s="299"/>
      <c r="GTJ4" s="299"/>
      <c r="GTK4" s="299"/>
      <c r="GTL4" s="299"/>
      <c r="GTM4" s="299"/>
      <c r="GTN4" s="299"/>
      <c r="GTO4" s="299"/>
      <c r="GTP4" s="299"/>
      <c r="GTQ4" s="299"/>
      <c r="GTR4" s="299"/>
      <c r="GTS4" s="299"/>
      <c r="GTT4" s="299"/>
      <c r="GTU4" s="299"/>
      <c r="GTV4" s="299"/>
      <c r="GTW4" s="299"/>
      <c r="GTX4" s="299"/>
      <c r="GTY4" s="299"/>
      <c r="GTZ4" s="299"/>
      <c r="GUA4" s="299"/>
      <c r="GUB4" s="299"/>
      <c r="GUC4" s="299"/>
      <c r="GUD4" s="299"/>
      <c r="GUE4" s="299"/>
      <c r="GUF4" s="299"/>
      <c r="GUG4" s="299"/>
      <c r="GUH4" s="299"/>
      <c r="GUI4" s="299"/>
      <c r="GUJ4" s="299"/>
      <c r="GUK4" s="299"/>
      <c r="GUL4" s="299"/>
      <c r="GUM4" s="299"/>
      <c r="GUN4" s="299"/>
      <c r="GUO4" s="299"/>
      <c r="GUP4" s="299"/>
      <c r="GUQ4" s="299"/>
      <c r="GUR4" s="299"/>
      <c r="GUS4" s="299"/>
      <c r="GUT4" s="299"/>
      <c r="GUU4" s="299"/>
      <c r="GUV4" s="299"/>
      <c r="GUW4" s="299"/>
      <c r="GUX4" s="299"/>
      <c r="GUY4" s="299"/>
      <c r="GUZ4" s="299"/>
      <c r="GVA4" s="299"/>
      <c r="GVB4" s="299"/>
      <c r="GVC4" s="299"/>
      <c r="GVD4" s="299"/>
      <c r="GVE4" s="299"/>
      <c r="GVF4" s="299"/>
      <c r="GVG4" s="299"/>
      <c r="GVH4" s="299"/>
      <c r="GVI4" s="299"/>
      <c r="GVJ4" s="299"/>
      <c r="GVK4" s="299"/>
      <c r="GVL4" s="299"/>
      <c r="GVM4" s="299"/>
      <c r="GVN4" s="299"/>
      <c r="GVO4" s="299"/>
      <c r="GVP4" s="299"/>
      <c r="GVQ4" s="299"/>
      <c r="GVR4" s="299"/>
      <c r="GVS4" s="299"/>
      <c r="GVT4" s="299"/>
      <c r="GVU4" s="299"/>
      <c r="GVV4" s="299"/>
      <c r="GVW4" s="299"/>
      <c r="GVX4" s="299"/>
      <c r="GVY4" s="299"/>
      <c r="GVZ4" s="299"/>
      <c r="GWA4" s="299"/>
      <c r="GWB4" s="299"/>
      <c r="GWC4" s="299"/>
      <c r="GWD4" s="299"/>
      <c r="GWE4" s="299"/>
      <c r="GWF4" s="299"/>
      <c r="GWG4" s="299"/>
      <c r="GWH4" s="299"/>
      <c r="GWI4" s="299"/>
      <c r="GWJ4" s="299"/>
      <c r="GWK4" s="299"/>
      <c r="GWL4" s="299"/>
      <c r="GWM4" s="299"/>
      <c r="GWN4" s="299"/>
      <c r="GWO4" s="299"/>
      <c r="GWP4" s="299"/>
      <c r="GWQ4" s="299"/>
      <c r="GWR4" s="299"/>
      <c r="GWS4" s="299"/>
      <c r="GWT4" s="299"/>
      <c r="GWU4" s="299"/>
      <c r="GWV4" s="299"/>
      <c r="GWW4" s="299"/>
      <c r="GWX4" s="299"/>
      <c r="GWY4" s="299"/>
      <c r="GWZ4" s="299"/>
      <c r="GXA4" s="299"/>
      <c r="GXB4" s="299"/>
      <c r="GXC4" s="299"/>
      <c r="GXD4" s="299"/>
      <c r="GXE4" s="299"/>
      <c r="GXF4" s="299"/>
      <c r="GXG4" s="299"/>
      <c r="GXH4" s="299"/>
      <c r="GXI4" s="299"/>
      <c r="GXJ4" s="299"/>
      <c r="GXK4" s="299"/>
      <c r="GXL4" s="299"/>
      <c r="GXM4" s="299"/>
      <c r="GXN4" s="299"/>
      <c r="GXO4" s="299"/>
      <c r="GXP4" s="299"/>
      <c r="GXQ4" s="299"/>
      <c r="GXR4" s="299"/>
      <c r="GXS4" s="299"/>
      <c r="GXT4" s="299"/>
      <c r="GXU4" s="299"/>
      <c r="GXV4" s="299"/>
      <c r="GXW4" s="299"/>
      <c r="GXX4" s="299"/>
      <c r="GXY4" s="299"/>
      <c r="GXZ4" s="299"/>
      <c r="GYA4" s="299"/>
      <c r="GYB4" s="299"/>
      <c r="GYC4" s="299"/>
      <c r="GYD4" s="299"/>
      <c r="GYE4" s="299"/>
      <c r="GYF4" s="299"/>
      <c r="GYG4" s="299"/>
      <c r="GYH4" s="299"/>
      <c r="GYI4" s="299"/>
      <c r="GYJ4" s="299"/>
      <c r="GYK4" s="299"/>
      <c r="GYL4" s="299"/>
      <c r="GYM4" s="299"/>
      <c r="GYN4" s="299"/>
      <c r="GYO4" s="299"/>
      <c r="GYP4" s="299"/>
      <c r="GYQ4" s="299"/>
      <c r="GYR4" s="299"/>
      <c r="GYS4" s="299"/>
      <c r="GYT4" s="299"/>
      <c r="GYU4" s="299"/>
      <c r="GYV4" s="299"/>
      <c r="GYW4" s="299"/>
      <c r="GYX4" s="299"/>
      <c r="GYY4" s="299"/>
      <c r="GYZ4" s="299"/>
      <c r="GZA4" s="299"/>
      <c r="GZB4" s="299"/>
      <c r="GZC4" s="299"/>
      <c r="GZD4" s="299"/>
      <c r="GZE4" s="299"/>
      <c r="GZF4" s="299"/>
      <c r="GZG4" s="299"/>
      <c r="GZH4" s="299"/>
      <c r="GZI4" s="299"/>
      <c r="GZJ4" s="299"/>
      <c r="GZK4" s="299"/>
      <c r="GZL4" s="299"/>
      <c r="GZM4" s="299"/>
      <c r="GZN4" s="299"/>
      <c r="GZO4" s="299"/>
      <c r="GZP4" s="299"/>
      <c r="GZQ4" s="299"/>
      <c r="GZR4" s="299"/>
      <c r="GZS4" s="299"/>
      <c r="GZT4" s="299"/>
      <c r="GZU4" s="299"/>
      <c r="GZV4" s="299"/>
      <c r="GZW4" s="299"/>
      <c r="GZX4" s="299"/>
      <c r="GZY4" s="299"/>
      <c r="GZZ4" s="299"/>
      <c r="HAA4" s="299"/>
      <c r="HAB4" s="299"/>
      <c r="HAC4" s="299"/>
      <c r="HAD4" s="299"/>
      <c r="HAE4" s="299"/>
      <c r="HAF4" s="299"/>
      <c r="HAG4" s="299"/>
      <c r="HAH4" s="299"/>
      <c r="HAI4" s="299"/>
      <c r="HAJ4" s="299"/>
      <c r="HAK4" s="299"/>
      <c r="HAL4" s="299"/>
      <c r="HAM4" s="299"/>
      <c r="HAN4" s="299"/>
      <c r="HAO4" s="299"/>
      <c r="HAP4" s="299"/>
      <c r="HAQ4" s="299"/>
      <c r="HAR4" s="299"/>
      <c r="HAS4" s="299"/>
      <c r="HAT4" s="299"/>
      <c r="HAU4" s="299"/>
      <c r="HAV4" s="299"/>
      <c r="HAW4" s="299"/>
      <c r="HAX4" s="299"/>
      <c r="HAY4" s="299"/>
      <c r="HAZ4" s="299"/>
      <c r="HBA4" s="299"/>
      <c r="HBB4" s="299"/>
      <c r="HBC4" s="299"/>
      <c r="HBD4" s="299"/>
      <c r="HBE4" s="299"/>
      <c r="HBF4" s="299"/>
      <c r="HBG4" s="299"/>
      <c r="HBH4" s="299"/>
      <c r="HBI4" s="299"/>
      <c r="HBJ4" s="299"/>
      <c r="HBK4" s="299"/>
      <c r="HBL4" s="299"/>
      <c r="HBM4" s="299"/>
      <c r="HBN4" s="299"/>
      <c r="HBO4" s="299"/>
      <c r="HBP4" s="299"/>
      <c r="HBQ4" s="299"/>
      <c r="HBR4" s="299"/>
      <c r="HBS4" s="299"/>
      <c r="HBT4" s="299"/>
      <c r="HBU4" s="299"/>
      <c r="HBV4" s="299"/>
      <c r="HBW4" s="299"/>
      <c r="HBX4" s="299"/>
      <c r="HBY4" s="299"/>
      <c r="HBZ4" s="299"/>
      <c r="HCA4" s="299"/>
      <c r="HCB4" s="299"/>
      <c r="HCC4" s="299"/>
      <c r="HCD4" s="299"/>
      <c r="HCE4" s="299"/>
      <c r="HCF4" s="299"/>
      <c r="HCG4" s="299"/>
      <c r="HCH4" s="299"/>
      <c r="HCI4" s="299"/>
      <c r="HCJ4" s="299"/>
      <c r="HCK4" s="299"/>
      <c r="HCL4" s="299"/>
      <c r="HCM4" s="299"/>
      <c r="HCN4" s="299"/>
      <c r="HCO4" s="299"/>
      <c r="HCP4" s="299"/>
      <c r="HCQ4" s="299"/>
      <c r="HCR4" s="299"/>
      <c r="HCS4" s="299"/>
      <c r="HCT4" s="299"/>
      <c r="HCU4" s="299"/>
      <c r="HCV4" s="299"/>
      <c r="HCW4" s="299"/>
      <c r="HCX4" s="299"/>
      <c r="HCY4" s="299"/>
      <c r="HCZ4" s="299"/>
      <c r="HDA4" s="299"/>
      <c r="HDB4" s="299"/>
      <c r="HDC4" s="299"/>
      <c r="HDD4" s="299"/>
      <c r="HDE4" s="299"/>
      <c r="HDF4" s="299"/>
      <c r="HDG4" s="299"/>
      <c r="HDH4" s="299"/>
      <c r="HDI4" s="299"/>
      <c r="HDJ4" s="299"/>
      <c r="HDK4" s="299"/>
      <c r="HDL4" s="299"/>
      <c r="HDM4" s="299"/>
      <c r="HDN4" s="299"/>
      <c r="HDO4" s="299"/>
      <c r="HDP4" s="299"/>
      <c r="HDQ4" s="299"/>
      <c r="HDR4" s="299"/>
      <c r="HDS4" s="299"/>
      <c r="HDT4" s="299"/>
      <c r="HDU4" s="299"/>
      <c r="HDV4" s="299"/>
      <c r="HDW4" s="299"/>
      <c r="HDX4" s="299"/>
      <c r="HDY4" s="299"/>
      <c r="HDZ4" s="299"/>
      <c r="HEA4" s="299"/>
      <c r="HEB4" s="299"/>
      <c r="HEC4" s="299"/>
      <c r="HED4" s="299"/>
      <c r="HEE4" s="299"/>
      <c r="HEF4" s="299"/>
      <c r="HEG4" s="299"/>
      <c r="HEH4" s="299"/>
      <c r="HEI4" s="299"/>
      <c r="HEJ4" s="299"/>
      <c r="HEK4" s="299"/>
      <c r="HEL4" s="299"/>
      <c r="HEM4" s="299"/>
      <c r="HEN4" s="299"/>
      <c r="HEO4" s="299"/>
      <c r="HEP4" s="299"/>
      <c r="HEQ4" s="299"/>
      <c r="HER4" s="299"/>
      <c r="HES4" s="299"/>
      <c r="HET4" s="299"/>
      <c r="HEU4" s="299"/>
      <c r="HEV4" s="299"/>
      <c r="HEW4" s="299"/>
      <c r="HEX4" s="299"/>
      <c r="HEY4" s="299"/>
      <c r="HEZ4" s="299"/>
      <c r="HFA4" s="299"/>
      <c r="HFB4" s="299"/>
      <c r="HFC4" s="299"/>
      <c r="HFD4" s="299"/>
      <c r="HFE4" s="299"/>
      <c r="HFF4" s="299"/>
      <c r="HFG4" s="299"/>
      <c r="HFH4" s="299"/>
      <c r="HFI4" s="299"/>
      <c r="HFJ4" s="299"/>
      <c r="HFK4" s="299"/>
      <c r="HFL4" s="299"/>
      <c r="HFM4" s="299"/>
      <c r="HFN4" s="299"/>
      <c r="HFO4" s="299"/>
      <c r="HFP4" s="299"/>
      <c r="HFQ4" s="299"/>
      <c r="HFR4" s="299"/>
      <c r="HFS4" s="299"/>
      <c r="HFT4" s="299"/>
      <c r="HFU4" s="299"/>
      <c r="HFV4" s="299"/>
      <c r="HFW4" s="299"/>
      <c r="HFX4" s="299"/>
      <c r="HFY4" s="299"/>
      <c r="HFZ4" s="299"/>
      <c r="HGA4" s="299"/>
      <c r="HGB4" s="299"/>
      <c r="HGC4" s="299"/>
      <c r="HGD4" s="299"/>
      <c r="HGE4" s="299"/>
      <c r="HGF4" s="299"/>
      <c r="HGG4" s="299"/>
      <c r="HGH4" s="299"/>
      <c r="HGI4" s="299"/>
      <c r="HGJ4" s="299"/>
      <c r="HGK4" s="299"/>
      <c r="HGL4" s="299"/>
      <c r="HGM4" s="299"/>
      <c r="HGN4" s="299"/>
      <c r="HGO4" s="299"/>
      <c r="HGP4" s="299"/>
      <c r="HGQ4" s="299"/>
      <c r="HGR4" s="299"/>
      <c r="HGS4" s="299"/>
      <c r="HGT4" s="299"/>
      <c r="HGU4" s="299"/>
      <c r="HGV4" s="299"/>
      <c r="HGW4" s="299"/>
      <c r="HGX4" s="299"/>
      <c r="HGY4" s="299"/>
      <c r="HGZ4" s="299"/>
      <c r="HHA4" s="299"/>
      <c r="HHB4" s="299"/>
      <c r="HHC4" s="299"/>
      <c r="HHD4" s="299"/>
      <c r="HHE4" s="299"/>
      <c r="HHF4" s="299"/>
      <c r="HHG4" s="299"/>
      <c r="HHH4" s="299"/>
      <c r="HHI4" s="299"/>
      <c r="HHJ4" s="299"/>
      <c r="HHK4" s="299"/>
      <c r="HHL4" s="299"/>
      <c r="HHM4" s="299"/>
      <c r="HHN4" s="299"/>
      <c r="HHO4" s="299"/>
      <c r="HHP4" s="299"/>
      <c r="HHQ4" s="299"/>
      <c r="HHR4" s="299"/>
      <c r="HHS4" s="299"/>
      <c r="HHT4" s="299"/>
      <c r="HHU4" s="299"/>
      <c r="HHV4" s="299"/>
      <c r="HHW4" s="299"/>
      <c r="HHX4" s="299"/>
      <c r="HHY4" s="299"/>
      <c r="HHZ4" s="299"/>
      <c r="HIA4" s="299"/>
      <c r="HIB4" s="299"/>
      <c r="HIC4" s="299"/>
      <c r="HID4" s="299"/>
      <c r="HIE4" s="299"/>
      <c r="HIF4" s="299"/>
      <c r="HIG4" s="299"/>
      <c r="HIH4" s="299"/>
      <c r="HII4" s="299"/>
      <c r="HIJ4" s="299"/>
      <c r="HIK4" s="299"/>
      <c r="HIL4" s="299"/>
      <c r="HIM4" s="299"/>
      <c r="HIN4" s="299"/>
      <c r="HIO4" s="299"/>
      <c r="HIP4" s="299"/>
      <c r="HIQ4" s="299"/>
      <c r="HIR4" s="299"/>
      <c r="HIS4" s="299"/>
      <c r="HIT4" s="299"/>
      <c r="HIU4" s="299"/>
      <c r="HIV4" s="299"/>
      <c r="HIW4" s="299"/>
      <c r="HIX4" s="299"/>
      <c r="HIY4" s="299"/>
      <c r="HIZ4" s="299"/>
      <c r="HJA4" s="299"/>
      <c r="HJB4" s="299"/>
      <c r="HJC4" s="299"/>
      <c r="HJD4" s="299"/>
      <c r="HJE4" s="299"/>
      <c r="HJF4" s="299"/>
      <c r="HJG4" s="299"/>
      <c r="HJH4" s="299"/>
      <c r="HJI4" s="299"/>
      <c r="HJJ4" s="299"/>
      <c r="HJK4" s="299"/>
      <c r="HJL4" s="299"/>
      <c r="HJM4" s="299"/>
      <c r="HJN4" s="299"/>
      <c r="HJO4" s="299"/>
      <c r="HJP4" s="299"/>
      <c r="HJQ4" s="299"/>
      <c r="HJR4" s="299"/>
      <c r="HJS4" s="299"/>
      <c r="HJT4" s="299"/>
      <c r="HJU4" s="299"/>
      <c r="HJV4" s="299"/>
      <c r="HJW4" s="299"/>
      <c r="HJX4" s="299"/>
      <c r="HJY4" s="299"/>
      <c r="HJZ4" s="299"/>
      <c r="HKA4" s="299"/>
      <c r="HKB4" s="299"/>
      <c r="HKC4" s="299"/>
      <c r="HKD4" s="299"/>
      <c r="HKE4" s="299"/>
      <c r="HKF4" s="299"/>
      <c r="HKG4" s="299"/>
      <c r="HKH4" s="299"/>
      <c r="HKI4" s="299"/>
      <c r="HKJ4" s="299"/>
      <c r="HKK4" s="299"/>
      <c r="HKL4" s="299"/>
      <c r="HKM4" s="299"/>
      <c r="HKN4" s="299"/>
      <c r="HKO4" s="299"/>
      <c r="HKP4" s="299"/>
      <c r="HKQ4" s="299"/>
      <c r="HKR4" s="299"/>
      <c r="HKS4" s="299"/>
      <c r="HKT4" s="299"/>
      <c r="HKU4" s="299"/>
      <c r="HKV4" s="299"/>
      <c r="HKW4" s="299"/>
      <c r="HKX4" s="299"/>
      <c r="HKY4" s="299"/>
      <c r="HKZ4" s="299"/>
      <c r="HLA4" s="299"/>
      <c r="HLB4" s="299"/>
      <c r="HLC4" s="299"/>
      <c r="HLD4" s="299"/>
      <c r="HLE4" s="299"/>
      <c r="HLF4" s="299"/>
      <c r="HLG4" s="299"/>
      <c r="HLH4" s="299"/>
      <c r="HLI4" s="299"/>
      <c r="HLJ4" s="299"/>
      <c r="HLK4" s="299"/>
      <c r="HLL4" s="299"/>
      <c r="HLM4" s="299"/>
      <c r="HLN4" s="299"/>
      <c r="HLO4" s="299"/>
      <c r="HLP4" s="299"/>
      <c r="HLQ4" s="299"/>
      <c r="HLR4" s="299"/>
      <c r="HLS4" s="299"/>
      <c r="HLT4" s="299"/>
      <c r="HLU4" s="299"/>
      <c r="HLV4" s="299"/>
      <c r="HLW4" s="299"/>
      <c r="HLX4" s="299"/>
      <c r="HLY4" s="299"/>
      <c r="HLZ4" s="299"/>
      <c r="HMA4" s="299"/>
      <c r="HMB4" s="299"/>
      <c r="HMC4" s="299"/>
      <c r="HMD4" s="299"/>
      <c r="HME4" s="299"/>
      <c r="HMF4" s="299"/>
      <c r="HMG4" s="299"/>
      <c r="HMH4" s="299"/>
      <c r="HMI4" s="299"/>
      <c r="HMJ4" s="299"/>
      <c r="HMK4" s="299"/>
      <c r="HML4" s="299"/>
      <c r="HMM4" s="299"/>
      <c r="HMN4" s="299"/>
      <c r="HMO4" s="299"/>
      <c r="HMP4" s="299"/>
      <c r="HMQ4" s="299"/>
      <c r="HMR4" s="299"/>
      <c r="HMS4" s="299"/>
      <c r="HMT4" s="299"/>
      <c r="HMU4" s="299"/>
      <c r="HMV4" s="299"/>
      <c r="HMW4" s="299"/>
      <c r="HMX4" s="299"/>
      <c r="HMY4" s="299"/>
      <c r="HMZ4" s="299"/>
      <c r="HNA4" s="299"/>
      <c r="HNB4" s="299"/>
      <c r="HNC4" s="299"/>
      <c r="HND4" s="299"/>
      <c r="HNE4" s="299"/>
      <c r="HNF4" s="299"/>
      <c r="HNG4" s="299"/>
      <c r="HNH4" s="299"/>
      <c r="HNI4" s="299"/>
      <c r="HNJ4" s="299"/>
      <c r="HNK4" s="299"/>
      <c r="HNL4" s="299"/>
      <c r="HNM4" s="299"/>
      <c r="HNN4" s="299"/>
      <c r="HNO4" s="299"/>
      <c r="HNP4" s="299"/>
      <c r="HNQ4" s="299"/>
      <c r="HNR4" s="299"/>
      <c r="HNS4" s="299"/>
      <c r="HNT4" s="299"/>
      <c r="HNU4" s="299"/>
      <c r="HNV4" s="299"/>
      <c r="HNW4" s="299"/>
      <c r="HNX4" s="299"/>
      <c r="HNY4" s="299"/>
      <c r="HNZ4" s="299"/>
      <c r="HOA4" s="299"/>
      <c r="HOB4" s="299"/>
      <c r="HOC4" s="299"/>
      <c r="HOD4" s="299"/>
      <c r="HOE4" s="299"/>
      <c r="HOF4" s="299"/>
      <c r="HOG4" s="299"/>
      <c r="HOH4" s="299"/>
      <c r="HOI4" s="299"/>
      <c r="HOJ4" s="299"/>
      <c r="HOK4" s="299"/>
      <c r="HOL4" s="299"/>
      <c r="HOM4" s="299"/>
      <c r="HON4" s="299"/>
      <c r="HOO4" s="299"/>
      <c r="HOP4" s="299"/>
      <c r="HOQ4" s="299"/>
      <c r="HOR4" s="299"/>
      <c r="HOS4" s="299"/>
      <c r="HOT4" s="299"/>
      <c r="HOU4" s="299"/>
      <c r="HOV4" s="299"/>
      <c r="HOW4" s="299"/>
      <c r="HOX4" s="299"/>
      <c r="HOY4" s="299"/>
      <c r="HOZ4" s="299"/>
      <c r="HPA4" s="299"/>
      <c r="HPB4" s="299"/>
      <c r="HPC4" s="299"/>
      <c r="HPD4" s="299"/>
      <c r="HPE4" s="299"/>
      <c r="HPF4" s="299"/>
      <c r="HPG4" s="299"/>
      <c r="HPH4" s="299"/>
      <c r="HPI4" s="299"/>
      <c r="HPJ4" s="299"/>
      <c r="HPK4" s="299"/>
      <c r="HPL4" s="299"/>
      <c r="HPM4" s="299"/>
      <c r="HPN4" s="299"/>
      <c r="HPO4" s="299"/>
      <c r="HPP4" s="299"/>
      <c r="HPQ4" s="299"/>
      <c r="HPR4" s="299"/>
      <c r="HPS4" s="299"/>
      <c r="HPT4" s="299"/>
      <c r="HPU4" s="299"/>
      <c r="HPV4" s="299"/>
      <c r="HPW4" s="299"/>
      <c r="HPX4" s="299"/>
      <c r="HPY4" s="299"/>
      <c r="HPZ4" s="299"/>
      <c r="HQA4" s="299"/>
      <c r="HQB4" s="299"/>
      <c r="HQC4" s="299"/>
      <c r="HQD4" s="299"/>
      <c r="HQE4" s="299"/>
      <c r="HQF4" s="299"/>
      <c r="HQG4" s="299"/>
      <c r="HQH4" s="299"/>
      <c r="HQI4" s="299"/>
      <c r="HQJ4" s="299"/>
      <c r="HQK4" s="299"/>
      <c r="HQL4" s="299"/>
      <c r="HQM4" s="299"/>
      <c r="HQN4" s="299"/>
      <c r="HQO4" s="299"/>
      <c r="HQP4" s="299"/>
      <c r="HQQ4" s="299"/>
      <c r="HQR4" s="299"/>
      <c r="HQS4" s="299"/>
      <c r="HQT4" s="299"/>
      <c r="HQU4" s="299"/>
      <c r="HQV4" s="299"/>
      <c r="HQW4" s="299"/>
      <c r="HQX4" s="299"/>
      <c r="HQY4" s="299"/>
      <c r="HQZ4" s="299"/>
      <c r="HRA4" s="299"/>
      <c r="HRB4" s="299"/>
      <c r="HRC4" s="299"/>
      <c r="HRD4" s="299"/>
      <c r="HRE4" s="299"/>
      <c r="HRF4" s="299"/>
      <c r="HRG4" s="299"/>
      <c r="HRH4" s="299"/>
      <c r="HRI4" s="299"/>
      <c r="HRJ4" s="299"/>
      <c r="HRK4" s="299"/>
      <c r="HRL4" s="299"/>
      <c r="HRM4" s="299"/>
      <c r="HRN4" s="299"/>
      <c r="HRO4" s="299"/>
      <c r="HRP4" s="299"/>
      <c r="HRQ4" s="299"/>
      <c r="HRR4" s="299"/>
      <c r="HRS4" s="299"/>
      <c r="HRT4" s="299"/>
      <c r="HRU4" s="299"/>
      <c r="HRV4" s="299"/>
      <c r="HRW4" s="299"/>
      <c r="HRX4" s="299"/>
      <c r="HRY4" s="299"/>
      <c r="HRZ4" s="299"/>
      <c r="HSA4" s="299"/>
      <c r="HSB4" s="299"/>
      <c r="HSC4" s="299"/>
      <c r="HSD4" s="299"/>
      <c r="HSE4" s="299"/>
      <c r="HSF4" s="299"/>
      <c r="HSG4" s="299"/>
      <c r="HSH4" s="299"/>
      <c r="HSI4" s="299"/>
      <c r="HSJ4" s="299"/>
      <c r="HSK4" s="299"/>
      <c r="HSL4" s="299"/>
      <c r="HSM4" s="299"/>
      <c r="HSN4" s="299"/>
      <c r="HSO4" s="299"/>
      <c r="HSP4" s="299"/>
      <c r="HSQ4" s="299"/>
      <c r="HSR4" s="299"/>
      <c r="HSS4" s="299"/>
      <c r="HST4" s="299"/>
      <c r="HSU4" s="299"/>
      <c r="HSV4" s="299"/>
      <c r="HSW4" s="299"/>
      <c r="HSX4" s="299"/>
      <c r="HSY4" s="299"/>
      <c r="HSZ4" s="299"/>
      <c r="HTA4" s="299"/>
      <c r="HTB4" s="299"/>
      <c r="HTC4" s="299"/>
      <c r="HTD4" s="299"/>
      <c r="HTE4" s="299"/>
      <c r="HTF4" s="299"/>
      <c r="HTG4" s="299"/>
      <c r="HTH4" s="299"/>
      <c r="HTI4" s="299"/>
      <c r="HTJ4" s="299"/>
      <c r="HTK4" s="299"/>
      <c r="HTL4" s="299"/>
      <c r="HTM4" s="299"/>
      <c r="HTN4" s="299"/>
      <c r="HTO4" s="299"/>
      <c r="HTP4" s="299"/>
      <c r="HTQ4" s="299"/>
      <c r="HTR4" s="299"/>
      <c r="HTS4" s="299"/>
      <c r="HTT4" s="299"/>
      <c r="HTU4" s="299"/>
      <c r="HTV4" s="299"/>
      <c r="HTW4" s="299"/>
      <c r="HTX4" s="299"/>
      <c r="HTY4" s="299"/>
      <c r="HTZ4" s="299"/>
      <c r="HUA4" s="299"/>
      <c r="HUB4" s="299"/>
      <c r="HUC4" s="299"/>
      <c r="HUD4" s="299"/>
      <c r="HUE4" s="299"/>
      <c r="HUF4" s="299"/>
      <c r="HUG4" s="299"/>
      <c r="HUH4" s="299"/>
      <c r="HUI4" s="299"/>
      <c r="HUJ4" s="299"/>
      <c r="HUK4" s="299"/>
      <c r="HUL4" s="299"/>
      <c r="HUM4" s="299"/>
      <c r="HUN4" s="299"/>
      <c r="HUO4" s="299"/>
      <c r="HUP4" s="299"/>
      <c r="HUQ4" s="299"/>
      <c r="HUR4" s="299"/>
      <c r="HUS4" s="299"/>
      <c r="HUT4" s="299"/>
      <c r="HUU4" s="299"/>
      <c r="HUV4" s="299"/>
      <c r="HUW4" s="299"/>
      <c r="HUX4" s="299"/>
      <c r="HUY4" s="299"/>
      <c r="HUZ4" s="299"/>
      <c r="HVA4" s="299"/>
      <c r="HVB4" s="299"/>
      <c r="HVC4" s="299"/>
      <c r="HVD4" s="299"/>
      <c r="HVE4" s="299"/>
      <c r="HVF4" s="299"/>
      <c r="HVG4" s="299"/>
      <c r="HVH4" s="299"/>
      <c r="HVI4" s="299"/>
      <c r="HVJ4" s="299"/>
      <c r="HVK4" s="299"/>
      <c r="HVL4" s="299"/>
      <c r="HVM4" s="299"/>
      <c r="HVN4" s="299"/>
      <c r="HVO4" s="299"/>
      <c r="HVP4" s="299"/>
      <c r="HVQ4" s="299"/>
      <c r="HVR4" s="299"/>
      <c r="HVS4" s="299"/>
      <c r="HVT4" s="299"/>
      <c r="HVU4" s="299"/>
      <c r="HVV4" s="299"/>
      <c r="HVW4" s="299"/>
      <c r="HVX4" s="299"/>
      <c r="HVY4" s="299"/>
      <c r="HVZ4" s="299"/>
      <c r="HWA4" s="299"/>
      <c r="HWB4" s="299"/>
      <c r="HWC4" s="299"/>
      <c r="HWD4" s="299"/>
      <c r="HWE4" s="299"/>
      <c r="HWF4" s="299"/>
      <c r="HWG4" s="299"/>
      <c r="HWH4" s="299"/>
      <c r="HWI4" s="299"/>
      <c r="HWJ4" s="299"/>
      <c r="HWK4" s="299"/>
      <c r="HWL4" s="299"/>
      <c r="HWM4" s="299"/>
      <c r="HWN4" s="299"/>
      <c r="HWO4" s="299"/>
      <c r="HWP4" s="299"/>
      <c r="HWQ4" s="299"/>
      <c r="HWR4" s="299"/>
      <c r="HWS4" s="299"/>
      <c r="HWT4" s="299"/>
      <c r="HWU4" s="299"/>
      <c r="HWV4" s="299"/>
      <c r="HWW4" s="299"/>
      <c r="HWX4" s="299"/>
      <c r="HWY4" s="299"/>
      <c r="HWZ4" s="299"/>
      <c r="HXA4" s="299"/>
      <c r="HXB4" s="299"/>
      <c r="HXC4" s="299"/>
      <c r="HXD4" s="299"/>
      <c r="HXE4" s="299"/>
      <c r="HXF4" s="299"/>
      <c r="HXG4" s="299"/>
      <c r="HXH4" s="299"/>
      <c r="HXI4" s="299"/>
      <c r="HXJ4" s="299"/>
      <c r="HXK4" s="299"/>
      <c r="HXL4" s="299"/>
      <c r="HXM4" s="299"/>
      <c r="HXN4" s="299"/>
      <c r="HXO4" s="299"/>
      <c r="HXP4" s="299"/>
      <c r="HXQ4" s="299"/>
      <c r="HXR4" s="299"/>
      <c r="HXS4" s="299"/>
      <c r="HXT4" s="299"/>
      <c r="HXU4" s="299"/>
      <c r="HXV4" s="299"/>
      <c r="HXW4" s="299"/>
      <c r="HXX4" s="299"/>
      <c r="HXY4" s="299"/>
      <c r="HXZ4" s="299"/>
      <c r="HYA4" s="299"/>
      <c r="HYB4" s="299"/>
      <c r="HYC4" s="299"/>
      <c r="HYD4" s="299"/>
      <c r="HYE4" s="299"/>
      <c r="HYF4" s="299"/>
      <c r="HYG4" s="299"/>
      <c r="HYH4" s="299"/>
      <c r="HYI4" s="299"/>
      <c r="HYJ4" s="299"/>
      <c r="HYK4" s="299"/>
      <c r="HYL4" s="299"/>
      <c r="HYM4" s="299"/>
      <c r="HYN4" s="299"/>
      <c r="HYO4" s="299"/>
      <c r="HYP4" s="299"/>
      <c r="HYQ4" s="299"/>
      <c r="HYR4" s="299"/>
      <c r="HYS4" s="299"/>
      <c r="HYT4" s="299"/>
      <c r="HYU4" s="299"/>
      <c r="HYV4" s="299"/>
      <c r="HYW4" s="299"/>
      <c r="HYX4" s="299"/>
      <c r="HYY4" s="299"/>
      <c r="HYZ4" s="299"/>
      <c r="HZA4" s="299"/>
      <c r="HZB4" s="299"/>
      <c r="HZC4" s="299"/>
      <c r="HZD4" s="299"/>
      <c r="HZE4" s="299"/>
      <c r="HZF4" s="299"/>
      <c r="HZG4" s="299"/>
      <c r="HZH4" s="299"/>
      <c r="HZI4" s="299"/>
      <c r="HZJ4" s="299"/>
      <c r="HZK4" s="299"/>
      <c r="HZL4" s="299"/>
      <c r="HZM4" s="299"/>
      <c r="HZN4" s="299"/>
      <c r="HZO4" s="299"/>
      <c r="HZP4" s="299"/>
      <c r="HZQ4" s="299"/>
      <c r="HZR4" s="299"/>
      <c r="HZS4" s="299"/>
      <c r="HZT4" s="299"/>
      <c r="HZU4" s="299"/>
      <c r="HZV4" s="299"/>
      <c r="HZW4" s="299"/>
      <c r="HZX4" s="299"/>
      <c r="HZY4" s="299"/>
      <c r="HZZ4" s="299"/>
      <c r="IAA4" s="299"/>
      <c r="IAB4" s="299"/>
      <c r="IAC4" s="299"/>
      <c r="IAD4" s="299"/>
      <c r="IAE4" s="299"/>
      <c r="IAF4" s="299"/>
      <c r="IAG4" s="299"/>
      <c r="IAH4" s="299"/>
      <c r="IAI4" s="299"/>
      <c r="IAJ4" s="299"/>
      <c r="IAK4" s="299"/>
      <c r="IAL4" s="299"/>
      <c r="IAM4" s="299"/>
      <c r="IAN4" s="299"/>
      <c r="IAO4" s="299"/>
      <c r="IAP4" s="299"/>
      <c r="IAQ4" s="299"/>
      <c r="IAR4" s="299"/>
      <c r="IAS4" s="299"/>
      <c r="IAT4" s="299"/>
      <c r="IAU4" s="299"/>
      <c r="IAV4" s="299"/>
      <c r="IAW4" s="299"/>
      <c r="IAX4" s="299"/>
      <c r="IAY4" s="299"/>
      <c r="IAZ4" s="299"/>
      <c r="IBA4" s="299"/>
      <c r="IBB4" s="299"/>
      <c r="IBC4" s="299"/>
      <c r="IBD4" s="299"/>
      <c r="IBE4" s="299"/>
      <c r="IBF4" s="299"/>
      <c r="IBG4" s="299"/>
      <c r="IBH4" s="299"/>
      <c r="IBI4" s="299"/>
      <c r="IBJ4" s="299"/>
      <c r="IBK4" s="299"/>
      <c r="IBL4" s="299"/>
      <c r="IBM4" s="299"/>
      <c r="IBN4" s="299"/>
      <c r="IBO4" s="299"/>
      <c r="IBP4" s="299"/>
      <c r="IBQ4" s="299"/>
      <c r="IBR4" s="299"/>
      <c r="IBS4" s="299"/>
      <c r="IBT4" s="299"/>
      <c r="IBU4" s="299"/>
      <c r="IBV4" s="299"/>
      <c r="IBW4" s="299"/>
      <c r="IBX4" s="299"/>
      <c r="IBY4" s="299"/>
      <c r="IBZ4" s="299"/>
      <c r="ICA4" s="299"/>
      <c r="ICB4" s="299"/>
      <c r="ICC4" s="299"/>
      <c r="ICD4" s="299"/>
      <c r="ICE4" s="299"/>
      <c r="ICF4" s="299"/>
      <c r="ICG4" s="299"/>
      <c r="ICH4" s="299"/>
      <c r="ICI4" s="299"/>
      <c r="ICJ4" s="299"/>
      <c r="ICK4" s="299"/>
      <c r="ICL4" s="299"/>
      <c r="ICM4" s="299"/>
      <c r="ICN4" s="299"/>
      <c r="ICO4" s="299"/>
      <c r="ICP4" s="299"/>
      <c r="ICQ4" s="299"/>
      <c r="ICR4" s="299"/>
      <c r="ICS4" s="299"/>
      <c r="ICT4" s="299"/>
      <c r="ICU4" s="299"/>
      <c r="ICV4" s="299"/>
      <c r="ICW4" s="299"/>
      <c r="ICX4" s="299"/>
      <c r="ICY4" s="299"/>
      <c r="ICZ4" s="299"/>
      <c r="IDA4" s="299"/>
      <c r="IDB4" s="299"/>
      <c r="IDC4" s="299"/>
      <c r="IDD4" s="299"/>
      <c r="IDE4" s="299"/>
      <c r="IDF4" s="299"/>
      <c r="IDG4" s="299"/>
      <c r="IDH4" s="299"/>
      <c r="IDI4" s="299"/>
      <c r="IDJ4" s="299"/>
      <c r="IDK4" s="299"/>
      <c r="IDL4" s="299"/>
      <c r="IDM4" s="299"/>
      <c r="IDN4" s="299"/>
      <c r="IDO4" s="299"/>
      <c r="IDP4" s="299"/>
      <c r="IDQ4" s="299"/>
      <c r="IDR4" s="299"/>
      <c r="IDS4" s="299"/>
      <c r="IDT4" s="299"/>
      <c r="IDU4" s="299"/>
      <c r="IDV4" s="299"/>
      <c r="IDW4" s="299"/>
      <c r="IDX4" s="299"/>
      <c r="IDY4" s="299"/>
      <c r="IDZ4" s="299"/>
      <c r="IEA4" s="299"/>
      <c r="IEB4" s="299"/>
      <c r="IEC4" s="299"/>
      <c r="IED4" s="299"/>
      <c r="IEE4" s="299"/>
      <c r="IEF4" s="299"/>
      <c r="IEG4" s="299"/>
      <c r="IEH4" s="299"/>
      <c r="IEI4" s="299"/>
      <c r="IEJ4" s="299"/>
      <c r="IEK4" s="299"/>
      <c r="IEL4" s="299"/>
      <c r="IEM4" s="299"/>
      <c r="IEN4" s="299"/>
      <c r="IEO4" s="299"/>
      <c r="IEP4" s="299"/>
      <c r="IEQ4" s="299"/>
      <c r="IER4" s="299"/>
      <c r="IES4" s="299"/>
      <c r="IET4" s="299"/>
      <c r="IEU4" s="299"/>
      <c r="IEV4" s="299"/>
      <c r="IEW4" s="299"/>
      <c r="IEX4" s="299"/>
      <c r="IEY4" s="299"/>
      <c r="IEZ4" s="299"/>
      <c r="IFA4" s="299"/>
      <c r="IFB4" s="299"/>
      <c r="IFC4" s="299"/>
      <c r="IFD4" s="299"/>
      <c r="IFE4" s="299"/>
      <c r="IFF4" s="299"/>
      <c r="IFG4" s="299"/>
      <c r="IFH4" s="299"/>
      <c r="IFI4" s="299"/>
      <c r="IFJ4" s="299"/>
      <c r="IFK4" s="299"/>
      <c r="IFL4" s="299"/>
      <c r="IFM4" s="299"/>
      <c r="IFN4" s="299"/>
      <c r="IFO4" s="299"/>
      <c r="IFP4" s="299"/>
      <c r="IFQ4" s="299"/>
      <c r="IFR4" s="299"/>
      <c r="IFS4" s="299"/>
      <c r="IFT4" s="299"/>
      <c r="IFU4" s="299"/>
      <c r="IFV4" s="299"/>
      <c r="IFW4" s="299"/>
      <c r="IFX4" s="299"/>
      <c r="IFY4" s="299"/>
      <c r="IFZ4" s="299"/>
      <c r="IGA4" s="299"/>
      <c r="IGB4" s="299"/>
      <c r="IGC4" s="299"/>
      <c r="IGD4" s="299"/>
      <c r="IGE4" s="299"/>
      <c r="IGF4" s="299"/>
      <c r="IGG4" s="299"/>
      <c r="IGH4" s="299"/>
      <c r="IGI4" s="299"/>
      <c r="IGJ4" s="299"/>
      <c r="IGK4" s="299"/>
      <c r="IGL4" s="299"/>
      <c r="IGM4" s="299"/>
      <c r="IGN4" s="299"/>
      <c r="IGO4" s="299"/>
      <c r="IGP4" s="299"/>
      <c r="IGQ4" s="299"/>
      <c r="IGR4" s="299"/>
      <c r="IGS4" s="299"/>
      <c r="IGT4" s="299"/>
      <c r="IGU4" s="299"/>
      <c r="IGV4" s="299"/>
      <c r="IGW4" s="299"/>
      <c r="IGX4" s="299"/>
      <c r="IGY4" s="299"/>
      <c r="IGZ4" s="299"/>
      <c r="IHA4" s="299"/>
      <c r="IHB4" s="299"/>
      <c r="IHC4" s="299"/>
      <c r="IHD4" s="299"/>
      <c r="IHE4" s="299"/>
      <c r="IHF4" s="299"/>
      <c r="IHG4" s="299"/>
      <c r="IHH4" s="299"/>
      <c r="IHI4" s="299"/>
      <c r="IHJ4" s="299"/>
      <c r="IHK4" s="299"/>
      <c r="IHL4" s="299"/>
      <c r="IHM4" s="299"/>
      <c r="IHN4" s="299"/>
      <c r="IHO4" s="299"/>
      <c r="IHP4" s="299"/>
      <c r="IHQ4" s="299"/>
      <c r="IHR4" s="299"/>
      <c r="IHS4" s="299"/>
      <c r="IHT4" s="299"/>
      <c r="IHU4" s="299"/>
      <c r="IHV4" s="299"/>
      <c r="IHW4" s="299"/>
      <c r="IHX4" s="299"/>
      <c r="IHY4" s="299"/>
      <c r="IHZ4" s="299"/>
      <c r="IIA4" s="299"/>
      <c r="IIB4" s="299"/>
      <c r="IIC4" s="299"/>
      <c r="IID4" s="299"/>
      <c r="IIE4" s="299"/>
      <c r="IIF4" s="299"/>
      <c r="IIG4" s="299"/>
      <c r="IIH4" s="299"/>
      <c r="III4" s="299"/>
      <c r="IIJ4" s="299"/>
      <c r="IIK4" s="299"/>
      <c r="IIL4" s="299"/>
      <c r="IIM4" s="299"/>
      <c r="IIN4" s="299"/>
      <c r="IIO4" s="299"/>
      <c r="IIP4" s="299"/>
      <c r="IIQ4" s="299"/>
      <c r="IIR4" s="299"/>
      <c r="IIS4" s="299"/>
      <c r="IIT4" s="299"/>
      <c r="IIU4" s="299"/>
      <c r="IIV4" s="299"/>
      <c r="IIW4" s="299"/>
      <c r="IIX4" s="299"/>
      <c r="IIY4" s="299"/>
      <c r="IIZ4" s="299"/>
      <c r="IJA4" s="299"/>
      <c r="IJB4" s="299"/>
      <c r="IJC4" s="299"/>
      <c r="IJD4" s="299"/>
      <c r="IJE4" s="299"/>
      <c r="IJF4" s="299"/>
      <c r="IJG4" s="299"/>
      <c r="IJH4" s="299"/>
      <c r="IJI4" s="299"/>
      <c r="IJJ4" s="299"/>
      <c r="IJK4" s="299"/>
      <c r="IJL4" s="299"/>
      <c r="IJM4" s="299"/>
      <c r="IJN4" s="299"/>
      <c r="IJO4" s="299"/>
      <c r="IJP4" s="299"/>
      <c r="IJQ4" s="299"/>
      <c r="IJR4" s="299"/>
      <c r="IJS4" s="299"/>
      <c r="IJT4" s="299"/>
      <c r="IJU4" s="299"/>
      <c r="IJV4" s="299"/>
      <c r="IJW4" s="299"/>
      <c r="IJX4" s="299"/>
      <c r="IJY4" s="299"/>
      <c r="IJZ4" s="299"/>
      <c r="IKA4" s="299"/>
      <c r="IKB4" s="299"/>
      <c r="IKC4" s="299"/>
      <c r="IKD4" s="299"/>
      <c r="IKE4" s="299"/>
      <c r="IKF4" s="299"/>
      <c r="IKG4" s="299"/>
      <c r="IKH4" s="299"/>
      <c r="IKI4" s="299"/>
      <c r="IKJ4" s="299"/>
      <c r="IKK4" s="299"/>
      <c r="IKL4" s="299"/>
      <c r="IKM4" s="299"/>
      <c r="IKN4" s="299"/>
      <c r="IKO4" s="299"/>
      <c r="IKP4" s="299"/>
      <c r="IKQ4" s="299"/>
      <c r="IKR4" s="299"/>
      <c r="IKS4" s="299"/>
      <c r="IKT4" s="299"/>
      <c r="IKU4" s="299"/>
      <c r="IKV4" s="299"/>
      <c r="IKW4" s="299"/>
      <c r="IKX4" s="299"/>
      <c r="IKY4" s="299"/>
      <c r="IKZ4" s="299"/>
      <c r="ILA4" s="299"/>
      <c r="ILB4" s="299"/>
      <c r="ILC4" s="299"/>
      <c r="ILD4" s="299"/>
      <c r="ILE4" s="299"/>
      <c r="ILF4" s="299"/>
      <c r="ILG4" s="299"/>
      <c r="ILH4" s="299"/>
      <c r="ILI4" s="299"/>
      <c r="ILJ4" s="299"/>
      <c r="ILK4" s="299"/>
      <c r="ILL4" s="299"/>
      <c r="ILM4" s="299"/>
      <c r="ILN4" s="299"/>
      <c r="ILO4" s="299"/>
      <c r="ILP4" s="299"/>
      <c r="ILQ4" s="299"/>
      <c r="ILR4" s="299"/>
      <c r="ILS4" s="299"/>
      <c r="ILT4" s="299"/>
      <c r="ILU4" s="299"/>
      <c r="ILV4" s="299"/>
      <c r="ILW4" s="299"/>
      <c r="ILX4" s="299"/>
      <c r="ILY4" s="299"/>
      <c r="ILZ4" s="299"/>
      <c r="IMA4" s="299"/>
      <c r="IMB4" s="299"/>
      <c r="IMC4" s="299"/>
      <c r="IMD4" s="299"/>
      <c r="IME4" s="299"/>
      <c r="IMF4" s="299"/>
      <c r="IMG4" s="299"/>
      <c r="IMH4" s="299"/>
      <c r="IMI4" s="299"/>
      <c r="IMJ4" s="299"/>
      <c r="IMK4" s="299"/>
      <c r="IML4" s="299"/>
      <c r="IMM4" s="299"/>
      <c r="IMN4" s="299"/>
      <c r="IMO4" s="299"/>
      <c r="IMP4" s="299"/>
      <c r="IMQ4" s="299"/>
      <c r="IMR4" s="299"/>
      <c r="IMS4" s="299"/>
      <c r="IMT4" s="299"/>
      <c r="IMU4" s="299"/>
      <c r="IMV4" s="299"/>
      <c r="IMW4" s="299"/>
      <c r="IMX4" s="299"/>
      <c r="IMY4" s="299"/>
      <c r="IMZ4" s="299"/>
      <c r="INA4" s="299"/>
      <c r="INB4" s="299"/>
      <c r="INC4" s="299"/>
      <c r="IND4" s="299"/>
      <c r="INE4" s="299"/>
      <c r="INF4" s="299"/>
      <c r="ING4" s="299"/>
      <c r="INH4" s="299"/>
      <c r="INI4" s="299"/>
      <c r="INJ4" s="299"/>
      <c r="INK4" s="299"/>
      <c r="INL4" s="299"/>
      <c r="INM4" s="299"/>
      <c r="INN4" s="299"/>
      <c r="INO4" s="299"/>
      <c r="INP4" s="299"/>
      <c r="INQ4" s="299"/>
      <c r="INR4" s="299"/>
      <c r="INS4" s="299"/>
      <c r="INT4" s="299"/>
      <c r="INU4" s="299"/>
      <c r="INV4" s="299"/>
      <c r="INW4" s="299"/>
      <c r="INX4" s="299"/>
      <c r="INY4" s="299"/>
      <c r="INZ4" s="299"/>
      <c r="IOA4" s="299"/>
      <c r="IOB4" s="299"/>
      <c r="IOC4" s="299"/>
      <c r="IOD4" s="299"/>
      <c r="IOE4" s="299"/>
      <c r="IOF4" s="299"/>
      <c r="IOG4" s="299"/>
      <c r="IOH4" s="299"/>
      <c r="IOI4" s="299"/>
      <c r="IOJ4" s="299"/>
      <c r="IOK4" s="299"/>
      <c r="IOL4" s="299"/>
      <c r="IOM4" s="299"/>
      <c r="ION4" s="299"/>
      <c r="IOO4" s="299"/>
      <c r="IOP4" s="299"/>
      <c r="IOQ4" s="299"/>
      <c r="IOR4" s="299"/>
      <c r="IOS4" s="299"/>
      <c r="IOT4" s="299"/>
      <c r="IOU4" s="299"/>
      <c r="IOV4" s="299"/>
      <c r="IOW4" s="299"/>
      <c r="IOX4" s="299"/>
      <c r="IOY4" s="299"/>
      <c r="IOZ4" s="299"/>
      <c r="IPA4" s="299"/>
      <c r="IPB4" s="299"/>
      <c r="IPC4" s="299"/>
      <c r="IPD4" s="299"/>
      <c r="IPE4" s="299"/>
      <c r="IPF4" s="299"/>
      <c r="IPG4" s="299"/>
      <c r="IPH4" s="299"/>
      <c r="IPI4" s="299"/>
      <c r="IPJ4" s="299"/>
      <c r="IPK4" s="299"/>
      <c r="IPL4" s="299"/>
      <c r="IPM4" s="299"/>
      <c r="IPN4" s="299"/>
      <c r="IPO4" s="299"/>
      <c r="IPP4" s="299"/>
      <c r="IPQ4" s="299"/>
      <c r="IPR4" s="299"/>
      <c r="IPS4" s="299"/>
      <c r="IPT4" s="299"/>
      <c r="IPU4" s="299"/>
      <c r="IPV4" s="299"/>
      <c r="IPW4" s="299"/>
      <c r="IPX4" s="299"/>
      <c r="IPY4" s="299"/>
      <c r="IPZ4" s="299"/>
      <c r="IQA4" s="299"/>
      <c r="IQB4" s="299"/>
      <c r="IQC4" s="299"/>
      <c r="IQD4" s="299"/>
      <c r="IQE4" s="299"/>
      <c r="IQF4" s="299"/>
      <c r="IQG4" s="299"/>
      <c r="IQH4" s="299"/>
      <c r="IQI4" s="299"/>
      <c r="IQJ4" s="299"/>
      <c r="IQK4" s="299"/>
      <c r="IQL4" s="299"/>
      <c r="IQM4" s="299"/>
      <c r="IQN4" s="299"/>
      <c r="IQO4" s="299"/>
      <c r="IQP4" s="299"/>
      <c r="IQQ4" s="299"/>
      <c r="IQR4" s="299"/>
      <c r="IQS4" s="299"/>
      <c r="IQT4" s="299"/>
      <c r="IQU4" s="299"/>
      <c r="IQV4" s="299"/>
      <c r="IQW4" s="299"/>
      <c r="IQX4" s="299"/>
      <c r="IQY4" s="299"/>
      <c r="IQZ4" s="299"/>
      <c r="IRA4" s="299"/>
      <c r="IRB4" s="299"/>
      <c r="IRC4" s="299"/>
      <c r="IRD4" s="299"/>
      <c r="IRE4" s="299"/>
      <c r="IRF4" s="299"/>
      <c r="IRG4" s="299"/>
      <c r="IRH4" s="299"/>
      <c r="IRI4" s="299"/>
      <c r="IRJ4" s="299"/>
      <c r="IRK4" s="299"/>
      <c r="IRL4" s="299"/>
      <c r="IRM4" s="299"/>
      <c r="IRN4" s="299"/>
      <c r="IRO4" s="299"/>
      <c r="IRP4" s="299"/>
      <c r="IRQ4" s="299"/>
      <c r="IRR4" s="299"/>
      <c r="IRS4" s="299"/>
      <c r="IRT4" s="299"/>
      <c r="IRU4" s="299"/>
      <c r="IRV4" s="299"/>
      <c r="IRW4" s="299"/>
      <c r="IRX4" s="299"/>
      <c r="IRY4" s="299"/>
      <c r="IRZ4" s="299"/>
      <c r="ISA4" s="299"/>
      <c r="ISB4" s="299"/>
      <c r="ISC4" s="299"/>
      <c r="ISD4" s="299"/>
      <c r="ISE4" s="299"/>
      <c r="ISF4" s="299"/>
      <c r="ISG4" s="299"/>
      <c r="ISH4" s="299"/>
      <c r="ISI4" s="299"/>
      <c r="ISJ4" s="299"/>
      <c r="ISK4" s="299"/>
      <c r="ISL4" s="299"/>
      <c r="ISM4" s="299"/>
      <c r="ISN4" s="299"/>
      <c r="ISO4" s="299"/>
      <c r="ISP4" s="299"/>
      <c r="ISQ4" s="299"/>
      <c r="ISR4" s="299"/>
      <c r="ISS4" s="299"/>
      <c r="IST4" s="299"/>
      <c r="ISU4" s="299"/>
      <c r="ISV4" s="299"/>
      <c r="ISW4" s="299"/>
      <c r="ISX4" s="299"/>
      <c r="ISY4" s="299"/>
      <c r="ISZ4" s="299"/>
      <c r="ITA4" s="299"/>
      <c r="ITB4" s="299"/>
      <c r="ITC4" s="299"/>
      <c r="ITD4" s="299"/>
      <c r="ITE4" s="299"/>
      <c r="ITF4" s="299"/>
      <c r="ITG4" s="299"/>
      <c r="ITH4" s="299"/>
      <c r="ITI4" s="299"/>
      <c r="ITJ4" s="299"/>
      <c r="ITK4" s="299"/>
      <c r="ITL4" s="299"/>
      <c r="ITM4" s="299"/>
      <c r="ITN4" s="299"/>
      <c r="ITO4" s="299"/>
      <c r="ITP4" s="299"/>
      <c r="ITQ4" s="299"/>
      <c r="ITR4" s="299"/>
      <c r="ITS4" s="299"/>
      <c r="ITT4" s="299"/>
      <c r="ITU4" s="299"/>
      <c r="ITV4" s="299"/>
      <c r="ITW4" s="299"/>
      <c r="ITX4" s="299"/>
      <c r="ITY4" s="299"/>
      <c r="ITZ4" s="299"/>
      <c r="IUA4" s="299"/>
      <c r="IUB4" s="299"/>
      <c r="IUC4" s="299"/>
      <c r="IUD4" s="299"/>
      <c r="IUE4" s="299"/>
      <c r="IUF4" s="299"/>
      <c r="IUG4" s="299"/>
      <c r="IUH4" s="299"/>
      <c r="IUI4" s="299"/>
      <c r="IUJ4" s="299"/>
      <c r="IUK4" s="299"/>
      <c r="IUL4" s="299"/>
      <c r="IUM4" s="299"/>
      <c r="IUN4" s="299"/>
      <c r="IUO4" s="299"/>
      <c r="IUP4" s="299"/>
      <c r="IUQ4" s="299"/>
      <c r="IUR4" s="299"/>
      <c r="IUS4" s="299"/>
      <c r="IUT4" s="299"/>
      <c r="IUU4" s="299"/>
      <c r="IUV4" s="299"/>
      <c r="IUW4" s="299"/>
      <c r="IUX4" s="299"/>
      <c r="IUY4" s="299"/>
      <c r="IUZ4" s="299"/>
      <c r="IVA4" s="299"/>
      <c r="IVB4" s="299"/>
      <c r="IVC4" s="299"/>
      <c r="IVD4" s="299"/>
      <c r="IVE4" s="299"/>
      <c r="IVF4" s="299"/>
      <c r="IVG4" s="299"/>
      <c r="IVH4" s="299"/>
      <c r="IVI4" s="299"/>
      <c r="IVJ4" s="299"/>
      <c r="IVK4" s="299"/>
      <c r="IVL4" s="299"/>
      <c r="IVM4" s="299"/>
      <c r="IVN4" s="299"/>
      <c r="IVO4" s="299"/>
      <c r="IVP4" s="299"/>
      <c r="IVQ4" s="299"/>
      <c r="IVR4" s="299"/>
      <c r="IVS4" s="299"/>
      <c r="IVT4" s="299"/>
      <c r="IVU4" s="299"/>
      <c r="IVV4" s="299"/>
      <c r="IVW4" s="299"/>
      <c r="IVX4" s="299"/>
      <c r="IVY4" s="299"/>
      <c r="IVZ4" s="299"/>
      <c r="IWA4" s="299"/>
      <c r="IWB4" s="299"/>
      <c r="IWC4" s="299"/>
      <c r="IWD4" s="299"/>
      <c r="IWE4" s="299"/>
      <c r="IWF4" s="299"/>
      <c r="IWG4" s="299"/>
      <c r="IWH4" s="299"/>
      <c r="IWI4" s="299"/>
      <c r="IWJ4" s="299"/>
      <c r="IWK4" s="299"/>
      <c r="IWL4" s="299"/>
      <c r="IWM4" s="299"/>
      <c r="IWN4" s="299"/>
      <c r="IWO4" s="299"/>
      <c r="IWP4" s="299"/>
      <c r="IWQ4" s="299"/>
      <c r="IWR4" s="299"/>
      <c r="IWS4" s="299"/>
      <c r="IWT4" s="299"/>
      <c r="IWU4" s="299"/>
      <c r="IWV4" s="299"/>
      <c r="IWW4" s="299"/>
      <c r="IWX4" s="299"/>
      <c r="IWY4" s="299"/>
      <c r="IWZ4" s="299"/>
      <c r="IXA4" s="299"/>
      <c r="IXB4" s="299"/>
      <c r="IXC4" s="299"/>
      <c r="IXD4" s="299"/>
      <c r="IXE4" s="299"/>
      <c r="IXF4" s="299"/>
      <c r="IXG4" s="299"/>
      <c r="IXH4" s="299"/>
      <c r="IXI4" s="299"/>
      <c r="IXJ4" s="299"/>
      <c r="IXK4" s="299"/>
      <c r="IXL4" s="299"/>
      <c r="IXM4" s="299"/>
      <c r="IXN4" s="299"/>
      <c r="IXO4" s="299"/>
      <c r="IXP4" s="299"/>
      <c r="IXQ4" s="299"/>
      <c r="IXR4" s="299"/>
      <c r="IXS4" s="299"/>
      <c r="IXT4" s="299"/>
      <c r="IXU4" s="299"/>
      <c r="IXV4" s="299"/>
      <c r="IXW4" s="299"/>
      <c r="IXX4" s="299"/>
      <c r="IXY4" s="299"/>
      <c r="IXZ4" s="299"/>
      <c r="IYA4" s="299"/>
      <c r="IYB4" s="299"/>
      <c r="IYC4" s="299"/>
      <c r="IYD4" s="299"/>
      <c r="IYE4" s="299"/>
      <c r="IYF4" s="299"/>
      <c r="IYG4" s="299"/>
      <c r="IYH4" s="299"/>
      <c r="IYI4" s="299"/>
      <c r="IYJ4" s="299"/>
      <c r="IYK4" s="299"/>
      <c r="IYL4" s="299"/>
      <c r="IYM4" s="299"/>
      <c r="IYN4" s="299"/>
      <c r="IYO4" s="299"/>
      <c r="IYP4" s="299"/>
      <c r="IYQ4" s="299"/>
      <c r="IYR4" s="299"/>
      <c r="IYS4" s="299"/>
      <c r="IYT4" s="299"/>
      <c r="IYU4" s="299"/>
      <c r="IYV4" s="299"/>
      <c r="IYW4" s="299"/>
      <c r="IYX4" s="299"/>
      <c r="IYY4" s="299"/>
      <c r="IYZ4" s="299"/>
      <c r="IZA4" s="299"/>
      <c r="IZB4" s="299"/>
      <c r="IZC4" s="299"/>
      <c r="IZD4" s="299"/>
      <c r="IZE4" s="299"/>
      <c r="IZF4" s="299"/>
      <c r="IZG4" s="299"/>
      <c r="IZH4" s="299"/>
      <c r="IZI4" s="299"/>
      <c r="IZJ4" s="299"/>
      <c r="IZK4" s="299"/>
      <c r="IZL4" s="299"/>
      <c r="IZM4" s="299"/>
      <c r="IZN4" s="299"/>
      <c r="IZO4" s="299"/>
      <c r="IZP4" s="299"/>
      <c r="IZQ4" s="299"/>
      <c r="IZR4" s="299"/>
      <c r="IZS4" s="299"/>
      <c r="IZT4" s="299"/>
      <c r="IZU4" s="299"/>
      <c r="IZV4" s="299"/>
      <c r="IZW4" s="299"/>
      <c r="IZX4" s="299"/>
      <c r="IZY4" s="299"/>
      <c r="IZZ4" s="299"/>
      <c r="JAA4" s="299"/>
      <c r="JAB4" s="299"/>
      <c r="JAC4" s="299"/>
      <c r="JAD4" s="299"/>
      <c r="JAE4" s="299"/>
      <c r="JAF4" s="299"/>
      <c r="JAG4" s="299"/>
      <c r="JAH4" s="299"/>
      <c r="JAI4" s="299"/>
      <c r="JAJ4" s="299"/>
      <c r="JAK4" s="299"/>
      <c r="JAL4" s="299"/>
      <c r="JAM4" s="299"/>
      <c r="JAN4" s="299"/>
      <c r="JAO4" s="299"/>
      <c r="JAP4" s="299"/>
      <c r="JAQ4" s="299"/>
      <c r="JAR4" s="299"/>
      <c r="JAS4" s="299"/>
      <c r="JAT4" s="299"/>
      <c r="JAU4" s="299"/>
      <c r="JAV4" s="299"/>
      <c r="JAW4" s="299"/>
      <c r="JAX4" s="299"/>
      <c r="JAY4" s="299"/>
      <c r="JAZ4" s="299"/>
      <c r="JBA4" s="299"/>
      <c r="JBB4" s="299"/>
      <c r="JBC4" s="299"/>
      <c r="JBD4" s="299"/>
      <c r="JBE4" s="299"/>
      <c r="JBF4" s="299"/>
      <c r="JBG4" s="299"/>
      <c r="JBH4" s="299"/>
      <c r="JBI4" s="299"/>
      <c r="JBJ4" s="299"/>
      <c r="JBK4" s="299"/>
      <c r="JBL4" s="299"/>
      <c r="JBM4" s="299"/>
      <c r="JBN4" s="299"/>
      <c r="JBO4" s="299"/>
      <c r="JBP4" s="299"/>
      <c r="JBQ4" s="299"/>
      <c r="JBR4" s="299"/>
      <c r="JBS4" s="299"/>
      <c r="JBT4" s="299"/>
      <c r="JBU4" s="299"/>
      <c r="JBV4" s="299"/>
      <c r="JBW4" s="299"/>
      <c r="JBX4" s="299"/>
      <c r="JBY4" s="299"/>
      <c r="JBZ4" s="299"/>
      <c r="JCA4" s="299"/>
      <c r="JCB4" s="299"/>
      <c r="JCC4" s="299"/>
      <c r="JCD4" s="299"/>
      <c r="JCE4" s="299"/>
      <c r="JCF4" s="299"/>
      <c r="JCG4" s="299"/>
      <c r="JCH4" s="299"/>
      <c r="JCI4" s="299"/>
      <c r="JCJ4" s="299"/>
      <c r="JCK4" s="299"/>
      <c r="JCL4" s="299"/>
      <c r="JCM4" s="299"/>
      <c r="JCN4" s="299"/>
      <c r="JCO4" s="299"/>
      <c r="JCP4" s="299"/>
      <c r="JCQ4" s="299"/>
      <c r="JCR4" s="299"/>
      <c r="JCS4" s="299"/>
      <c r="JCT4" s="299"/>
      <c r="JCU4" s="299"/>
      <c r="JCV4" s="299"/>
      <c r="JCW4" s="299"/>
      <c r="JCX4" s="299"/>
      <c r="JCY4" s="299"/>
      <c r="JCZ4" s="299"/>
      <c r="JDA4" s="299"/>
      <c r="JDB4" s="299"/>
      <c r="JDC4" s="299"/>
      <c r="JDD4" s="299"/>
      <c r="JDE4" s="299"/>
      <c r="JDF4" s="299"/>
      <c r="JDG4" s="299"/>
      <c r="JDH4" s="299"/>
      <c r="JDI4" s="299"/>
      <c r="JDJ4" s="299"/>
      <c r="JDK4" s="299"/>
      <c r="JDL4" s="299"/>
      <c r="JDM4" s="299"/>
      <c r="JDN4" s="299"/>
      <c r="JDO4" s="299"/>
      <c r="JDP4" s="299"/>
      <c r="JDQ4" s="299"/>
      <c r="JDR4" s="299"/>
      <c r="JDS4" s="299"/>
      <c r="JDT4" s="299"/>
      <c r="JDU4" s="299"/>
      <c r="JDV4" s="299"/>
      <c r="JDW4" s="299"/>
      <c r="JDX4" s="299"/>
      <c r="JDY4" s="299"/>
      <c r="JDZ4" s="299"/>
      <c r="JEA4" s="299"/>
      <c r="JEB4" s="299"/>
      <c r="JEC4" s="299"/>
      <c r="JED4" s="299"/>
      <c r="JEE4" s="299"/>
      <c r="JEF4" s="299"/>
      <c r="JEG4" s="299"/>
      <c r="JEH4" s="299"/>
      <c r="JEI4" s="299"/>
      <c r="JEJ4" s="299"/>
      <c r="JEK4" s="299"/>
      <c r="JEL4" s="299"/>
      <c r="JEM4" s="299"/>
      <c r="JEN4" s="299"/>
      <c r="JEO4" s="299"/>
      <c r="JEP4" s="299"/>
      <c r="JEQ4" s="299"/>
      <c r="JER4" s="299"/>
      <c r="JES4" s="299"/>
      <c r="JET4" s="299"/>
      <c r="JEU4" s="299"/>
      <c r="JEV4" s="299"/>
      <c r="JEW4" s="299"/>
      <c r="JEX4" s="299"/>
      <c r="JEY4" s="299"/>
      <c r="JEZ4" s="299"/>
      <c r="JFA4" s="299"/>
      <c r="JFB4" s="299"/>
      <c r="JFC4" s="299"/>
      <c r="JFD4" s="299"/>
      <c r="JFE4" s="299"/>
      <c r="JFF4" s="299"/>
      <c r="JFG4" s="299"/>
      <c r="JFH4" s="299"/>
      <c r="JFI4" s="299"/>
      <c r="JFJ4" s="299"/>
      <c r="JFK4" s="299"/>
      <c r="JFL4" s="299"/>
      <c r="JFM4" s="299"/>
      <c r="JFN4" s="299"/>
      <c r="JFO4" s="299"/>
      <c r="JFP4" s="299"/>
      <c r="JFQ4" s="299"/>
      <c r="JFR4" s="299"/>
      <c r="JFS4" s="299"/>
      <c r="JFT4" s="299"/>
      <c r="JFU4" s="299"/>
      <c r="JFV4" s="299"/>
      <c r="JFW4" s="299"/>
      <c r="JFX4" s="299"/>
      <c r="JFY4" s="299"/>
      <c r="JFZ4" s="299"/>
      <c r="JGA4" s="299"/>
      <c r="JGB4" s="299"/>
      <c r="JGC4" s="299"/>
      <c r="JGD4" s="299"/>
      <c r="JGE4" s="299"/>
      <c r="JGF4" s="299"/>
      <c r="JGG4" s="299"/>
      <c r="JGH4" s="299"/>
      <c r="JGI4" s="299"/>
      <c r="JGJ4" s="299"/>
      <c r="JGK4" s="299"/>
      <c r="JGL4" s="299"/>
      <c r="JGM4" s="299"/>
      <c r="JGN4" s="299"/>
      <c r="JGO4" s="299"/>
      <c r="JGP4" s="299"/>
      <c r="JGQ4" s="299"/>
      <c r="JGR4" s="299"/>
      <c r="JGS4" s="299"/>
      <c r="JGT4" s="299"/>
      <c r="JGU4" s="299"/>
      <c r="JGV4" s="299"/>
      <c r="JGW4" s="299"/>
      <c r="JGX4" s="299"/>
      <c r="JGY4" s="299"/>
      <c r="JGZ4" s="299"/>
      <c r="JHA4" s="299"/>
      <c r="JHB4" s="299"/>
      <c r="JHC4" s="299"/>
      <c r="JHD4" s="299"/>
      <c r="JHE4" s="299"/>
      <c r="JHF4" s="299"/>
      <c r="JHG4" s="299"/>
      <c r="JHH4" s="299"/>
      <c r="JHI4" s="299"/>
      <c r="JHJ4" s="299"/>
      <c r="JHK4" s="299"/>
      <c r="JHL4" s="299"/>
      <c r="JHM4" s="299"/>
      <c r="JHN4" s="299"/>
      <c r="JHO4" s="299"/>
      <c r="JHP4" s="299"/>
      <c r="JHQ4" s="299"/>
      <c r="JHR4" s="299"/>
      <c r="JHS4" s="299"/>
      <c r="JHT4" s="299"/>
      <c r="JHU4" s="299"/>
      <c r="JHV4" s="299"/>
      <c r="JHW4" s="299"/>
      <c r="JHX4" s="299"/>
      <c r="JHY4" s="299"/>
      <c r="JHZ4" s="299"/>
      <c r="JIA4" s="299"/>
      <c r="JIB4" s="299"/>
      <c r="JIC4" s="299"/>
      <c r="JID4" s="299"/>
      <c r="JIE4" s="299"/>
      <c r="JIF4" s="299"/>
      <c r="JIG4" s="299"/>
      <c r="JIH4" s="299"/>
      <c r="JII4" s="299"/>
      <c r="JIJ4" s="299"/>
      <c r="JIK4" s="299"/>
      <c r="JIL4" s="299"/>
      <c r="JIM4" s="299"/>
      <c r="JIN4" s="299"/>
      <c r="JIO4" s="299"/>
      <c r="JIP4" s="299"/>
      <c r="JIQ4" s="299"/>
      <c r="JIR4" s="299"/>
      <c r="JIS4" s="299"/>
      <c r="JIT4" s="299"/>
      <c r="JIU4" s="299"/>
      <c r="JIV4" s="299"/>
      <c r="JIW4" s="299"/>
      <c r="JIX4" s="299"/>
      <c r="JIY4" s="299"/>
      <c r="JIZ4" s="299"/>
      <c r="JJA4" s="299"/>
      <c r="JJB4" s="299"/>
      <c r="JJC4" s="299"/>
      <c r="JJD4" s="299"/>
      <c r="JJE4" s="299"/>
      <c r="JJF4" s="299"/>
      <c r="JJG4" s="299"/>
      <c r="JJH4" s="299"/>
      <c r="JJI4" s="299"/>
      <c r="JJJ4" s="299"/>
      <c r="JJK4" s="299"/>
      <c r="JJL4" s="299"/>
      <c r="JJM4" s="299"/>
      <c r="JJN4" s="299"/>
      <c r="JJO4" s="299"/>
      <c r="JJP4" s="299"/>
      <c r="JJQ4" s="299"/>
      <c r="JJR4" s="299"/>
      <c r="JJS4" s="299"/>
      <c r="JJT4" s="299"/>
      <c r="JJU4" s="299"/>
      <c r="JJV4" s="299"/>
      <c r="JJW4" s="299"/>
      <c r="JJX4" s="299"/>
      <c r="JJY4" s="299"/>
      <c r="JJZ4" s="299"/>
      <c r="JKA4" s="299"/>
      <c r="JKB4" s="299"/>
      <c r="JKC4" s="299"/>
      <c r="JKD4" s="299"/>
      <c r="JKE4" s="299"/>
      <c r="JKF4" s="299"/>
      <c r="JKG4" s="299"/>
      <c r="JKH4" s="299"/>
      <c r="JKI4" s="299"/>
      <c r="JKJ4" s="299"/>
      <c r="JKK4" s="299"/>
      <c r="JKL4" s="299"/>
      <c r="JKM4" s="299"/>
      <c r="JKN4" s="299"/>
      <c r="JKO4" s="299"/>
      <c r="JKP4" s="299"/>
      <c r="JKQ4" s="299"/>
      <c r="JKR4" s="299"/>
      <c r="JKS4" s="299"/>
      <c r="JKT4" s="299"/>
      <c r="JKU4" s="299"/>
      <c r="JKV4" s="299"/>
      <c r="JKW4" s="299"/>
      <c r="JKX4" s="299"/>
      <c r="JKY4" s="299"/>
      <c r="JKZ4" s="299"/>
      <c r="JLA4" s="299"/>
      <c r="JLB4" s="299"/>
      <c r="JLC4" s="299"/>
      <c r="JLD4" s="299"/>
      <c r="JLE4" s="299"/>
      <c r="JLF4" s="299"/>
      <c r="JLG4" s="299"/>
      <c r="JLH4" s="299"/>
      <c r="JLI4" s="299"/>
      <c r="JLJ4" s="299"/>
      <c r="JLK4" s="299"/>
      <c r="JLL4" s="299"/>
      <c r="JLM4" s="299"/>
      <c r="JLN4" s="299"/>
      <c r="JLO4" s="299"/>
      <c r="JLP4" s="299"/>
      <c r="JLQ4" s="299"/>
      <c r="JLR4" s="299"/>
      <c r="JLS4" s="299"/>
      <c r="JLT4" s="299"/>
      <c r="JLU4" s="299"/>
      <c r="JLV4" s="299"/>
      <c r="JLW4" s="299"/>
      <c r="JLX4" s="299"/>
      <c r="JLY4" s="299"/>
      <c r="JLZ4" s="299"/>
      <c r="JMA4" s="299"/>
      <c r="JMB4" s="299"/>
      <c r="JMC4" s="299"/>
      <c r="JMD4" s="299"/>
      <c r="JME4" s="299"/>
      <c r="JMF4" s="299"/>
      <c r="JMG4" s="299"/>
      <c r="JMH4" s="299"/>
      <c r="JMI4" s="299"/>
      <c r="JMJ4" s="299"/>
      <c r="JMK4" s="299"/>
      <c r="JML4" s="299"/>
      <c r="JMM4" s="299"/>
      <c r="JMN4" s="299"/>
      <c r="JMO4" s="299"/>
      <c r="JMP4" s="299"/>
      <c r="JMQ4" s="299"/>
      <c r="JMR4" s="299"/>
      <c r="JMS4" s="299"/>
      <c r="JMT4" s="299"/>
      <c r="JMU4" s="299"/>
      <c r="JMV4" s="299"/>
      <c r="JMW4" s="299"/>
      <c r="JMX4" s="299"/>
      <c r="JMY4" s="299"/>
      <c r="JMZ4" s="299"/>
      <c r="JNA4" s="299"/>
      <c r="JNB4" s="299"/>
      <c r="JNC4" s="299"/>
      <c r="JND4" s="299"/>
      <c r="JNE4" s="299"/>
      <c r="JNF4" s="299"/>
      <c r="JNG4" s="299"/>
      <c r="JNH4" s="299"/>
      <c r="JNI4" s="299"/>
      <c r="JNJ4" s="299"/>
      <c r="JNK4" s="299"/>
      <c r="JNL4" s="299"/>
      <c r="JNM4" s="299"/>
      <c r="JNN4" s="299"/>
      <c r="JNO4" s="299"/>
      <c r="JNP4" s="299"/>
      <c r="JNQ4" s="299"/>
      <c r="JNR4" s="299"/>
      <c r="JNS4" s="299"/>
      <c r="JNT4" s="299"/>
      <c r="JNU4" s="299"/>
      <c r="JNV4" s="299"/>
      <c r="JNW4" s="299"/>
      <c r="JNX4" s="299"/>
      <c r="JNY4" s="299"/>
      <c r="JNZ4" s="299"/>
      <c r="JOA4" s="299"/>
      <c r="JOB4" s="299"/>
      <c r="JOC4" s="299"/>
      <c r="JOD4" s="299"/>
      <c r="JOE4" s="299"/>
      <c r="JOF4" s="299"/>
      <c r="JOG4" s="299"/>
      <c r="JOH4" s="299"/>
      <c r="JOI4" s="299"/>
      <c r="JOJ4" s="299"/>
      <c r="JOK4" s="299"/>
      <c r="JOL4" s="299"/>
      <c r="JOM4" s="299"/>
      <c r="JON4" s="299"/>
      <c r="JOO4" s="299"/>
      <c r="JOP4" s="299"/>
      <c r="JOQ4" s="299"/>
      <c r="JOR4" s="299"/>
      <c r="JOS4" s="299"/>
      <c r="JOT4" s="299"/>
      <c r="JOU4" s="299"/>
      <c r="JOV4" s="299"/>
      <c r="JOW4" s="299"/>
      <c r="JOX4" s="299"/>
      <c r="JOY4" s="299"/>
      <c r="JOZ4" s="299"/>
      <c r="JPA4" s="299"/>
      <c r="JPB4" s="299"/>
      <c r="JPC4" s="299"/>
      <c r="JPD4" s="299"/>
      <c r="JPE4" s="299"/>
      <c r="JPF4" s="299"/>
      <c r="JPG4" s="299"/>
      <c r="JPH4" s="299"/>
      <c r="JPI4" s="299"/>
      <c r="JPJ4" s="299"/>
      <c r="JPK4" s="299"/>
      <c r="JPL4" s="299"/>
      <c r="JPM4" s="299"/>
      <c r="JPN4" s="299"/>
      <c r="JPO4" s="299"/>
      <c r="JPP4" s="299"/>
      <c r="JPQ4" s="299"/>
      <c r="JPR4" s="299"/>
      <c r="JPS4" s="299"/>
      <c r="JPT4" s="299"/>
      <c r="JPU4" s="299"/>
      <c r="JPV4" s="299"/>
      <c r="JPW4" s="299"/>
      <c r="JPX4" s="299"/>
      <c r="JPY4" s="299"/>
      <c r="JPZ4" s="299"/>
      <c r="JQA4" s="299"/>
      <c r="JQB4" s="299"/>
      <c r="JQC4" s="299"/>
      <c r="JQD4" s="299"/>
      <c r="JQE4" s="299"/>
      <c r="JQF4" s="299"/>
      <c r="JQG4" s="299"/>
      <c r="JQH4" s="299"/>
      <c r="JQI4" s="299"/>
      <c r="JQJ4" s="299"/>
      <c r="JQK4" s="299"/>
      <c r="JQL4" s="299"/>
      <c r="JQM4" s="299"/>
      <c r="JQN4" s="299"/>
      <c r="JQO4" s="299"/>
      <c r="JQP4" s="299"/>
      <c r="JQQ4" s="299"/>
      <c r="JQR4" s="299"/>
      <c r="JQS4" s="299"/>
      <c r="JQT4" s="299"/>
      <c r="JQU4" s="299"/>
      <c r="JQV4" s="299"/>
      <c r="JQW4" s="299"/>
      <c r="JQX4" s="299"/>
      <c r="JQY4" s="299"/>
      <c r="JQZ4" s="299"/>
      <c r="JRA4" s="299"/>
      <c r="JRB4" s="299"/>
      <c r="JRC4" s="299"/>
      <c r="JRD4" s="299"/>
      <c r="JRE4" s="299"/>
      <c r="JRF4" s="299"/>
      <c r="JRG4" s="299"/>
      <c r="JRH4" s="299"/>
      <c r="JRI4" s="299"/>
      <c r="JRJ4" s="299"/>
      <c r="JRK4" s="299"/>
      <c r="JRL4" s="299"/>
      <c r="JRM4" s="299"/>
      <c r="JRN4" s="299"/>
      <c r="JRO4" s="299"/>
      <c r="JRP4" s="299"/>
      <c r="JRQ4" s="299"/>
      <c r="JRR4" s="299"/>
      <c r="JRS4" s="299"/>
      <c r="JRT4" s="299"/>
      <c r="JRU4" s="299"/>
      <c r="JRV4" s="299"/>
      <c r="JRW4" s="299"/>
      <c r="JRX4" s="299"/>
      <c r="JRY4" s="299"/>
      <c r="JRZ4" s="299"/>
      <c r="JSA4" s="299"/>
      <c r="JSB4" s="299"/>
      <c r="JSC4" s="299"/>
      <c r="JSD4" s="299"/>
      <c r="JSE4" s="299"/>
      <c r="JSF4" s="299"/>
      <c r="JSG4" s="299"/>
      <c r="JSH4" s="299"/>
      <c r="JSI4" s="299"/>
      <c r="JSJ4" s="299"/>
      <c r="JSK4" s="299"/>
      <c r="JSL4" s="299"/>
      <c r="JSM4" s="299"/>
      <c r="JSN4" s="299"/>
      <c r="JSO4" s="299"/>
      <c r="JSP4" s="299"/>
      <c r="JSQ4" s="299"/>
      <c r="JSR4" s="299"/>
      <c r="JSS4" s="299"/>
      <c r="JST4" s="299"/>
      <c r="JSU4" s="299"/>
      <c r="JSV4" s="299"/>
      <c r="JSW4" s="299"/>
      <c r="JSX4" s="299"/>
      <c r="JSY4" s="299"/>
      <c r="JSZ4" s="299"/>
      <c r="JTA4" s="299"/>
      <c r="JTB4" s="299"/>
      <c r="JTC4" s="299"/>
      <c r="JTD4" s="299"/>
      <c r="JTE4" s="299"/>
      <c r="JTF4" s="299"/>
      <c r="JTG4" s="299"/>
      <c r="JTH4" s="299"/>
      <c r="JTI4" s="299"/>
      <c r="JTJ4" s="299"/>
      <c r="JTK4" s="299"/>
      <c r="JTL4" s="299"/>
      <c r="JTM4" s="299"/>
      <c r="JTN4" s="299"/>
      <c r="JTO4" s="299"/>
      <c r="JTP4" s="299"/>
      <c r="JTQ4" s="299"/>
      <c r="JTR4" s="299"/>
      <c r="JTS4" s="299"/>
      <c r="JTT4" s="299"/>
      <c r="JTU4" s="299"/>
      <c r="JTV4" s="299"/>
      <c r="JTW4" s="299"/>
      <c r="JTX4" s="299"/>
      <c r="JTY4" s="299"/>
      <c r="JTZ4" s="299"/>
      <c r="JUA4" s="299"/>
      <c r="JUB4" s="299"/>
      <c r="JUC4" s="299"/>
      <c r="JUD4" s="299"/>
      <c r="JUE4" s="299"/>
      <c r="JUF4" s="299"/>
      <c r="JUG4" s="299"/>
      <c r="JUH4" s="299"/>
      <c r="JUI4" s="299"/>
      <c r="JUJ4" s="299"/>
      <c r="JUK4" s="299"/>
      <c r="JUL4" s="299"/>
      <c r="JUM4" s="299"/>
      <c r="JUN4" s="299"/>
      <c r="JUO4" s="299"/>
      <c r="JUP4" s="299"/>
      <c r="JUQ4" s="299"/>
      <c r="JUR4" s="299"/>
      <c r="JUS4" s="299"/>
      <c r="JUT4" s="299"/>
      <c r="JUU4" s="299"/>
      <c r="JUV4" s="299"/>
      <c r="JUW4" s="299"/>
      <c r="JUX4" s="299"/>
      <c r="JUY4" s="299"/>
      <c r="JUZ4" s="299"/>
      <c r="JVA4" s="299"/>
      <c r="JVB4" s="299"/>
      <c r="JVC4" s="299"/>
      <c r="JVD4" s="299"/>
      <c r="JVE4" s="299"/>
      <c r="JVF4" s="299"/>
      <c r="JVG4" s="299"/>
      <c r="JVH4" s="299"/>
      <c r="JVI4" s="299"/>
      <c r="JVJ4" s="299"/>
      <c r="JVK4" s="299"/>
      <c r="JVL4" s="299"/>
      <c r="JVM4" s="299"/>
      <c r="JVN4" s="299"/>
      <c r="JVO4" s="299"/>
      <c r="JVP4" s="299"/>
      <c r="JVQ4" s="299"/>
      <c r="JVR4" s="299"/>
      <c r="JVS4" s="299"/>
      <c r="JVT4" s="299"/>
      <c r="JVU4" s="299"/>
      <c r="JVV4" s="299"/>
      <c r="JVW4" s="299"/>
      <c r="JVX4" s="299"/>
      <c r="JVY4" s="299"/>
      <c r="JVZ4" s="299"/>
      <c r="JWA4" s="299"/>
      <c r="JWB4" s="299"/>
      <c r="JWC4" s="299"/>
      <c r="JWD4" s="299"/>
      <c r="JWE4" s="299"/>
      <c r="JWF4" s="299"/>
      <c r="JWG4" s="299"/>
      <c r="JWH4" s="299"/>
      <c r="JWI4" s="299"/>
      <c r="JWJ4" s="299"/>
      <c r="JWK4" s="299"/>
      <c r="JWL4" s="299"/>
      <c r="JWM4" s="299"/>
      <c r="JWN4" s="299"/>
      <c r="JWO4" s="299"/>
      <c r="JWP4" s="299"/>
      <c r="JWQ4" s="299"/>
      <c r="JWR4" s="299"/>
      <c r="JWS4" s="299"/>
      <c r="JWT4" s="299"/>
      <c r="JWU4" s="299"/>
      <c r="JWV4" s="299"/>
      <c r="JWW4" s="299"/>
      <c r="JWX4" s="299"/>
      <c r="JWY4" s="299"/>
      <c r="JWZ4" s="299"/>
      <c r="JXA4" s="299"/>
      <c r="JXB4" s="299"/>
      <c r="JXC4" s="299"/>
      <c r="JXD4" s="299"/>
      <c r="JXE4" s="299"/>
      <c r="JXF4" s="299"/>
      <c r="JXG4" s="299"/>
      <c r="JXH4" s="299"/>
      <c r="JXI4" s="299"/>
      <c r="JXJ4" s="299"/>
      <c r="JXK4" s="299"/>
      <c r="JXL4" s="299"/>
      <c r="JXM4" s="299"/>
      <c r="JXN4" s="299"/>
      <c r="JXO4" s="299"/>
      <c r="JXP4" s="299"/>
      <c r="JXQ4" s="299"/>
      <c r="JXR4" s="299"/>
      <c r="JXS4" s="299"/>
      <c r="JXT4" s="299"/>
      <c r="JXU4" s="299"/>
      <c r="JXV4" s="299"/>
      <c r="JXW4" s="299"/>
      <c r="JXX4" s="299"/>
      <c r="JXY4" s="299"/>
      <c r="JXZ4" s="299"/>
      <c r="JYA4" s="299"/>
      <c r="JYB4" s="299"/>
      <c r="JYC4" s="299"/>
      <c r="JYD4" s="299"/>
      <c r="JYE4" s="299"/>
      <c r="JYF4" s="299"/>
      <c r="JYG4" s="299"/>
      <c r="JYH4" s="299"/>
      <c r="JYI4" s="299"/>
      <c r="JYJ4" s="299"/>
      <c r="JYK4" s="299"/>
      <c r="JYL4" s="299"/>
      <c r="JYM4" s="299"/>
      <c r="JYN4" s="299"/>
      <c r="JYO4" s="299"/>
      <c r="JYP4" s="299"/>
      <c r="JYQ4" s="299"/>
      <c r="JYR4" s="299"/>
      <c r="JYS4" s="299"/>
      <c r="JYT4" s="299"/>
      <c r="JYU4" s="299"/>
      <c r="JYV4" s="299"/>
      <c r="JYW4" s="299"/>
      <c r="JYX4" s="299"/>
      <c r="JYY4" s="299"/>
      <c r="JYZ4" s="299"/>
      <c r="JZA4" s="299"/>
      <c r="JZB4" s="299"/>
      <c r="JZC4" s="299"/>
      <c r="JZD4" s="299"/>
      <c r="JZE4" s="299"/>
      <c r="JZF4" s="299"/>
      <c r="JZG4" s="299"/>
      <c r="JZH4" s="299"/>
      <c r="JZI4" s="299"/>
      <c r="JZJ4" s="299"/>
      <c r="JZK4" s="299"/>
      <c r="JZL4" s="299"/>
      <c r="JZM4" s="299"/>
      <c r="JZN4" s="299"/>
      <c r="JZO4" s="299"/>
      <c r="JZP4" s="299"/>
      <c r="JZQ4" s="299"/>
      <c r="JZR4" s="299"/>
      <c r="JZS4" s="299"/>
      <c r="JZT4" s="299"/>
      <c r="JZU4" s="299"/>
      <c r="JZV4" s="299"/>
      <c r="JZW4" s="299"/>
      <c r="JZX4" s="299"/>
      <c r="JZY4" s="299"/>
      <c r="JZZ4" s="299"/>
      <c r="KAA4" s="299"/>
      <c r="KAB4" s="299"/>
      <c r="KAC4" s="299"/>
      <c r="KAD4" s="299"/>
      <c r="KAE4" s="299"/>
      <c r="KAF4" s="299"/>
      <c r="KAG4" s="299"/>
      <c r="KAH4" s="299"/>
      <c r="KAI4" s="299"/>
      <c r="KAJ4" s="299"/>
      <c r="KAK4" s="299"/>
      <c r="KAL4" s="299"/>
      <c r="KAM4" s="299"/>
      <c r="KAN4" s="299"/>
      <c r="KAO4" s="299"/>
      <c r="KAP4" s="299"/>
      <c r="KAQ4" s="299"/>
      <c r="KAR4" s="299"/>
      <c r="KAS4" s="299"/>
      <c r="KAT4" s="299"/>
      <c r="KAU4" s="299"/>
      <c r="KAV4" s="299"/>
      <c r="KAW4" s="299"/>
      <c r="KAX4" s="299"/>
      <c r="KAY4" s="299"/>
      <c r="KAZ4" s="299"/>
      <c r="KBA4" s="299"/>
      <c r="KBB4" s="299"/>
      <c r="KBC4" s="299"/>
      <c r="KBD4" s="299"/>
      <c r="KBE4" s="299"/>
      <c r="KBF4" s="299"/>
      <c r="KBG4" s="299"/>
      <c r="KBH4" s="299"/>
      <c r="KBI4" s="299"/>
      <c r="KBJ4" s="299"/>
      <c r="KBK4" s="299"/>
      <c r="KBL4" s="299"/>
      <c r="KBM4" s="299"/>
      <c r="KBN4" s="299"/>
      <c r="KBO4" s="299"/>
      <c r="KBP4" s="299"/>
      <c r="KBQ4" s="299"/>
      <c r="KBR4" s="299"/>
      <c r="KBS4" s="299"/>
      <c r="KBT4" s="299"/>
      <c r="KBU4" s="299"/>
      <c r="KBV4" s="299"/>
      <c r="KBW4" s="299"/>
      <c r="KBX4" s="299"/>
      <c r="KBY4" s="299"/>
      <c r="KBZ4" s="299"/>
      <c r="KCA4" s="299"/>
      <c r="KCB4" s="299"/>
      <c r="KCC4" s="299"/>
      <c r="KCD4" s="299"/>
      <c r="KCE4" s="299"/>
      <c r="KCF4" s="299"/>
      <c r="KCG4" s="299"/>
      <c r="KCH4" s="299"/>
      <c r="KCI4" s="299"/>
      <c r="KCJ4" s="299"/>
      <c r="KCK4" s="299"/>
      <c r="KCL4" s="299"/>
      <c r="KCM4" s="299"/>
      <c r="KCN4" s="299"/>
      <c r="KCO4" s="299"/>
      <c r="KCP4" s="299"/>
      <c r="KCQ4" s="299"/>
      <c r="KCR4" s="299"/>
      <c r="KCS4" s="299"/>
      <c r="KCT4" s="299"/>
      <c r="KCU4" s="299"/>
      <c r="KCV4" s="299"/>
      <c r="KCW4" s="299"/>
      <c r="KCX4" s="299"/>
      <c r="KCY4" s="299"/>
      <c r="KCZ4" s="299"/>
      <c r="KDA4" s="299"/>
      <c r="KDB4" s="299"/>
      <c r="KDC4" s="299"/>
      <c r="KDD4" s="299"/>
      <c r="KDE4" s="299"/>
      <c r="KDF4" s="299"/>
      <c r="KDG4" s="299"/>
      <c r="KDH4" s="299"/>
      <c r="KDI4" s="299"/>
      <c r="KDJ4" s="299"/>
      <c r="KDK4" s="299"/>
      <c r="KDL4" s="299"/>
      <c r="KDM4" s="299"/>
      <c r="KDN4" s="299"/>
      <c r="KDO4" s="299"/>
      <c r="KDP4" s="299"/>
      <c r="KDQ4" s="299"/>
      <c r="KDR4" s="299"/>
      <c r="KDS4" s="299"/>
      <c r="KDT4" s="299"/>
      <c r="KDU4" s="299"/>
      <c r="KDV4" s="299"/>
      <c r="KDW4" s="299"/>
      <c r="KDX4" s="299"/>
      <c r="KDY4" s="299"/>
      <c r="KDZ4" s="299"/>
      <c r="KEA4" s="299"/>
      <c r="KEB4" s="299"/>
      <c r="KEC4" s="299"/>
      <c r="KED4" s="299"/>
      <c r="KEE4" s="299"/>
      <c r="KEF4" s="299"/>
      <c r="KEG4" s="299"/>
      <c r="KEH4" s="299"/>
      <c r="KEI4" s="299"/>
      <c r="KEJ4" s="299"/>
      <c r="KEK4" s="299"/>
      <c r="KEL4" s="299"/>
      <c r="KEM4" s="299"/>
      <c r="KEN4" s="299"/>
      <c r="KEO4" s="299"/>
      <c r="KEP4" s="299"/>
      <c r="KEQ4" s="299"/>
      <c r="KER4" s="299"/>
      <c r="KES4" s="299"/>
      <c r="KET4" s="299"/>
      <c r="KEU4" s="299"/>
      <c r="KEV4" s="299"/>
      <c r="KEW4" s="299"/>
      <c r="KEX4" s="299"/>
      <c r="KEY4" s="299"/>
      <c r="KEZ4" s="299"/>
      <c r="KFA4" s="299"/>
      <c r="KFB4" s="299"/>
      <c r="KFC4" s="299"/>
      <c r="KFD4" s="299"/>
      <c r="KFE4" s="299"/>
      <c r="KFF4" s="299"/>
      <c r="KFG4" s="299"/>
      <c r="KFH4" s="299"/>
      <c r="KFI4" s="299"/>
      <c r="KFJ4" s="299"/>
      <c r="KFK4" s="299"/>
      <c r="KFL4" s="299"/>
      <c r="KFM4" s="299"/>
      <c r="KFN4" s="299"/>
      <c r="KFO4" s="299"/>
      <c r="KFP4" s="299"/>
      <c r="KFQ4" s="299"/>
      <c r="KFR4" s="299"/>
      <c r="KFS4" s="299"/>
      <c r="KFT4" s="299"/>
      <c r="KFU4" s="299"/>
      <c r="KFV4" s="299"/>
      <c r="KFW4" s="299"/>
      <c r="KFX4" s="299"/>
      <c r="KFY4" s="299"/>
      <c r="KFZ4" s="299"/>
      <c r="KGA4" s="299"/>
      <c r="KGB4" s="299"/>
      <c r="KGC4" s="299"/>
      <c r="KGD4" s="299"/>
      <c r="KGE4" s="299"/>
      <c r="KGF4" s="299"/>
      <c r="KGG4" s="299"/>
      <c r="KGH4" s="299"/>
      <c r="KGI4" s="299"/>
      <c r="KGJ4" s="299"/>
      <c r="KGK4" s="299"/>
      <c r="KGL4" s="299"/>
      <c r="KGM4" s="299"/>
      <c r="KGN4" s="299"/>
      <c r="KGO4" s="299"/>
      <c r="KGP4" s="299"/>
      <c r="KGQ4" s="299"/>
      <c r="KGR4" s="299"/>
      <c r="KGS4" s="299"/>
      <c r="KGT4" s="299"/>
      <c r="KGU4" s="299"/>
      <c r="KGV4" s="299"/>
      <c r="KGW4" s="299"/>
      <c r="KGX4" s="299"/>
      <c r="KGY4" s="299"/>
      <c r="KGZ4" s="299"/>
      <c r="KHA4" s="299"/>
      <c r="KHB4" s="299"/>
      <c r="KHC4" s="299"/>
      <c r="KHD4" s="299"/>
      <c r="KHE4" s="299"/>
      <c r="KHF4" s="299"/>
      <c r="KHG4" s="299"/>
      <c r="KHH4" s="299"/>
      <c r="KHI4" s="299"/>
      <c r="KHJ4" s="299"/>
      <c r="KHK4" s="299"/>
      <c r="KHL4" s="299"/>
      <c r="KHM4" s="299"/>
      <c r="KHN4" s="299"/>
      <c r="KHO4" s="299"/>
      <c r="KHP4" s="299"/>
      <c r="KHQ4" s="299"/>
      <c r="KHR4" s="299"/>
      <c r="KHS4" s="299"/>
      <c r="KHT4" s="299"/>
      <c r="KHU4" s="299"/>
      <c r="KHV4" s="299"/>
      <c r="KHW4" s="299"/>
      <c r="KHX4" s="299"/>
      <c r="KHY4" s="299"/>
      <c r="KHZ4" s="299"/>
      <c r="KIA4" s="299"/>
      <c r="KIB4" s="299"/>
      <c r="KIC4" s="299"/>
      <c r="KID4" s="299"/>
      <c r="KIE4" s="299"/>
      <c r="KIF4" s="299"/>
      <c r="KIG4" s="299"/>
      <c r="KIH4" s="299"/>
      <c r="KII4" s="299"/>
      <c r="KIJ4" s="299"/>
      <c r="KIK4" s="299"/>
      <c r="KIL4" s="299"/>
      <c r="KIM4" s="299"/>
      <c r="KIN4" s="299"/>
      <c r="KIO4" s="299"/>
      <c r="KIP4" s="299"/>
      <c r="KIQ4" s="299"/>
      <c r="KIR4" s="299"/>
      <c r="KIS4" s="299"/>
      <c r="KIT4" s="299"/>
      <c r="KIU4" s="299"/>
      <c r="KIV4" s="299"/>
      <c r="KIW4" s="299"/>
      <c r="KIX4" s="299"/>
      <c r="KIY4" s="299"/>
      <c r="KIZ4" s="299"/>
      <c r="KJA4" s="299"/>
      <c r="KJB4" s="299"/>
      <c r="KJC4" s="299"/>
      <c r="KJD4" s="299"/>
      <c r="KJE4" s="299"/>
      <c r="KJF4" s="299"/>
      <c r="KJG4" s="299"/>
      <c r="KJH4" s="299"/>
      <c r="KJI4" s="299"/>
      <c r="KJJ4" s="299"/>
      <c r="KJK4" s="299"/>
      <c r="KJL4" s="299"/>
      <c r="KJM4" s="299"/>
      <c r="KJN4" s="299"/>
      <c r="KJO4" s="299"/>
      <c r="KJP4" s="299"/>
      <c r="KJQ4" s="299"/>
      <c r="KJR4" s="299"/>
      <c r="KJS4" s="299"/>
      <c r="KJT4" s="299"/>
      <c r="KJU4" s="299"/>
      <c r="KJV4" s="299"/>
      <c r="KJW4" s="299"/>
      <c r="KJX4" s="299"/>
      <c r="KJY4" s="299"/>
      <c r="KJZ4" s="299"/>
      <c r="KKA4" s="299"/>
      <c r="KKB4" s="299"/>
      <c r="KKC4" s="299"/>
      <c r="KKD4" s="299"/>
      <c r="KKE4" s="299"/>
      <c r="KKF4" s="299"/>
      <c r="KKG4" s="299"/>
      <c r="KKH4" s="299"/>
      <c r="KKI4" s="299"/>
      <c r="KKJ4" s="299"/>
      <c r="KKK4" s="299"/>
      <c r="KKL4" s="299"/>
      <c r="KKM4" s="299"/>
      <c r="KKN4" s="299"/>
      <c r="KKO4" s="299"/>
      <c r="KKP4" s="299"/>
      <c r="KKQ4" s="299"/>
      <c r="KKR4" s="299"/>
      <c r="KKS4" s="299"/>
      <c r="KKT4" s="299"/>
      <c r="KKU4" s="299"/>
      <c r="KKV4" s="299"/>
      <c r="KKW4" s="299"/>
      <c r="KKX4" s="299"/>
      <c r="KKY4" s="299"/>
      <c r="KKZ4" s="299"/>
      <c r="KLA4" s="299"/>
      <c r="KLB4" s="299"/>
      <c r="KLC4" s="299"/>
      <c r="KLD4" s="299"/>
      <c r="KLE4" s="299"/>
      <c r="KLF4" s="299"/>
      <c r="KLG4" s="299"/>
      <c r="KLH4" s="299"/>
      <c r="KLI4" s="299"/>
      <c r="KLJ4" s="299"/>
      <c r="KLK4" s="299"/>
      <c r="KLL4" s="299"/>
      <c r="KLM4" s="299"/>
      <c r="KLN4" s="299"/>
      <c r="KLO4" s="299"/>
      <c r="KLP4" s="299"/>
      <c r="KLQ4" s="299"/>
      <c r="KLR4" s="299"/>
      <c r="KLS4" s="299"/>
      <c r="KLT4" s="299"/>
      <c r="KLU4" s="299"/>
      <c r="KLV4" s="299"/>
      <c r="KLW4" s="299"/>
      <c r="KLX4" s="299"/>
      <c r="KLY4" s="299"/>
      <c r="KLZ4" s="299"/>
      <c r="KMA4" s="299"/>
      <c r="KMB4" s="299"/>
      <c r="KMC4" s="299"/>
      <c r="KMD4" s="299"/>
      <c r="KME4" s="299"/>
      <c r="KMF4" s="299"/>
      <c r="KMG4" s="299"/>
      <c r="KMH4" s="299"/>
      <c r="KMI4" s="299"/>
      <c r="KMJ4" s="299"/>
      <c r="KMK4" s="299"/>
      <c r="KML4" s="299"/>
      <c r="KMM4" s="299"/>
      <c r="KMN4" s="299"/>
      <c r="KMO4" s="299"/>
      <c r="KMP4" s="299"/>
      <c r="KMQ4" s="299"/>
      <c r="KMR4" s="299"/>
      <c r="KMS4" s="299"/>
      <c r="KMT4" s="299"/>
      <c r="KMU4" s="299"/>
      <c r="KMV4" s="299"/>
      <c r="KMW4" s="299"/>
      <c r="KMX4" s="299"/>
      <c r="KMY4" s="299"/>
      <c r="KMZ4" s="299"/>
      <c r="KNA4" s="299"/>
      <c r="KNB4" s="299"/>
      <c r="KNC4" s="299"/>
      <c r="KND4" s="299"/>
      <c r="KNE4" s="299"/>
      <c r="KNF4" s="299"/>
      <c r="KNG4" s="299"/>
      <c r="KNH4" s="299"/>
      <c r="KNI4" s="299"/>
      <c r="KNJ4" s="299"/>
      <c r="KNK4" s="299"/>
      <c r="KNL4" s="299"/>
      <c r="KNM4" s="299"/>
      <c r="KNN4" s="299"/>
      <c r="KNO4" s="299"/>
      <c r="KNP4" s="299"/>
      <c r="KNQ4" s="299"/>
      <c r="KNR4" s="299"/>
      <c r="KNS4" s="299"/>
      <c r="KNT4" s="299"/>
      <c r="KNU4" s="299"/>
      <c r="KNV4" s="299"/>
      <c r="KNW4" s="299"/>
      <c r="KNX4" s="299"/>
      <c r="KNY4" s="299"/>
      <c r="KNZ4" s="299"/>
      <c r="KOA4" s="299"/>
      <c r="KOB4" s="299"/>
      <c r="KOC4" s="299"/>
      <c r="KOD4" s="299"/>
      <c r="KOE4" s="299"/>
      <c r="KOF4" s="299"/>
      <c r="KOG4" s="299"/>
      <c r="KOH4" s="299"/>
      <c r="KOI4" s="299"/>
      <c r="KOJ4" s="299"/>
      <c r="KOK4" s="299"/>
      <c r="KOL4" s="299"/>
      <c r="KOM4" s="299"/>
      <c r="KON4" s="299"/>
      <c r="KOO4" s="299"/>
      <c r="KOP4" s="299"/>
      <c r="KOQ4" s="299"/>
      <c r="KOR4" s="299"/>
      <c r="KOS4" s="299"/>
      <c r="KOT4" s="299"/>
      <c r="KOU4" s="299"/>
      <c r="KOV4" s="299"/>
      <c r="KOW4" s="299"/>
      <c r="KOX4" s="299"/>
      <c r="KOY4" s="299"/>
      <c r="KOZ4" s="299"/>
      <c r="KPA4" s="299"/>
      <c r="KPB4" s="299"/>
      <c r="KPC4" s="299"/>
      <c r="KPD4" s="299"/>
      <c r="KPE4" s="299"/>
      <c r="KPF4" s="299"/>
      <c r="KPG4" s="299"/>
      <c r="KPH4" s="299"/>
      <c r="KPI4" s="299"/>
      <c r="KPJ4" s="299"/>
      <c r="KPK4" s="299"/>
      <c r="KPL4" s="299"/>
      <c r="KPM4" s="299"/>
      <c r="KPN4" s="299"/>
      <c r="KPO4" s="299"/>
      <c r="KPP4" s="299"/>
      <c r="KPQ4" s="299"/>
      <c r="KPR4" s="299"/>
      <c r="KPS4" s="299"/>
      <c r="KPT4" s="299"/>
      <c r="KPU4" s="299"/>
      <c r="KPV4" s="299"/>
      <c r="KPW4" s="299"/>
      <c r="KPX4" s="299"/>
      <c r="KPY4" s="299"/>
      <c r="KPZ4" s="299"/>
      <c r="KQA4" s="299"/>
      <c r="KQB4" s="299"/>
      <c r="KQC4" s="299"/>
      <c r="KQD4" s="299"/>
      <c r="KQE4" s="299"/>
      <c r="KQF4" s="299"/>
      <c r="KQG4" s="299"/>
      <c r="KQH4" s="299"/>
      <c r="KQI4" s="299"/>
      <c r="KQJ4" s="299"/>
      <c r="KQK4" s="299"/>
      <c r="KQL4" s="299"/>
      <c r="KQM4" s="299"/>
      <c r="KQN4" s="299"/>
      <c r="KQO4" s="299"/>
      <c r="KQP4" s="299"/>
      <c r="KQQ4" s="299"/>
      <c r="KQR4" s="299"/>
      <c r="KQS4" s="299"/>
      <c r="KQT4" s="299"/>
      <c r="KQU4" s="299"/>
      <c r="KQV4" s="299"/>
      <c r="KQW4" s="299"/>
      <c r="KQX4" s="299"/>
      <c r="KQY4" s="299"/>
      <c r="KQZ4" s="299"/>
      <c r="KRA4" s="299"/>
      <c r="KRB4" s="299"/>
      <c r="KRC4" s="299"/>
      <c r="KRD4" s="299"/>
      <c r="KRE4" s="299"/>
      <c r="KRF4" s="299"/>
      <c r="KRG4" s="299"/>
      <c r="KRH4" s="299"/>
      <c r="KRI4" s="299"/>
      <c r="KRJ4" s="299"/>
      <c r="KRK4" s="299"/>
      <c r="KRL4" s="299"/>
      <c r="KRM4" s="299"/>
      <c r="KRN4" s="299"/>
      <c r="KRO4" s="299"/>
      <c r="KRP4" s="299"/>
      <c r="KRQ4" s="299"/>
      <c r="KRR4" s="299"/>
      <c r="KRS4" s="299"/>
      <c r="KRT4" s="299"/>
      <c r="KRU4" s="299"/>
      <c r="KRV4" s="299"/>
      <c r="KRW4" s="299"/>
      <c r="KRX4" s="299"/>
      <c r="KRY4" s="299"/>
      <c r="KRZ4" s="299"/>
      <c r="KSA4" s="299"/>
      <c r="KSB4" s="299"/>
      <c r="KSC4" s="299"/>
      <c r="KSD4" s="299"/>
      <c r="KSE4" s="299"/>
      <c r="KSF4" s="299"/>
      <c r="KSG4" s="299"/>
      <c r="KSH4" s="299"/>
      <c r="KSI4" s="299"/>
      <c r="KSJ4" s="299"/>
      <c r="KSK4" s="299"/>
      <c r="KSL4" s="299"/>
      <c r="KSM4" s="299"/>
      <c r="KSN4" s="299"/>
      <c r="KSO4" s="299"/>
      <c r="KSP4" s="299"/>
      <c r="KSQ4" s="299"/>
      <c r="KSR4" s="299"/>
      <c r="KSS4" s="299"/>
      <c r="KST4" s="299"/>
      <c r="KSU4" s="299"/>
      <c r="KSV4" s="299"/>
      <c r="KSW4" s="299"/>
      <c r="KSX4" s="299"/>
      <c r="KSY4" s="299"/>
      <c r="KSZ4" s="299"/>
      <c r="KTA4" s="299"/>
      <c r="KTB4" s="299"/>
      <c r="KTC4" s="299"/>
      <c r="KTD4" s="299"/>
      <c r="KTE4" s="299"/>
      <c r="KTF4" s="299"/>
      <c r="KTG4" s="299"/>
      <c r="KTH4" s="299"/>
      <c r="KTI4" s="299"/>
      <c r="KTJ4" s="299"/>
      <c r="KTK4" s="299"/>
      <c r="KTL4" s="299"/>
      <c r="KTM4" s="299"/>
      <c r="KTN4" s="299"/>
      <c r="KTO4" s="299"/>
      <c r="KTP4" s="299"/>
      <c r="KTQ4" s="299"/>
      <c r="KTR4" s="299"/>
      <c r="KTS4" s="299"/>
      <c r="KTT4" s="299"/>
      <c r="KTU4" s="299"/>
      <c r="KTV4" s="299"/>
      <c r="KTW4" s="299"/>
      <c r="KTX4" s="299"/>
      <c r="KTY4" s="299"/>
      <c r="KTZ4" s="299"/>
      <c r="KUA4" s="299"/>
      <c r="KUB4" s="299"/>
      <c r="KUC4" s="299"/>
      <c r="KUD4" s="299"/>
      <c r="KUE4" s="299"/>
      <c r="KUF4" s="299"/>
      <c r="KUG4" s="299"/>
      <c r="KUH4" s="299"/>
      <c r="KUI4" s="299"/>
      <c r="KUJ4" s="299"/>
      <c r="KUK4" s="299"/>
      <c r="KUL4" s="299"/>
      <c r="KUM4" s="299"/>
      <c r="KUN4" s="299"/>
      <c r="KUO4" s="299"/>
      <c r="KUP4" s="299"/>
      <c r="KUQ4" s="299"/>
      <c r="KUR4" s="299"/>
      <c r="KUS4" s="299"/>
      <c r="KUT4" s="299"/>
      <c r="KUU4" s="299"/>
      <c r="KUV4" s="299"/>
      <c r="KUW4" s="299"/>
      <c r="KUX4" s="299"/>
      <c r="KUY4" s="299"/>
      <c r="KUZ4" s="299"/>
      <c r="KVA4" s="299"/>
      <c r="KVB4" s="299"/>
      <c r="KVC4" s="299"/>
      <c r="KVD4" s="299"/>
      <c r="KVE4" s="299"/>
      <c r="KVF4" s="299"/>
      <c r="KVG4" s="299"/>
      <c r="KVH4" s="299"/>
      <c r="KVI4" s="299"/>
      <c r="KVJ4" s="299"/>
      <c r="KVK4" s="299"/>
      <c r="KVL4" s="299"/>
      <c r="KVM4" s="299"/>
      <c r="KVN4" s="299"/>
      <c r="KVO4" s="299"/>
      <c r="KVP4" s="299"/>
      <c r="KVQ4" s="299"/>
      <c r="KVR4" s="299"/>
      <c r="KVS4" s="299"/>
      <c r="KVT4" s="299"/>
      <c r="KVU4" s="299"/>
      <c r="KVV4" s="299"/>
      <c r="KVW4" s="299"/>
      <c r="KVX4" s="299"/>
      <c r="KVY4" s="299"/>
      <c r="KVZ4" s="299"/>
      <c r="KWA4" s="299"/>
      <c r="KWB4" s="299"/>
      <c r="KWC4" s="299"/>
      <c r="KWD4" s="299"/>
      <c r="KWE4" s="299"/>
      <c r="KWF4" s="299"/>
      <c r="KWG4" s="299"/>
      <c r="KWH4" s="299"/>
      <c r="KWI4" s="299"/>
      <c r="KWJ4" s="299"/>
      <c r="KWK4" s="299"/>
      <c r="KWL4" s="299"/>
      <c r="KWM4" s="299"/>
      <c r="KWN4" s="299"/>
      <c r="KWO4" s="299"/>
      <c r="KWP4" s="299"/>
      <c r="KWQ4" s="299"/>
      <c r="KWR4" s="299"/>
      <c r="KWS4" s="299"/>
      <c r="KWT4" s="299"/>
      <c r="KWU4" s="299"/>
      <c r="KWV4" s="299"/>
      <c r="KWW4" s="299"/>
      <c r="KWX4" s="299"/>
      <c r="KWY4" s="299"/>
      <c r="KWZ4" s="299"/>
      <c r="KXA4" s="299"/>
      <c r="KXB4" s="299"/>
      <c r="KXC4" s="299"/>
      <c r="KXD4" s="299"/>
      <c r="KXE4" s="299"/>
      <c r="KXF4" s="299"/>
      <c r="KXG4" s="299"/>
      <c r="KXH4" s="299"/>
      <c r="KXI4" s="299"/>
      <c r="KXJ4" s="299"/>
      <c r="KXK4" s="299"/>
      <c r="KXL4" s="299"/>
      <c r="KXM4" s="299"/>
      <c r="KXN4" s="299"/>
      <c r="KXO4" s="299"/>
      <c r="KXP4" s="299"/>
      <c r="KXQ4" s="299"/>
      <c r="KXR4" s="299"/>
      <c r="KXS4" s="299"/>
      <c r="KXT4" s="299"/>
      <c r="KXU4" s="299"/>
      <c r="KXV4" s="299"/>
      <c r="KXW4" s="299"/>
      <c r="KXX4" s="299"/>
      <c r="KXY4" s="299"/>
      <c r="KXZ4" s="299"/>
      <c r="KYA4" s="299"/>
      <c r="KYB4" s="299"/>
      <c r="KYC4" s="299"/>
      <c r="KYD4" s="299"/>
      <c r="KYE4" s="299"/>
      <c r="KYF4" s="299"/>
      <c r="KYG4" s="299"/>
      <c r="KYH4" s="299"/>
      <c r="KYI4" s="299"/>
      <c r="KYJ4" s="299"/>
      <c r="KYK4" s="299"/>
      <c r="KYL4" s="299"/>
      <c r="KYM4" s="299"/>
      <c r="KYN4" s="299"/>
      <c r="KYO4" s="299"/>
      <c r="KYP4" s="299"/>
      <c r="KYQ4" s="299"/>
      <c r="KYR4" s="299"/>
      <c r="KYS4" s="299"/>
      <c r="KYT4" s="299"/>
      <c r="KYU4" s="299"/>
      <c r="KYV4" s="299"/>
      <c r="KYW4" s="299"/>
      <c r="KYX4" s="299"/>
      <c r="KYY4" s="299"/>
      <c r="KYZ4" s="299"/>
      <c r="KZA4" s="299"/>
      <c r="KZB4" s="299"/>
      <c r="KZC4" s="299"/>
      <c r="KZD4" s="299"/>
      <c r="KZE4" s="299"/>
      <c r="KZF4" s="299"/>
      <c r="KZG4" s="299"/>
      <c r="KZH4" s="299"/>
      <c r="KZI4" s="299"/>
      <c r="KZJ4" s="299"/>
      <c r="KZK4" s="299"/>
      <c r="KZL4" s="299"/>
      <c r="KZM4" s="299"/>
      <c r="KZN4" s="299"/>
      <c r="KZO4" s="299"/>
      <c r="KZP4" s="299"/>
      <c r="KZQ4" s="299"/>
      <c r="KZR4" s="299"/>
      <c r="KZS4" s="299"/>
      <c r="KZT4" s="299"/>
      <c r="KZU4" s="299"/>
      <c r="KZV4" s="299"/>
      <c r="KZW4" s="299"/>
      <c r="KZX4" s="299"/>
      <c r="KZY4" s="299"/>
      <c r="KZZ4" s="299"/>
      <c r="LAA4" s="299"/>
      <c r="LAB4" s="299"/>
      <c r="LAC4" s="299"/>
      <c r="LAD4" s="299"/>
      <c r="LAE4" s="299"/>
      <c r="LAF4" s="299"/>
      <c r="LAG4" s="299"/>
      <c r="LAH4" s="299"/>
      <c r="LAI4" s="299"/>
      <c r="LAJ4" s="299"/>
      <c r="LAK4" s="299"/>
      <c r="LAL4" s="299"/>
      <c r="LAM4" s="299"/>
      <c r="LAN4" s="299"/>
      <c r="LAO4" s="299"/>
      <c r="LAP4" s="299"/>
      <c r="LAQ4" s="299"/>
      <c r="LAR4" s="299"/>
      <c r="LAS4" s="299"/>
      <c r="LAT4" s="299"/>
      <c r="LAU4" s="299"/>
      <c r="LAV4" s="299"/>
      <c r="LAW4" s="299"/>
      <c r="LAX4" s="299"/>
      <c r="LAY4" s="299"/>
      <c r="LAZ4" s="299"/>
      <c r="LBA4" s="299"/>
      <c r="LBB4" s="299"/>
      <c r="LBC4" s="299"/>
      <c r="LBD4" s="299"/>
      <c r="LBE4" s="299"/>
      <c r="LBF4" s="299"/>
      <c r="LBG4" s="299"/>
      <c r="LBH4" s="299"/>
      <c r="LBI4" s="299"/>
      <c r="LBJ4" s="299"/>
      <c r="LBK4" s="299"/>
      <c r="LBL4" s="299"/>
      <c r="LBM4" s="299"/>
      <c r="LBN4" s="299"/>
      <c r="LBO4" s="299"/>
      <c r="LBP4" s="299"/>
      <c r="LBQ4" s="299"/>
      <c r="LBR4" s="299"/>
      <c r="LBS4" s="299"/>
      <c r="LBT4" s="299"/>
      <c r="LBU4" s="299"/>
      <c r="LBV4" s="299"/>
      <c r="LBW4" s="299"/>
      <c r="LBX4" s="299"/>
      <c r="LBY4" s="299"/>
      <c r="LBZ4" s="299"/>
      <c r="LCA4" s="299"/>
      <c r="LCB4" s="299"/>
      <c r="LCC4" s="299"/>
      <c r="LCD4" s="299"/>
      <c r="LCE4" s="299"/>
      <c r="LCF4" s="299"/>
      <c r="LCG4" s="299"/>
      <c r="LCH4" s="299"/>
      <c r="LCI4" s="299"/>
      <c r="LCJ4" s="299"/>
      <c r="LCK4" s="299"/>
      <c r="LCL4" s="299"/>
      <c r="LCM4" s="299"/>
      <c r="LCN4" s="299"/>
      <c r="LCO4" s="299"/>
      <c r="LCP4" s="299"/>
      <c r="LCQ4" s="299"/>
      <c r="LCR4" s="299"/>
      <c r="LCS4" s="299"/>
      <c r="LCT4" s="299"/>
      <c r="LCU4" s="299"/>
      <c r="LCV4" s="299"/>
      <c r="LCW4" s="299"/>
      <c r="LCX4" s="299"/>
      <c r="LCY4" s="299"/>
      <c r="LCZ4" s="299"/>
      <c r="LDA4" s="299"/>
      <c r="LDB4" s="299"/>
      <c r="LDC4" s="299"/>
      <c r="LDD4" s="299"/>
      <c r="LDE4" s="299"/>
      <c r="LDF4" s="299"/>
      <c r="LDG4" s="299"/>
      <c r="LDH4" s="299"/>
      <c r="LDI4" s="299"/>
      <c r="LDJ4" s="299"/>
      <c r="LDK4" s="299"/>
      <c r="LDL4" s="299"/>
      <c r="LDM4" s="299"/>
      <c r="LDN4" s="299"/>
      <c r="LDO4" s="299"/>
      <c r="LDP4" s="299"/>
      <c r="LDQ4" s="299"/>
      <c r="LDR4" s="299"/>
      <c r="LDS4" s="299"/>
      <c r="LDT4" s="299"/>
      <c r="LDU4" s="299"/>
      <c r="LDV4" s="299"/>
      <c r="LDW4" s="299"/>
      <c r="LDX4" s="299"/>
      <c r="LDY4" s="299"/>
      <c r="LDZ4" s="299"/>
      <c r="LEA4" s="299"/>
      <c r="LEB4" s="299"/>
      <c r="LEC4" s="299"/>
      <c r="LED4" s="299"/>
      <c r="LEE4" s="299"/>
      <c r="LEF4" s="299"/>
      <c r="LEG4" s="299"/>
      <c r="LEH4" s="299"/>
      <c r="LEI4" s="299"/>
      <c r="LEJ4" s="299"/>
      <c r="LEK4" s="299"/>
      <c r="LEL4" s="299"/>
      <c r="LEM4" s="299"/>
      <c r="LEN4" s="299"/>
      <c r="LEO4" s="299"/>
      <c r="LEP4" s="299"/>
      <c r="LEQ4" s="299"/>
      <c r="LER4" s="299"/>
      <c r="LES4" s="299"/>
      <c r="LET4" s="299"/>
      <c r="LEU4" s="299"/>
      <c r="LEV4" s="299"/>
      <c r="LEW4" s="299"/>
      <c r="LEX4" s="299"/>
      <c r="LEY4" s="299"/>
      <c r="LEZ4" s="299"/>
      <c r="LFA4" s="299"/>
      <c r="LFB4" s="299"/>
      <c r="LFC4" s="299"/>
      <c r="LFD4" s="299"/>
      <c r="LFE4" s="299"/>
      <c r="LFF4" s="299"/>
      <c r="LFG4" s="299"/>
      <c r="LFH4" s="299"/>
      <c r="LFI4" s="299"/>
      <c r="LFJ4" s="299"/>
      <c r="LFK4" s="299"/>
      <c r="LFL4" s="299"/>
      <c r="LFM4" s="299"/>
      <c r="LFN4" s="299"/>
      <c r="LFO4" s="299"/>
      <c r="LFP4" s="299"/>
      <c r="LFQ4" s="299"/>
      <c r="LFR4" s="299"/>
      <c r="LFS4" s="299"/>
      <c r="LFT4" s="299"/>
      <c r="LFU4" s="299"/>
      <c r="LFV4" s="299"/>
      <c r="LFW4" s="299"/>
      <c r="LFX4" s="299"/>
      <c r="LFY4" s="299"/>
      <c r="LFZ4" s="299"/>
      <c r="LGA4" s="299"/>
      <c r="LGB4" s="299"/>
      <c r="LGC4" s="299"/>
      <c r="LGD4" s="299"/>
      <c r="LGE4" s="299"/>
      <c r="LGF4" s="299"/>
      <c r="LGG4" s="299"/>
      <c r="LGH4" s="299"/>
      <c r="LGI4" s="299"/>
      <c r="LGJ4" s="299"/>
      <c r="LGK4" s="299"/>
      <c r="LGL4" s="299"/>
      <c r="LGM4" s="299"/>
      <c r="LGN4" s="299"/>
      <c r="LGO4" s="299"/>
      <c r="LGP4" s="299"/>
      <c r="LGQ4" s="299"/>
      <c r="LGR4" s="299"/>
      <c r="LGS4" s="299"/>
      <c r="LGT4" s="299"/>
      <c r="LGU4" s="299"/>
      <c r="LGV4" s="299"/>
      <c r="LGW4" s="299"/>
      <c r="LGX4" s="299"/>
      <c r="LGY4" s="299"/>
      <c r="LGZ4" s="299"/>
      <c r="LHA4" s="299"/>
      <c r="LHB4" s="299"/>
      <c r="LHC4" s="299"/>
      <c r="LHD4" s="299"/>
      <c r="LHE4" s="299"/>
      <c r="LHF4" s="299"/>
      <c r="LHG4" s="299"/>
      <c r="LHH4" s="299"/>
      <c r="LHI4" s="299"/>
      <c r="LHJ4" s="299"/>
      <c r="LHK4" s="299"/>
      <c r="LHL4" s="299"/>
      <c r="LHM4" s="299"/>
      <c r="LHN4" s="299"/>
      <c r="LHO4" s="299"/>
      <c r="LHP4" s="299"/>
      <c r="LHQ4" s="299"/>
      <c r="LHR4" s="299"/>
      <c r="LHS4" s="299"/>
      <c r="LHT4" s="299"/>
      <c r="LHU4" s="299"/>
      <c r="LHV4" s="299"/>
      <c r="LHW4" s="299"/>
      <c r="LHX4" s="299"/>
      <c r="LHY4" s="299"/>
      <c r="LHZ4" s="299"/>
      <c r="LIA4" s="299"/>
      <c r="LIB4" s="299"/>
      <c r="LIC4" s="299"/>
      <c r="LID4" s="299"/>
      <c r="LIE4" s="299"/>
      <c r="LIF4" s="299"/>
      <c r="LIG4" s="299"/>
      <c r="LIH4" s="299"/>
      <c r="LII4" s="299"/>
      <c r="LIJ4" s="299"/>
      <c r="LIK4" s="299"/>
      <c r="LIL4" s="299"/>
      <c r="LIM4" s="299"/>
      <c r="LIN4" s="299"/>
      <c r="LIO4" s="299"/>
      <c r="LIP4" s="299"/>
      <c r="LIQ4" s="299"/>
      <c r="LIR4" s="299"/>
      <c r="LIS4" s="299"/>
      <c r="LIT4" s="299"/>
      <c r="LIU4" s="299"/>
      <c r="LIV4" s="299"/>
      <c r="LIW4" s="299"/>
      <c r="LIX4" s="299"/>
      <c r="LIY4" s="299"/>
      <c r="LIZ4" s="299"/>
      <c r="LJA4" s="299"/>
      <c r="LJB4" s="299"/>
      <c r="LJC4" s="299"/>
      <c r="LJD4" s="299"/>
      <c r="LJE4" s="299"/>
      <c r="LJF4" s="299"/>
      <c r="LJG4" s="299"/>
      <c r="LJH4" s="299"/>
      <c r="LJI4" s="299"/>
      <c r="LJJ4" s="299"/>
      <c r="LJK4" s="299"/>
      <c r="LJL4" s="299"/>
      <c r="LJM4" s="299"/>
      <c r="LJN4" s="299"/>
      <c r="LJO4" s="299"/>
      <c r="LJP4" s="299"/>
      <c r="LJQ4" s="299"/>
      <c r="LJR4" s="299"/>
      <c r="LJS4" s="299"/>
      <c r="LJT4" s="299"/>
      <c r="LJU4" s="299"/>
      <c r="LJV4" s="299"/>
      <c r="LJW4" s="299"/>
      <c r="LJX4" s="299"/>
      <c r="LJY4" s="299"/>
      <c r="LJZ4" s="299"/>
      <c r="LKA4" s="299"/>
      <c r="LKB4" s="299"/>
      <c r="LKC4" s="299"/>
      <c r="LKD4" s="299"/>
      <c r="LKE4" s="299"/>
      <c r="LKF4" s="299"/>
      <c r="LKG4" s="299"/>
      <c r="LKH4" s="299"/>
      <c r="LKI4" s="299"/>
      <c r="LKJ4" s="299"/>
      <c r="LKK4" s="299"/>
      <c r="LKL4" s="299"/>
      <c r="LKM4" s="299"/>
      <c r="LKN4" s="299"/>
      <c r="LKO4" s="299"/>
      <c r="LKP4" s="299"/>
      <c r="LKQ4" s="299"/>
      <c r="LKR4" s="299"/>
      <c r="LKS4" s="299"/>
      <c r="LKT4" s="299"/>
      <c r="LKU4" s="299"/>
      <c r="LKV4" s="299"/>
      <c r="LKW4" s="299"/>
      <c r="LKX4" s="299"/>
      <c r="LKY4" s="299"/>
      <c r="LKZ4" s="299"/>
      <c r="LLA4" s="299"/>
      <c r="LLB4" s="299"/>
      <c r="LLC4" s="299"/>
      <c r="LLD4" s="299"/>
      <c r="LLE4" s="299"/>
      <c r="LLF4" s="299"/>
      <c r="LLG4" s="299"/>
      <c r="LLH4" s="299"/>
      <c r="LLI4" s="299"/>
      <c r="LLJ4" s="299"/>
      <c r="LLK4" s="299"/>
      <c r="LLL4" s="299"/>
      <c r="LLM4" s="299"/>
      <c r="LLN4" s="299"/>
      <c r="LLO4" s="299"/>
      <c r="LLP4" s="299"/>
      <c r="LLQ4" s="299"/>
      <c r="LLR4" s="299"/>
      <c r="LLS4" s="299"/>
      <c r="LLT4" s="299"/>
      <c r="LLU4" s="299"/>
      <c r="LLV4" s="299"/>
      <c r="LLW4" s="299"/>
      <c r="LLX4" s="299"/>
      <c r="LLY4" s="299"/>
      <c r="LLZ4" s="299"/>
      <c r="LMA4" s="299"/>
      <c r="LMB4" s="299"/>
      <c r="LMC4" s="299"/>
      <c r="LMD4" s="299"/>
      <c r="LME4" s="299"/>
      <c r="LMF4" s="299"/>
      <c r="LMG4" s="299"/>
      <c r="LMH4" s="299"/>
      <c r="LMI4" s="299"/>
      <c r="LMJ4" s="299"/>
      <c r="LMK4" s="299"/>
      <c r="LML4" s="299"/>
      <c r="LMM4" s="299"/>
      <c r="LMN4" s="299"/>
      <c r="LMO4" s="299"/>
      <c r="LMP4" s="299"/>
      <c r="LMQ4" s="299"/>
      <c r="LMR4" s="299"/>
      <c r="LMS4" s="299"/>
      <c r="LMT4" s="299"/>
      <c r="LMU4" s="299"/>
      <c r="LMV4" s="299"/>
      <c r="LMW4" s="299"/>
      <c r="LMX4" s="299"/>
      <c r="LMY4" s="299"/>
      <c r="LMZ4" s="299"/>
      <c r="LNA4" s="299"/>
      <c r="LNB4" s="299"/>
      <c r="LNC4" s="299"/>
      <c r="LND4" s="299"/>
      <c r="LNE4" s="299"/>
      <c r="LNF4" s="299"/>
      <c r="LNG4" s="299"/>
      <c r="LNH4" s="299"/>
      <c r="LNI4" s="299"/>
      <c r="LNJ4" s="299"/>
      <c r="LNK4" s="299"/>
      <c r="LNL4" s="299"/>
      <c r="LNM4" s="299"/>
      <c r="LNN4" s="299"/>
      <c r="LNO4" s="299"/>
      <c r="LNP4" s="299"/>
      <c r="LNQ4" s="299"/>
      <c r="LNR4" s="299"/>
      <c r="LNS4" s="299"/>
      <c r="LNT4" s="299"/>
      <c r="LNU4" s="299"/>
      <c r="LNV4" s="299"/>
      <c r="LNW4" s="299"/>
      <c r="LNX4" s="299"/>
      <c r="LNY4" s="299"/>
      <c r="LNZ4" s="299"/>
      <c r="LOA4" s="299"/>
      <c r="LOB4" s="299"/>
      <c r="LOC4" s="299"/>
      <c r="LOD4" s="299"/>
      <c r="LOE4" s="299"/>
      <c r="LOF4" s="299"/>
      <c r="LOG4" s="299"/>
      <c r="LOH4" s="299"/>
      <c r="LOI4" s="299"/>
      <c r="LOJ4" s="299"/>
      <c r="LOK4" s="299"/>
      <c r="LOL4" s="299"/>
      <c r="LOM4" s="299"/>
      <c r="LON4" s="299"/>
      <c r="LOO4" s="299"/>
      <c r="LOP4" s="299"/>
      <c r="LOQ4" s="299"/>
      <c r="LOR4" s="299"/>
      <c r="LOS4" s="299"/>
      <c r="LOT4" s="299"/>
      <c r="LOU4" s="299"/>
      <c r="LOV4" s="299"/>
      <c r="LOW4" s="299"/>
      <c r="LOX4" s="299"/>
      <c r="LOY4" s="299"/>
      <c r="LOZ4" s="299"/>
      <c r="LPA4" s="299"/>
      <c r="LPB4" s="299"/>
      <c r="LPC4" s="299"/>
      <c r="LPD4" s="299"/>
      <c r="LPE4" s="299"/>
      <c r="LPF4" s="299"/>
      <c r="LPG4" s="299"/>
      <c r="LPH4" s="299"/>
      <c r="LPI4" s="299"/>
      <c r="LPJ4" s="299"/>
      <c r="LPK4" s="299"/>
      <c r="LPL4" s="299"/>
      <c r="LPM4" s="299"/>
      <c r="LPN4" s="299"/>
      <c r="LPO4" s="299"/>
      <c r="LPP4" s="299"/>
      <c r="LPQ4" s="299"/>
      <c r="LPR4" s="299"/>
      <c r="LPS4" s="299"/>
      <c r="LPT4" s="299"/>
      <c r="LPU4" s="299"/>
      <c r="LPV4" s="299"/>
      <c r="LPW4" s="299"/>
      <c r="LPX4" s="299"/>
      <c r="LPY4" s="299"/>
      <c r="LPZ4" s="299"/>
      <c r="LQA4" s="299"/>
      <c r="LQB4" s="299"/>
      <c r="LQC4" s="299"/>
      <c r="LQD4" s="299"/>
      <c r="LQE4" s="299"/>
      <c r="LQF4" s="299"/>
      <c r="LQG4" s="299"/>
      <c r="LQH4" s="299"/>
      <c r="LQI4" s="299"/>
      <c r="LQJ4" s="299"/>
      <c r="LQK4" s="299"/>
      <c r="LQL4" s="299"/>
      <c r="LQM4" s="299"/>
      <c r="LQN4" s="299"/>
      <c r="LQO4" s="299"/>
      <c r="LQP4" s="299"/>
      <c r="LQQ4" s="299"/>
      <c r="LQR4" s="299"/>
      <c r="LQS4" s="299"/>
      <c r="LQT4" s="299"/>
      <c r="LQU4" s="299"/>
      <c r="LQV4" s="299"/>
      <c r="LQW4" s="299"/>
      <c r="LQX4" s="299"/>
      <c r="LQY4" s="299"/>
      <c r="LQZ4" s="299"/>
      <c r="LRA4" s="299"/>
      <c r="LRB4" s="299"/>
      <c r="LRC4" s="299"/>
      <c r="LRD4" s="299"/>
      <c r="LRE4" s="299"/>
      <c r="LRF4" s="299"/>
      <c r="LRG4" s="299"/>
      <c r="LRH4" s="299"/>
      <c r="LRI4" s="299"/>
      <c r="LRJ4" s="299"/>
      <c r="LRK4" s="299"/>
      <c r="LRL4" s="299"/>
      <c r="LRM4" s="299"/>
      <c r="LRN4" s="299"/>
      <c r="LRO4" s="299"/>
      <c r="LRP4" s="299"/>
      <c r="LRQ4" s="299"/>
      <c r="LRR4" s="299"/>
      <c r="LRS4" s="299"/>
      <c r="LRT4" s="299"/>
      <c r="LRU4" s="299"/>
      <c r="LRV4" s="299"/>
      <c r="LRW4" s="299"/>
      <c r="LRX4" s="299"/>
      <c r="LRY4" s="299"/>
      <c r="LRZ4" s="299"/>
      <c r="LSA4" s="299"/>
      <c r="LSB4" s="299"/>
      <c r="LSC4" s="299"/>
      <c r="LSD4" s="299"/>
      <c r="LSE4" s="299"/>
      <c r="LSF4" s="299"/>
      <c r="LSG4" s="299"/>
      <c r="LSH4" s="299"/>
      <c r="LSI4" s="299"/>
      <c r="LSJ4" s="299"/>
      <c r="LSK4" s="299"/>
      <c r="LSL4" s="299"/>
      <c r="LSM4" s="299"/>
      <c r="LSN4" s="299"/>
      <c r="LSO4" s="299"/>
      <c r="LSP4" s="299"/>
      <c r="LSQ4" s="299"/>
      <c r="LSR4" s="299"/>
      <c r="LSS4" s="299"/>
      <c r="LST4" s="299"/>
      <c r="LSU4" s="299"/>
      <c r="LSV4" s="299"/>
      <c r="LSW4" s="299"/>
      <c r="LSX4" s="299"/>
      <c r="LSY4" s="299"/>
      <c r="LSZ4" s="299"/>
      <c r="LTA4" s="299"/>
      <c r="LTB4" s="299"/>
      <c r="LTC4" s="299"/>
      <c r="LTD4" s="299"/>
      <c r="LTE4" s="299"/>
      <c r="LTF4" s="299"/>
      <c r="LTG4" s="299"/>
      <c r="LTH4" s="299"/>
      <c r="LTI4" s="299"/>
      <c r="LTJ4" s="299"/>
      <c r="LTK4" s="299"/>
      <c r="LTL4" s="299"/>
      <c r="LTM4" s="299"/>
      <c r="LTN4" s="299"/>
      <c r="LTO4" s="299"/>
      <c r="LTP4" s="299"/>
      <c r="LTQ4" s="299"/>
      <c r="LTR4" s="299"/>
      <c r="LTS4" s="299"/>
      <c r="LTT4" s="299"/>
      <c r="LTU4" s="299"/>
      <c r="LTV4" s="299"/>
      <c r="LTW4" s="299"/>
      <c r="LTX4" s="299"/>
      <c r="LTY4" s="299"/>
      <c r="LTZ4" s="299"/>
      <c r="LUA4" s="299"/>
      <c r="LUB4" s="299"/>
      <c r="LUC4" s="299"/>
      <c r="LUD4" s="299"/>
      <c r="LUE4" s="299"/>
      <c r="LUF4" s="299"/>
      <c r="LUG4" s="299"/>
      <c r="LUH4" s="299"/>
      <c r="LUI4" s="299"/>
      <c r="LUJ4" s="299"/>
      <c r="LUK4" s="299"/>
      <c r="LUL4" s="299"/>
      <c r="LUM4" s="299"/>
      <c r="LUN4" s="299"/>
      <c r="LUO4" s="299"/>
      <c r="LUP4" s="299"/>
      <c r="LUQ4" s="299"/>
      <c r="LUR4" s="299"/>
      <c r="LUS4" s="299"/>
      <c r="LUT4" s="299"/>
      <c r="LUU4" s="299"/>
      <c r="LUV4" s="299"/>
      <c r="LUW4" s="299"/>
      <c r="LUX4" s="299"/>
      <c r="LUY4" s="299"/>
      <c r="LUZ4" s="299"/>
      <c r="LVA4" s="299"/>
      <c r="LVB4" s="299"/>
      <c r="LVC4" s="299"/>
      <c r="LVD4" s="299"/>
      <c r="LVE4" s="299"/>
      <c r="LVF4" s="299"/>
      <c r="LVG4" s="299"/>
      <c r="LVH4" s="299"/>
      <c r="LVI4" s="299"/>
      <c r="LVJ4" s="299"/>
      <c r="LVK4" s="299"/>
      <c r="LVL4" s="299"/>
      <c r="LVM4" s="299"/>
      <c r="LVN4" s="299"/>
      <c r="LVO4" s="299"/>
      <c r="LVP4" s="299"/>
      <c r="LVQ4" s="299"/>
      <c r="LVR4" s="299"/>
      <c r="LVS4" s="299"/>
      <c r="LVT4" s="299"/>
      <c r="LVU4" s="299"/>
      <c r="LVV4" s="299"/>
      <c r="LVW4" s="299"/>
      <c r="LVX4" s="299"/>
      <c r="LVY4" s="299"/>
      <c r="LVZ4" s="299"/>
      <c r="LWA4" s="299"/>
      <c r="LWB4" s="299"/>
      <c r="LWC4" s="299"/>
      <c r="LWD4" s="299"/>
      <c r="LWE4" s="299"/>
      <c r="LWF4" s="299"/>
      <c r="LWG4" s="299"/>
      <c r="LWH4" s="299"/>
      <c r="LWI4" s="299"/>
      <c r="LWJ4" s="299"/>
      <c r="LWK4" s="299"/>
      <c r="LWL4" s="299"/>
      <c r="LWM4" s="299"/>
      <c r="LWN4" s="299"/>
      <c r="LWO4" s="299"/>
      <c r="LWP4" s="299"/>
      <c r="LWQ4" s="299"/>
      <c r="LWR4" s="299"/>
      <c r="LWS4" s="299"/>
      <c r="LWT4" s="299"/>
      <c r="LWU4" s="299"/>
      <c r="LWV4" s="299"/>
      <c r="LWW4" s="299"/>
      <c r="LWX4" s="299"/>
      <c r="LWY4" s="299"/>
      <c r="LWZ4" s="299"/>
      <c r="LXA4" s="299"/>
      <c r="LXB4" s="299"/>
      <c r="LXC4" s="299"/>
      <c r="LXD4" s="299"/>
      <c r="LXE4" s="299"/>
      <c r="LXF4" s="299"/>
      <c r="LXG4" s="299"/>
      <c r="LXH4" s="299"/>
      <c r="LXI4" s="299"/>
      <c r="LXJ4" s="299"/>
      <c r="LXK4" s="299"/>
      <c r="LXL4" s="299"/>
      <c r="LXM4" s="299"/>
      <c r="LXN4" s="299"/>
      <c r="LXO4" s="299"/>
      <c r="LXP4" s="299"/>
      <c r="LXQ4" s="299"/>
      <c r="LXR4" s="299"/>
      <c r="LXS4" s="299"/>
      <c r="LXT4" s="299"/>
      <c r="LXU4" s="299"/>
      <c r="LXV4" s="299"/>
      <c r="LXW4" s="299"/>
      <c r="LXX4" s="299"/>
      <c r="LXY4" s="299"/>
      <c r="LXZ4" s="299"/>
      <c r="LYA4" s="299"/>
      <c r="LYB4" s="299"/>
      <c r="LYC4" s="299"/>
      <c r="LYD4" s="299"/>
      <c r="LYE4" s="299"/>
      <c r="LYF4" s="299"/>
      <c r="LYG4" s="299"/>
      <c r="LYH4" s="299"/>
      <c r="LYI4" s="299"/>
      <c r="LYJ4" s="299"/>
      <c r="LYK4" s="299"/>
      <c r="LYL4" s="299"/>
      <c r="LYM4" s="299"/>
      <c r="LYN4" s="299"/>
      <c r="LYO4" s="299"/>
      <c r="LYP4" s="299"/>
      <c r="LYQ4" s="299"/>
      <c r="LYR4" s="299"/>
      <c r="LYS4" s="299"/>
      <c r="LYT4" s="299"/>
      <c r="LYU4" s="299"/>
      <c r="LYV4" s="299"/>
      <c r="LYW4" s="299"/>
      <c r="LYX4" s="299"/>
      <c r="LYY4" s="299"/>
      <c r="LYZ4" s="299"/>
      <c r="LZA4" s="299"/>
      <c r="LZB4" s="299"/>
      <c r="LZC4" s="299"/>
      <c r="LZD4" s="299"/>
      <c r="LZE4" s="299"/>
      <c r="LZF4" s="299"/>
      <c r="LZG4" s="299"/>
      <c r="LZH4" s="299"/>
      <c r="LZI4" s="299"/>
      <c r="LZJ4" s="299"/>
      <c r="LZK4" s="299"/>
      <c r="LZL4" s="299"/>
      <c r="LZM4" s="299"/>
      <c r="LZN4" s="299"/>
      <c r="LZO4" s="299"/>
      <c r="LZP4" s="299"/>
      <c r="LZQ4" s="299"/>
      <c r="LZR4" s="299"/>
      <c r="LZS4" s="299"/>
      <c r="LZT4" s="299"/>
      <c r="LZU4" s="299"/>
      <c r="LZV4" s="299"/>
      <c r="LZW4" s="299"/>
      <c r="LZX4" s="299"/>
      <c r="LZY4" s="299"/>
      <c r="LZZ4" s="299"/>
      <c r="MAA4" s="299"/>
      <c r="MAB4" s="299"/>
      <c r="MAC4" s="299"/>
      <c r="MAD4" s="299"/>
      <c r="MAE4" s="299"/>
      <c r="MAF4" s="299"/>
      <c r="MAG4" s="299"/>
      <c r="MAH4" s="299"/>
      <c r="MAI4" s="299"/>
      <c r="MAJ4" s="299"/>
      <c r="MAK4" s="299"/>
      <c r="MAL4" s="299"/>
      <c r="MAM4" s="299"/>
      <c r="MAN4" s="299"/>
      <c r="MAO4" s="299"/>
      <c r="MAP4" s="299"/>
      <c r="MAQ4" s="299"/>
      <c r="MAR4" s="299"/>
      <c r="MAS4" s="299"/>
      <c r="MAT4" s="299"/>
      <c r="MAU4" s="299"/>
      <c r="MAV4" s="299"/>
      <c r="MAW4" s="299"/>
      <c r="MAX4" s="299"/>
      <c r="MAY4" s="299"/>
      <c r="MAZ4" s="299"/>
      <c r="MBA4" s="299"/>
      <c r="MBB4" s="299"/>
      <c r="MBC4" s="299"/>
      <c r="MBD4" s="299"/>
      <c r="MBE4" s="299"/>
      <c r="MBF4" s="299"/>
      <c r="MBG4" s="299"/>
      <c r="MBH4" s="299"/>
      <c r="MBI4" s="299"/>
      <c r="MBJ4" s="299"/>
      <c r="MBK4" s="299"/>
      <c r="MBL4" s="299"/>
      <c r="MBM4" s="299"/>
      <c r="MBN4" s="299"/>
      <c r="MBO4" s="299"/>
      <c r="MBP4" s="299"/>
      <c r="MBQ4" s="299"/>
      <c r="MBR4" s="299"/>
      <c r="MBS4" s="299"/>
      <c r="MBT4" s="299"/>
      <c r="MBU4" s="299"/>
      <c r="MBV4" s="299"/>
      <c r="MBW4" s="299"/>
      <c r="MBX4" s="299"/>
      <c r="MBY4" s="299"/>
      <c r="MBZ4" s="299"/>
      <c r="MCA4" s="299"/>
      <c r="MCB4" s="299"/>
      <c r="MCC4" s="299"/>
      <c r="MCD4" s="299"/>
      <c r="MCE4" s="299"/>
      <c r="MCF4" s="299"/>
      <c r="MCG4" s="299"/>
      <c r="MCH4" s="299"/>
      <c r="MCI4" s="299"/>
      <c r="MCJ4" s="299"/>
      <c r="MCK4" s="299"/>
      <c r="MCL4" s="299"/>
      <c r="MCM4" s="299"/>
      <c r="MCN4" s="299"/>
      <c r="MCO4" s="299"/>
      <c r="MCP4" s="299"/>
      <c r="MCQ4" s="299"/>
      <c r="MCR4" s="299"/>
      <c r="MCS4" s="299"/>
      <c r="MCT4" s="299"/>
      <c r="MCU4" s="299"/>
      <c r="MCV4" s="299"/>
      <c r="MCW4" s="299"/>
      <c r="MCX4" s="299"/>
      <c r="MCY4" s="299"/>
      <c r="MCZ4" s="299"/>
      <c r="MDA4" s="299"/>
      <c r="MDB4" s="299"/>
      <c r="MDC4" s="299"/>
      <c r="MDD4" s="299"/>
      <c r="MDE4" s="299"/>
      <c r="MDF4" s="299"/>
      <c r="MDG4" s="299"/>
      <c r="MDH4" s="299"/>
      <c r="MDI4" s="299"/>
      <c r="MDJ4" s="299"/>
      <c r="MDK4" s="299"/>
      <c r="MDL4" s="299"/>
      <c r="MDM4" s="299"/>
      <c r="MDN4" s="299"/>
      <c r="MDO4" s="299"/>
      <c r="MDP4" s="299"/>
      <c r="MDQ4" s="299"/>
      <c r="MDR4" s="299"/>
      <c r="MDS4" s="299"/>
      <c r="MDT4" s="299"/>
      <c r="MDU4" s="299"/>
      <c r="MDV4" s="299"/>
      <c r="MDW4" s="299"/>
      <c r="MDX4" s="299"/>
      <c r="MDY4" s="299"/>
      <c r="MDZ4" s="299"/>
      <c r="MEA4" s="299"/>
      <c r="MEB4" s="299"/>
      <c r="MEC4" s="299"/>
      <c r="MED4" s="299"/>
      <c r="MEE4" s="299"/>
      <c r="MEF4" s="299"/>
      <c r="MEG4" s="299"/>
      <c r="MEH4" s="299"/>
      <c r="MEI4" s="299"/>
      <c r="MEJ4" s="299"/>
      <c r="MEK4" s="299"/>
      <c r="MEL4" s="299"/>
      <c r="MEM4" s="299"/>
      <c r="MEN4" s="299"/>
      <c r="MEO4" s="299"/>
      <c r="MEP4" s="299"/>
      <c r="MEQ4" s="299"/>
      <c r="MER4" s="299"/>
      <c r="MES4" s="299"/>
      <c r="MET4" s="299"/>
      <c r="MEU4" s="299"/>
      <c r="MEV4" s="299"/>
      <c r="MEW4" s="299"/>
      <c r="MEX4" s="299"/>
      <c r="MEY4" s="299"/>
      <c r="MEZ4" s="299"/>
      <c r="MFA4" s="299"/>
      <c r="MFB4" s="299"/>
      <c r="MFC4" s="299"/>
      <c r="MFD4" s="299"/>
      <c r="MFE4" s="299"/>
      <c r="MFF4" s="299"/>
      <c r="MFG4" s="299"/>
      <c r="MFH4" s="299"/>
      <c r="MFI4" s="299"/>
      <c r="MFJ4" s="299"/>
      <c r="MFK4" s="299"/>
      <c r="MFL4" s="299"/>
      <c r="MFM4" s="299"/>
      <c r="MFN4" s="299"/>
      <c r="MFO4" s="299"/>
      <c r="MFP4" s="299"/>
      <c r="MFQ4" s="299"/>
      <c r="MFR4" s="299"/>
      <c r="MFS4" s="299"/>
      <c r="MFT4" s="299"/>
      <c r="MFU4" s="299"/>
      <c r="MFV4" s="299"/>
      <c r="MFW4" s="299"/>
      <c r="MFX4" s="299"/>
      <c r="MFY4" s="299"/>
      <c r="MFZ4" s="299"/>
      <c r="MGA4" s="299"/>
      <c r="MGB4" s="299"/>
      <c r="MGC4" s="299"/>
      <c r="MGD4" s="299"/>
      <c r="MGE4" s="299"/>
      <c r="MGF4" s="299"/>
      <c r="MGG4" s="299"/>
      <c r="MGH4" s="299"/>
      <c r="MGI4" s="299"/>
      <c r="MGJ4" s="299"/>
      <c r="MGK4" s="299"/>
      <c r="MGL4" s="299"/>
      <c r="MGM4" s="299"/>
      <c r="MGN4" s="299"/>
      <c r="MGO4" s="299"/>
      <c r="MGP4" s="299"/>
      <c r="MGQ4" s="299"/>
      <c r="MGR4" s="299"/>
      <c r="MGS4" s="299"/>
      <c r="MGT4" s="299"/>
      <c r="MGU4" s="299"/>
      <c r="MGV4" s="299"/>
      <c r="MGW4" s="299"/>
      <c r="MGX4" s="299"/>
      <c r="MGY4" s="299"/>
      <c r="MGZ4" s="299"/>
      <c r="MHA4" s="299"/>
      <c r="MHB4" s="299"/>
      <c r="MHC4" s="299"/>
      <c r="MHD4" s="299"/>
      <c r="MHE4" s="299"/>
      <c r="MHF4" s="299"/>
      <c r="MHG4" s="299"/>
      <c r="MHH4" s="299"/>
      <c r="MHI4" s="299"/>
      <c r="MHJ4" s="299"/>
      <c r="MHK4" s="299"/>
      <c r="MHL4" s="299"/>
      <c r="MHM4" s="299"/>
      <c r="MHN4" s="299"/>
      <c r="MHO4" s="299"/>
      <c r="MHP4" s="299"/>
      <c r="MHQ4" s="299"/>
      <c r="MHR4" s="299"/>
      <c r="MHS4" s="299"/>
      <c r="MHT4" s="299"/>
      <c r="MHU4" s="299"/>
      <c r="MHV4" s="299"/>
      <c r="MHW4" s="299"/>
      <c r="MHX4" s="299"/>
      <c r="MHY4" s="299"/>
      <c r="MHZ4" s="299"/>
      <c r="MIA4" s="299"/>
      <c r="MIB4" s="299"/>
      <c r="MIC4" s="299"/>
      <c r="MID4" s="299"/>
      <c r="MIE4" s="299"/>
      <c r="MIF4" s="299"/>
      <c r="MIG4" s="299"/>
      <c r="MIH4" s="299"/>
      <c r="MII4" s="299"/>
      <c r="MIJ4" s="299"/>
      <c r="MIK4" s="299"/>
      <c r="MIL4" s="299"/>
      <c r="MIM4" s="299"/>
      <c r="MIN4" s="299"/>
      <c r="MIO4" s="299"/>
      <c r="MIP4" s="299"/>
      <c r="MIQ4" s="299"/>
      <c r="MIR4" s="299"/>
      <c r="MIS4" s="299"/>
      <c r="MIT4" s="299"/>
      <c r="MIU4" s="299"/>
      <c r="MIV4" s="299"/>
      <c r="MIW4" s="299"/>
      <c r="MIX4" s="299"/>
      <c r="MIY4" s="299"/>
      <c r="MIZ4" s="299"/>
      <c r="MJA4" s="299"/>
      <c r="MJB4" s="299"/>
      <c r="MJC4" s="299"/>
      <c r="MJD4" s="299"/>
      <c r="MJE4" s="299"/>
      <c r="MJF4" s="299"/>
      <c r="MJG4" s="299"/>
      <c r="MJH4" s="299"/>
      <c r="MJI4" s="299"/>
      <c r="MJJ4" s="299"/>
      <c r="MJK4" s="299"/>
      <c r="MJL4" s="299"/>
      <c r="MJM4" s="299"/>
      <c r="MJN4" s="299"/>
      <c r="MJO4" s="299"/>
      <c r="MJP4" s="299"/>
      <c r="MJQ4" s="299"/>
      <c r="MJR4" s="299"/>
      <c r="MJS4" s="299"/>
      <c r="MJT4" s="299"/>
      <c r="MJU4" s="299"/>
      <c r="MJV4" s="299"/>
      <c r="MJW4" s="299"/>
      <c r="MJX4" s="299"/>
      <c r="MJY4" s="299"/>
      <c r="MJZ4" s="299"/>
      <c r="MKA4" s="299"/>
      <c r="MKB4" s="299"/>
      <c r="MKC4" s="299"/>
      <c r="MKD4" s="299"/>
      <c r="MKE4" s="299"/>
      <c r="MKF4" s="299"/>
      <c r="MKG4" s="299"/>
      <c r="MKH4" s="299"/>
      <c r="MKI4" s="299"/>
      <c r="MKJ4" s="299"/>
      <c r="MKK4" s="299"/>
      <c r="MKL4" s="299"/>
      <c r="MKM4" s="299"/>
      <c r="MKN4" s="299"/>
      <c r="MKO4" s="299"/>
      <c r="MKP4" s="299"/>
      <c r="MKQ4" s="299"/>
      <c r="MKR4" s="299"/>
      <c r="MKS4" s="299"/>
      <c r="MKT4" s="299"/>
      <c r="MKU4" s="299"/>
      <c r="MKV4" s="299"/>
      <c r="MKW4" s="299"/>
      <c r="MKX4" s="299"/>
      <c r="MKY4" s="299"/>
      <c r="MKZ4" s="299"/>
      <c r="MLA4" s="299"/>
      <c r="MLB4" s="299"/>
      <c r="MLC4" s="299"/>
      <c r="MLD4" s="299"/>
      <c r="MLE4" s="299"/>
      <c r="MLF4" s="299"/>
      <c r="MLG4" s="299"/>
      <c r="MLH4" s="299"/>
      <c r="MLI4" s="299"/>
      <c r="MLJ4" s="299"/>
      <c r="MLK4" s="299"/>
      <c r="MLL4" s="299"/>
      <c r="MLM4" s="299"/>
      <c r="MLN4" s="299"/>
      <c r="MLO4" s="299"/>
      <c r="MLP4" s="299"/>
      <c r="MLQ4" s="299"/>
      <c r="MLR4" s="299"/>
      <c r="MLS4" s="299"/>
      <c r="MLT4" s="299"/>
      <c r="MLU4" s="299"/>
      <c r="MLV4" s="299"/>
      <c r="MLW4" s="299"/>
      <c r="MLX4" s="299"/>
      <c r="MLY4" s="299"/>
      <c r="MLZ4" s="299"/>
      <c r="MMA4" s="299"/>
      <c r="MMB4" s="299"/>
      <c r="MMC4" s="299"/>
      <c r="MMD4" s="299"/>
      <c r="MME4" s="299"/>
      <c r="MMF4" s="299"/>
      <c r="MMG4" s="299"/>
      <c r="MMH4" s="299"/>
      <c r="MMI4" s="299"/>
      <c r="MMJ4" s="299"/>
      <c r="MMK4" s="299"/>
      <c r="MML4" s="299"/>
      <c r="MMM4" s="299"/>
      <c r="MMN4" s="299"/>
      <c r="MMO4" s="299"/>
      <c r="MMP4" s="299"/>
      <c r="MMQ4" s="299"/>
      <c r="MMR4" s="299"/>
      <c r="MMS4" s="299"/>
      <c r="MMT4" s="299"/>
      <c r="MMU4" s="299"/>
      <c r="MMV4" s="299"/>
      <c r="MMW4" s="299"/>
      <c r="MMX4" s="299"/>
      <c r="MMY4" s="299"/>
      <c r="MMZ4" s="299"/>
      <c r="MNA4" s="299"/>
      <c r="MNB4" s="299"/>
      <c r="MNC4" s="299"/>
      <c r="MND4" s="299"/>
      <c r="MNE4" s="299"/>
      <c r="MNF4" s="299"/>
      <c r="MNG4" s="299"/>
      <c r="MNH4" s="299"/>
      <c r="MNI4" s="299"/>
      <c r="MNJ4" s="299"/>
      <c r="MNK4" s="299"/>
      <c r="MNL4" s="299"/>
      <c r="MNM4" s="299"/>
      <c r="MNN4" s="299"/>
      <c r="MNO4" s="299"/>
      <c r="MNP4" s="299"/>
      <c r="MNQ4" s="299"/>
      <c r="MNR4" s="299"/>
      <c r="MNS4" s="299"/>
      <c r="MNT4" s="299"/>
      <c r="MNU4" s="299"/>
      <c r="MNV4" s="299"/>
      <c r="MNW4" s="299"/>
      <c r="MNX4" s="299"/>
      <c r="MNY4" s="299"/>
      <c r="MNZ4" s="299"/>
      <c r="MOA4" s="299"/>
      <c r="MOB4" s="299"/>
      <c r="MOC4" s="299"/>
      <c r="MOD4" s="299"/>
      <c r="MOE4" s="299"/>
      <c r="MOF4" s="299"/>
      <c r="MOG4" s="299"/>
      <c r="MOH4" s="299"/>
      <c r="MOI4" s="299"/>
      <c r="MOJ4" s="299"/>
      <c r="MOK4" s="299"/>
      <c r="MOL4" s="299"/>
      <c r="MOM4" s="299"/>
      <c r="MON4" s="299"/>
      <c r="MOO4" s="299"/>
      <c r="MOP4" s="299"/>
      <c r="MOQ4" s="299"/>
      <c r="MOR4" s="299"/>
      <c r="MOS4" s="299"/>
      <c r="MOT4" s="299"/>
      <c r="MOU4" s="299"/>
      <c r="MOV4" s="299"/>
      <c r="MOW4" s="299"/>
      <c r="MOX4" s="299"/>
      <c r="MOY4" s="299"/>
      <c r="MOZ4" s="299"/>
      <c r="MPA4" s="299"/>
      <c r="MPB4" s="299"/>
      <c r="MPC4" s="299"/>
      <c r="MPD4" s="299"/>
      <c r="MPE4" s="299"/>
      <c r="MPF4" s="299"/>
      <c r="MPG4" s="299"/>
      <c r="MPH4" s="299"/>
      <c r="MPI4" s="299"/>
      <c r="MPJ4" s="299"/>
      <c r="MPK4" s="299"/>
      <c r="MPL4" s="299"/>
      <c r="MPM4" s="299"/>
      <c r="MPN4" s="299"/>
      <c r="MPO4" s="299"/>
      <c r="MPP4" s="299"/>
      <c r="MPQ4" s="299"/>
      <c r="MPR4" s="299"/>
      <c r="MPS4" s="299"/>
      <c r="MPT4" s="299"/>
      <c r="MPU4" s="299"/>
      <c r="MPV4" s="299"/>
      <c r="MPW4" s="299"/>
      <c r="MPX4" s="299"/>
      <c r="MPY4" s="299"/>
      <c r="MPZ4" s="299"/>
      <c r="MQA4" s="299"/>
      <c r="MQB4" s="299"/>
      <c r="MQC4" s="299"/>
      <c r="MQD4" s="299"/>
      <c r="MQE4" s="299"/>
      <c r="MQF4" s="299"/>
      <c r="MQG4" s="299"/>
      <c r="MQH4" s="299"/>
      <c r="MQI4" s="299"/>
      <c r="MQJ4" s="299"/>
      <c r="MQK4" s="299"/>
      <c r="MQL4" s="299"/>
      <c r="MQM4" s="299"/>
      <c r="MQN4" s="299"/>
      <c r="MQO4" s="299"/>
      <c r="MQP4" s="299"/>
      <c r="MQQ4" s="299"/>
      <c r="MQR4" s="299"/>
      <c r="MQS4" s="299"/>
      <c r="MQT4" s="299"/>
      <c r="MQU4" s="299"/>
      <c r="MQV4" s="299"/>
      <c r="MQW4" s="299"/>
      <c r="MQX4" s="299"/>
      <c r="MQY4" s="299"/>
      <c r="MQZ4" s="299"/>
      <c r="MRA4" s="299"/>
      <c r="MRB4" s="299"/>
      <c r="MRC4" s="299"/>
      <c r="MRD4" s="299"/>
      <c r="MRE4" s="299"/>
      <c r="MRF4" s="299"/>
      <c r="MRG4" s="299"/>
      <c r="MRH4" s="299"/>
      <c r="MRI4" s="299"/>
      <c r="MRJ4" s="299"/>
      <c r="MRK4" s="299"/>
      <c r="MRL4" s="299"/>
      <c r="MRM4" s="299"/>
      <c r="MRN4" s="299"/>
      <c r="MRO4" s="299"/>
      <c r="MRP4" s="299"/>
      <c r="MRQ4" s="299"/>
      <c r="MRR4" s="299"/>
      <c r="MRS4" s="299"/>
      <c r="MRT4" s="299"/>
      <c r="MRU4" s="299"/>
      <c r="MRV4" s="299"/>
      <c r="MRW4" s="299"/>
      <c r="MRX4" s="299"/>
      <c r="MRY4" s="299"/>
      <c r="MRZ4" s="299"/>
      <c r="MSA4" s="299"/>
      <c r="MSB4" s="299"/>
      <c r="MSC4" s="299"/>
      <c r="MSD4" s="299"/>
      <c r="MSE4" s="299"/>
      <c r="MSF4" s="299"/>
      <c r="MSG4" s="299"/>
      <c r="MSH4" s="299"/>
      <c r="MSI4" s="299"/>
      <c r="MSJ4" s="299"/>
      <c r="MSK4" s="299"/>
      <c r="MSL4" s="299"/>
      <c r="MSM4" s="299"/>
      <c r="MSN4" s="299"/>
      <c r="MSO4" s="299"/>
      <c r="MSP4" s="299"/>
      <c r="MSQ4" s="299"/>
      <c r="MSR4" s="299"/>
      <c r="MSS4" s="299"/>
      <c r="MST4" s="299"/>
      <c r="MSU4" s="299"/>
      <c r="MSV4" s="299"/>
      <c r="MSW4" s="299"/>
      <c r="MSX4" s="299"/>
      <c r="MSY4" s="299"/>
      <c r="MSZ4" s="299"/>
      <c r="MTA4" s="299"/>
      <c r="MTB4" s="299"/>
      <c r="MTC4" s="299"/>
      <c r="MTD4" s="299"/>
      <c r="MTE4" s="299"/>
      <c r="MTF4" s="299"/>
      <c r="MTG4" s="299"/>
      <c r="MTH4" s="299"/>
      <c r="MTI4" s="299"/>
      <c r="MTJ4" s="299"/>
      <c r="MTK4" s="299"/>
      <c r="MTL4" s="299"/>
      <c r="MTM4" s="299"/>
      <c r="MTN4" s="299"/>
      <c r="MTO4" s="299"/>
      <c r="MTP4" s="299"/>
      <c r="MTQ4" s="299"/>
      <c r="MTR4" s="299"/>
      <c r="MTS4" s="299"/>
      <c r="MTT4" s="299"/>
      <c r="MTU4" s="299"/>
      <c r="MTV4" s="299"/>
      <c r="MTW4" s="299"/>
      <c r="MTX4" s="299"/>
      <c r="MTY4" s="299"/>
      <c r="MTZ4" s="299"/>
      <c r="MUA4" s="299"/>
      <c r="MUB4" s="299"/>
      <c r="MUC4" s="299"/>
      <c r="MUD4" s="299"/>
      <c r="MUE4" s="299"/>
      <c r="MUF4" s="299"/>
      <c r="MUG4" s="299"/>
      <c r="MUH4" s="299"/>
      <c r="MUI4" s="299"/>
      <c r="MUJ4" s="299"/>
      <c r="MUK4" s="299"/>
      <c r="MUL4" s="299"/>
      <c r="MUM4" s="299"/>
      <c r="MUN4" s="299"/>
      <c r="MUO4" s="299"/>
      <c r="MUP4" s="299"/>
      <c r="MUQ4" s="299"/>
      <c r="MUR4" s="299"/>
      <c r="MUS4" s="299"/>
      <c r="MUT4" s="299"/>
      <c r="MUU4" s="299"/>
      <c r="MUV4" s="299"/>
      <c r="MUW4" s="299"/>
      <c r="MUX4" s="299"/>
      <c r="MUY4" s="299"/>
      <c r="MUZ4" s="299"/>
      <c r="MVA4" s="299"/>
      <c r="MVB4" s="299"/>
      <c r="MVC4" s="299"/>
      <c r="MVD4" s="299"/>
      <c r="MVE4" s="299"/>
      <c r="MVF4" s="299"/>
      <c r="MVG4" s="299"/>
      <c r="MVH4" s="299"/>
      <c r="MVI4" s="299"/>
      <c r="MVJ4" s="299"/>
      <c r="MVK4" s="299"/>
      <c r="MVL4" s="299"/>
      <c r="MVM4" s="299"/>
      <c r="MVN4" s="299"/>
      <c r="MVO4" s="299"/>
      <c r="MVP4" s="299"/>
      <c r="MVQ4" s="299"/>
      <c r="MVR4" s="299"/>
      <c r="MVS4" s="299"/>
      <c r="MVT4" s="299"/>
      <c r="MVU4" s="299"/>
      <c r="MVV4" s="299"/>
      <c r="MVW4" s="299"/>
      <c r="MVX4" s="299"/>
      <c r="MVY4" s="299"/>
      <c r="MVZ4" s="299"/>
      <c r="MWA4" s="299"/>
      <c r="MWB4" s="299"/>
      <c r="MWC4" s="299"/>
      <c r="MWD4" s="299"/>
      <c r="MWE4" s="299"/>
      <c r="MWF4" s="299"/>
      <c r="MWG4" s="299"/>
      <c r="MWH4" s="299"/>
      <c r="MWI4" s="299"/>
      <c r="MWJ4" s="299"/>
      <c r="MWK4" s="299"/>
      <c r="MWL4" s="299"/>
      <c r="MWM4" s="299"/>
      <c r="MWN4" s="299"/>
      <c r="MWO4" s="299"/>
      <c r="MWP4" s="299"/>
      <c r="MWQ4" s="299"/>
      <c r="MWR4" s="299"/>
      <c r="MWS4" s="299"/>
      <c r="MWT4" s="299"/>
      <c r="MWU4" s="299"/>
      <c r="MWV4" s="299"/>
      <c r="MWW4" s="299"/>
      <c r="MWX4" s="299"/>
      <c r="MWY4" s="299"/>
      <c r="MWZ4" s="299"/>
      <c r="MXA4" s="299"/>
      <c r="MXB4" s="299"/>
      <c r="MXC4" s="299"/>
      <c r="MXD4" s="299"/>
      <c r="MXE4" s="299"/>
      <c r="MXF4" s="299"/>
      <c r="MXG4" s="299"/>
      <c r="MXH4" s="299"/>
      <c r="MXI4" s="299"/>
      <c r="MXJ4" s="299"/>
      <c r="MXK4" s="299"/>
      <c r="MXL4" s="299"/>
      <c r="MXM4" s="299"/>
      <c r="MXN4" s="299"/>
      <c r="MXO4" s="299"/>
      <c r="MXP4" s="299"/>
      <c r="MXQ4" s="299"/>
      <c r="MXR4" s="299"/>
      <c r="MXS4" s="299"/>
      <c r="MXT4" s="299"/>
      <c r="MXU4" s="299"/>
      <c r="MXV4" s="299"/>
      <c r="MXW4" s="299"/>
      <c r="MXX4" s="299"/>
      <c r="MXY4" s="299"/>
      <c r="MXZ4" s="299"/>
      <c r="MYA4" s="299"/>
      <c r="MYB4" s="299"/>
      <c r="MYC4" s="299"/>
      <c r="MYD4" s="299"/>
      <c r="MYE4" s="299"/>
      <c r="MYF4" s="299"/>
      <c r="MYG4" s="299"/>
      <c r="MYH4" s="299"/>
      <c r="MYI4" s="299"/>
      <c r="MYJ4" s="299"/>
      <c r="MYK4" s="299"/>
      <c r="MYL4" s="299"/>
      <c r="MYM4" s="299"/>
      <c r="MYN4" s="299"/>
      <c r="MYO4" s="299"/>
      <c r="MYP4" s="299"/>
      <c r="MYQ4" s="299"/>
      <c r="MYR4" s="299"/>
      <c r="MYS4" s="299"/>
      <c r="MYT4" s="299"/>
      <c r="MYU4" s="299"/>
      <c r="MYV4" s="299"/>
      <c r="MYW4" s="299"/>
      <c r="MYX4" s="299"/>
      <c r="MYY4" s="299"/>
      <c r="MYZ4" s="299"/>
      <c r="MZA4" s="299"/>
      <c r="MZB4" s="299"/>
      <c r="MZC4" s="299"/>
      <c r="MZD4" s="299"/>
      <c r="MZE4" s="299"/>
      <c r="MZF4" s="299"/>
      <c r="MZG4" s="299"/>
      <c r="MZH4" s="299"/>
      <c r="MZI4" s="299"/>
      <c r="MZJ4" s="299"/>
      <c r="MZK4" s="299"/>
      <c r="MZL4" s="299"/>
      <c r="MZM4" s="299"/>
      <c r="MZN4" s="299"/>
      <c r="MZO4" s="299"/>
      <c r="MZP4" s="299"/>
      <c r="MZQ4" s="299"/>
      <c r="MZR4" s="299"/>
      <c r="MZS4" s="299"/>
      <c r="MZT4" s="299"/>
      <c r="MZU4" s="299"/>
      <c r="MZV4" s="299"/>
      <c r="MZW4" s="299"/>
      <c r="MZX4" s="299"/>
      <c r="MZY4" s="299"/>
      <c r="MZZ4" s="299"/>
      <c r="NAA4" s="299"/>
      <c r="NAB4" s="299"/>
      <c r="NAC4" s="299"/>
      <c r="NAD4" s="299"/>
      <c r="NAE4" s="299"/>
      <c r="NAF4" s="299"/>
      <c r="NAG4" s="299"/>
      <c r="NAH4" s="299"/>
      <c r="NAI4" s="299"/>
      <c r="NAJ4" s="299"/>
      <c r="NAK4" s="299"/>
      <c r="NAL4" s="299"/>
      <c r="NAM4" s="299"/>
      <c r="NAN4" s="299"/>
      <c r="NAO4" s="299"/>
      <c r="NAP4" s="299"/>
      <c r="NAQ4" s="299"/>
      <c r="NAR4" s="299"/>
      <c r="NAS4" s="299"/>
      <c r="NAT4" s="299"/>
      <c r="NAU4" s="299"/>
      <c r="NAV4" s="299"/>
      <c r="NAW4" s="299"/>
      <c r="NAX4" s="299"/>
      <c r="NAY4" s="299"/>
      <c r="NAZ4" s="299"/>
      <c r="NBA4" s="299"/>
      <c r="NBB4" s="299"/>
      <c r="NBC4" s="299"/>
      <c r="NBD4" s="299"/>
      <c r="NBE4" s="299"/>
      <c r="NBF4" s="299"/>
      <c r="NBG4" s="299"/>
      <c r="NBH4" s="299"/>
      <c r="NBI4" s="299"/>
      <c r="NBJ4" s="299"/>
      <c r="NBK4" s="299"/>
      <c r="NBL4" s="299"/>
      <c r="NBM4" s="299"/>
      <c r="NBN4" s="299"/>
      <c r="NBO4" s="299"/>
      <c r="NBP4" s="299"/>
      <c r="NBQ4" s="299"/>
      <c r="NBR4" s="299"/>
      <c r="NBS4" s="299"/>
      <c r="NBT4" s="299"/>
      <c r="NBU4" s="299"/>
      <c r="NBV4" s="299"/>
      <c r="NBW4" s="299"/>
      <c r="NBX4" s="299"/>
      <c r="NBY4" s="299"/>
      <c r="NBZ4" s="299"/>
      <c r="NCA4" s="299"/>
      <c r="NCB4" s="299"/>
      <c r="NCC4" s="299"/>
      <c r="NCD4" s="299"/>
      <c r="NCE4" s="299"/>
      <c r="NCF4" s="299"/>
      <c r="NCG4" s="299"/>
      <c r="NCH4" s="299"/>
      <c r="NCI4" s="299"/>
      <c r="NCJ4" s="299"/>
      <c r="NCK4" s="299"/>
      <c r="NCL4" s="299"/>
      <c r="NCM4" s="299"/>
      <c r="NCN4" s="299"/>
      <c r="NCO4" s="299"/>
      <c r="NCP4" s="299"/>
      <c r="NCQ4" s="299"/>
      <c r="NCR4" s="299"/>
      <c r="NCS4" s="299"/>
      <c r="NCT4" s="299"/>
      <c r="NCU4" s="299"/>
      <c r="NCV4" s="299"/>
      <c r="NCW4" s="299"/>
      <c r="NCX4" s="299"/>
      <c r="NCY4" s="299"/>
      <c r="NCZ4" s="299"/>
      <c r="NDA4" s="299"/>
      <c r="NDB4" s="299"/>
      <c r="NDC4" s="299"/>
      <c r="NDD4" s="299"/>
      <c r="NDE4" s="299"/>
      <c r="NDF4" s="299"/>
      <c r="NDG4" s="299"/>
      <c r="NDH4" s="299"/>
      <c r="NDI4" s="299"/>
      <c r="NDJ4" s="299"/>
      <c r="NDK4" s="299"/>
      <c r="NDL4" s="299"/>
      <c r="NDM4" s="299"/>
      <c r="NDN4" s="299"/>
      <c r="NDO4" s="299"/>
      <c r="NDP4" s="299"/>
      <c r="NDQ4" s="299"/>
      <c r="NDR4" s="299"/>
      <c r="NDS4" s="299"/>
      <c r="NDT4" s="299"/>
      <c r="NDU4" s="299"/>
      <c r="NDV4" s="299"/>
      <c r="NDW4" s="299"/>
      <c r="NDX4" s="299"/>
      <c r="NDY4" s="299"/>
      <c r="NDZ4" s="299"/>
      <c r="NEA4" s="299"/>
      <c r="NEB4" s="299"/>
      <c r="NEC4" s="299"/>
      <c r="NED4" s="299"/>
      <c r="NEE4" s="299"/>
      <c r="NEF4" s="299"/>
      <c r="NEG4" s="299"/>
      <c r="NEH4" s="299"/>
      <c r="NEI4" s="299"/>
      <c r="NEJ4" s="299"/>
      <c r="NEK4" s="299"/>
      <c r="NEL4" s="299"/>
      <c r="NEM4" s="299"/>
      <c r="NEN4" s="299"/>
      <c r="NEO4" s="299"/>
      <c r="NEP4" s="299"/>
      <c r="NEQ4" s="299"/>
      <c r="NER4" s="299"/>
      <c r="NES4" s="299"/>
      <c r="NET4" s="299"/>
      <c r="NEU4" s="299"/>
      <c r="NEV4" s="299"/>
      <c r="NEW4" s="299"/>
      <c r="NEX4" s="299"/>
      <c r="NEY4" s="299"/>
      <c r="NEZ4" s="299"/>
      <c r="NFA4" s="299"/>
      <c r="NFB4" s="299"/>
      <c r="NFC4" s="299"/>
      <c r="NFD4" s="299"/>
      <c r="NFE4" s="299"/>
      <c r="NFF4" s="299"/>
      <c r="NFG4" s="299"/>
      <c r="NFH4" s="299"/>
      <c r="NFI4" s="299"/>
      <c r="NFJ4" s="299"/>
      <c r="NFK4" s="299"/>
      <c r="NFL4" s="299"/>
      <c r="NFM4" s="299"/>
      <c r="NFN4" s="299"/>
      <c r="NFO4" s="299"/>
      <c r="NFP4" s="299"/>
      <c r="NFQ4" s="299"/>
      <c r="NFR4" s="299"/>
      <c r="NFS4" s="299"/>
      <c r="NFT4" s="299"/>
      <c r="NFU4" s="299"/>
      <c r="NFV4" s="299"/>
      <c r="NFW4" s="299"/>
      <c r="NFX4" s="299"/>
      <c r="NFY4" s="299"/>
      <c r="NFZ4" s="299"/>
      <c r="NGA4" s="299"/>
      <c r="NGB4" s="299"/>
      <c r="NGC4" s="299"/>
      <c r="NGD4" s="299"/>
      <c r="NGE4" s="299"/>
      <c r="NGF4" s="299"/>
      <c r="NGG4" s="299"/>
      <c r="NGH4" s="299"/>
      <c r="NGI4" s="299"/>
      <c r="NGJ4" s="299"/>
      <c r="NGK4" s="299"/>
      <c r="NGL4" s="299"/>
      <c r="NGM4" s="299"/>
      <c r="NGN4" s="299"/>
      <c r="NGO4" s="299"/>
      <c r="NGP4" s="299"/>
      <c r="NGQ4" s="299"/>
      <c r="NGR4" s="299"/>
      <c r="NGS4" s="299"/>
      <c r="NGT4" s="299"/>
      <c r="NGU4" s="299"/>
      <c r="NGV4" s="299"/>
      <c r="NGW4" s="299"/>
      <c r="NGX4" s="299"/>
      <c r="NGY4" s="299"/>
      <c r="NGZ4" s="299"/>
      <c r="NHA4" s="299"/>
      <c r="NHB4" s="299"/>
      <c r="NHC4" s="299"/>
      <c r="NHD4" s="299"/>
      <c r="NHE4" s="299"/>
      <c r="NHF4" s="299"/>
      <c r="NHG4" s="299"/>
      <c r="NHH4" s="299"/>
      <c r="NHI4" s="299"/>
      <c r="NHJ4" s="299"/>
      <c r="NHK4" s="299"/>
      <c r="NHL4" s="299"/>
      <c r="NHM4" s="299"/>
      <c r="NHN4" s="299"/>
      <c r="NHO4" s="299"/>
      <c r="NHP4" s="299"/>
      <c r="NHQ4" s="299"/>
      <c r="NHR4" s="299"/>
      <c r="NHS4" s="299"/>
      <c r="NHT4" s="299"/>
      <c r="NHU4" s="299"/>
      <c r="NHV4" s="299"/>
      <c r="NHW4" s="299"/>
      <c r="NHX4" s="299"/>
      <c r="NHY4" s="299"/>
      <c r="NHZ4" s="299"/>
      <c r="NIA4" s="299"/>
      <c r="NIB4" s="299"/>
      <c r="NIC4" s="299"/>
      <c r="NID4" s="299"/>
      <c r="NIE4" s="299"/>
      <c r="NIF4" s="299"/>
      <c r="NIG4" s="299"/>
      <c r="NIH4" s="299"/>
      <c r="NII4" s="299"/>
      <c r="NIJ4" s="299"/>
      <c r="NIK4" s="299"/>
      <c r="NIL4" s="299"/>
      <c r="NIM4" s="299"/>
      <c r="NIN4" s="299"/>
      <c r="NIO4" s="299"/>
      <c r="NIP4" s="299"/>
      <c r="NIQ4" s="299"/>
      <c r="NIR4" s="299"/>
      <c r="NIS4" s="299"/>
      <c r="NIT4" s="299"/>
      <c r="NIU4" s="299"/>
      <c r="NIV4" s="299"/>
      <c r="NIW4" s="299"/>
      <c r="NIX4" s="299"/>
      <c r="NIY4" s="299"/>
      <c r="NIZ4" s="299"/>
      <c r="NJA4" s="299"/>
      <c r="NJB4" s="299"/>
      <c r="NJC4" s="299"/>
      <c r="NJD4" s="299"/>
      <c r="NJE4" s="299"/>
      <c r="NJF4" s="299"/>
      <c r="NJG4" s="299"/>
      <c r="NJH4" s="299"/>
      <c r="NJI4" s="299"/>
      <c r="NJJ4" s="299"/>
      <c r="NJK4" s="299"/>
      <c r="NJL4" s="299"/>
      <c r="NJM4" s="299"/>
      <c r="NJN4" s="299"/>
      <c r="NJO4" s="299"/>
      <c r="NJP4" s="299"/>
      <c r="NJQ4" s="299"/>
      <c r="NJR4" s="299"/>
      <c r="NJS4" s="299"/>
      <c r="NJT4" s="299"/>
      <c r="NJU4" s="299"/>
      <c r="NJV4" s="299"/>
      <c r="NJW4" s="299"/>
      <c r="NJX4" s="299"/>
      <c r="NJY4" s="299"/>
      <c r="NJZ4" s="299"/>
      <c r="NKA4" s="299"/>
      <c r="NKB4" s="299"/>
      <c r="NKC4" s="299"/>
      <c r="NKD4" s="299"/>
      <c r="NKE4" s="299"/>
      <c r="NKF4" s="299"/>
      <c r="NKG4" s="299"/>
      <c r="NKH4" s="299"/>
      <c r="NKI4" s="299"/>
      <c r="NKJ4" s="299"/>
      <c r="NKK4" s="299"/>
      <c r="NKL4" s="299"/>
      <c r="NKM4" s="299"/>
      <c r="NKN4" s="299"/>
      <c r="NKO4" s="299"/>
      <c r="NKP4" s="299"/>
      <c r="NKQ4" s="299"/>
      <c r="NKR4" s="299"/>
      <c r="NKS4" s="299"/>
      <c r="NKT4" s="299"/>
      <c r="NKU4" s="299"/>
      <c r="NKV4" s="299"/>
      <c r="NKW4" s="299"/>
      <c r="NKX4" s="299"/>
      <c r="NKY4" s="299"/>
      <c r="NKZ4" s="299"/>
      <c r="NLA4" s="299"/>
      <c r="NLB4" s="299"/>
      <c r="NLC4" s="299"/>
      <c r="NLD4" s="299"/>
      <c r="NLE4" s="299"/>
      <c r="NLF4" s="299"/>
      <c r="NLG4" s="299"/>
      <c r="NLH4" s="299"/>
      <c r="NLI4" s="299"/>
      <c r="NLJ4" s="299"/>
      <c r="NLK4" s="299"/>
      <c r="NLL4" s="299"/>
      <c r="NLM4" s="299"/>
      <c r="NLN4" s="299"/>
      <c r="NLO4" s="299"/>
      <c r="NLP4" s="299"/>
      <c r="NLQ4" s="299"/>
      <c r="NLR4" s="299"/>
      <c r="NLS4" s="299"/>
      <c r="NLT4" s="299"/>
      <c r="NLU4" s="299"/>
      <c r="NLV4" s="299"/>
      <c r="NLW4" s="299"/>
      <c r="NLX4" s="299"/>
      <c r="NLY4" s="299"/>
      <c r="NLZ4" s="299"/>
      <c r="NMA4" s="299"/>
      <c r="NMB4" s="299"/>
      <c r="NMC4" s="299"/>
      <c r="NMD4" s="299"/>
      <c r="NME4" s="299"/>
      <c r="NMF4" s="299"/>
      <c r="NMG4" s="299"/>
      <c r="NMH4" s="299"/>
      <c r="NMI4" s="299"/>
      <c r="NMJ4" s="299"/>
      <c r="NMK4" s="299"/>
      <c r="NML4" s="299"/>
      <c r="NMM4" s="299"/>
      <c r="NMN4" s="299"/>
      <c r="NMO4" s="299"/>
      <c r="NMP4" s="299"/>
      <c r="NMQ4" s="299"/>
      <c r="NMR4" s="299"/>
      <c r="NMS4" s="299"/>
      <c r="NMT4" s="299"/>
      <c r="NMU4" s="299"/>
      <c r="NMV4" s="299"/>
      <c r="NMW4" s="299"/>
      <c r="NMX4" s="299"/>
      <c r="NMY4" s="299"/>
      <c r="NMZ4" s="299"/>
      <c r="NNA4" s="299"/>
      <c r="NNB4" s="299"/>
      <c r="NNC4" s="299"/>
      <c r="NND4" s="299"/>
      <c r="NNE4" s="299"/>
      <c r="NNF4" s="299"/>
      <c r="NNG4" s="299"/>
      <c r="NNH4" s="299"/>
      <c r="NNI4" s="299"/>
      <c r="NNJ4" s="299"/>
      <c r="NNK4" s="299"/>
      <c r="NNL4" s="299"/>
      <c r="NNM4" s="299"/>
      <c r="NNN4" s="299"/>
      <c r="NNO4" s="299"/>
      <c r="NNP4" s="299"/>
      <c r="NNQ4" s="299"/>
      <c r="NNR4" s="299"/>
      <c r="NNS4" s="299"/>
      <c r="NNT4" s="299"/>
      <c r="NNU4" s="299"/>
      <c r="NNV4" s="299"/>
      <c r="NNW4" s="299"/>
      <c r="NNX4" s="299"/>
      <c r="NNY4" s="299"/>
      <c r="NNZ4" s="299"/>
      <c r="NOA4" s="299"/>
      <c r="NOB4" s="299"/>
      <c r="NOC4" s="299"/>
      <c r="NOD4" s="299"/>
      <c r="NOE4" s="299"/>
      <c r="NOF4" s="299"/>
      <c r="NOG4" s="299"/>
      <c r="NOH4" s="299"/>
      <c r="NOI4" s="299"/>
      <c r="NOJ4" s="299"/>
      <c r="NOK4" s="299"/>
      <c r="NOL4" s="299"/>
      <c r="NOM4" s="299"/>
      <c r="NON4" s="299"/>
      <c r="NOO4" s="299"/>
      <c r="NOP4" s="299"/>
      <c r="NOQ4" s="299"/>
      <c r="NOR4" s="299"/>
      <c r="NOS4" s="299"/>
      <c r="NOT4" s="299"/>
      <c r="NOU4" s="299"/>
      <c r="NOV4" s="299"/>
      <c r="NOW4" s="299"/>
      <c r="NOX4" s="299"/>
      <c r="NOY4" s="299"/>
      <c r="NOZ4" s="299"/>
      <c r="NPA4" s="299"/>
      <c r="NPB4" s="299"/>
      <c r="NPC4" s="299"/>
      <c r="NPD4" s="299"/>
      <c r="NPE4" s="299"/>
      <c r="NPF4" s="299"/>
      <c r="NPG4" s="299"/>
      <c r="NPH4" s="299"/>
      <c r="NPI4" s="299"/>
      <c r="NPJ4" s="299"/>
      <c r="NPK4" s="299"/>
      <c r="NPL4" s="299"/>
      <c r="NPM4" s="299"/>
      <c r="NPN4" s="299"/>
      <c r="NPO4" s="299"/>
      <c r="NPP4" s="299"/>
      <c r="NPQ4" s="299"/>
      <c r="NPR4" s="299"/>
      <c r="NPS4" s="299"/>
      <c r="NPT4" s="299"/>
      <c r="NPU4" s="299"/>
      <c r="NPV4" s="299"/>
      <c r="NPW4" s="299"/>
      <c r="NPX4" s="299"/>
      <c r="NPY4" s="299"/>
      <c r="NPZ4" s="299"/>
      <c r="NQA4" s="299"/>
      <c r="NQB4" s="299"/>
      <c r="NQC4" s="299"/>
      <c r="NQD4" s="299"/>
      <c r="NQE4" s="299"/>
      <c r="NQF4" s="299"/>
      <c r="NQG4" s="299"/>
      <c r="NQH4" s="299"/>
      <c r="NQI4" s="299"/>
      <c r="NQJ4" s="299"/>
      <c r="NQK4" s="299"/>
      <c r="NQL4" s="299"/>
      <c r="NQM4" s="299"/>
      <c r="NQN4" s="299"/>
      <c r="NQO4" s="299"/>
      <c r="NQP4" s="299"/>
      <c r="NQQ4" s="299"/>
      <c r="NQR4" s="299"/>
      <c r="NQS4" s="299"/>
      <c r="NQT4" s="299"/>
      <c r="NQU4" s="299"/>
      <c r="NQV4" s="299"/>
      <c r="NQW4" s="299"/>
      <c r="NQX4" s="299"/>
      <c r="NQY4" s="299"/>
      <c r="NQZ4" s="299"/>
      <c r="NRA4" s="299"/>
      <c r="NRB4" s="299"/>
      <c r="NRC4" s="299"/>
      <c r="NRD4" s="299"/>
      <c r="NRE4" s="299"/>
      <c r="NRF4" s="299"/>
      <c r="NRG4" s="299"/>
      <c r="NRH4" s="299"/>
      <c r="NRI4" s="299"/>
      <c r="NRJ4" s="299"/>
      <c r="NRK4" s="299"/>
      <c r="NRL4" s="299"/>
      <c r="NRM4" s="299"/>
      <c r="NRN4" s="299"/>
      <c r="NRO4" s="299"/>
      <c r="NRP4" s="299"/>
      <c r="NRQ4" s="299"/>
      <c r="NRR4" s="299"/>
      <c r="NRS4" s="299"/>
      <c r="NRT4" s="299"/>
      <c r="NRU4" s="299"/>
      <c r="NRV4" s="299"/>
      <c r="NRW4" s="299"/>
      <c r="NRX4" s="299"/>
      <c r="NRY4" s="299"/>
      <c r="NRZ4" s="299"/>
      <c r="NSA4" s="299"/>
      <c r="NSB4" s="299"/>
      <c r="NSC4" s="299"/>
      <c r="NSD4" s="299"/>
      <c r="NSE4" s="299"/>
      <c r="NSF4" s="299"/>
      <c r="NSG4" s="299"/>
      <c r="NSH4" s="299"/>
      <c r="NSI4" s="299"/>
      <c r="NSJ4" s="299"/>
      <c r="NSK4" s="299"/>
      <c r="NSL4" s="299"/>
      <c r="NSM4" s="299"/>
      <c r="NSN4" s="299"/>
      <c r="NSO4" s="299"/>
      <c r="NSP4" s="299"/>
      <c r="NSQ4" s="299"/>
      <c r="NSR4" s="299"/>
      <c r="NSS4" s="299"/>
      <c r="NST4" s="299"/>
      <c r="NSU4" s="299"/>
      <c r="NSV4" s="299"/>
      <c r="NSW4" s="299"/>
      <c r="NSX4" s="299"/>
      <c r="NSY4" s="299"/>
      <c r="NSZ4" s="299"/>
      <c r="NTA4" s="299"/>
      <c r="NTB4" s="299"/>
      <c r="NTC4" s="299"/>
      <c r="NTD4" s="299"/>
      <c r="NTE4" s="299"/>
      <c r="NTF4" s="299"/>
      <c r="NTG4" s="299"/>
      <c r="NTH4" s="299"/>
      <c r="NTI4" s="299"/>
      <c r="NTJ4" s="299"/>
      <c r="NTK4" s="299"/>
      <c r="NTL4" s="299"/>
      <c r="NTM4" s="299"/>
      <c r="NTN4" s="299"/>
      <c r="NTO4" s="299"/>
      <c r="NTP4" s="299"/>
      <c r="NTQ4" s="299"/>
      <c r="NTR4" s="299"/>
      <c r="NTS4" s="299"/>
      <c r="NTT4" s="299"/>
      <c r="NTU4" s="299"/>
      <c r="NTV4" s="299"/>
      <c r="NTW4" s="299"/>
      <c r="NTX4" s="299"/>
      <c r="NTY4" s="299"/>
      <c r="NTZ4" s="299"/>
      <c r="NUA4" s="299"/>
      <c r="NUB4" s="299"/>
      <c r="NUC4" s="299"/>
      <c r="NUD4" s="299"/>
      <c r="NUE4" s="299"/>
      <c r="NUF4" s="299"/>
      <c r="NUG4" s="299"/>
      <c r="NUH4" s="299"/>
      <c r="NUI4" s="299"/>
      <c r="NUJ4" s="299"/>
      <c r="NUK4" s="299"/>
      <c r="NUL4" s="299"/>
      <c r="NUM4" s="299"/>
      <c r="NUN4" s="299"/>
      <c r="NUO4" s="299"/>
      <c r="NUP4" s="299"/>
      <c r="NUQ4" s="299"/>
      <c r="NUR4" s="299"/>
      <c r="NUS4" s="299"/>
      <c r="NUT4" s="299"/>
      <c r="NUU4" s="299"/>
      <c r="NUV4" s="299"/>
      <c r="NUW4" s="299"/>
      <c r="NUX4" s="299"/>
      <c r="NUY4" s="299"/>
      <c r="NUZ4" s="299"/>
      <c r="NVA4" s="299"/>
      <c r="NVB4" s="299"/>
      <c r="NVC4" s="299"/>
      <c r="NVD4" s="299"/>
      <c r="NVE4" s="299"/>
      <c r="NVF4" s="299"/>
      <c r="NVG4" s="299"/>
      <c r="NVH4" s="299"/>
      <c r="NVI4" s="299"/>
      <c r="NVJ4" s="299"/>
      <c r="NVK4" s="299"/>
      <c r="NVL4" s="299"/>
      <c r="NVM4" s="299"/>
      <c r="NVN4" s="299"/>
      <c r="NVO4" s="299"/>
      <c r="NVP4" s="299"/>
      <c r="NVQ4" s="299"/>
      <c r="NVR4" s="299"/>
      <c r="NVS4" s="299"/>
      <c r="NVT4" s="299"/>
      <c r="NVU4" s="299"/>
      <c r="NVV4" s="299"/>
      <c r="NVW4" s="299"/>
      <c r="NVX4" s="299"/>
      <c r="NVY4" s="299"/>
      <c r="NVZ4" s="299"/>
      <c r="NWA4" s="299"/>
      <c r="NWB4" s="299"/>
      <c r="NWC4" s="299"/>
      <c r="NWD4" s="299"/>
      <c r="NWE4" s="299"/>
      <c r="NWF4" s="299"/>
      <c r="NWG4" s="299"/>
      <c r="NWH4" s="299"/>
      <c r="NWI4" s="299"/>
      <c r="NWJ4" s="299"/>
      <c r="NWK4" s="299"/>
      <c r="NWL4" s="299"/>
      <c r="NWM4" s="299"/>
      <c r="NWN4" s="299"/>
      <c r="NWO4" s="299"/>
      <c r="NWP4" s="299"/>
      <c r="NWQ4" s="299"/>
      <c r="NWR4" s="299"/>
      <c r="NWS4" s="299"/>
      <c r="NWT4" s="299"/>
      <c r="NWU4" s="299"/>
      <c r="NWV4" s="299"/>
      <c r="NWW4" s="299"/>
      <c r="NWX4" s="299"/>
      <c r="NWY4" s="299"/>
      <c r="NWZ4" s="299"/>
      <c r="NXA4" s="299"/>
      <c r="NXB4" s="299"/>
      <c r="NXC4" s="299"/>
      <c r="NXD4" s="299"/>
      <c r="NXE4" s="299"/>
      <c r="NXF4" s="299"/>
      <c r="NXG4" s="299"/>
      <c r="NXH4" s="299"/>
      <c r="NXI4" s="299"/>
      <c r="NXJ4" s="299"/>
      <c r="NXK4" s="299"/>
      <c r="NXL4" s="299"/>
      <c r="NXM4" s="299"/>
      <c r="NXN4" s="299"/>
      <c r="NXO4" s="299"/>
      <c r="NXP4" s="299"/>
      <c r="NXQ4" s="299"/>
      <c r="NXR4" s="299"/>
      <c r="NXS4" s="299"/>
      <c r="NXT4" s="299"/>
      <c r="NXU4" s="299"/>
      <c r="NXV4" s="299"/>
      <c r="NXW4" s="299"/>
      <c r="NXX4" s="299"/>
      <c r="NXY4" s="299"/>
      <c r="NXZ4" s="299"/>
      <c r="NYA4" s="299"/>
      <c r="NYB4" s="299"/>
      <c r="NYC4" s="299"/>
      <c r="NYD4" s="299"/>
      <c r="NYE4" s="299"/>
      <c r="NYF4" s="299"/>
      <c r="NYG4" s="299"/>
      <c r="NYH4" s="299"/>
      <c r="NYI4" s="299"/>
      <c r="NYJ4" s="299"/>
      <c r="NYK4" s="299"/>
      <c r="NYL4" s="299"/>
      <c r="NYM4" s="299"/>
      <c r="NYN4" s="299"/>
      <c r="NYO4" s="299"/>
      <c r="NYP4" s="299"/>
      <c r="NYQ4" s="299"/>
      <c r="NYR4" s="299"/>
      <c r="NYS4" s="299"/>
      <c r="NYT4" s="299"/>
      <c r="NYU4" s="299"/>
      <c r="NYV4" s="299"/>
      <c r="NYW4" s="299"/>
      <c r="NYX4" s="299"/>
      <c r="NYY4" s="299"/>
      <c r="NYZ4" s="299"/>
      <c r="NZA4" s="299"/>
      <c r="NZB4" s="299"/>
      <c r="NZC4" s="299"/>
      <c r="NZD4" s="299"/>
      <c r="NZE4" s="299"/>
      <c r="NZF4" s="299"/>
      <c r="NZG4" s="299"/>
      <c r="NZH4" s="299"/>
      <c r="NZI4" s="299"/>
      <c r="NZJ4" s="299"/>
      <c r="NZK4" s="299"/>
      <c r="NZL4" s="299"/>
      <c r="NZM4" s="299"/>
      <c r="NZN4" s="299"/>
      <c r="NZO4" s="299"/>
      <c r="NZP4" s="299"/>
      <c r="NZQ4" s="299"/>
      <c r="NZR4" s="299"/>
      <c r="NZS4" s="299"/>
      <c r="NZT4" s="299"/>
      <c r="NZU4" s="299"/>
      <c r="NZV4" s="299"/>
      <c r="NZW4" s="299"/>
      <c r="NZX4" s="299"/>
      <c r="NZY4" s="299"/>
      <c r="NZZ4" s="299"/>
      <c r="OAA4" s="299"/>
      <c r="OAB4" s="299"/>
      <c r="OAC4" s="299"/>
      <c r="OAD4" s="299"/>
      <c r="OAE4" s="299"/>
      <c r="OAF4" s="299"/>
      <c r="OAG4" s="299"/>
      <c r="OAH4" s="299"/>
      <c r="OAI4" s="299"/>
      <c r="OAJ4" s="299"/>
      <c r="OAK4" s="299"/>
      <c r="OAL4" s="299"/>
      <c r="OAM4" s="299"/>
      <c r="OAN4" s="299"/>
      <c r="OAO4" s="299"/>
      <c r="OAP4" s="299"/>
      <c r="OAQ4" s="299"/>
      <c r="OAR4" s="299"/>
      <c r="OAS4" s="299"/>
      <c r="OAT4" s="299"/>
      <c r="OAU4" s="299"/>
      <c r="OAV4" s="299"/>
      <c r="OAW4" s="299"/>
      <c r="OAX4" s="299"/>
      <c r="OAY4" s="299"/>
      <c r="OAZ4" s="299"/>
      <c r="OBA4" s="299"/>
      <c r="OBB4" s="299"/>
      <c r="OBC4" s="299"/>
      <c r="OBD4" s="299"/>
      <c r="OBE4" s="299"/>
      <c r="OBF4" s="299"/>
      <c r="OBG4" s="299"/>
      <c r="OBH4" s="299"/>
      <c r="OBI4" s="299"/>
      <c r="OBJ4" s="299"/>
      <c r="OBK4" s="299"/>
      <c r="OBL4" s="299"/>
      <c r="OBM4" s="299"/>
      <c r="OBN4" s="299"/>
      <c r="OBO4" s="299"/>
      <c r="OBP4" s="299"/>
      <c r="OBQ4" s="299"/>
      <c r="OBR4" s="299"/>
      <c r="OBS4" s="299"/>
      <c r="OBT4" s="299"/>
      <c r="OBU4" s="299"/>
      <c r="OBV4" s="299"/>
      <c r="OBW4" s="299"/>
      <c r="OBX4" s="299"/>
      <c r="OBY4" s="299"/>
      <c r="OBZ4" s="299"/>
      <c r="OCA4" s="299"/>
      <c r="OCB4" s="299"/>
      <c r="OCC4" s="299"/>
      <c r="OCD4" s="299"/>
      <c r="OCE4" s="299"/>
      <c r="OCF4" s="299"/>
      <c r="OCG4" s="299"/>
      <c r="OCH4" s="299"/>
      <c r="OCI4" s="299"/>
      <c r="OCJ4" s="299"/>
      <c r="OCK4" s="299"/>
      <c r="OCL4" s="299"/>
      <c r="OCM4" s="299"/>
      <c r="OCN4" s="299"/>
      <c r="OCO4" s="299"/>
      <c r="OCP4" s="299"/>
      <c r="OCQ4" s="299"/>
      <c r="OCR4" s="299"/>
      <c r="OCS4" s="299"/>
      <c r="OCT4" s="299"/>
      <c r="OCU4" s="299"/>
      <c r="OCV4" s="299"/>
      <c r="OCW4" s="299"/>
      <c r="OCX4" s="299"/>
      <c r="OCY4" s="299"/>
      <c r="OCZ4" s="299"/>
      <c r="ODA4" s="299"/>
      <c r="ODB4" s="299"/>
      <c r="ODC4" s="299"/>
      <c r="ODD4" s="299"/>
      <c r="ODE4" s="299"/>
      <c r="ODF4" s="299"/>
      <c r="ODG4" s="299"/>
      <c r="ODH4" s="299"/>
      <c r="ODI4" s="299"/>
      <c r="ODJ4" s="299"/>
      <c r="ODK4" s="299"/>
      <c r="ODL4" s="299"/>
      <c r="ODM4" s="299"/>
      <c r="ODN4" s="299"/>
      <c r="ODO4" s="299"/>
      <c r="ODP4" s="299"/>
      <c r="ODQ4" s="299"/>
      <c r="ODR4" s="299"/>
      <c r="ODS4" s="299"/>
      <c r="ODT4" s="299"/>
      <c r="ODU4" s="299"/>
      <c r="ODV4" s="299"/>
      <c r="ODW4" s="299"/>
      <c r="ODX4" s="299"/>
      <c r="ODY4" s="299"/>
      <c r="ODZ4" s="299"/>
      <c r="OEA4" s="299"/>
      <c r="OEB4" s="299"/>
      <c r="OEC4" s="299"/>
      <c r="OED4" s="299"/>
      <c r="OEE4" s="299"/>
      <c r="OEF4" s="299"/>
      <c r="OEG4" s="299"/>
      <c r="OEH4" s="299"/>
      <c r="OEI4" s="299"/>
      <c r="OEJ4" s="299"/>
      <c r="OEK4" s="299"/>
      <c r="OEL4" s="299"/>
      <c r="OEM4" s="299"/>
      <c r="OEN4" s="299"/>
      <c r="OEO4" s="299"/>
      <c r="OEP4" s="299"/>
      <c r="OEQ4" s="299"/>
      <c r="OER4" s="299"/>
      <c r="OES4" s="299"/>
      <c r="OET4" s="299"/>
      <c r="OEU4" s="299"/>
      <c r="OEV4" s="299"/>
      <c r="OEW4" s="299"/>
      <c r="OEX4" s="299"/>
      <c r="OEY4" s="299"/>
      <c r="OEZ4" s="299"/>
      <c r="OFA4" s="299"/>
      <c r="OFB4" s="299"/>
      <c r="OFC4" s="299"/>
      <c r="OFD4" s="299"/>
      <c r="OFE4" s="299"/>
      <c r="OFF4" s="299"/>
      <c r="OFG4" s="299"/>
      <c r="OFH4" s="299"/>
      <c r="OFI4" s="299"/>
      <c r="OFJ4" s="299"/>
      <c r="OFK4" s="299"/>
      <c r="OFL4" s="299"/>
      <c r="OFM4" s="299"/>
      <c r="OFN4" s="299"/>
      <c r="OFO4" s="299"/>
      <c r="OFP4" s="299"/>
      <c r="OFQ4" s="299"/>
      <c r="OFR4" s="299"/>
      <c r="OFS4" s="299"/>
      <c r="OFT4" s="299"/>
      <c r="OFU4" s="299"/>
      <c r="OFV4" s="299"/>
      <c r="OFW4" s="299"/>
      <c r="OFX4" s="299"/>
      <c r="OFY4" s="299"/>
      <c r="OFZ4" s="299"/>
      <c r="OGA4" s="299"/>
      <c r="OGB4" s="299"/>
      <c r="OGC4" s="299"/>
      <c r="OGD4" s="299"/>
      <c r="OGE4" s="299"/>
      <c r="OGF4" s="299"/>
      <c r="OGG4" s="299"/>
      <c r="OGH4" s="299"/>
      <c r="OGI4" s="299"/>
      <c r="OGJ4" s="299"/>
      <c r="OGK4" s="299"/>
      <c r="OGL4" s="299"/>
      <c r="OGM4" s="299"/>
      <c r="OGN4" s="299"/>
      <c r="OGO4" s="299"/>
      <c r="OGP4" s="299"/>
      <c r="OGQ4" s="299"/>
      <c r="OGR4" s="299"/>
      <c r="OGS4" s="299"/>
      <c r="OGT4" s="299"/>
      <c r="OGU4" s="299"/>
      <c r="OGV4" s="299"/>
      <c r="OGW4" s="299"/>
      <c r="OGX4" s="299"/>
      <c r="OGY4" s="299"/>
      <c r="OGZ4" s="299"/>
      <c r="OHA4" s="299"/>
      <c r="OHB4" s="299"/>
      <c r="OHC4" s="299"/>
      <c r="OHD4" s="299"/>
      <c r="OHE4" s="299"/>
      <c r="OHF4" s="299"/>
      <c r="OHG4" s="299"/>
      <c r="OHH4" s="299"/>
      <c r="OHI4" s="299"/>
      <c r="OHJ4" s="299"/>
      <c r="OHK4" s="299"/>
      <c r="OHL4" s="299"/>
      <c r="OHM4" s="299"/>
      <c r="OHN4" s="299"/>
      <c r="OHO4" s="299"/>
      <c r="OHP4" s="299"/>
      <c r="OHQ4" s="299"/>
      <c r="OHR4" s="299"/>
      <c r="OHS4" s="299"/>
      <c r="OHT4" s="299"/>
      <c r="OHU4" s="299"/>
      <c r="OHV4" s="299"/>
      <c r="OHW4" s="299"/>
      <c r="OHX4" s="299"/>
      <c r="OHY4" s="299"/>
      <c r="OHZ4" s="299"/>
      <c r="OIA4" s="299"/>
      <c r="OIB4" s="299"/>
      <c r="OIC4" s="299"/>
      <c r="OID4" s="299"/>
      <c r="OIE4" s="299"/>
      <c r="OIF4" s="299"/>
      <c r="OIG4" s="299"/>
      <c r="OIH4" s="299"/>
      <c r="OII4" s="299"/>
      <c r="OIJ4" s="299"/>
      <c r="OIK4" s="299"/>
      <c r="OIL4" s="299"/>
      <c r="OIM4" s="299"/>
      <c r="OIN4" s="299"/>
      <c r="OIO4" s="299"/>
      <c r="OIP4" s="299"/>
      <c r="OIQ4" s="299"/>
      <c r="OIR4" s="299"/>
      <c r="OIS4" s="299"/>
      <c r="OIT4" s="299"/>
      <c r="OIU4" s="299"/>
      <c r="OIV4" s="299"/>
      <c r="OIW4" s="299"/>
      <c r="OIX4" s="299"/>
      <c r="OIY4" s="299"/>
      <c r="OIZ4" s="299"/>
      <c r="OJA4" s="299"/>
      <c r="OJB4" s="299"/>
      <c r="OJC4" s="299"/>
      <c r="OJD4" s="299"/>
      <c r="OJE4" s="299"/>
      <c r="OJF4" s="299"/>
      <c r="OJG4" s="299"/>
      <c r="OJH4" s="299"/>
      <c r="OJI4" s="299"/>
      <c r="OJJ4" s="299"/>
      <c r="OJK4" s="299"/>
      <c r="OJL4" s="299"/>
      <c r="OJM4" s="299"/>
      <c r="OJN4" s="299"/>
      <c r="OJO4" s="299"/>
      <c r="OJP4" s="299"/>
      <c r="OJQ4" s="299"/>
      <c r="OJR4" s="299"/>
      <c r="OJS4" s="299"/>
      <c r="OJT4" s="299"/>
      <c r="OJU4" s="299"/>
      <c r="OJV4" s="299"/>
      <c r="OJW4" s="299"/>
      <c r="OJX4" s="299"/>
      <c r="OJY4" s="299"/>
      <c r="OJZ4" s="299"/>
      <c r="OKA4" s="299"/>
      <c r="OKB4" s="299"/>
      <c r="OKC4" s="299"/>
      <c r="OKD4" s="299"/>
      <c r="OKE4" s="299"/>
      <c r="OKF4" s="299"/>
      <c r="OKG4" s="299"/>
      <c r="OKH4" s="299"/>
      <c r="OKI4" s="299"/>
      <c r="OKJ4" s="299"/>
      <c r="OKK4" s="299"/>
      <c r="OKL4" s="299"/>
      <c r="OKM4" s="299"/>
      <c r="OKN4" s="299"/>
      <c r="OKO4" s="299"/>
      <c r="OKP4" s="299"/>
      <c r="OKQ4" s="299"/>
      <c r="OKR4" s="299"/>
      <c r="OKS4" s="299"/>
      <c r="OKT4" s="299"/>
      <c r="OKU4" s="299"/>
      <c r="OKV4" s="299"/>
      <c r="OKW4" s="299"/>
      <c r="OKX4" s="299"/>
      <c r="OKY4" s="299"/>
      <c r="OKZ4" s="299"/>
      <c r="OLA4" s="299"/>
      <c r="OLB4" s="299"/>
      <c r="OLC4" s="299"/>
      <c r="OLD4" s="299"/>
      <c r="OLE4" s="299"/>
      <c r="OLF4" s="299"/>
      <c r="OLG4" s="299"/>
      <c r="OLH4" s="299"/>
      <c r="OLI4" s="299"/>
      <c r="OLJ4" s="299"/>
      <c r="OLK4" s="299"/>
      <c r="OLL4" s="299"/>
      <c r="OLM4" s="299"/>
      <c r="OLN4" s="299"/>
      <c r="OLO4" s="299"/>
      <c r="OLP4" s="299"/>
      <c r="OLQ4" s="299"/>
      <c r="OLR4" s="299"/>
      <c r="OLS4" s="299"/>
      <c r="OLT4" s="299"/>
      <c r="OLU4" s="299"/>
      <c r="OLV4" s="299"/>
      <c r="OLW4" s="299"/>
      <c r="OLX4" s="299"/>
      <c r="OLY4" s="299"/>
      <c r="OLZ4" s="299"/>
      <c r="OMA4" s="299"/>
      <c r="OMB4" s="299"/>
      <c r="OMC4" s="299"/>
      <c r="OMD4" s="299"/>
      <c r="OME4" s="299"/>
      <c r="OMF4" s="299"/>
      <c r="OMG4" s="299"/>
      <c r="OMH4" s="299"/>
      <c r="OMI4" s="299"/>
      <c r="OMJ4" s="299"/>
      <c r="OMK4" s="299"/>
      <c r="OML4" s="299"/>
      <c r="OMM4" s="299"/>
      <c r="OMN4" s="299"/>
      <c r="OMO4" s="299"/>
      <c r="OMP4" s="299"/>
      <c r="OMQ4" s="299"/>
      <c r="OMR4" s="299"/>
      <c r="OMS4" s="299"/>
      <c r="OMT4" s="299"/>
      <c r="OMU4" s="299"/>
      <c r="OMV4" s="299"/>
      <c r="OMW4" s="299"/>
      <c r="OMX4" s="299"/>
      <c r="OMY4" s="299"/>
      <c r="OMZ4" s="299"/>
      <c r="ONA4" s="299"/>
      <c r="ONB4" s="299"/>
      <c r="ONC4" s="299"/>
      <c r="OND4" s="299"/>
      <c r="ONE4" s="299"/>
      <c r="ONF4" s="299"/>
      <c r="ONG4" s="299"/>
      <c r="ONH4" s="299"/>
      <c r="ONI4" s="299"/>
      <c r="ONJ4" s="299"/>
      <c r="ONK4" s="299"/>
      <c r="ONL4" s="299"/>
      <c r="ONM4" s="299"/>
      <c r="ONN4" s="299"/>
      <c r="ONO4" s="299"/>
      <c r="ONP4" s="299"/>
      <c r="ONQ4" s="299"/>
      <c r="ONR4" s="299"/>
      <c r="ONS4" s="299"/>
      <c r="ONT4" s="299"/>
      <c r="ONU4" s="299"/>
      <c r="ONV4" s="299"/>
      <c r="ONW4" s="299"/>
      <c r="ONX4" s="299"/>
      <c r="ONY4" s="299"/>
      <c r="ONZ4" s="299"/>
      <c r="OOA4" s="299"/>
      <c r="OOB4" s="299"/>
      <c r="OOC4" s="299"/>
      <c r="OOD4" s="299"/>
      <c r="OOE4" s="299"/>
      <c r="OOF4" s="299"/>
      <c r="OOG4" s="299"/>
      <c r="OOH4" s="299"/>
      <c r="OOI4" s="299"/>
      <c r="OOJ4" s="299"/>
      <c r="OOK4" s="299"/>
      <c r="OOL4" s="299"/>
      <c r="OOM4" s="299"/>
      <c r="OON4" s="299"/>
      <c r="OOO4" s="299"/>
      <c r="OOP4" s="299"/>
      <c r="OOQ4" s="299"/>
      <c r="OOR4" s="299"/>
      <c r="OOS4" s="299"/>
      <c r="OOT4" s="299"/>
      <c r="OOU4" s="299"/>
      <c r="OOV4" s="299"/>
      <c r="OOW4" s="299"/>
      <c r="OOX4" s="299"/>
      <c r="OOY4" s="299"/>
      <c r="OOZ4" s="299"/>
      <c r="OPA4" s="299"/>
      <c r="OPB4" s="299"/>
      <c r="OPC4" s="299"/>
      <c r="OPD4" s="299"/>
      <c r="OPE4" s="299"/>
      <c r="OPF4" s="299"/>
      <c r="OPG4" s="299"/>
      <c r="OPH4" s="299"/>
      <c r="OPI4" s="299"/>
      <c r="OPJ4" s="299"/>
      <c r="OPK4" s="299"/>
      <c r="OPL4" s="299"/>
      <c r="OPM4" s="299"/>
      <c r="OPN4" s="299"/>
      <c r="OPO4" s="299"/>
      <c r="OPP4" s="299"/>
      <c r="OPQ4" s="299"/>
      <c r="OPR4" s="299"/>
      <c r="OPS4" s="299"/>
      <c r="OPT4" s="299"/>
      <c r="OPU4" s="299"/>
      <c r="OPV4" s="299"/>
      <c r="OPW4" s="299"/>
      <c r="OPX4" s="299"/>
      <c r="OPY4" s="299"/>
      <c r="OPZ4" s="299"/>
      <c r="OQA4" s="299"/>
      <c r="OQB4" s="299"/>
      <c r="OQC4" s="299"/>
      <c r="OQD4" s="299"/>
      <c r="OQE4" s="299"/>
      <c r="OQF4" s="299"/>
      <c r="OQG4" s="299"/>
      <c r="OQH4" s="299"/>
      <c r="OQI4" s="299"/>
      <c r="OQJ4" s="299"/>
      <c r="OQK4" s="299"/>
      <c r="OQL4" s="299"/>
      <c r="OQM4" s="299"/>
      <c r="OQN4" s="299"/>
      <c r="OQO4" s="299"/>
      <c r="OQP4" s="299"/>
      <c r="OQQ4" s="299"/>
      <c r="OQR4" s="299"/>
      <c r="OQS4" s="299"/>
      <c r="OQT4" s="299"/>
      <c r="OQU4" s="299"/>
      <c r="OQV4" s="299"/>
      <c r="OQW4" s="299"/>
      <c r="OQX4" s="299"/>
      <c r="OQY4" s="299"/>
      <c r="OQZ4" s="299"/>
      <c r="ORA4" s="299"/>
      <c r="ORB4" s="299"/>
      <c r="ORC4" s="299"/>
      <c r="ORD4" s="299"/>
      <c r="ORE4" s="299"/>
      <c r="ORF4" s="299"/>
      <c r="ORG4" s="299"/>
      <c r="ORH4" s="299"/>
      <c r="ORI4" s="299"/>
      <c r="ORJ4" s="299"/>
      <c r="ORK4" s="299"/>
      <c r="ORL4" s="299"/>
      <c r="ORM4" s="299"/>
      <c r="ORN4" s="299"/>
      <c r="ORO4" s="299"/>
      <c r="ORP4" s="299"/>
      <c r="ORQ4" s="299"/>
      <c r="ORR4" s="299"/>
      <c r="ORS4" s="299"/>
      <c r="ORT4" s="299"/>
      <c r="ORU4" s="299"/>
      <c r="ORV4" s="299"/>
      <c r="ORW4" s="299"/>
      <c r="ORX4" s="299"/>
      <c r="ORY4" s="299"/>
      <c r="ORZ4" s="299"/>
      <c r="OSA4" s="299"/>
      <c r="OSB4" s="299"/>
      <c r="OSC4" s="299"/>
      <c r="OSD4" s="299"/>
      <c r="OSE4" s="299"/>
      <c r="OSF4" s="299"/>
      <c r="OSG4" s="299"/>
      <c r="OSH4" s="299"/>
      <c r="OSI4" s="299"/>
      <c r="OSJ4" s="299"/>
      <c r="OSK4" s="299"/>
      <c r="OSL4" s="299"/>
      <c r="OSM4" s="299"/>
      <c r="OSN4" s="299"/>
      <c r="OSO4" s="299"/>
      <c r="OSP4" s="299"/>
      <c r="OSQ4" s="299"/>
      <c r="OSR4" s="299"/>
      <c r="OSS4" s="299"/>
      <c r="OST4" s="299"/>
      <c r="OSU4" s="299"/>
      <c r="OSV4" s="299"/>
      <c r="OSW4" s="299"/>
      <c r="OSX4" s="299"/>
      <c r="OSY4" s="299"/>
      <c r="OSZ4" s="299"/>
      <c r="OTA4" s="299"/>
      <c r="OTB4" s="299"/>
      <c r="OTC4" s="299"/>
      <c r="OTD4" s="299"/>
      <c r="OTE4" s="299"/>
      <c r="OTF4" s="299"/>
      <c r="OTG4" s="299"/>
      <c r="OTH4" s="299"/>
      <c r="OTI4" s="299"/>
      <c r="OTJ4" s="299"/>
      <c r="OTK4" s="299"/>
      <c r="OTL4" s="299"/>
      <c r="OTM4" s="299"/>
      <c r="OTN4" s="299"/>
      <c r="OTO4" s="299"/>
      <c r="OTP4" s="299"/>
      <c r="OTQ4" s="299"/>
      <c r="OTR4" s="299"/>
      <c r="OTS4" s="299"/>
      <c r="OTT4" s="299"/>
      <c r="OTU4" s="299"/>
      <c r="OTV4" s="299"/>
      <c r="OTW4" s="299"/>
      <c r="OTX4" s="299"/>
      <c r="OTY4" s="299"/>
      <c r="OTZ4" s="299"/>
      <c r="OUA4" s="299"/>
      <c r="OUB4" s="299"/>
      <c r="OUC4" s="299"/>
      <c r="OUD4" s="299"/>
      <c r="OUE4" s="299"/>
      <c r="OUF4" s="299"/>
      <c r="OUG4" s="299"/>
      <c r="OUH4" s="299"/>
      <c r="OUI4" s="299"/>
      <c r="OUJ4" s="299"/>
      <c r="OUK4" s="299"/>
      <c r="OUL4" s="299"/>
      <c r="OUM4" s="299"/>
      <c r="OUN4" s="299"/>
      <c r="OUO4" s="299"/>
      <c r="OUP4" s="299"/>
      <c r="OUQ4" s="299"/>
      <c r="OUR4" s="299"/>
      <c r="OUS4" s="299"/>
      <c r="OUT4" s="299"/>
      <c r="OUU4" s="299"/>
      <c r="OUV4" s="299"/>
      <c r="OUW4" s="299"/>
      <c r="OUX4" s="299"/>
      <c r="OUY4" s="299"/>
      <c r="OUZ4" s="299"/>
      <c r="OVA4" s="299"/>
      <c r="OVB4" s="299"/>
      <c r="OVC4" s="299"/>
      <c r="OVD4" s="299"/>
      <c r="OVE4" s="299"/>
      <c r="OVF4" s="299"/>
      <c r="OVG4" s="299"/>
      <c r="OVH4" s="299"/>
      <c r="OVI4" s="299"/>
      <c r="OVJ4" s="299"/>
      <c r="OVK4" s="299"/>
      <c r="OVL4" s="299"/>
      <c r="OVM4" s="299"/>
      <c r="OVN4" s="299"/>
      <c r="OVO4" s="299"/>
      <c r="OVP4" s="299"/>
      <c r="OVQ4" s="299"/>
      <c r="OVR4" s="299"/>
      <c r="OVS4" s="299"/>
      <c r="OVT4" s="299"/>
      <c r="OVU4" s="299"/>
      <c r="OVV4" s="299"/>
      <c r="OVW4" s="299"/>
      <c r="OVX4" s="299"/>
      <c r="OVY4" s="299"/>
      <c r="OVZ4" s="299"/>
      <c r="OWA4" s="299"/>
      <c r="OWB4" s="299"/>
      <c r="OWC4" s="299"/>
      <c r="OWD4" s="299"/>
      <c r="OWE4" s="299"/>
      <c r="OWF4" s="299"/>
      <c r="OWG4" s="299"/>
      <c r="OWH4" s="299"/>
      <c r="OWI4" s="299"/>
      <c r="OWJ4" s="299"/>
      <c r="OWK4" s="299"/>
      <c r="OWL4" s="299"/>
      <c r="OWM4" s="299"/>
      <c r="OWN4" s="299"/>
      <c r="OWO4" s="299"/>
      <c r="OWP4" s="299"/>
      <c r="OWQ4" s="299"/>
      <c r="OWR4" s="299"/>
      <c r="OWS4" s="299"/>
      <c r="OWT4" s="299"/>
      <c r="OWU4" s="299"/>
      <c r="OWV4" s="299"/>
      <c r="OWW4" s="299"/>
      <c r="OWX4" s="299"/>
      <c r="OWY4" s="299"/>
      <c r="OWZ4" s="299"/>
      <c r="OXA4" s="299"/>
      <c r="OXB4" s="299"/>
      <c r="OXC4" s="299"/>
      <c r="OXD4" s="299"/>
      <c r="OXE4" s="299"/>
      <c r="OXF4" s="299"/>
      <c r="OXG4" s="299"/>
      <c r="OXH4" s="299"/>
      <c r="OXI4" s="299"/>
      <c r="OXJ4" s="299"/>
      <c r="OXK4" s="299"/>
      <c r="OXL4" s="299"/>
      <c r="OXM4" s="299"/>
      <c r="OXN4" s="299"/>
      <c r="OXO4" s="299"/>
      <c r="OXP4" s="299"/>
      <c r="OXQ4" s="299"/>
      <c r="OXR4" s="299"/>
      <c r="OXS4" s="299"/>
      <c r="OXT4" s="299"/>
      <c r="OXU4" s="299"/>
      <c r="OXV4" s="299"/>
      <c r="OXW4" s="299"/>
      <c r="OXX4" s="299"/>
      <c r="OXY4" s="299"/>
      <c r="OXZ4" s="299"/>
      <c r="OYA4" s="299"/>
      <c r="OYB4" s="299"/>
      <c r="OYC4" s="299"/>
      <c r="OYD4" s="299"/>
      <c r="OYE4" s="299"/>
      <c r="OYF4" s="299"/>
      <c r="OYG4" s="299"/>
      <c r="OYH4" s="299"/>
      <c r="OYI4" s="299"/>
      <c r="OYJ4" s="299"/>
      <c r="OYK4" s="299"/>
      <c r="OYL4" s="299"/>
      <c r="OYM4" s="299"/>
      <c r="OYN4" s="299"/>
      <c r="OYO4" s="299"/>
      <c r="OYP4" s="299"/>
      <c r="OYQ4" s="299"/>
      <c r="OYR4" s="299"/>
      <c r="OYS4" s="299"/>
      <c r="OYT4" s="299"/>
      <c r="OYU4" s="299"/>
      <c r="OYV4" s="299"/>
      <c r="OYW4" s="299"/>
      <c r="OYX4" s="299"/>
      <c r="OYY4" s="299"/>
      <c r="OYZ4" s="299"/>
      <c r="OZA4" s="299"/>
      <c r="OZB4" s="299"/>
      <c r="OZC4" s="299"/>
      <c r="OZD4" s="299"/>
      <c r="OZE4" s="299"/>
      <c r="OZF4" s="299"/>
      <c r="OZG4" s="299"/>
      <c r="OZH4" s="299"/>
      <c r="OZI4" s="299"/>
      <c r="OZJ4" s="299"/>
      <c r="OZK4" s="299"/>
      <c r="OZL4" s="299"/>
      <c r="OZM4" s="299"/>
      <c r="OZN4" s="299"/>
      <c r="OZO4" s="299"/>
      <c r="OZP4" s="299"/>
      <c r="OZQ4" s="299"/>
      <c r="OZR4" s="299"/>
      <c r="OZS4" s="299"/>
      <c r="OZT4" s="299"/>
      <c r="OZU4" s="299"/>
      <c r="OZV4" s="299"/>
      <c r="OZW4" s="299"/>
      <c r="OZX4" s="299"/>
      <c r="OZY4" s="299"/>
      <c r="OZZ4" s="299"/>
      <c r="PAA4" s="299"/>
      <c r="PAB4" s="299"/>
      <c r="PAC4" s="299"/>
      <c r="PAD4" s="299"/>
      <c r="PAE4" s="299"/>
      <c r="PAF4" s="299"/>
      <c r="PAG4" s="299"/>
      <c r="PAH4" s="299"/>
      <c r="PAI4" s="299"/>
      <c r="PAJ4" s="299"/>
      <c r="PAK4" s="299"/>
      <c r="PAL4" s="299"/>
      <c r="PAM4" s="299"/>
      <c r="PAN4" s="299"/>
      <c r="PAO4" s="299"/>
      <c r="PAP4" s="299"/>
      <c r="PAQ4" s="299"/>
      <c r="PAR4" s="299"/>
      <c r="PAS4" s="299"/>
      <c r="PAT4" s="299"/>
      <c r="PAU4" s="299"/>
      <c r="PAV4" s="299"/>
      <c r="PAW4" s="299"/>
      <c r="PAX4" s="299"/>
      <c r="PAY4" s="299"/>
      <c r="PAZ4" s="299"/>
      <c r="PBA4" s="299"/>
      <c r="PBB4" s="299"/>
      <c r="PBC4" s="299"/>
      <c r="PBD4" s="299"/>
      <c r="PBE4" s="299"/>
      <c r="PBF4" s="299"/>
      <c r="PBG4" s="299"/>
      <c r="PBH4" s="299"/>
      <c r="PBI4" s="299"/>
      <c r="PBJ4" s="299"/>
      <c r="PBK4" s="299"/>
      <c r="PBL4" s="299"/>
      <c r="PBM4" s="299"/>
      <c r="PBN4" s="299"/>
      <c r="PBO4" s="299"/>
      <c r="PBP4" s="299"/>
      <c r="PBQ4" s="299"/>
      <c r="PBR4" s="299"/>
      <c r="PBS4" s="299"/>
      <c r="PBT4" s="299"/>
      <c r="PBU4" s="299"/>
      <c r="PBV4" s="299"/>
      <c r="PBW4" s="299"/>
      <c r="PBX4" s="299"/>
      <c r="PBY4" s="299"/>
      <c r="PBZ4" s="299"/>
      <c r="PCA4" s="299"/>
      <c r="PCB4" s="299"/>
      <c r="PCC4" s="299"/>
      <c r="PCD4" s="299"/>
      <c r="PCE4" s="299"/>
      <c r="PCF4" s="299"/>
      <c r="PCG4" s="299"/>
      <c r="PCH4" s="299"/>
      <c r="PCI4" s="299"/>
      <c r="PCJ4" s="299"/>
      <c r="PCK4" s="299"/>
      <c r="PCL4" s="299"/>
      <c r="PCM4" s="299"/>
      <c r="PCN4" s="299"/>
      <c r="PCO4" s="299"/>
      <c r="PCP4" s="299"/>
      <c r="PCQ4" s="299"/>
      <c r="PCR4" s="299"/>
      <c r="PCS4" s="299"/>
      <c r="PCT4" s="299"/>
      <c r="PCU4" s="299"/>
      <c r="PCV4" s="299"/>
      <c r="PCW4" s="299"/>
      <c r="PCX4" s="299"/>
      <c r="PCY4" s="299"/>
      <c r="PCZ4" s="299"/>
      <c r="PDA4" s="299"/>
      <c r="PDB4" s="299"/>
      <c r="PDC4" s="299"/>
      <c r="PDD4" s="299"/>
      <c r="PDE4" s="299"/>
      <c r="PDF4" s="299"/>
      <c r="PDG4" s="299"/>
      <c r="PDH4" s="299"/>
      <c r="PDI4" s="299"/>
      <c r="PDJ4" s="299"/>
      <c r="PDK4" s="299"/>
      <c r="PDL4" s="299"/>
      <c r="PDM4" s="299"/>
      <c r="PDN4" s="299"/>
      <c r="PDO4" s="299"/>
      <c r="PDP4" s="299"/>
      <c r="PDQ4" s="299"/>
      <c r="PDR4" s="299"/>
      <c r="PDS4" s="299"/>
      <c r="PDT4" s="299"/>
      <c r="PDU4" s="299"/>
      <c r="PDV4" s="299"/>
      <c r="PDW4" s="299"/>
      <c r="PDX4" s="299"/>
      <c r="PDY4" s="299"/>
      <c r="PDZ4" s="299"/>
      <c r="PEA4" s="299"/>
      <c r="PEB4" s="299"/>
      <c r="PEC4" s="299"/>
      <c r="PED4" s="299"/>
      <c r="PEE4" s="299"/>
      <c r="PEF4" s="299"/>
      <c r="PEG4" s="299"/>
      <c r="PEH4" s="299"/>
      <c r="PEI4" s="299"/>
      <c r="PEJ4" s="299"/>
      <c r="PEK4" s="299"/>
      <c r="PEL4" s="299"/>
      <c r="PEM4" s="299"/>
      <c r="PEN4" s="299"/>
      <c r="PEO4" s="299"/>
      <c r="PEP4" s="299"/>
      <c r="PEQ4" s="299"/>
      <c r="PER4" s="299"/>
      <c r="PES4" s="299"/>
      <c r="PET4" s="299"/>
      <c r="PEU4" s="299"/>
      <c r="PEV4" s="299"/>
      <c r="PEW4" s="299"/>
      <c r="PEX4" s="299"/>
      <c r="PEY4" s="299"/>
      <c r="PEZ4" s="299"/>
      <c r="PFA4" s="299"/>
      <c r="PFB4" s="299"/>
      <c r="PFC4" s="299"/>
      <c r="PFD4" s="299"/>
      <c r="PFE4" s="299"/>
      <c r="PFF4" s="299"/>
      <c r="PFG4" s="299"/>
      <c r="PFH4" s="299"/>
      <c r="PFI4" s="299"/>
      <c r="PFJ4" s="299"/>
      <c r="PFK4" s="299"/>
      <c r="PFL4" s="299"/>
      <c r="PFM4" s="299"/>
      <c r="PFN4" s="299"/>
      <c r="PFO4" s="299"/>
      <c r="PFP4" s="299"/>
      <c r="PFQ4" s="299"/>
      <c r="PFR4" s="299"/>
      <c r="PFS4" s="299"/>
      <c r="PFT4" s="299"/>
      <c r="PFU4" s="299"/>
      <c r="PFV4" s="299"/>
      <c r="PFW4" s="299"/>
      <c r="PFX4" s="299"/>
      <c r="PFY4" s="299"/>
      <c r="PFZ4" s="299"/>
      <c r="PGA4" s="299"/>
      <c r="PGB4" s="299"/>
      <c r="PGC4" s="299"/>
      <c r="PGD4" s="299"/>
      <c r="PGE4" s="299"/>
      <c r="PGF4" s="299"/>
      <c r="PGG4" s="299"/>
      <c r="PGH4" s="299"/>
      <c r="PGI4" s="299"/>
      <c r="PGJ4" s="299"/>
      <c r="PGK4" s="299"/>
      <c r="PGL4" s="299"/>
      <c r="PGM4" s="299"/>
      <c r="PGN4" s="299"/>
      <c r="PGO4" s="299"/>
      <c r="PGP4" s="299"/>
      <c r="PGQ4" s="299"/>
      <c r="PGR4" s="299"/>
      <c r="PGS4" s="299"/>
      <c r="PGT4" s="299"/>
      <c r="PGU4" s="299"/>
      <c r="PGV4" s="299"/>
      <c r="PGW4" s="299"/>
      <c r="PGX4" s="299"/>
      <c r="PGY4" s="299"/>
      <c r="PGZ4" s="299"/>
      <c r="PHA4" s="299"/>
      <c r="PHB4" s="299"/>
      <c r="PHC4" s="299"/>
      <c r="PHD4" s="299"/>
      <c r="PHE4" s="299"/>
      <c r="PHF4" s="299"/>
      <c r="PHG4" s="299"/>
      <c r="PHH4" s="299"/>
      <c r="PHI4" s="299"/>
      <c r="PHJ4" s="299"/>
      <c r="PHK4" s="299"/>
      <c r="PHL4" s="299"/>
      <c r="PHM4" s="299"/>
      <c r="PHN4" s="299"/>
      <c r="PHO4" s="299"/>
      <c r="PHP4" s="299"/>
      <c r="PHQ4" s="299"/>
      <c r="PHR4" s="299"/>
      <c r="PHS4" s="299"/>
      <c r="PHT4" s="299"/>
      <c r="PHU4" s="299"/>
      <c r="PHV4" s="299"/>
      <c r="PHW4" s="299"/>
      <c r="PHX4" s="299"/>
      <c r="PHY4" s="299"/>
      <c r="PHZ4" s="299"/>
      <c r="PIA4" s="299"/>
      <c r="PIB4" s="299"/>
      <c r="PIC4" s="299"/>
      <c r="PID4" s="299"/>
      <c r="PIE4" s="299"/>
      <c r="PIF4" s="299"/>
      <c r="PIG4" s="299"/>
      <c r="PIH4" s="299"/>
      <c r="PII4" s="299"/>
      <c r="PIJ4" s="299"/>
      <c r="PIK4" s="299"/>
      <c r="PIL4" s="299"/>
      <c r="PIM4" s="299"/>
      <c r="PIN4" s="299"/>
      <c r="PIO4" s="299"/>
      <c r="PIP4" s="299"/>
      <c r="PIQ4" s="299"/>
      <c r="PIR4" s="299"/>
      <c r="PIS4" s="299"/>
      <c r="PIT4" s="299"/>
      <c r="PIU4" s="299"/>
      <c r="PIV4" s="299"/>
      <c r="PIW4" s="299"/>
      <c r="PIX4" s="299"/>
      <c r="PIY4" s="299"/>
      <c r="PIZ4" s="299"/>
      <c r="PJA4" s="299"/>
      <c r="PJB4" s="299"/>
      <c r="PJC4" s="299"/>
      <c r="PJD4" s="299"/>
      <c r="PJE4" s="299"/>
      <c r="PJF4" s="299"/>
      <c r="PJG4" s="299"/>
      <c r="PJH4" s="299"/>
      <c r="PJI4" s="299"/>
      <c r="PJJ4" s="299"/>
      <c r="PJK4" s="299"/>
      <c r="PJL4" s="299"/>
      <c r="PJM4" s="299"/>
      <c r="PJN4" s="299"/>
      <c r="PJO4" s="299"/>
      <c r="PJP4" s="299"/>
      <c r="PJQ4" s="299"/>
      <c r="PJR4" s="299"/>
      <c r="PJS4" s="299"/>
      <c r="PJT4" s="299"/>
      <c r="PJU4" s="299"/>
      <c r="PJV4" s="299"/>
      <c r="PJW4" s="299"/>
      <c r="PJX4" s="299"/>
      <c r="PJY4" s="299"/>
      <c r="PJZ4" s="299"/>
      <c r="PKA4" s="299"/>
      <c r="PKB4" s="299"/>
      <c r="PKC4" s="299"/>
      <c r="PKD4" s="299"/>
      <c r="PKE4" s="299"/>
      <c r="PKF4" s="299"/>
      <c r="PKG4" s="299"/>
      <c r="PKH4" s="299"/>
      <c r="PKI4" s="299"/>
      <c r="PKJ4" s="299"/>
      <c r="PKK4" s="299"/>
      <c r="PKL4" s="299"/>
      <c r="PKM4" s="299"/>
      <c r="PKN4" s="299"/>
      <c r="PKO4" s="299"/>
      <c r="PKP4" s="299"/>
      <c r="PKQ4" s="299"/>
      <c r="PKR4" s="299"/>
      <c r="PKS4" s="299"/>
      <c r="PKT4" s="299"/>
      <c r="PKU4" s="299"/>
      <c r="PKV4" s="299"/>
      <c r="PKW4" s="299"/>
      <c r="PKX4" s="299"/>
      <c r="PKY4" s="299"/>
      <c r="PKZ4" s="299"/>
      <c r="PLA4" s="299"/>
      <c r="PLB4" s="299"/>
      <c r="PLC4" s="299"/>
      <c r="PLD4" s="299"/>
      <c r="PLE4" s="299"/>
      <c r="PLF4" s="299"/>
      <c r="PLG4" s="299"/>
      <c r="PLH4" s="299"/>
      <c r="PLI4" s="299"/>
      <c r="PLJ4" s="299"/>
      <c r="PLK4" s="299"/>
      <c r="PLL4" s="299"/>
      <c r="PLM4" s="299"/>
      <c r="PLN4" s="299"/>
      <c r="PLO4" s="299"/>
      <c r="PLP4" s="299"/>
      <c r="PLQ4" s="299"/>
      <c r="PLR4" s="299"/>
      <c r="PLS4" s="299"/>
      <c r="PLT4" s="299"/>
      <c r="PLU4" s="299"/>
      <c r="PLV4" s="299"/>
      <c r="PLW4" s="299"/>
      <c r="PLX4" s="299"/>
      <c r="PLY4" s="299"/>
      <c r="PLZ4" s="299"/>
      <c r="PMA4" s="299"/>
      <c r="PMB4" s="299"/>
      <c r="PMC4" s="299"/>
      <c r="PMD4" s="299"/>
      <c r="PME4" s="299"/>
      <c r="PMF4" s="299"/>
      <c r="PMG4" s="299"/>
      <c r="PMH4" s="299"/>
      <c r="PMI4" s="299"/>
      <c r="PMJ4" s="299"/>
      <c r="PMK4" s="299"/>
      <c r="PML4" s="299"/>
      <c r="PMM4" s="299"/>
      <c r="PMN4" s="299"/>
      <c r="PMO4" s="299"/>
      <c r="PMP4" s="299"/>
      <c r="PMQ4" s="299"/>
      <c r="PMR4" s="299"/>
      <c r="PMS4" s="299"/>
      <c r="PMT4" s="299"/>
      <c r="PMU4" s="299"/>
      <c r="PMV4" s="299"/>
      <c r="PMW4" s="299"/>
      <c r="PMX4" s="299"/>
      <c r="PMY4" s="299"/>
      <c r="PMZ4" s="299"/>
      <c r="PNA4" s="299"/>
      <c r="PNB4" s="299"/>
      <c r="PNC4" s="299"/>
      <c r="PND4" s="299"/>
      <c r="PNE4" s="299"/>
      <c r="PNF4" s="299"/>
      <c r="PNG4" s="299"/>
      <c r="PNH4" s="299"/>
      <c r="PNI4" s="299"/>
      <c r="PNJ4" s="299"/>
      <c r="PNK4" s="299"/>
      <c r="PNL4" s="299"/>
      <c r="PNM4" s="299"/>
      <c r="PNN4" s="299"/>
      <c r="PNO4" s="299"/>
      <c r="PNP4" s="299"/>
      <c r="PNQ4" s="299"/>
      <c r="PNR4" s="299"/>
      <c r="PNS4" s="299"/>
      <c r="PNT4" s="299"/>
      <c r="PNU4" s="299"/>
      <c r="PNV4" s="299"/>
      <c r="PNW4" s="299"/>
      <c r="PNX4" s="299"/>
      <c r="PNY4" s="299"/>
      <c r="PNZ4" s="299"/>
      <c r="POA4" s="299"/>
      <c r="POB4" s="299"/>
      <c r="POC4" s="299"/>
      <c r="POD4" s="299"/>
      <c r="POE4" s="299"/>
      <c r="POF4" s="299"/>
      <c r="POG4" s="299"/>
      <c r="POH4" s="299"/>
      <c r="POI4" s="299"/>
      <c r="POJ4" s="299"/>
      <c r="POK4" s="299"/>
      <c r="POL4" s="299"/>
      <c r="POM4" s="299"/>
      <c r="PON4" s="299"/>
      <c r="POO4" s="299"/>
      <c r="POP4" s="299"/>
      <c r="POQ4" s="299"/>
      <c r="POR4" s="299"/>
      <c r="POS4" s="299"/>
      <c r="POT4" s="299"/>
      <c r="POU4" s="299"/>
      <c r="POV4" s="299"/>
      <c r="POW4" s="299"/>
      <c r="POX4" s="299"/>
      <c r="POY4" s="299"/>
      <c r="POZ4" s="299"/>
      <c r="PPA4" s="299"/>
      <c r="PPB4" s="299"/>
      <c r="PPC4" s="299"/>
      <c r="PPD4" s="299"/>
      <c r="PPE4" s="299"/>
      <c r="PPF4" s="299"/>
      <c r="PPG4" s="299"/>
      <c r="PPH4" s="299"/>
      <c r="PPI4" s="299"/>
      <c r="PPJ4" s="299"/>
      <c r="PPK4" s="299"/>
      <c r="PPL4" s="299"/>
      <c r="PPM4" s="299"/>
      <c r="PPN4" s="299"/>
      <c r="PPO4" s="299"/>
      <c r="PPP4" s="299"/>
      <c r="PPQ4" s="299"/>
      <c r="PPR4" s="299"/>
      <c r="PPS4" s="299"/>
      <c r="PPT4" s="299"/>
      <c r="PPU4" s="299"/>
      <c r="PPV4" s="299"/>
      <c r="PPW4" s="299"/>
      <c r="PPX4" s="299"/>
      <c r="PPY4" s="299"/>
      <c r="PPZ4" s="299"/>
      <c r="PQA4" s="299"/>
      <c r="PQB4" s="299"/>
      <c r="PQC4" s="299"/>
      <c r="PQD4" s="299"/>
      <c r="PQE4" s="299"/>
      <c r="PQF4" s="299"/>
      <c r="PQG4" s="299"/>
      <c r="PQH4" s="299"/>
      <c r="PQI4" s="299"/>
      <c r="PQJ4" s="299"/>
      <c r="PQK4" s="299"/>
      <c r="PQL4" s="299"/>
      <c r="PQM4" s="299"/>
      <c r="PQN4" s="299"/>
      <c r="PQO4" s="299"/>
      <c r="PQP4" s="299"/>
      <c r="PQQ4" s="299"/>
      <c r="PQR4" s="299"/>
      <c r="PQS4" s="299"/>
      <c r="PQT4" s="299"/>
      <c r="PQU4" s="299"/>
      <c r="PQV4" s="299"/>
      <c r="PQW4" s="299"/>
      <c r="PQX4" s="299"/>
      <c r="PQY4" s="299"/>
      <c r="PQZ4" s="299"/>
      <c r="PRA4" s="299"/>
      <c r="PRB4" s="299"/>
      <c r="PRC4" s="299"/>
      <c r="PRD4" s="299"/>
      <c r="PRE4" s="299"/>
      <c r="PRF4" s="299"/>
      <c r="PRG4" s="299"/>
      <c r="PRH4" s="299"/>
      <c r="PRI4" s="299"/>
      <c r="PRJ4" s="299"/>
      <c r="PRK4" s="299"/>
      <c r="PRL4" s="299"/>
      <c r="PRM4" s="299"/>
      <c r="PRN4" s="299"/>
      <c r="PRO4" s="299"/>
      <c r="PRP4" s="299"/>
      <c r="PRQ4" s="299"/>
      <c r="PRR4" s="299"/>
      <c r="PRS4" s="299"/>
      <c r="PRT4" s="299"/>
      <c r="PRU4" s="299"/>
      <c r="PRV4" s="299"/>
      <c r="PRW4" s="299"/>
      <c r="PRX4" s="299"/>
      <c r="PRY4" s="299"/>
      <c r="PRZ4" s="299"/>
      <c r="PSA4" s="299"/>
      <c r="PSB4" s="299"/>
      <c r="PSC4" s="299"/>
      <c r="PSD4" s="299"/>
      <c r="PSE4" s="299"/>
      <c r="PSF4" s="299"/>
      <c r="PSG4" s="299"/>
      <c r="PSH4" s="299"/>
      <c r="PSI4" s="299"/>
      <c r="PSJ4" s="299"/>
      <c r="PSK4" s="299"/>
      <c r="PSL4" s="299"/>
      <c r="PSM4" s="299"/>
      <c r="PSN4" s="299"/>
      <c r="PSO4" s="299"/>
      <c r="PSP4" s="299"/>
      <c r="PSQ4" s="299"/>
      <c r="PSR4" s="299"/>
      <c r="PSS4" s="299"/>
      <c r="PST4" s="299"/>
      <c r="PSU4" s="299"/>
      <c r="PSV4" s="299"/>
      <c r="PSW4" s="299"/>
      <c r="PSX4" s="299"/>
      <c r="PSY4" s="299"/>
      <c r="PSZ4" s="299"/>
      <c r="PTA4" s="299"/>
      <c r="PTB4" s="299"/>
      <c r="PTC4" s="299"/>
      <c r="PTD4" s="299"/>
      <c r="PTE4" s="299"/>
      <c r="PTF4" s="299"/>
      <c r="PTG4" s="299"/>
      <c r="PTH4" s="299"/>
      <c r="PTI4" s="299"/>
      <c r="PTJ4" s="299"/>
      <c r="PTK4" s="299"/>
      <c r="PTL4" s="299"/>
      <c r="PTM4" s="299"/>
      <c r="PTN4" s="299"/>
      <c r="PTO4" s="299"/>
      <c r="PTP4" s="299"/>
      <c r="PTQ4" s="299"/>
      <c r="PTR4" s="299"/>
      <c r="PTS4" s="299"/>
      <c r="PTT4" s="299"/>
      <c r="PTU4" s="299"/>
      <c r="PTV4" s="299"/>
      <c r="PTW4" s="299"/>
      <c r="PTX4" s="299"/>
      <c r="PTY4" s="299"/>
      <c r="PTZ4" s="299"/>
      <c r="PUA4" s="299"/>
      <c r="PUB4" s="299"/>
      <c r="PUC4" s="299"/>
      <c r="PUD4" s="299"/>
      <c r="PUE4" s="299"/>
      <c r="PUF4" s="299"/>
      <c r="PUG4" s="299"/>
      <c r="PUH4" s="299"/>
      <c r="PUI4" s="299"/>
      <c r="PUJ4" s="299"/>
      <c r="PUK4" s="299"/>
      <c r="PUL4" s="299"/>
      <c r="PUM4" s="299"/>
      <c r="PUN4" s="299"/>
      <c r="PUO4" s="299"/>
      <c r="PUP4" s="299"/>
      <c r="PUQ4" s="299"/>
      <c r="PUR4" s="299"/>
      <c r="PUS4" s="299"/>
      <c r="PUT4" s="299"/>
      <c r="PUU4" s="299"/>
      <c r="PUV4" s="299"/>
      <c r="PUW4" s="299"/>
      <c r="PUX4" s="299"/>
      <c r="PUY4" s="299"/>
      <c r="PUZ4" s="299"/>
      <c r="PVA4" s="299"/>
      <c r="PVB4" s="299"/>
      <c r="PVC4" s="299"/>
      <c r="PVD4" s="299"/>
      <c r="PVE4" s="299"/>
      <c r="PVF4" s="299"/>
      <c r="PVG4" s="299"/>
      <c r="PVH4" s="299"/>
      <c r="PVI4" s="299"/>
      <c r="PVJ4" s="299"/>
      <c r="PVK4" s="299"/>
      <c r="PVL4" s="299"/>
      <c r="PVM4" s="299"/>
      <c r="PVN4" s="299"/>
      <c r="PVO4" s="299"/>
      <c r="PVP4" s="299"/>
      <c r="PVQ4" s="299"/>
      <c r="PVR4" s="299"/>
      <c r="PVS4" s="299"/>
      <c r="PVT4" s="299"/>
      <c r="PVU4" s="299"/>
      <c r="PVV4" s="299"/>
      <c r="PVW4" s="299"/>
      <c r="PVX4" s="299"/>
      <c r="PVY4" s="299"/>
      <c r="PVZ4" s="299"/>
      <c r="PWA4" s="299"/>
      <c r="PWB4" s="299"/>
      <c r="PWC4" s="299"/>
      <c r="PWD4" s="299"/>
      <c r="PWE4" s="299"/>
      <c r="PWF4" s="299"/>
      <c r="PWG4" s="299"/>
      <c r="PWH4" s="299"/>
      <c r="PWI4" s="299"/>
      <c r="PWJ4" s="299"/>
      <c r="PWK4" s="299"/>
      <c r="PWL4" s="299"/>
      <c r="PWM4" s="299"/>
      <c r="PWN4" s="299"/>
      <c r="PWO4" s="299"/>
      <c r="PWP4" s="299"/>
      <c r="PWQ4" s="299"/>
      <c r="PWR4" s="299"/>
      <c r="PWS4" s="299"/>
      <c r="PWT4" s="299"/>
      <c r="PWU4" s="299"/>
      <c r="PWV4" s="299"/>
      <c r="PWW4" s="299"/>
      <c r="PWX4" s="299"/>
      <c r="PWY4" s="299"/>
      <c r="PWZ4" s="299"/>
      <c r="PXA4" s="299"/>
      <c r="PXB4" s="299"/>
      <c r="PXC4" s="299"/>
      <c r="PXD4" s="299"/>
      <c r="PXE4" s="299"/>
      <c r="PXF4" s="299"/>
      <c r="PXG4" s="299"/>
      <c r="PXH4" s="299"/>
      <c r="PXI4" s="299"/>
      <c r="PXJ4" s="299"/>
      <c r="PXK4" s="299"/>
      <c r="PXL4" s="299"/>
      <c r="PXM4" s="299"/>
      <c r="PXN4" s="299"/>
      <c r="PXO4" s="299"/>
      <c r="PXP4" s="299"/>
      <c r="PXQ4" s="299"/>
      <c r="PXR4" s="299"/>
      <c r="PXS4" s="299"/>
      <c r="PXT4" s="299"/>
      <c r="PXU4" s="299"/>
      <c r="PXV4" s="299"/>
      <c r="PXW4" s="299"/>
      <c r="PXX4" s="299"/>
      <c r="PXY4" s="299"/>
      <c r="PXZ4" s="299"/>
      <c r="PYA4" s="299"/>
      <c r="PYB4" s="299"/>
      <c r="PYC4" s="299"/>
      <c r="PYD4" s="299"/>
      <c r="PYE4" s="299"/>
      <c r="PYF4" s="299"/>
      <c r="PYG4" s="299"/>
      <c r="PYH4" s="299"/>
      <c r="PYI4" s="299"/>
      <c r="PYJ4" s="299"/>
      <c r="PYK4" s="299"/>
      <c r="PYL4" s="299"/>
      <c r="PYM4" s="299"/>
      <c r="PYN4" s="299"/>
      <c r="PYO4" s="299"/>
      <c r="PYP4" s="299"/>
      <c r="PYQ4" s="299"/>
      <c r="PYR4" s="299"/>
      <c r="PYS4" s="299"/>
      <c r="PYT4" s="299"/>
      <c r="PYU4" s="299"/>
      <c r="PYV4" s="299"/>
      <c r="PYW4" s="299"/>
      <c r="PYX4" s="299"/>
      <c r="PYY4" s="299"/>
      <c r="PYZ4" s="299"/>
      <c r="PZA4" s="299"/>
      <c r="PZB4" s="299"/>
      <c r="PZC4" s="299"/>
      <c r="PZD4" s="299"/>
      <c r="PZE4" s="299"/>
      <c r="PZF4" s="299"/>
      <c r="PZG4" s="299"/>
      <c r="PZH4" s="299"/>
      <c r="PZI4" s="299"/>
      <c r="PZJ4" s="299"/>
      <c r="PZK4" s="299"/>
      <c r="PZL4" s="299"/>
      <c r="PZM4" s="299"/>
      <c r="PZN4" s="299"/>
      <c r="PZO4" s="299"/>
      <c r="PZP4" s="299"/>
      <c r="PZQ4" s="299"/>
      <c r="PZR4" s="299"/>
      <c r="PZS4" s="299"/>
      <c r="PZT4" s="299"/>
      <c r="PZU4" s="299"/>
      <c r="PZV4" s="299"/>
      <c r="PZW4" s="299"/>
      <c r="PZX4" s="299"/>
      <c r="PZY4" s="299"/>
      <c r="PZZ4" s="299"/>
      <c r="QAA4" s="299"/>
      <c r="QAB4" s="299"/>
      <c r="QAC4" s="299"/>
      <c r="QAD4" s="299"/>
      <c r="QAE4" s="299"/>
      <c r="QAF4" s="299"/>
      <c r="QAG4" s="299"/>
      <c r="QAH4" s="299"/>
      <c r="QAI4" s="299"/>
      <c r="QAJ4" s="299"/>
      <c r="QAK4" s="299"/>
      <c r="QAL4" s="299"/>
      <c r="QAM4" s="299"/>
      <c r="QAN4" s="299"/>
      <c r="QAO4" s="299"/>
      <c r="QAP4" s="299"/>
      <c r="QAQ4" s="299"/>
      <c r="QAR4" s="299"/>
      <c r="QAS4" s="299"/>
      <c r="QAT4" s="299"/>
      <c r="QAU4" s="299"/>
      <c r="QAV4" s="299"/>
      <c r="QAW4" s="299"/>
      <c r="QAX4" s="299"/>
      <c r="QAY4" s="299"/>
      <c r="QAZ4" s="299"/>
      <c r="QBA4" s="299"/>
      <c r="QBB4" s="299"/>
      <c r="QBC4" s="299"/>
      <c r="QBD4" s="299"/>
      <c r="QBE4" s="299"/>
      <c r="QBF4" s="299"/>
      <c r="QBG4" s="299"/>
      <c r="QBH4" s="299"/>
      <c r="QBI4" s="299"/>
      <c r="QBJ4" s="299"/>
      <c r="QBK4" s="299"/>
      <c r="QBL4" s="299"/>
      <c r="QBM4" s="299"/>
      <c r="QBN4" s="299"/>
      <c r="QBO4" s="299"/>
      <c r="QBP4" s="299"/>
      <c r="QBQ4" s="299"/>
      <c r="QBR4" s="299"/>
      <c r="QBS4" s="299"/>
      <c r="QBT4" s="299"/>
      <c r="QBU4" s="299"/>
      <c r="QBV4" s="299"/>
      <c r="QBW4" s="299"/>
      <c r="QBX4" s="299"/>
      <c r="QBY4" s="299"/>
      <c r="QBZ4" s="299"/>
      <c r="QCA4" s="299"/>
      <c r="QCB4" s="299"/>
      <c r="QCC4" s="299"/>
      <c r="QCD4" s="299"/>
      <c r="QCE4" s="299"/>
      <c r="QCF4" s="299"/>
      <c r="QCG4" s="299"/>
      <c r="QCH4" s="299"/>
      <c r="QCI4" s="299"/>
      <c r="QCJ4" s="299"/>
      <c r="QCK4" s="299"/>
      <c r="QCL4" s="299"/>
      <c r="QCM4" s="299"/>
      <c r="QCN4" s="299"/>
      <c r="QCO4" s="299"/>
      <c r="QCP4" s="299"/>
      <c r="QCQ4" s="299"/>
      <c r="QCR4" s="299"/>
      <c r="QCS4" s="299"/>
      <c r="QCT4" s="299"/>
      <c r="QCU4" s="299"/>
      <c r="QCV4" s="299"/>
      <c r="QCW4" s="299"/>
      <c r="QCX4" s="299"/>
      <c r="QCY4" s="299"/>
      <c r="QCZ4" s="299"/>
      <c r="QDA4" s="299"/>
      <c r="QDB4" s="299"/>
      <c r="QDC4" s="299"/>
      <c r="QDD4" s="299"/>
      <c r="QDE4" s="299"/>
      <c r="QDF4" s="299"/>
      <c r="QDG4" s="299"/>
      <c r="QDH4" s="299"/>
      <c r="QDI4" s="299"/>
      <c r="QDJ4" s="299"/>
      <c r="QDK4" s="299"/>
      <c r="QDL4" s="299"/>
      <c r="QDM4" s="299"/>
      <c r="QDN4" s="299"/>
      <c r="QDO4" s="299"/>
      <c r="QDP4" s="299"/>
      <c r="QDQ4" s="299"/>
      <c r="QDR4" s="299"/>
      <c r="QDS4" s="299"/>
      <c r="QDT4" s="299"/>
      <c r="QDU4" s="299"/>
      <c r="QDV4" s="299"/>
      <c r="QDW4" s="299"/>
      <c r="QDX4" s="299"/>
      <c r="QDY4" s="299"/>
      <c r="QDZ4" s="299"/>
      <c r="QEA4" s="299"/>
      <c r="QEB4" s="299"/>
      <c r="QEC4" s="299"/>
      <c r="QED4" s="299"/>
      <c r="QEE4" s="299"/>
      <c r="QEF4" s="299"/>
      <c r="QEG4" s="299"/>
      <c r="QEH4" s="299"/>
      <c r="QEI4" s="299"/>
      <c r="QEJ4" s="299"/>
      <c r="QEK4" s="299"/>
      <c r="QEL4" s="299"/>
      <c r="QEM4" s="299"/>
      <c r="QEN4" s="299"/>
      <c r="QEO4" s="299"/>
      <c r="QEP4" s="299"/>
      <c r="QEQ4" s="299"/>
      <c r="QER4" s="299"/>
      <c r="QES4" s="299"/>
      <c r="QET4" s="299"/>
      <c r="QEU4" s="299"/>
      <c r="QEV4" s="299"/>
      <c r="QEW4" s="299"/>
      <c r="QEX4" s="299"/>
      <c r="QEY4" s="299"/>
      <c r="QEZ4" s="299"/>
      <c r="QFA4" s="299"/>
      <c r="QFB4" s="299"/>
      <c r="QFC4" s="299"/>
      <c r="QFD4" s="299"/>
      <c r="QFE4" s="299"/>
      <c r="QFF4" s="299"/>
      <c r="QFG4" s="299"/>
      <c r="QFH4" s="299"/>
      <c r="QFI4" s="299"/>
      <c r="QFJ4" s="299"/>
      <c r="QFK4" s="299"/>
      <c r="QFL4" s="299"/>
      <c r="QFM4" s="299"/>
      <c r="QFN4" s="299"/>
      <c r="QFO4" s="299"/>
      <c r="QFP4" s="299"/>
      <c r="QFQ4" s="299"/>
      <c r="QFR4" s="299"/>
      <c r="QFS4" s="299"/>
      <c r="QFT4" s="299"/>
      <c r="QFU4" s="299"/>
      <c r="QFV4" s="299"/>
      <c r="QFW4" s="299"/>
      <c r="QFX4" s="299"/>
      <c r="QFY4" s="299"/>
      <c r="QFZ4" s="299"/>
      <c r="QGA4" s="299"/>
      <c r="QGB4" s="299"/>
      <c r="QGC4" s="299"/>
      <c r="QGD4" s="299"/>
      <c r="QGE4" s="299"/>
      <c r="QGF4" s="299"/>
      <c r="QGG4" s="299"/>
      <c r="QGH4" s="299"/>
      <c r="QGI4" s="299"/>
      <c r="QGJ4" s="299"/>
      <c r="QGK4" s="299"/>
      <c r="QGL4" s="299"/>
      <c r="QGM4" s="299"/>
      <c r="QGN4" s="299"/>
      <c r="QGO4" s="299"/>
      <c r="QGP4" s="299"/>
      <c r="QGQ4" s="299"/>
      <c r="QGR4" s="299"/>
      <c r="QGS4" s="299"/>
      <c r="QGT4" s="299"/>
      <c r="QGU4" s="299"/>
      <c r="QGV4" s="299"/>
      <c r="QGW4" s="299"/>
      <c r="QGX4" s="299"/>
      <c r="QGY4" s="299"/>
      <c r="QGZ4" s="299"/>
      <c r="QHA4" s="299"/>
      <c r="QHB4" s="299"/>
      <c r="QHC4" s="299"/>
      <c r="QHD4" s="299"/>
      <c r="QHE4" s="299"/>
      <c r="QHF4" s="299"/>
      <c r="QHG4" s="299"/>
      <c r="QHH4" s="299"/>
      <c r="QHI4" s="299"/>
      <c r="QHJ4" s="299"/>
      <c r="QHK4" s="299"/>
      <c r="QHL4" s="299"/>
      <c r="QHM4" s="299"/>
      <c r="QHN4" s="299"/>
      <c r="QHO4" s="299"/>
      <c r="QHP4" s="299"/>
      <c r="QHQ4" s="299"/>
      <c r="QHR4" s="299"/>
      <c r="QHS4" s="299"/>
      <c r="QHT4" s="299"/>
      <c r="QHU4" s="299"/>
      <c r="QHV4" s="299"/>
      <c r="QHW4" s="299"/>
      <c r="QHX4" s="299"/>
      <c r="QHY4" s="299"/>
      <c r="QHZ4" s="299"/>
      <c r="QIA4" s="299"/>
      <c r="QIB4" s="299"/>
      <c r="QIC4" s="299"/>
      <c r="QID4" s="299"/>
      <c r="QIE4" s="299"/>
      <c r="QIF4" s="299"/>
      <c r="QIG4" s="299"/>
      <c r="QIH4" s="299"/>
      <c r="QII4" s="299"/>
      <c r="QIJ4" s="299"/>
      <c r="QIK4" s="299"/>
      <c r="QIL4" s="299"/>
      <c r="QIM4" s="299"/>
      <c r="QIN4" s="299"/>
      <c r="QIO4" s="299"/>
      <c r="QIP4" s="299"/>
      <c r="QIQ4" s="299"/>
      <c r="QIR4" s="299"/>
      <c r="QIS4" s="299"/>
      <c r="QIT4" s="299"/>
      <c r="QIU4" s="299"/>
      <c r="QIV4" s="299"/>
      <c r="QIW4" s="299"/>
      <c r="QIX4" s="299"/>
      <c r="QIY4" s="299"/>
      <c r="QIZ4" s="299"/>
      <c r="QJA4" s="299"/>
      <c r="QJB4" s="299"/>
      <c r="QJC4" s="299"/>
      <c r="QJD4" s="299"/>
      <c r="QJE4" s="299"/>
      <c r="QJF4" s="299"/>
      <c r="QJG4" s="299"/>
      <c r="QJH4" s="299"/>
      <c r="QJI4" s="299"/>
      <c r="QJJ4" s="299"/>
      <c r="QJK4" s="299"/>
      <c r="QJL4" s="299"/>
      <c r="QJM4" s="299"/>
      <c r="QJN4" s="299"/>
      <c r="QJO4" s="299"/>
      <c r="QJP4" s="299"/>
      <c r="QJQ4" s="299"/>
      <c r="QJR4" s="299"/>
      <c r="QJS4" s="299"/>
      <c r="QJT4" s="299"/>
      <c r="QJU4" s="299"/>
      <c r="QJV4" s="299"/>
      <c r="QJW4" s="299"/>
      <c r="QJX4" s="299"/>
      <c r="QJY4" s="299"/>
      <c r="QJZ4" s="299"/>
      <c r="QKA4" s="299"/>
      <c r="QKB4" s="299"/>
      <c r="QKC4" s="299"/>
      <c r="QKD4" s="299"/>
      <c r="QKE4" s="299"/>
      <c r="QKF4" s="299"/>
      <c r="QKG4" s="299"/>
      <c r="QKH4" s="299"/>
      <c r="QKI4" s="299"/>
      <c r="QKJ4" s="299"/>
      <c r="QKK4" s="299"/>
      <c r="QKL4" s="299"/>
      <c r="QKM4" s="299"/>
      <c r="QKN4" s="299"/>
      <c r="QKO4" s="299"/>
      <c r="QKP4" s="299"/>
      <c r="QKQ4" s="299"/>
      <c r="QKR4" s="299"/>
      <c r="QKS4" s="299"/>
      <c r="QKT4" s="299"/>
      <c r="QKU4" s="299"/>
      <c r="QKV4" s="299"/>
      <c r="QKW4" s="299"/>
      <c r="QKX4" s="299"/>
      <c r="QKY4" s="299"/>
      <c r="QKZ4" s="299"/>
      <c r="QLA4" s="299"/>
      <c r="QLB4" s="299"/>
      <c r="QLC4" s="299"/>
      <c r="QLD4" s="299"/>
      <c r="QLE4" s="299"/>
      <c r="QLF4" s="299"/>
      <c r="QLG4" s="299"/>
      <c r="QLH4" s="299"/>
      <c r="QLI4" s="299"/>
      <c r="QLJ4" s="299"/>
      <c r="QLK4" s="299"/>
      <c r="QLL4" s="299"/>
      <c r="QLM4" s="299"/>
      <c r="QLN4" s="299"/>
      <c r="QLO4" s="299"/>
      <c r="QLP4" s="299"/>
      <c r="QLQ4" s="299"/>
      <c r="QLR4" s="299"/>
      <c r="QLS4" s="299"/>
      <c r="QLT4" s="299"/>
      <c r="QLU4" s="299"/>
      <c r="QLV4" s="299"/>
      <c r="QLW4" s="299"/>
      <c r="QLX4" s="299"/>
      <c r="QLY4" s="299"/>
      <c r="QLZ4" s="299"/>
      <c r="QMA4" s="299"/>
      <c r="QMB4" s="299"/>
      <c r="QMC4" s="299"/>
      <c r="QMD4" s="299"/>
      <c r="QME4" s="299"/>
      <c r="QMF4" s="299"/>
      <c r="QMG4" s="299"/>
      <c r="QMH4" s="299"/>
      <c r="QMI4" s="299"/>
      <c r="QMJ4" s="299"/>
      <c r="QMK4" s="299"/>
      <c r="QML4" s="299"/>
      <c r="QMM4" s="299"/>
      <c r="QMN4" s="299"/>
      <c r="QMO4" s="299"/>
      <c r="QMP4" s="299"/>
      <c r="QMQ4" s="299"/>
      <c r="QMR4" s="299"/>
      <c r="QMS4" s="299"/>
      <c r="QMT4" s="299"/>
      <c r="QMU4" s="299"/>
      <c r="QMV4" s="299"/>
      <c r="QMW4" s="299"/>
      <c r="QMX4" s="299"/>
      <c r="QMY4" s="299"/>
      <c r="QMZ4" s="299"/>
      <c r="QNA4" s="299"/>
      <c r="QNB4" s="299"/>
      <c r="QNC4" s="299"/>
      <c r="QND4" s="299"/>
      <c r="QNE4" s="299"/>
      <c r="QNF4" s="299"/>
      <c r="QNG4" s="299"/>
      <c r="QNH4" s="299"/>
      <c r="QNI4" s="299"/>
      <c r="QNJ4" s="299"/>
      <c r="QNK4" s="299"/>
      <c r="QNL4" s="299"/>
      <c r="QNM4" s="299"/>
      <c r="QNN4" s="299"/>
      <c r="QNO4" s="299"/>
      <c r="QNP4" s="299"/>
      <c r="QNQ4" s="299"/>
      <c r="QNR4" s="299"/>
      <c r="QNS4" s="299"/>
      <c r="QNT4" s="299"/>
      <c r="QNU4" s="299"/>
      <c r="QNV4" s="299"/>
      <c r="QNW4" s="299"/>
      <c r="QNX4" s="299"/>
      <c r="QNY4" s="299"/>
      <c r="QNZ4" s="299"/>
      <c r="QOA4" s="299"/>
      <c r="QOB4" s="299"/>
      <c r="QOC4" s="299"/>
      <c r="QOD4" s="299"/>
      <c r="QOE4" s="299"/>
      <c r="QOF4" s="299"/>
      <c r="QOG4" s="299"/>
      <c r="QOH4" s="299"/>
      <c r="QOI4" s="299"/>
      <c r="QOJ4" s="299"/>
      <c r="QOK4" s="299"/>
      <c r="QOL4" s="299"/>
      <c r="QOM4" s="299"/>
      <c r="QON4" s="299"/>
      <c r="QOO4" s="299"/>
      <c r="QOP4" s="299"/>
      <c r="QOQ4" s="299"/>
      <c r="QOR4" s="299"/>
      <c r="QOS4" s="299"/>
      <c r="QOT4" s="299"/>
      <c r="QOU4" s="299"/>
      <c r="QOV4" s="299"/>
      <c r="QOW4" s="299"/>
      <c r="QOX4" s="299"/>
      <c r="QOY4" s="299"/>
      <c r="QOZ4" s="299"/>
      <c r="QPA4" s="299"/>
      <c r="QPB4" s="299"/>
      <c r="QPC4" s="299"/>
      <c r="QPD4" s="299"/>
      <c r="QPE4" s="299"/>
      <c r="QPF4" s="299"/>
      <c r="QPG4" s="299"/>
      <c r="QPH4" s="299"/>
      <c r="QPI4" s="299"/>
      <c r="QPJ4" s="299"/>
      <c r="QPK4" s="299"/>
      <c r="QPL4" s="299"/>
      <c r="QPM4" s="299"/>
      <c r="QPN4" s="299"/>
      <c r="QPO4" s="299"/>
      <c r="QPP4" s="299"/>
      <c r="QPQ4" s="299"/>
      <c r="QPR4" s="299"/>
      <c r="QPS4" s="299"/>
      <c r="QPT4" s="299"/>
      <c r="QPU4" s="299"/>
      <c r="QPV4" s="299"/>
      <c r="QPW4" s="299"/>
      <c r="QPX4" s="299"/>
      <c r="QPY4" s="299"/>
      <c r="QPZ4" s="299"/>
      <c r="QQA4" s="299"/>
      <c r="QQB4" s="299"/>
      <c r="QQC4" s="299"/>
      <c r="QQD4" s="299"/>
      <c r="QQE4" s="299"/>
      <c r="QQF4" s="299"/>
      <c r="QQG4" s="299"/>
      <c r="QQH4" s="299"/>
      <c r="QQI4" s="299"/>
      <c r="QQJ4" s="299"/>
      <c r="QQK4" s="299"/>
      <c r="QQL4" s="299"/>
      <c r="QQM4" s="299"/>
      <c r="QQN4" s="299"/>
      <c r="QQO4" s="299"/>
      <c r="QQP4" s="299"/>
      <c r="QQQ4" s="299"/>
      <c r="QQR4" s="299"/>
      <c r="QQS4" s="299"/>
      <c r="QQT4" s="299"/>
      <c r="QQU4" s="299"/>
      <c r="QQV4" s="299"/>
      <c r="QQW4" s="299"/>
      <c r="QQX4" s="299"/>
      <c r="QQY4" s="299"/>
      <c r="QQZ4" s="299"/>
      <c r="QRA4" s="299"/>
      <c r="QRB4" s="299"/>
      <c r="QRC4" s="299"/>
      <c r="QRD4" s="299"/>
      <c r="QRE4" s="299"/>
      <c r="QRF4" s="299"/>
      <c r="QRG4" s="299"/>
      <c r="QRH4" s="299"/>
      <c r="QRI4" s="299"/>
      <c r="QRJ4" s="299"/>
      <c r="QRK4" s="299"/>
      <c r="QRL4" s="299"/>
      <c r="QRM4" s="299"/>
      <c r="QRN4" s="299"/>
      <c r="QRO4" s="299"/>
      <c r="QRP4" s="299"/>
      <c r="QRQ4" s="299"/>
      <c r="QRR4" s="299"/>
      <c r="QRS4" s="299"/>
      <c r="QRT4" s="299"/>
      <c r="QRU4" s="299"/>
      <c r="QRV4" s="299"/>
      <c r="QRW4" s="299"/>
      <c r="QRX4" s="299"/>
      <c r="QRY4" s="299"/>
      <c r="QRZ4" s="299"/>
      <c r="QSA4" s="299"/>
      <c r="QSB4" s="299"/>
      <c r="QSC4" s="299"/>
      <c r="QSD4" s="299"/>
      <c r="QSE4" s="299"/>
      <c r="QSF4" s="299"/>
      <c r="QSG4" s="299"/>
      <c r="QSH4" s="299"/>
      <c r="QSI4" s="299"/>
      <c r="QSJ4" s="299"/>
      <c r="QSK4" s="299"/>
      <c r="QSL4" s="299"/>
      <c r="QSM4" s="299"/>
      <c r="QSN4" s="299"/>
      <c r="QSO4" s="299"/>
      <c r="QSP4" s="299"/>
      <c r="QSQ4" s="299"/>
      <c r="QSR4" s="299"/>
      <c r="QSS4" s="299"/>
      <c r="QST4" s="299"/>
      <c r="QSU4" s="299"/>
      <c r="QSV4" s="299"/>
      <c r="QSW4" s="299"/>
      <c r="QSX4" s="299"/>
      <c r="QSY4" s="299"/>
      <c r="QSZ4" s="299"/>
      <c r="QTA4" s="299"/>
      <c r="QTB4" s="299"/>
      <c r="QTC4" s="299"/>
      <c r="QTD4" s="299"/>
      <c r="QTE4" s="299"/>
      <c r="QTF4" s="299"/>
      <c r="QTG4" s="299"/>
      <c r="QTH4" s="299"/>
      <c r="QTI4" s="299"/>
      <c r="QTJ4" s="299"/>
      <c r="QTK4" s="299"/>
      <c r="QTL4" s="299"/>
      <c r="QTM4" s="299"/>
      <c r="QTN4" s="299"/>
      <c r="QTO4" s="299"/>
      <c r="QTP4" s="299"/>
      <c r="QTQ4" s="299"/>
      <c r="QTR4" s="299"/>
      <c r="QTS4" s="299"/>
      <c r="QTT4" s="299"/>
      <c r="QTU4" s="299"/>
      <c r="QTV4" s="299"/>
      <c r="QTW4" s="299"/>
      <c r="QTX4" s="299"/>
      <c r="QTY4" s="299"/>
      <c r="QTZ4" s="299"/>
      <c r="QUA4" s="299"/>
      <c r="QUB4" s="299"/>
      <c r="QUC4" s="299"/>
      <c r="QUD4" s="299"/>
      <c r="QUE4" s="299"/>
      <c r="QUF4" s="299"/>
      <c r="QUG4" s="299"/>
      <c r="QUH4" s="299"/>
      <c r="QUI4" s="299"/>
      <c r="QUJ4" s="299"/>
      <c r="QUK4" s="299"/>
      <c r="QUL4" s="299"/>
      <c r="QUM4" s="299"/>
      <c r="QUN4" s="299"/>
      <c r="QUO4" s="299"/>
      <c r="QUP4" s="299"/>
      <c r="QUQ4" s="299"/>
      <c r="QUR4" s="299"/>
      <c r="QUS4" s="299"/>
      <c r="QUT4" s="299"/>
      <c r="QUU4" s="299"/>
      <c r="QUV4" s="299"/>
      <c r="QUW4" s="299"/>
      <c r="QUX4" s="299"/>
      <c r="QUY4" s="299"/>
      <c r="QUZ4" s="299"/>
      <c r="QVA4" s="299"/>
      <c r="QVB4" s="299"/>
      <c r="QVC4" s="299"/>
      <c r="QVD4" s="299"/>
      <c r="QVE4" s="299"/>
      <c r="QVF4" s="299"/>
      <c r="QVG4" s="299"/>
      <c r="QVH4" s="299"/>
      <c r="QVI4" s="299"/>
      <c r="QVJ4" s="299"/>
      <c r="QVK4" s="299"/>
      <c r="QVL4" s="299"/>
      <c r="QVM4" s="299"/>
      <c r="QVN4" s="299"/>
      <c r="QVO4" s="299"/>
      <c r="QVP4" s="299"/>
      <c r="QVQ4" s="299"/>
      <c r="QVR4" s="299"/>
      <c r="QVS4" s="299"/>
      <c r="QVT4" s="299"/>
      <c r="QVU4" s="299"/>
      <c r="QVV4" s="299"/>
      <c r="QVW4" s="299"/>
      <c r="QVX4" s="299"/>
      <c r="QVY4" s="299"/>
      <c r="QVZ4" s="299"/>
      <c r="QWA4" s="299"/>
      <c r="QWB4" s="299"/>
      <c r="QWC4" s="299"/>
      <c r="QWD4" s="299"/>
      <c r="QWE4" s="299"/>
      <c r="QWF4" s="299"/>
      <c r="QWG4" s="299"/>
      <c r="QWH4" s="299"/>
      <c r="QWI4" s="299"/>
      <c r="QWJ4" s="299"/>
      <c r="QWK4" s="299"/>
      <c r="QWL4" s="299"/>
      <c r="QWM4" s="299"/>
      <c r="QWN4" s="299"/>
      <c r="QWO4" s="299"/>
      <c r="QWP4" s="299"/>
      <c r="QWQ4" s="299"/>
      <c r="QWR4" s="299"/>
      <c r="QWS4" s="299"/>
      <c r="QWT4" s="299"/>
      <c r="QWU4" s="299"/>
      <c r="QWV4" s="299"/>
      <c r="QWW4" s="299"/>
      <c r="QWX4" s="299"/>
      <c r="QWY4" s="299"/>
      <c r="QWZ4" s="299"/>
      <c r="QXA4" s="299"/>
      <c r="QXB4" s="299"/>
      <c r="QXC4" s="299"/>
      <c r="QXD4" s="299"/>
      <c r="QXE4" s="299"/>
      <c r="QXF4" s="299"/>
      <c r="QXG4" s="299"/>
      <c r="QXH4" s="299"/>
      <c r="QXI4" s="299"/>
      <c r="QXJ4" s="299"/>
      <c r="QXK4" s="299"/>
      <c r="QXL4" s="299"/>
      <c r="QXM4" s="299"/>
      <c r="QXN4" s="299"/>
      <c r="QXO4" s="299"/>
      <c r="QXP4" s="299"/>
      <c r="QXQ4" s="299"/>
      <c r="QXR4" s="299"/>
      <c r="QXS4" s="299"/>
      <c r="QXT4" s="299"/>
      <c r="QXU4" s="299"/>
      <c r="QXV4" s="299"/>
      <c r="QXW4" s="299"/>
      <c r="QXX4" s="299"/>
      <c r="QXY4" s="299"/>
      <c r="QXZ4" s="299"/>
      <c r="QYA4" s="299"/>
      <c r="QYB4" s="299"/>
      <c r="QYC4" s="299"/>
      <c r="QYD4" s="299"/>
      <c r="QYE4" s="299"/>
      <c r="QYF4" s="299"/>
      <c r="QYG4" s="299"/>
      <c r="QYH4" s="299"/>
      <c r="QYI4" s="299"/>
      <c r="QYJ4" s="299"/>
      <c r="QYK4" s="299"/>
      <c r="QYL4" s="299"/>
      <c r="QYM4" s="299"/>
      <c r="QYN4" s="299"/>
      <c r="QYO4" s="299"/>
      <c r="QYP4" s="299"/>
      <c r="QYQ4" s="299"/>
      <c r="QYR4" s="299"/>
      <c r="QYS4" s="299"/>
      <c r="QYT4" s="299"/>
      <c r="QYU4" s="299"/>
      <c r="QYV4" s="299"/>
      <c r="QYW4" s="299"/>
      <c r="QYX4" s="299"/>
      <c r="QYY4" s="299"/>
      <c r="QYZ4" s="299"/>
      <c r="QZA4" s="299"/>
      <c r="QZB4" s="299"/>
      <c r="QZC4" s="299"/>
      <c r="QZD4" s="299"/>
      <c r="QZE4" s="299"/>
      <c r="QZF4" s="299"/>
      <c r="QZG4" s="299"/>
      <c r="QZH4" s="299"/>
      <c r="QZI4" s="299"/>
      <c r="QZJ4" s="299"/>
      <c r="QZK4" s="299"/>
      <c r="QZL4" s="299"/>
      <c r="QZM4" s="299"/>
      <c r="QZN4" s="299"/>
      <c r="QZO4" s="299"/>
      <c r="QZP4" s="299"/>
      <c r="QZQ4" s="299"/>
      <c r="QZR4" s="299"/>
      <c r="QZS4" s="299"/>
      <c r="QZT4" s="299"/>
      <c r="QZU4" s="299"/>
      <c r="QZV4" s="299"/>
      <c r="QZW4" s="299"/>
      <c r="QZX4" s="299"/>
      <c r="QZY4" s="299"/>
      <c r="QZZ4" s="299"/>
      <c r="RAA4" s="299"/>
      <c r="RAB4" s="299"/>
      <c r="RAC4" s="299"/>
      <c r="RAD4" s="299"/>
      <c r="RAE4" s="299"/>
      <c r="RAF4" s="299"/>
      <c r="RAG4" s="299"/>
      <c r="RAH4" s="299"/>
      <c r="RAI4" s="299"/>
      <c r="RAJ4" s="299"/>
      <c r="RAK4" s="299"/>
      <c r="RAL4" s="299"/>
      <c r="RAM4" s="299"/>
      <c r="RAN4" s="299"/>
      <c r="RAO4" s="299"/>
      <c r="RAP4" s="299"/>
      <c r="RAQ4" s="299"/>
      <c r="RAR4" s="299"/>
      <c r="RAS4" s="299"/>
      <c r="RAT4" s="299"/>
      <c r="RAU4" s="299"/>
      <c r="RAV4" s="299"/>
      <c r="RAW4" s="299"/>
      <c r="RAX4" s="299"/>
      <c r="RAY4" s="299"/>
      <c r="RAZ4" s="299"/>
      <c r="RBA4" s="299"/>
      <c r="RBB4" s="299"/>
      <c r="RBC4" s="299"/>
      <c r="RBD4" s="299"/>
      <c r="RBE4" s="299"/>
      <c r="RBF4" s="299"/>
      <c r="RBG4" s="299"/>
      <c r="RBH4" s="299"/>
      <c r="RBI4" s="299"/>
      <c r="RBJ4" s="299"/>
      <c r="RBK4" s="299"/>
      <c r="RBL4" s="299"/>
      <c r="RBM4" s="299"/>
      <c r="RBN4" s="299"/>
      <c r="RBO4" s="299"/>
      <c r="RBP4" s="299"/>
      <c r="RBQ4" s="299"/>
      <c r="RBR4" s="299"/>
      <c r="RBS4" s="299"/>
      <c r="RBT4" s="299"/>
      <c r="RBU4" s="299"/>
      <c r="RBV4" s="299"/>
      <c r="RBW4" s="299"/>
      <c r="RBX4" s="299"/>
      <c r="RBY4" s="299"/>
      <c r="RBZ4" s="299"/>
      <c r="RCA4" s="299"/>
      <c r="RCB4" s="299"/>
      <c r="RCC4" s="299"/>
      <c r="RCD4" s="299"/>
      <c r="RCE4" s="299"/>
      <c r="RCF4" s="299"/>
      <c r="RCG4" s="299"/>
      <c r="RCH4" s="299"/>
      <c r="RCI4" s="299"/>
      <c r="RCJ4" s="299"/>
      <c r="RCK4" s="299"/>
      <c r="RCL4" s="299"/>
      <c r="RCM4" s="299"/>
      <c r="RCN4" s="299"/>
      <c r="RCO4" s="299"/>
      <c r="RCP4" s="299"/>
      <c r="RCQ4" s="299"/>
      <c r="RCR4" s="299"/>
      <c r="RCS4" s="299"/>
      <c r="RCT4" s="299"/>
      <c r="RCU4" s="299"/>
      <c r="RCV4" s="299"/>
      <c r="RCW4" s="299"/>
      <c r="RCX4" s="299"/>
      <c r="RCY4" s="299"/>
      <c r="RCZ4" s="299"/>
      <c r="RDA4" s="299"/>
      <c r="RDB4" s="299"/>
      <c r="RDC4" s="299"/>
      <c r="RDD4" s="299"/>
      <c r="RDE4" s="299"/>
      <c r="RDF4" s="299"/>
      <c r="RDG4" s="299"/>
      <c r="RDH4" s="299"/>
      <c r="RDI4" s="299"/>
      <c r="RDJ4" s="299"/>
      <c r="RDK4" s="299"/>
      <c r="RDL4" s="299"/>
      <c r="RDM4" s="299"/>
      <c r="RDN4" s="299"/>
      <c r="RDO4" s="299"/>
      <c r="RDP4" s="299"/>
      <c r="RDQ4" s="299"/>
      <c r="RDR4" s="299"/>
      <c r="RDS4" s="299"/>
      <c r="RDT4" s="299"/>
      <c r="RDU4" s="299"/>
      <c r="RDV4" s="299"/>
      <c r="RDW4" s="299"/>
      <c r="RDX4" s="299"/>
      <c r="RDY4" s="299"/>
      <c r="RDZ4" s="299"/>
      <c r="REA4" s="299"/>
      <c r="REB4" s="299"/>
      <c r="REC4" s="299"/>
      <c r="RED4" s="299"/>
      <c r="REE4" s="299"/>
      <c r="REF4" s="299"/>
      <c r="REG4" s="299"/>
      <c r="REH4" s="299"/>
      <c r="REI4" s="299"/>
      <c r="REJ4" s="299"/>
      <c r="REK4" s="299"/>
      <c r="REL4" s="299"/>
      <c r="REM4" s="299"/>
      <c r="REN4" s="299"/>
      <c r="REO4" s="299"/>
      <c r="REP4" s="299"/>
      <c r="REQ4" s="299"/>
      <c r="RER4" s="299"/>
      <c r="RES4" s="299"/>
      <c r="RET4" s="299"/>
      <c r="REU4" s="299"/>
      <c r="REV4" s="299"/>
      <c r="REW4" s="299"/>
      <c r="REX4" s="299"/>
      <c r="REY4" s="299"/>
      <c r="REZ4" s="299"/>
      <c r="RFA4" s="299"/>
      <c r="RFB4" s="299"/>
      <c r="RFC4" s="299"/>
      <c r="RFD4" s="299"/>
      <c r="RFE4" s="299"/>
      <c r="RFF4" s="299"/>
      <c r="RFG4" s="299"/>
      <c r="RFH4" s="299"/>
      <c r="RFI4" s="299"/>
      <c r="RFJ4" s="299"/>
      <c r="RFK4" s="299"/>
      <c r="RFL4" s="299"/>
      <c r="RFM4" s="299"/>
      <c r="RFN4" s="299"/>
      <c r="RFO4" s="299"/>
      <c r="RFP4" s="299"/>
      <c r="RFQ4" s="299"/>
      <c r="RFR4" s="299"/>
      <c r="RFS4" s="299"/>
      <c r="RFT4" s="299"/>
      <c r="RFU4" s="299"/>
      <c r="RFV4" s="299"/>
      <c r="RFW4" s="299"/>
      <c r="RFX4" s="299"/>
      <c r="RFY4" s="299"/>
      <c r="RFZ4" s="299"/>
      <c r="RGA4" s="299"/>
      <c r="RGB4" s="299"/>
      <c r="RGC4" s="299"/>
      <c r="RGD4" s="299"/>
      <c r="RGE4" s="299"/>
      <c r="RGF4" s="299"/>
      <c r="RGG4" s="299"/>
      <c r="RGH4" s="299"/>
      <c r="RGI4" s="299"/>
      <c r="RGJ4" s="299"/>
      <c r="RGK4" s="299"/>
      <c r="RGL4" s="299"/>
      <c r="RGM4" s="299"/>
      <c r="RGN4" s="299"/>
      <c r="RGO4" s="299"/>
      <c r="RGP4" s="299"/>
      <c r="RGQ4" s="299"/>
      <c r="RGR4" s="299"/>
      <c r="RGS4" s="299"/>
      <c r="RGT4" s="299"/>
      <c r="RGU4" s="299"/>
      <c r="RGV4" s="299"/>
      <c r="RGW4" s="299"/>
      <c r="RGX4" s="299"/>
      <c r="RGY4" s="299"/>
      <c r="RGZ4" s="299"/>
      <c r="RHA4" s="299"/>
      <c r="RHB4" s="299"/>
      <c r="RHC4" s="299"/>
      <c r="RHD4" s="299"/>
      <c r="RHE4" s="299"/>
      <c r="RHF4" s="299"/>
      <c r="RHG4" s="299"/>
      <c r="RHH4" s="299"/>
      <c r="RHI4" s="299"/>
      <c r="RHJ4" s="299"/>
      <c r="RHK4" s="299"/>
      <c r="RHL4" s="299"/>
      <c r="RHM4" s="299"/>
      <c r="RHN4" s="299"/>
      <c r="RHO4" s="299"/>
      <c r="RHP4" s="299"/>
      <c r="RHQ4" s="299"/>
      <c r="RHR4" s="299"/>
      <c r="RHS4" s="299"/>
      <c r="RHT4" s="299"/>
      <c r="RHU4" s="299"/>
      <c r="RHV4" s="299"/>
      <c r="RHW4" s="299"/>
      <c r="RHX4" s="299"/>
      <c r="RHY4" s="299"/>
      <c r="RHZ4" s="299"/>
      <c r="RIA4" s="299"/>
      <c r="RIB4" s="299"/>
      <c r="RIC4" s="299"/>
      <c r="RID4" s="299"/>
      <c r="RIE4" s="299"/>
      <c r="RIF4" s="299"/>
      <c r="RIG4" s="299"/>
      <c r="RIH4" s="299"/>
      <c r="RII4" s="299"/>
      <c r="RIJ4" s="299"/>
      <c r="RIK4" s="299"/>
      <c r="RIL4" s="299"/>
      <c r="RIM4" s="299"/>
      <c r="RIN4" s="299"/>
      <c r="RIO4" s="299"/>
      <c r="RIP4" s="299"/>
      <c r="RIQ4" s="299"/>
      <c r="RIR4" s="299"/>
      <c r="RIS4" s="299"/>
      <c r="RIT4" s="299"/>
      <c r="RIU4" s="299"/>
      <c r="RIV4" s="299"/>
      <c r="RIW4" s="299"/>
      <c r="RIX4" s="299"/>
      <c r="RIY4" s="299"/>
      <c r="RIZ4" s="299"/>
      <c r="RJA4" s="299"/>
      <c r="RJB4" s="299"/>
      <c r="RJC4" s="299"/>
      <c r="RJD4" s="299"/>
      <c r="RJE4" s="299"/>
      <c r="RJF4" s="299"/>
      <c r="RJG4" s="299"/>
      <c r="RJH4" s="299"/>
      <c r="RJI4" s="299"/>
      <c r="RJJ4" s="299"/>
      <c r="RJK4" s="299"/>
      <c r="RJL4" s="299"/>
      <c r="RJM4" s="299"/>
      <c r="RJN4" s="299"/>
      <c r="RJO4" s="299"/>
      <c r="RJP4" s="299"/>
      <c r="RJQ4" s="299"/>
      <c r="RJR4" s="299"/>
      <c r="RJS4" s="299"/>
      <c r="RJT4" s="299"/>
      <c r="RJU4" s="299"/>
      <c r="RJV4" s="299"/>
      <c r="RJW4" s="299"/>
      <c r="RJX4" s="299"/>
      <c r="RJY4" s="299"/>
      <c r="RJZ4" s="299"/>
      <c r="RKA4" s="299"/>
      <c r="RKB4" s="299"/>
      <c r="RKC4" s="299"/>
      <c r="RKD4" s="299"/>
      <c r="RKE4" s="299"/>
      <c r="RKF4" s="299"/>
      <c r="RKG4" s="299"/>
      <c r="RKH4" s="299"/>
      <c r="RKI4" s="299"/>
      <c r="RKJ4" s="299"/>
      <c r="RKK4" s="299"/>
      <c r="RKL4" s="299"/>
      <c r="RKM4" s="299"/>
      <c r="RKN4" s="299"/>
      <c r="RKO4" s="299"/>
      <c r="RKP4" s="299"/>
      <c r="RKQ4" s="299"/>
      <c r="RKR4" s="299"/>
      <c r="RKS4" s="299"/>
      <c r="RKT4" s="299"/>
      <c r="RKU4" s="299"/>
      <c r="RKV4" s="299"/>
      <c r="RKW4" s="299"/>
      <c r="RKX4" s="299"/>
      <c r="RKY4" s="299"/>
      <c r="RKZ4" s="299"/>
      <c r="RLA4" s="299"/>
      <c r="RLB4" s="299"/>
      <c r="RLC4" s="299"/>
      <c r="RLD4" s="299"/>
      <c r="RLE4" s="299"/>
      <c r="RLF4" s="299"/>
      <c r="RLG4" s="299"/>
      <c r="RLH4" s="299"/>
      <c r="RLI4" s="299"/>
      <c r="RLJ4" s="299"/>
      <c r="RLK4" s="299"/>
      <c r="RLL4" s="299"/>
      <c r="RLM4" s="299"/>
      <c r="RLN4" s="299"/>
      <c r="RLO4" s="299"/>
      <c r="RLP4" s="299"/>
      <c r="RLQ4" s="299"/>
      <c r="RLR4" s="299"/>
      <c r="RLS4" s="299"/>
      <c r="RLT4" s="299"/>
      <c r="RLU4" s="299"/>
      <c r="RLV4" s="299"/>
      <c r="RLW4" s="299"/>
      <c r="RLX4" s="299"/>
      <c r="RLY4" s="299"/>
      <c r="RLZ4" s="299"/>
      <c r="RMA4" s="299"/>
      <c r="RMB4" s="299"/>
      <c r="RMC4" s="299"/>
      <c r="RMD4" s="299"/>
      <c r="RME4" s="299"/>
      <c r="RMF4" s="299"/>
      <c r="RMG4" s="299"/>
      <c r="RMH4" s="299"/>
      <c r="RMI4" s="299"/>
      <c r="RMJ4" s="299"/>
      <c r="RMK4" s="299"/>
      <c r="RML4" s="299"/>
      <c r="RMM4" s="299"/>
      <c r="RMN4" s="299"/>
      <c r="RMO4" s="299"/>
      <c r="RMP4" s="299"/>
      <c r="RMQ4" s="299"/>
      <c r="RMR4" s="299"/>
      <c r="RMS4" s="299"/>
      <c r="RMT4" s="299"/>
      <c r="RMU4" s="299"/>
      <c r="RMV4" s="299"/>
      <c r="RMW4" s="299"/>
      <c r="RMX4" s="299"/>
      <c r="RMY4" s="299"/>
      <c r="RMZ4" s="299"/>
      <c r="RNA4" s="299"/>
      <c r="RNB4" s="299"/>
      <c r="RNC4" s="299"/>
      <c r="RND4" s="299"/>
      <c r="RNE4" s="299"/>
      <c r="RNF4" s="299"/>
      <c r="RNG4" s="299"/>
      <c r="RNH4" s="299"/>
      <c r="RNI4" s="299"/>
      <c r="RNJ4" s="299"/>
      <c r="RNK4" s="299"/>
      <c r="RNL4" s="299"/>
      <c r="RNM4" s="299"/>
      <c r="RNN4" s="299"/>
      <c r="RNO4" s="299"/>
      <c r="RNP4" s="299"/>
      <c r="RNQ4" s="299"/>
      <c r="RNR4" s="299"/>
      <c r="RNS4" s="299"/>
      <c r="RNT4" s="299"/>
      <c r="RNU4" s="299"/>
      <c r="RNV4" s="299"/>
      <c r="RNW4" s="299"/>
      <c r="RNX4" s="299"/>
      <c r="RNY4" s="299"/>
      <c r="RNZ4" s="299"/>
      <c r="ROA4" s="299"/>
      <c r="ROB4" s="299"/>
      <c r="ROC4" s="299"/>
      <c r="ROD4" s="299"/>
      <c r="ROE4" s="299"/>
      <c r="ROF4" s="299"/>
      <c r="ROG4" s="299"/>
      <c r="ROH4" s="299"/>
      <c r="ROI4" s="299"/>
      <c r="ROJ4" s="299"/>
      <c r="ROK4" s="299"/>
      <c r="ROL4" s="299"/>
      <c r="ROM4" s="299"/>
      <c r="RON4" s="299"/>
      <c r="ROO4" s="299"/>
      <c r="ROP4" s="299"/>
      <c r="ROQ4" s="299"/>
      <c r="ROR4" s="299"/>
      <c r="ROS4" s="299"/>
      <c r="ROT4" s="299"/>
      <c r="ROU4" s="299"/>
      <c r="ROV4" s="299"/>
      <c r="ROW4" s="299"/>
      <c r="ROX4" s="299"/>
      <c r="ROY4" s="299"/>
      <c r="ROZ4" s="299"/>
      <c r="RPA4" s="299"/>
      <c r="RPB4" s="299"/>
      <c r="RPC4" s="299"/>
      <c r="RPD4" s="299"/>
      <c r="RPE4" s="299"/>
      <c r="RPF4" s="299"/>
      <c r="RPG4" s="299"/>
      <c r="RPH4" s="299"/>
      <c r="RPI4" s="299"/>
      <c r="RPJ4" s="299"/>
      <c r="RPK4" s="299"/>
      <c r="RPL4" s="299"/>
      <c r="RPM4" s="299"/>
      <c r="RPN4" s="299"/>
      <c r="RPO4" s="299"/>
      <c r="RPP4" s="299"/>
      <c r="RPQ4" s="299"/>
      <c r="RPR4" s="299"/>
      <c r="RPS4" s="299"/>
      <c r="RPT4" s="299"/>
      <c r="RPU4" s="299"/>
      <c r="RPV4" s="299"/>
      <c r="RPW4" s="299"/>
      <c r="RPX4" s="299"/>
      <c r="RPY4" s="299"/>
      <c r="RPZ4" s="299"/>
      <c r="RQA4" s="299"/>
      <c r="RQB4" s="299"/>
      <c r="RQC4" s="299"/>
      <c r="RQD4" s="299"/>
      <c r="RQE4" s="299"/>
      <c r="RQF4" s="299"/>
      <c r="RQG4" s="299"/>
      <c r="RQH4" s="299"/>
      <c r="RQI4" s="299"/>
      <c r="RQJ4" s="299"/>
      <c r="RQK4" s="299"/>
      <c r="RQL4" s="299"/>
      <c r="RQM4" s="299"/>
      <c r="RQN4" s="299"/>
      <c r="RQO4" s="299"/>
      <c r="RQP4" s="299"/>
      <c r="RQQ4" s="299"/>
      <c r="RQR4" s="299"/>
      <c r="RQS4" s="299"/>
      <c r="RQT4" s="299"/>
      <c r="RQU4" s="299"/>
      <c r="RQV4" s="299"/>
      <c r="RQW4" s="299"/>
      <c r="RQX4" s="299"/>
      <c r="RQY4" s="299"/>
      <c r="RQZ4" s="299"/>
      <c r="RRA4" s="299"/>
      <c r="RRB4" s="299"/>
      <c r="RRC4" s="299"/>
      <c r="RRD4" s="299"/>
      <c r="RRE4" s="299"/>
      <c r="RRF4" s="299"/>
      <c r="RRG4" s="299"/>
      <c r="RRH4" s="299"/>
      <c r="RRI4" s="299"/>
      <c r="RRJ4" s="299"/>
      <c r="RRK4" s="299"/>
      <c r="RRL4" s="299"/>
      <c r="RRM4" s="299"/>
      <c r="RRN4" s="299"/>
      <c r="RRO4" s="299"/>
      <c r="RRP4" s="299"/>
      <c r="RRQ4" s="299"/>
      <c r="RRR4" s="299"/>
      <c r="RRS4" s="299"/>
      <c r="RRT4" s="299"/>
      <c r="RRU4" s="299"/>
      <c r="RRV4" s="299"/>
      <c r="RRW4" s="299"/>
      <c r="RRX4" s="299"/>
      <c r="RRY4" s="299"/>
      <c r="RRZ4" s="299"/>
      <c r="RSA4" s="299"/>
      <c r="RSB4" s="299"/>
      <c r="RSC4" s="299"/>
      <c r="RSD4" s="299"/>
      <c r="RSE4" s="299"/>
      <c r="RSF4" s="299"/>
      <c r="RSG4" s="299"/>
      <c r="RSH4" s="299"/>
      <c r="RSI4" s="299"/>
      <c r="RSJ4" s="299"/>
      <c r="RSK4" s="299"/>
      <c r="RSL4" s="299"/>
      <c r="RSM4" s="299"/>
      <c r="RSN4" s="299"/>
      <c r="RSO4" s="299"/>
      <c r="RSP4" s="299"/>
      <c r="RSQ4" s="299"/>
      <c r="RSR4" s="299"/>
      <c r="RSS4" s="299"/>
      <c r="RST4" s="299"/>
      <c r="RSU4" s="299"/>
      <c r="RSV4" s="299"/>
      <c r="RSW4" s="299"/>
      <c r="RSX4" s="299"/>
      <c r="RSY4" s="299"/>
      <c r="RSZ4" s="299"/>
      <c r="RTA4" s="299"/>
      <c r="RTB4" s="299"/>
      <c r="RTC4" s="299"/>
      <c r="RTD4" s="299"/>
      <c r="RTE4" s="299"/>
      <c r="RTF4" s="299"/>
      <c r="RTG4" s="299"/>
      <c r="RTH4" s="299"/>
      <c r="RTI4" s="299"/>
      <c r="RTJ4" s="299"/>
      <c r="RTK4" s="299"/>
      <c r="RTL4" s="299"/>
      <c r="RTM4" s="299"/>
      <c r="RTN4" s="299"/>
      <c r="RTO4" s="299"/>
      <c r="RTP4" s="299"/>
      <c r="RTQ4" s="299"/>
      <c r="RTR4" s="299"/>
      <c r="RTS4" s="299"/>
      <c r="RTT4" s="299"/>
      <c r="RTU4" s="299"/>
      <c r="RTV4" s="299"/>
      <c r="RTW4" s="299"/>
      <c r="RTX4" s="299"/>
      <c r="RTY4" s="299"/>
      <c r="RTZ4" s="299"/>
      <c r="RUA4" s="299"/>
      <c r="RUB4" s="299"/>
      <c r="RUC4" s="299"/>
      <c r="RUD4" s="299"/>
      <c r="RUE4" s="299"/>
      <c r="RUF4" s="299"/>
      <c r="RUG4" s="299"/>
      <c r="RUH4" s="299"/>
      <c r="RUI4" s="299"/>
      <c r="RUJ4" s="299"/>
      <c r="RUK4" s="299"/>
      <c r="RUL4" s="299"/>
      <c r="RUM4" s="299"/>
      <c r="RUN4" s="299"/>
      <c r="RUO4" s="299"/>
      <c r="RUP4" s="299"/>
      <c r="RUQ4" s="299"/>
      <c r="RUR4" s="299"/>
      <c r="RUS4" s="299"/>
      <c r="RUT4" s="299"/>
      <c r="RUU4" s="299"/>
      <c r="RUV4" s="299"/>
      <c r="RUW4" s="299"/>
      <c r="RUX4" s="299"/>
      <c r="RUY4" s="299"/>
      <c r="RUZ4" s="299"/>
      <c r="RVA4" s="299"/>
      <c r="RVB4" s="299"/>
      <c r="RVC4" s="299"/>
      <c r="RVD4" s="299"/>
      <c r="RVE4" s="299"/>
      <c r="RVF4" s="299"/>
      <c r="RVG4" s="299"/>
      <c r="RVH4" s="299"/>
      <c r="RVI4" s="299"/>
      <c r="RVJ4" s="299"/>
      <c r="RVK4" s="299"/>
      <c r="RVL4" s="299"/>
      <c r="RVM4" s="299"/>
      <c r="RVN4" s="299"/>
      <c r="RVO4" s="299"/>
      <c r="RVP4" s="299"/>
      <c r="RVQ4" s="299"/>
      <c r="RVR4" s="299"/>
      <c r="RVS4" s="299"/>
      <c r="RVT4" s="299"/>
      <c r="RVU4" s="299"/>
      <c r="RVV4" s="299"/>
      <c r="RVW4" s="299"/>
      <c r="RVX4" s="299"/>
      <c r="RVY4" s="299"/>
      <c r="RVZ4" s="299"/>
      <c r="RWA4" s="299"/>
      <c r="RWB4" s="299"/>
      <c r="RWC4" s="299"/>
      <c r="RWD4" s="299"/>
      <c r="RWE4" s="299"/>
      <c r="RWF4" s="299"/>
      <c r="RWG4" s="299"/>
      <c r="RWH4" s="299"/>
      <c r="RWI4" s="299"/>
      <c r="RWJ4" s="299"/>
      <c r="RWK4" s="299"/>
      <c r="RWL4" s="299"/>
      <c r="RWM4" s="299"/>
      <c r="RWN4" s="299"/>
      <c r="RWO4" s="299"/>
      <c r="RWP4" s="299"/>
      <c r="RWQ4" s="299"/>
      <c r="RWR4" s="299"/>
      <c r="RWS4" s="299"/>
      <c r="RWT4" s="299"/>
      <c r="RWU4" s="299"/>
      <c r="RWV4" s="299"/>
      <c r="RWW4" s="299"/>
      <c r="RWX4" s="299"/>
      <c r="RWY4" s="299"/>
      <c r="RWZ4" s="299"/>
      <c r="RXA4" s="299"/>
      <c r="RXB4" s="299"/>
      <c r="RXC4" s="299"/>
      <c r="RXD4" s="299"/>
      <c r="RXE4" s="299"/>
      <c r="RXF4" s="299"/>
      <c r="RXG4" s="299"/>
      <c r="RXH4" s="299"/>
      <c r="RXI4" s="299"/>
      <c r="RXJ4" s="299"/>
      <c r="RXK4" s="299"/>
      <c r="RXL4" s="299"/>
      <c r="RXM4" s="299"/>
      <c r="RXN4" s="299"/>
      <c r="RXO4" s="299"/>
      <c r="RXP4" s="299"/>
      <c r="RXQ4" s="299"/>
      <c r="RXR4" s="299"/>
      <c r="RXS4" s="299"/>
      <c r="RXT4" s="299"/>
      <c r="RXU4" s="299"/>
      <c r="RXV4" s="299"/>
      <c r="RXW4" s="299"/>
      <c r="RXX4" s="299"/>
      <c r="RXY4" s="299"/>
      <c r="RXZ4" s="299"/>
      <c r="RYA4" s="299"/>
      <c r="RYB4" s="299"/>
      <c r="RYC4" s="299"/>
      <c r="RYD4" s="299"/>
      <c r="RYE4" s="299"/>
      <c r="RYF4" s="299"/>
      <c r="RYG4" s="299"/>
      <c r="RYH4" s="299"/>
      <c r="RYI4" s="299"/>
      <c r="RYJ4" s="299"/>
      <c r="RYK4" s="299"/>
      <c r="RYL4" s="299"/>
      <c r="RYM4" s="299"/>
      <c r="RYN4" s="299"/>
      <c r="RYO4" s="299"/>
      <c r="RYP4" s="299"/>
      <c r="RYQ4" s="299"/>
      <c r="RYR4" s="299"/>
      <c r="RYS4" s="299"/>
      <c r="RYT4" s="299"/>
      <c r="RYU4" s="299"/>
      <c r="RYV4" s="299"/>
      <c r="RYW4" s="299"/>
      <c r="RYX4" s="299"/>
      <c r="RYY4" s="299"/>
      <c r="RYZ4" s="299"/>
      <c r="RZA4" s="299"/>
      <c r="RZB4" s="299"/>
      <c r="RZC4" s="299"/>
      <c r="RZD4" s="299"/>
      <c r="RZE4" s="299"/>
      <c r="RZF4" s="299"/>
      <c r="RZG4" s="299"/>
      <c r="RZH4" s="299"/>
      <c r="RZI4" s="299"/>
      <c r="RZJ4" s="299"/>
      <c r="RZK4" s="299"/>
      <c r="RZL4" s="299"/>
      <c r="RZM4" s="299"/>
      <c r="RZN4" s="299"/>
      <c r="RZO4" s="299"/>
      <c r="RZP4" s="299"/>
      <c r="RZQ4" s="299"/>
      <c r="RZR4" s="299"/>
      <c r="RZS4" s="299"/>
      <c r="RZT4" s="299"/>
      <c r="RZU4" s="299"/>
      <c r="RZV4" s="299"/>
      <c r="RZW4" s="299"/>
      <c r="RZX4" s="299"/>
      <c r="RZY4" s="299"/>
      <c r="RZZ4" s="299"/>
      <c r="SAA4" s="299"/>
      <c r="SAB4" s="299"/>
      <c r="SAC4" s="299"/>
      <c r="SAD4" s="299"/>
      <c r="SAE4" s="299"/>
      <c r="SAF4" s="299"/>
      <c r="SAG4" s="299"/>
      <c r="SAH4" s="299"/>
      <c r="SAI4" s="299"/>
      <c r="SAJ4" s="299"/>
      <c r="SAK4" s="299"/>
      <c r="SAL4" s="299"/>
      <c r="SAM4" s="299"/>
      <c r="SAN4" s="299"/>
      <c r="SAO4" s="299"/>
      <c r="SAP4" s="299"/>
      <c r="SAQ4" s="299"/>
      <c r="SAR4" s="299"/>
      <c r="SAS4" s="299"/>
      <c r="SAT4" s="299"/>
      <c r="SAU4" s="299"/>
      <c r="SAV4" s="299"/>
      <c r="SAW4" s="299"/>
      <c r="SAX4" s="299"/>
      <c r="SAY4" s="299"/>
      <c r="SAZ4" s="299"/>
      <c r="SBA4" s="299"/>
      <c r="SBB4" s="299"/>
      <c r="SBC4" s="299"/>
      <c r="SBD4" s="299"/>
      <c r="SBE4" s="299"/>
      <c r="SBF4" s="299"/>
      <c r="SBG4" s="299"/>
      <c r="SBH4" s="299"/>
      <c r="SBI4" s="299"/>
      <c r="SBJ4" s="299"/>
      <c r="SBK4" s="299"/>
      <c r="SBL4" s="299"/>
      <c r="SBM4" s="299"/>
      <c r="SBN4" s="299"/>
      <c r="SBO4" s="299"/>
      <c r="SBP4" s="299"/>
      <c r="SBQ4" s="299"/>
      <c r="SBR4" s="299"/>
      <c r="SBS4" s="299"/>
      <c r="SBT4" s="299"/>
      <c r="SBU4" s="299"/>
      <c r="SBV4" s="299"/>
      <c r="SBW4" s="299"/>
      <c r="SBX4" s="299"/>
      <c r="SBY4" s="299"/>
      <c r="SBZ4" s="299"/>
      <c r="SCA4" s="299"/>
      <c r="SCB4" s="299"/>
      <c r="SCC4" s="299"/>
      <c r="SCD4" s="299"/>
      <c r="SCE4" s="299"/>
      <c r="SCF4" s="299"/>
      <c r="SCG4" s="299"/>
      <c r="SCH4" s="299"/>
      <c r="SCI4" s="299"/>
      <c r="SCJ4" s="299"/>
      <c r="SCK4" s="299"/>
      <c r="SCL4" s="299"/>
      <c r="SCM4" s="299"/>
      <c r="SCN4" s="299"/>
      <c r="SCO4" s="299"/>
      <c r="SCP4" s="299"/>
      <c r="SCQ4" s="299"/>
      <c r="SCR4" s="299"/>
      <c r="SCS4" s="299"/>
      <c r="SCT4" s="299"/>
      <c r="SCU4" s="299"/>
      <c r="SCV4" s="299"/>
      <c r="SCW4" s="299"/>
      <c r="SCX4" s="299"/>
      <c r="SCY4" s="299"/>
      <c r="SCZ4" s="299"/>
      <c r="SDA4" s="299"/>
      <c r="SDB4" s="299"/>
      <c r="SDC4" s="299"/>
      <c r="SDD4" s="299"/>
      <c r="SDE4" s="299"/>
      <c r="SDF4" s="299"/>
      <c r="SDG4" s="299"/>
      <c r="SDH4" s="299"/>
      <c r="SDI4" s="299"/>
      <c r="SDJ4" s="299"/>
      <c r="SDK4" s="299"/>
      <c r="SDL4" s="299"/>
      <c r="SDM4" s="299"/>
      <c r="SDN4" s="299"/>
      <c r="SDO4" s="299"/>
      <c r="SDP4" s="299"/>
      <c r="SDQ4" s="299"/>
      <c r="SDR4" s="299"/>
      <c r="SDS4" s="299"/>
      <c r="SDT4" s="299"/>
      <c r="SDU4" s="299"/>
      <c r="SDV4" s="299"/>
      <c r="SDW4" s="299"/>
      <c r="SDX4" s="299"/>
      <c r="SDY4" s="299"/>
      <c r="SDZ4" s="299"/>
      <c r="SEA4" s="299"/>
      <c r="SEB4" s="299"/>
      <c r="SEC4" s="299"/>
      <c r="SED4" s="299"/>
      <c r="SEE4" s="299"/>
      <c r="SEF4" s="299"/>
      <c r="SEG4" s="299"/>
      <c r="SEH4" s="299"/>
      <c r="SEI4" s="299"/>
      <c r="SEJ4" s="299"/>
      <c r="SEK4" s="299"/>
      <c r="SEL4" s="299"/>
      <c r="SEM4" s="299"/>
      <c r="SEN4" s="299"/>
      <c r="SEO4" s="299"/>
      <c r="SEP4" s="299"/>
      <c r="SEQ4" s="299"/>
      <c r="SER4" s="299"/>
      <c r="SES4" s="299"/>
      <c r="SET4" s="299"/>
      <c r="SEU4" s="299"/>
      <c r="SEV4" s="299"/>
      <c r="SEW4" s="299"/>
      <c r="SEX4" s="299"/>
      <c r="SEY4" s="299"/>
      <c r="SEZ4" s="299"/>
      <c r="SFA4" s="299"/>
      <c r="SFB4" s="299"/>
      <c r="SFC4" s="299"/>
      <c r="SFD4" s="299"/>
      <c r="SFE4" s="299"/>
      <c r="SFF4" s="299"/>
      <c r="SFG4" s="299"/>
      <c r="SFH4" s="299"/>
      <c r="SFI4" s="299"/>
      <c r="SFJ4" s="299"/>
      <c r="SFK4" s="299"/>
      <c r="SFL4" s="299"/>
      <c r="SFM4" s="299"/>
      <c r="SFN4" s="299"/>
      <c r="SFO4" s="299"/>
      <c r="SFP4" s="299"/>
      <c r="SFQ4" s="299"/>
      <c r="SFR4" s="299"/>
      <c r="SFS4" s="299"/>
      <c r="SFT4" s="299"/>
      <c r="SFU4" s="299"/>
      <c r="SFV4" s="299"/>
      <c r="SFW4" s="299"/>
      <c r="SFX4" s="299"/>
      <c r="SFY4" s="299"/>
      <c r="SFZ4" s="299"/>
      <c r="SGA4" s="299"/>
      <c r="SGB4" s="299"/>
      <c r="SGC4" s="299"/>
      <c r="SGD4" s="299"/>
      <c r="SGE4" s="299"/>
      <c r="SGF4" s="299"/>
      <c r="SGG4" s="299"/>
      <c r="SGH4" s="299"/>
      <c r="SGI4" s="299"/>
      <c r="SGJ4" s="299"/>
      <c r="SGK4" s="299"/>
      <c r="SGL4" s="299"/>
      <c r="SGM4" s="299"/>
      <c r="SGN4" s="299"/>
      <c r="SGO4" s="299"/>
      <c r="SGP4" s="299"/>
      <c r="SGQ4" s="299"/>
      <c r="SGR4" s="299"/>
      <c r="SGS4" s="299"/>
      <c r="SGT4" s="299"/>
      <c r="SGU4" s="299"/>
      <c r="SGV4" s="299"/>
      <c r="SGW4" s="299"/>
      <c r="SGX4" s="299"/>
      <c r="SGY4" s="299"/>
      <c r="SGZ4" s="299"/>
      <c r="SHA4" s="299"/>
      <c r="SHB4" s="299"/>
      <c r="SHC4" s="299"/>
      <c r="SHD4" s="299"/>
      <c r="SHE4" s="299"/>
      <c r="SHF4" s="299"/>
      <c r="SHG4" s="299"/>
      <c r="SHH4" s="299"/>
      <c r="SHI4" s="299"/>
      <c r="SHJ4" s="299"/>
      <c r="SHK4" s="299"/>
      <c r="SHL4" s="299"/>
      <c r="SHM4" s="299"/>
      <c r="SHN4" s="299"/>
      <c r="SHO4" s="299"/>
      <c r="SHP4" s="299"/>
      <c r="SHQ4" s="299"/>
      <c r="SHR4" s="299"/>
      <c r="SHS4" s="299"/>
      <c r="SHT4" s="299"/>
      <c r="SHU4" s="299"/>
      <c r="SHV4" s="299"/>
      <c r="SHW4" s="299"/>
      <c r="SHX4" s="299"/>
      <c r="SHY4" s="299"/>
      <c r="SHZ4" s="299"/>
      <c r="SIA4" s="299"/>
      <c r="SIB4" s="299"/>
      <c r="SIC4" s="299"/>
      <c r="SID4" s="299"/>
      <c r="SIE4" s="299"/>
      <c r="SIF4" s="299"/>
      <c r="SIG4" s="299"/>
      <c r="SIH4" s="299"/>
      <c r="SII4" s="299"/>
      <c r="SIJ4" s="299"/>
      <c r="SIK4" s="299"/>
      <c r="SIL4" s="299"/>
      <c r="SIM4" s="299"/>
      <c r="SIN4" s="299"/>
      <c r="SIO4" s="299"/>
      <c r="SIP4" s="299"/>
      <c r="SIQ4" s="299"/>
      <c r="SIR4" s="299"/>
      <c r="SIS4" s="299"/>
      <c r="SIT4" s="299"/>
      <c r="SIU4" s="299"/>
      <c r="SIV4" s="299"/>
      <c r="SIW4" s="299"/>
      <c r="SIX4" s="299"/>
      <c r="SIY4" s="299"/>
      <c r="SIZ4" s="299"/>
      <c r="SJA4" s="299"/>
      <c r="SJB4" s="299"/>
      <c r="SJC4" s="299"/>
      <c r="SJD4" s="299"/>
      <c r="SJE4" s="299"/>
      <c r="SJF4" s="299"/>
      <c r="SJG4" s="299"/>
      <c r="SJH4" s="299"/>
      <c r="SJI4" s="299"/>
      <c r="SJJ4" s="299"/>
      <c r="SJK4" s="299"/>
      <c r="SJL4" s="299"/>
      <c r="SJM4" s="299"/>
      <c r="SJN4" s="299"/>
      <c r="SJO4" s="299"/>
      <c r="SJP4" s="299"/>
      <c r="SJQ4" s="299"/>
      <c r="SJR4" s="299"/>
      <c r="SJS4" s="299"/>
      <c r="SJT4" s="299"/>
      <c r="SJU4" s="299"/>
      <c r="SJV4" s="299"/>
      <c r="SJW4" s="299"/>
      <c r="SJX4" s="299"/>
      <c r="SJY4" s="299"/>
      <c r="SJZ4" s="299"/>
      <c r="SKA4" s="299"/>
      <c r="SKB4" s="299"/>
      <c r="SKC4" s="299"/>
      <c r="SKD4" s="299"/>
      <c r="SKE4" s="299"/>
      <c r="SKF4" s="299"/>
      <c r="SKG4" s="299"/>
      <c r="SKH4" s="299"/>
      <c r="SKI4" s="299"/>
      <c r="SKJ4" s="299"/>
      <c r="SKK4" s="299"/>
      <c r="SKL4" s="299"/>
      <c r="SKM4" s="299"/>
      <c r="SKN4" s="299"/>
      <c r="SKO4" s="299"/>
      <c r="SKP4" s="299"/>
      <c r="SKQ4" s="299"/>
      <c r="SKR4" s="299"/>
      <c r="SKS4" s="299"/>
      <c r="SKT4" s="299"/>
      <c r="SKU4" s="299"/>
      <c r="SKV4" s="299"/>
      <c r="SKW4" s="299"/>
      <c r="SKX4" s="299"/>
      <c r="SKY4" s="299"/>
      <c r="SKZ4" s="299"/>
      <c r="SLA4" s="299"/>
      <c r="SLB4" s="299"/>
      <c r="SLC4" s="299"/>
      <c r="SLD4" s="299"/>
      <c r="SLE4" s="299"/>
      <c r="SLF4" s="299"/>
      <c r="SLG4" s="299"/>
      <c r="SLH4" s="299"/>
      <c r="SLI4" s="299"/>
      <c r="SLJ4" s="299"/>
      <c r="SLK4" s="299"/>
      <c r="SLL4" s="299"/>
      <c r="SLM4" s="299"/>
      <c r="SLN4" s="299"/>
      <c r="SLO4" s="299"/>
      <c r="SLP4" s="299"/>
      <c r="SLQ4" s="299"/>
      <c r="SLR4" s="299"/>
      <c r="SLS4" s="299"/>
      <c r="SLT4" s="299"/>
      <c r="SLU4" s="299"/>
      <c r="SLV4" s="299"/>
      <c r="SLW4" s="299"/>
      <c r="SLX4" s="299"/>
      <c r="SLY4" s="299"/>
      <c r="SLZ4" s="299"/>
      <c r="SMA4" s="299"/>
      <c r="SMB4" s="299"/>
      <c r="SMC4" s="299"/>
      <c r="SMD4" s="299"/>
      <c r="SME4" s="299"/>
      <c r="SMF4" s="299"/>
      <c r="SMG4" s="299"/>
      <c r="SMH4" s="299"/>
      <c r="SMI4" s="299"/>
      <c r="SMJ4" s="299"/>
      <c r="SMK4" s="299"/>
      <c r="SML4" s="299"/>
      <c r="SMM4" s="299"/>
      <c r="SMN4" s="299"/>
      <c r="SMO4" s="299"/>
      <c r="SMP4" s="299"/>
      <c r="SMQ4" s="299"/>
      <c r="SMR4" s="299"/>
      <c r="SMS4" s="299"/>
      <c r="SMT4" s="299"/>
      <c r="SMU4" s="299"/>
      <c r="SMV4" s="299"/>
      <c r="SMW4" s="299"/>
      <c r="SMX4" s="299"/>
      <c r="SMY4" s="299"/>
      <c r="SMZ4" s="299"/>
      <c r="SNA4" s="299"/>
      <c r="SNB4" s="299"/>
      <c r="SNC4" s="299"/>
      <c r="SND4" s="299"/>
      <c r="SNE4" s="299"/>
      <c r="SNF4" s="299"/>
      <c r="SNG4" s="299"/>
      <c r="SNH4" s="299"/>
      <c r="SNI4" s="299"/>
      <c r="SNJ4" s="299"/>
      <c r="SNK4" s="299"/>
      <c r="SNL4" s="299"/>
      <c r="SNM4" s="299"/>
      <c r="SNN4" s="299"/>
      <c r="SNO4" s="299"/>
      <c r="SNP4" s="299"/>
      <c r="SNQ4" s="299"/>
      <c r="SNR4" s="299"/>
      <c r="SNS4" s="299"/>
      <c r="SNT4" s="299"/>
      <c r="SNU4" s="299"/>
      <c r="SNV4" s="299"/>
      <c r="SNW4" s="299"/>
      <c r="SNX4" s="299"/>
      <c r="SNY4" s="299"/>
      <c r="SNZ4" s="299"/>
      <c r="SOA4" s="299"/>
      <c r="SOB4" s="299"/>
      <c r="SOC4" s="299"/>
      <c r="SOD4" s="299"/>
      <c r="SOE4" s="299"/>
      <c r="SOF4" s="299"/>
      <c r="SOG4" s="299"/>
      <c r="SOH4" s="299"/>
      <c r="SOI4" s="299"/>
      <c r="SOJ4" s="299"/>
      <c r="SOK4" s="299"/>
      <c r="SOL4" s="299"/>
      <c r="SOM4" s="299"/>
      <c r="SON4" s="299"/>
      <c r="SOO4" s="299"/>
      <c r="SOP4" s="299"/>
      <c r="SOQ4" s="299"/>
      <c r="SOR4" s="299"/>
      <c r="SOS4" s="299"/>
      <c r="SOT4" s="299"/>
      <c r="SOU4" s="299"/>
      <c r="SOV4" s="299"/>
      <c r="SOW4" s="299"/>
      <c r="SOX4" s="299"/>
      <c r="SOY4" s="299"/>
      <c r="SOZ4" s="299"/>
      <c r="SPA4" s="299"/>
      <c r="SPB4" s="299"/>
      <c r="SPC4" s="299"/>
      <c r="SPD4" s="299"/>
      <c r="SPE4" s="299"/>
      <c r="SPF4" s="299"/>
      <c r="SPG4" s="299"/>
      <c r="SPH4" s="299"/>
      <c r="SPI4" s="299"/>
      <c r="SPJ4" s="299"/>
      <c r="SPK4" s="299"/>
      <c r="SPL4" s="299"/>
      <c r="SPM4" s="299"/>
      <c r="SPN4" s="299"/>
      <c r="SPO4" s="299"/>
      <c r="SPP4" s="299"/>
      <c r="SPQ4" s="299"/>
      <c r="SPR4" s="299"/>
      <c r="SPS4" s="299"/>
      <c r="SPT4" s="299"/>
      <c r="SPU4" s="299"/>
      <c r="SPV4" s="299"/>
      <c r="SPW4" s="299"/>
      <c r="SPX4" s="299"/>
      <c r="SPY4" s="299"/>
      <c r="SPZ4" s="299"/>
      <c r="SQA4" s="299"/>
      <c r="SQB4" s="299"/>
      <c r="SQC4" s="299"/>
      <c r="SQD4" s="299"/>
      <c r="SQE4" s="299"/>
      <c r="SQF4" s="299"/>
      <c r="SQG4" s="299"/>
      <c r="SQH4" s="299"/>
      <c r="SQI4" s="299"/>
      <c r="SQJ4" s="299"/>
      <c r="SQK4" s="299"/>
      <c r="SQL4" s="299"/>
      <c r="SQM4" s="299"/>
      <c r="SQN4" s="299"/>
      <c r="SQO4" s="299"/>
      <c r="SQP4" s="299"/>
      <c r="SQQ4" s="299"/>
      <c r="SQR4" s="299"/>
      <c r="SQS4" s="299"/>
      <c r="SQT4" s="299"/>
      <c r="SQU4" s="299"/>
      <c r="SQV4" s="299"/>
      <c r="SQW4" s="299"/>
      <c r="SQX4" s="299"/>
      <c r="SQY4" s="299"/>
      <c r="SQZ4" s="299"/>
      <c r="SRA4" s="299"/>
      <c r="SRB4" s="299"/>
      <c r="SRC4" s="299"/>
      <c r="SRD4" s="299"/>
      <c r="SRE4" s="299"/>
      <c r="SRF4" s="299"/>
      <c r="SRG4" s="299"/>
      <c r="SRH4" s="299"/>
      <c r="SRI4" s="299"/>
      <c r="SRJ4" s="299"/>
      <c r="SRK4" s="299"/>
      <c r="SRL4" s="299"/>
      <c r="SRM4" s="299"/>
      <c r="SRN4" s="299"/>
      <c r="SRO4" s="299"/>
      <c r="SRP4" s="299"/>
      <c r="SRQ4" s="299"/>
      <c r="SRR4" s="299"/>
      <c r="SRS4" s="299"/>
      <c r="SRT4" s="299"/>
      <c r="SRU4" s="299"/>
      <c r="SRV4" s="299"/>
      <c r="SRW4" s="299"/>
      <c r="SRX4" s="299"/>
      <c r="SRY4" s="299"/>
      <c r="SRZ4" s="299"/>
      <c r="SSA4" s="299"/>
      <c r="SSB4" s="299"/>
      <c r="SSC4" s="299"/>
      <c r="SSD4" s="299"/>
      <c r="SSE4" s="299"/>
      <c r="SSF4" s="299"/>
      <c r="SSG4" s="299"/>
      <c r="SSH4" s="299"/>
      <c r="SSI4" s="299"/>
      <c r="SSJ4" s="299"/>
      <c r="SSK4" s="299"/>
      <c r="SSL4" s="299"/>
      <c r="SSM4" s="299"/>
      <c r="SSN4" s="299"/>
      <c r="SSO4" s="299"/>
      <c r="SSP4" s="299"/>
      <c r="SSQ4" s="299"/>
      <c r="SSR4" s="299"/>
      <c r="SSS4" s="299"/>
      <c r="SST4" s="299"/>
      <c r="SSU4" s="299"/>
      <c r="SSV4" s="299"/>
      <c r="SSW4" s="299"/>
      <c r="SSX4" s="299"/>
      <c r="SSY4" s="299"/>
      <c r="SSZ4" s="299"/>
      <c r="STA4" s="299"/>
      <c r="STB4" s="299"/>
      <c r="STC4" s="299"/>
      <c r="STD4" s="299"/>
      <c r="STE4" s="299"/>
      <c r="STF4" s="299"/>
      <c r="STG4" s="299"/>
      <c r="STH4" s="299"/>
      <c r="STI4" s="299"/>
      <c r="STJ4" s="299"/>
      <c r="STK4" s="299"/>
      <c r="STL4" s="299"/>
      <c r="STM4" s="299"/>
      <c r="STN4" s="299"/>
      <c r="STO4" s="299"/>
      <c r="STP4" s="299"/>
      <c r="STQ4" s="299"/>
      <c r="STR4" s="299"/>
      <c r="STS4" s="299"/>
      <c r="STT4" s="299"/>
      <c r="STU4" s="299"/>
      <c r="STV4" s="299"/>
      <c r="STW4" s="299"/>
      <c r="STX4" s="299"/>
      <c r="STY4" s="299"/>
      <c r="STZ4" s="299"/>
      <c r="SUA4" s="299"/>
      <c r="SUB4" s="299"/>
      <c r="SUC4" s="299"/>
      <c r="SUD4" s="299"/>
      <c r="SUE4" s="299"/>
      <c r="SUF4" s="299"/>
      <c r="SUG4" s="299"/>
      <c r="SUH4" s="299"/>
      <c r="SUI4" s="299"/>
      <c r="SUJ4" s="299"/>
      <c r="SUK4" s="299"/>
      <c r="SUL4" s="299"/>
      <c r="SUM4" s="299"/>
      <c r="SUN4" s="299"/>
      <c r="SUO4" s="299"/>
      <c r="SUP4" s="299"/>
      <c r="SUQ4" s="299"/>
      <c r="SUR4" s="299"/>
      <c r="SUS4" s="299"/>
      <c r="SUT4" s="299"/>
      <c r="SUU4" s="299"/>
      <c r="SUV4" s="299"/>
      <c r="SUW4" s="299"/>
      <c r="SUX4" s="299"/>
      <c r="SUY4" s="299"/>
      <c r="SUZ4" s="299"/>
      <c r="SVA4" s="299"/>
      <c r="SVB4" s="299"/>
      <c r="SVC4" s="299"/>
      <c r="SVD4" s="299"/>
      <c r="SVE4" s="299"/>
      <c r="SVF4" s="299"/>
      <c r="SVG4" s="299"/>
      <c r="SVH4" s="299"/>
      <c r="SVI4" s="299"/>
      <c r="SVJ4" s="299"/>
      <c r="SVK4" s="299"/>
      <c r="SVL4" s="299"/>
      <c r="SVM4" s="299"/>
      <c r="SVN4" s="299"/>
      <c r="SVO4" s="299"/>
      <c r="SVP4" s="299"/>
      <c r="SVQ4" s="299"/>
      <c r="SVR4" s="299"/>
      <c r="SVS4" s="299"/>
      <c r="SVT4" s="299"/>
      <c r="SVU4" s="299"/>
      <c r="SVV4" s="299"/>
      <c r="SVW4" s="299"/>
      <c r="SVX4" s="299"/>
      <c r="SVY4" s="299"/>
      <c r="SVZ4" s="299"/>
      <c r="SWA4" s="299"/>
      <c r="SWB4" s="299"/>
      <c r="SWC4" s="299"/>
      <c r="SWD4" s="299"/>
      <c r="SWE4" s="299"/>
      <c r="SWF4" s="299"/>
      <c r="SWG4" s="299"/>
      <c r="SWH4" s="299"/>
      <c r="SWI4" s="299"/>
      <c r="SWJ4" s="299"/>
      <c r="SWK4" s="299"/>
      <c r="SWL4" s="299"/>
      <c r="SWM4" s="299"/>
      <c r="SWN4" s="299"/>
      <c r="SWO4" s="299"/>
      <c r="SWP4" s="299"/>
      <c r="SWQ4" s="299"/>
      <c r="SWR4" s="299"/>
      <c r="SWS4" s="299"/>
      <c r="SWT4" s="299"/>
      <c r="SWU4" s="299"/>
      <c r="SWV4" s="299"/>
      <c r="SWW4" s="299"/>
      <c r="SWX4" s="299"/>
      <c r="SWY4" s="299"/>
      <c r="SWZ4" s="299"/>
      <c r="SXA4" s="299"/>
      <c r="SXB4" s="299"/>
      <c r="SXC4" s="299"/>
      <c r="SXD4" s="299"/>
      <c r="SXE4" s="299"/>
      <c r="SXF4" s="299"/>
      <c r="SXG4" s="299"/>
      <c r="SXH4" s="299"/>
      <c r="SXI4" s="299"/>
      <c r="SXJ4" s="299"/>
      <c r="SXK4" s="299"/>
      <c r="SXL4" s="299"/>
      <c r="SXM4" s="299"/>
      <c r="SXN4" s="299"/>
      <c r="SXO4" s="299"/>
      <c r="SXP4" s="299"/>
      <c r="SXQ4" s="299"/>
      <c r="SXR4" s="299"/>
      <c r="SXS4" s="299"/>
      <c r="SXT4" s="299"/>
      <c r="SXU4" s="299"/>
      <c r="SXV4" s="299"/>
      <c r="SXW4" s="299"/>
      <c r="SXX4" s="299"/>
      <c r="SXY4" s="299"/>
      <c r="SXZ4" s="299"/>
      <c r="SYA4" s="299"/>
      <c r="SYB4" s="299"/>
      <c r="SYC4" s="299"/>
      <c r="SYD4" s="299"/>
      <c r="SYE4" s="299"/>
      <c r="SYF4" s="299"/>
      <c r="SYG4" s="299"/>
      <c r="SYH4" s="299"/>
      <c r="SYI4" s="299"/>
      <c r="SYJ4" s="299"/>
      <c r="SYK4" s="299"/>
      <c r="SYL4" s="299"/>
      <c r="SYM4" s="299"/>
      <c r="SYN4" s="299"/>
      <c r="SYO4" s="299"/>
      <c r="SYP4" s="299"/>
      <c r="SYQ4" s="299"/>
      <c r="SYR4" s="299"/>
      <c r="SYS4" s="299"/>
      <c r="SYT4" s="299"/>
      <c r="SYU4" s="299"/>
      <c r="SYV4" s="299"/>
      <c r="SYW4" s="299"/>
      <c r="SYX4" s="299"/>
      <c r="SYY4" s="299"/>
      <c r="SYZ4" s="299"/>
      <c r="SZA4" s="299"/>
      <c r="SZB4" s="299"/>
      <c r="SZC4" s="299"/>
      <c r="SZD4" s="299"/>
      <c r="SZE4" s="299"/>
      <c r="SZF4" s="299"/>
      <c r="SZG4" s="299"/>
      <c r="SZH4" s="299"/>
      <c r="SZI4" s="299"/>
      <c r="SZJ4" s="299"/>
      <c r="SZK4" s="299"/>
      <c r="SZL4" s="299"/>
      <c r="SZM4" s="299"/>
      <c r="SZN4" s="299"/>
      <c r="SZO4" s="299"/>
      <c r="SZP4" s="299"/>
      <c r="SZQ4" s="299"/>
      <c r="SZR4" s="299"/>
      <c r="SZS4" s="299"/>
      <c r="SZT4" s="299"/>
      <c r="SZU4" s="299"/>
      <c r="SZV4" s="299"/>
      <c r="SZW4" s="299"/>
      <c r="SZX4" s="299"/>
      <c r="SZY4" s="299"/>
      <c r="SZZ4" s="299"/>
      <c r="TAA4" s="299"/>
      <c r="TAB4" s="299"/>
      <c r="TAC4" s="299"/>
      <c r="TAD4" s="299"/>
      <c r="TAE4" s="299"/>
      <c r="TAF4" s="299"/>
      <c r="TAG4" s="299"/>
      <c r="TAH4" s="299"/>
      <c r="TAI4" s="299"/>
      <c r="TAJ4" s="299"/>
      <c r="TAK4" s="299"/>
      <c r="TAL4" s="299"/>
      <c r="TAM4" s="299"/>
      <c r="TAN4" s="299"/>
      <c r="TAO4" s="299"/>
      <c r="TAP4" s="299"/>
      <c r="TAQ4" s="299"/>
      <c r="TAR4" s="299"/>
      <c r="TAS4" s="299"/>
      <c r="TAT4" s="299"/>
      <c r="TAU4" s="299"/>
      <c r="TAV4" s="299"/>
      <c r="TAW4" s="299"/>
      <c r="TAX4" s="299"/>
      <c r="TAY4" s="299"/>
      <c r="TAZ4" s="299"/>
      <c r="TBA4" s="299"/>
      <c r="TBB4" s="299"/>
      <c r="TBC4" s="299"/>
      <c r="TBD4" s="299"/>
      <c r="TBE4" s="299"/>
      <c r="TBF4" s="299"/>
      <c r="TBG4" s="299"/>
      <c r="TBH4" s="299"/>
      <c r="TBI4" s="299"/>
      <c r="TBJ4" s="299"/>
      <c r="TBK4" s="299"/>
      <c r="TBL4" s="299"/>
      <c r="TBM4" s="299"/>
      <c r="TBN4" s="299"/>
      <c r="TBO4" s="299"/>
      <c r="TBP4" s="299"/>
      <c r="TBQ4" s="299"/>
      <c r="TBR4" s="299"/>
      <c r="TBS4" s="299"/>
      <c r="TBT4" s="299"/>
      <c r="TBU4" s="299"/>
      <c r="TBV4" s="299"/>
      <c r="TBW4" s="299"/>
      <c r="TBX4" s="299"/>
      <c r="TBY4" s="299"/>
      <c r="TBZ4" s="299"/>
      <c r="TCA4" s="299"/>
      <c r="TCB4" s="299"/>
      <c r="TCC4" s="299"/>
      <c r="TCD4" s="299"/>
      <c r="TCE4" s="299"/>
      <c r="TCF4" s="299"/>
      <c r="TCG4" s="299"/>
      <c r="TCH4" s="299"/>
      <c r="TCI4" s="299"/>
      <c r="TCJ4" s="299"/>
      <c r="TCK4" s="299"/>
      <c r="TCL4" s="299"/>
      <c r="TCM4" s="299"/>
      <c r="TCN4" s="299"/>
      <c r="TCO4" s="299"/>
      <c r="TCP4" s="299"/>
      <c r="TCQ4" s="299"/>
      <c r="TCR4" s="299"/>
      <c r="TCS4" s="299"/>
      <c r="TCT4" s="299"/>
      <c r="TCU4" s="299"/>
      <c r="TCV4" s="299"/>
      <c r="TCW4" s="299"/>
      <c r="TCX4" s="299"/>
      <c r="TCY4" s="299"/>
      <c r="TCZ4" s="299"/>
      <c r="TDA4" s="299"/>
      <c r="TDB4" s="299"/>
      <c r="TDC4" s="299"/>
      <c r="TDD4" s="299"/>
      <c r="TDE4" s="299"/>
      <c r="TDF4" s="299"/>
      <c r="TDG4" s="299"/>
      <c r="TDH4" s="299"/>
      <c r="TDI4" s="299"/>
      <c r="TDJ4" s="299"/>
      <c r="TDK4" s="299"/>
      <c r="TDL4" s="299"/>
      <c r="TDM4" s="299"/>
      <c r="TDN4" s="299"/>
      <c r="TDO4" s="299"/>
      <c r="TDP4" s="299"/>
      <c r="TDQ4" s="299"/>
      <c r="TDR4" s="299"/>
      <c r="TDS4" s="299"/>
      <c r="TDT4" s="299"/>
      <c r="TDU4" s="299"/>
      <c r="TDV4" s="299"/>
      <c r="TDW4" s="299"/>
      <c r="TDX4" s="299"/>
      <c r="TDY4" s="299"/>
      <c r="TDZ4" s="299"/>
      <c r="TEA4" s="299"/>
      <c r="TEB4" s="299"/>
      <c r="TEC4" s="299"/>
      <c r="TED4" s="299"/>
      <c r="TEE4" s="299"/>
      <c r="TEF4" s="299"/>
      <c r="TEG4" s="299"/>
      <c r="TEH4" s="299"/>
      <c r="TEI4" s="299"/>
      <c r="TEJ4" s="299"/>
      <c r="TEK4" s="299"/>
      <c r="TEL4" s="299"/>
      <c r="TEM4" s="299"/>
      <c r="TEN4" s="299"/>
      <c r="TEO4" s="299"/>
      <c r="TEP4" s="299"/>
      <c r="TEQ4" s="299"/>
      <c r="TER4" s="299"/>
      <c r="TES4" s="299"/>
      <c r="TET4" s="299"/>
      <c r="TEU4" s="299"/>
      <c r="TEV4" s="299"/>
      <c r="TEW4" s="299"/>
      <c r="TEX4" s="299"/>
      <c r="TEY4" s="299"/>
      <c r="TEZ4" s="299"/>
      <c r="TFA4" s="299"/>
      <c r="TFB4" s="299"/>
      <c r="TFC4" s="299"/>
      <c r="TFD4" s="299"/>
      <c r="TFE4" s="299"/>
      <c r="TFF4" s="299"/>
      <c r="TFG4" s="299"/>
      <c r="TFH4" s="299"/>
      <c r="TFI4" s="299"/>
      <c r="TFJ4" s="299"/>
      <c r="TFK4" s="299"/>
      <c r="TFL4" s="299"/>
      <c r="TFM4" s="299"/>
      <c r="TFN4" s="299"/>
      <c r="TFO4" s="299"/>
      <c r="TFP4" s="299"/>
      <c r="TFQ4" s="299"/>
      <c r="TFR4" s="299"/>
      <c r="TFS4" s="299"/>
      <c r="TFT4" s="299"/>
      <c r="TFU4" s="299"/>
      <c r="TFV4" s="299"/>
      <c r="TFW4" s="299"/>
      <c r="TFX4" s="299"/>
      <c r="TFY4" s="299"/>
      <c r="TFZ4" s="299"/>
      <c r="TGA4" s="299"/>
      <c r="TGB4" s="299"/>
      <c r="TGC4" s="299"/>
      <c r="TGD4" s="299"/>
      <c r="TGE4" s="299"/>
      <c r="TGF4" s="299"/>
      <c r="TGG4" s="299"/>
      <c r="TGH4" s="299"/>
      <c r="TGI4" s="299"/>
      <c r="TGJ4" s="299"/>
      <c r="TGK4" s="299"/>
      <c r="TGL4" s="299"/>
      <c r="TGM4" s="299"/>
      <c r="TGN4" s="299"/>
      <c r="TGO4" s="299"/>
      <c r="TGP4" s="299"/>
      <c r="TGQ4" s="299"/>
      <c r="TGR4" s="299"/>
      <c r="TGS4" s="299"/>
      <c r="TGT4" s="299"/>
      <c r="TGU4" s="299"/>
      <c r="TGV4" s="299"/>
      <c r="TGW4" s="299"/>
      <c r="TGX4" s="299"/>
      <c r="TGY4" s="299"/>
      <c r="TGZ4" s="299"/>
      <c r="THA4" s="299"/>
      <c r="THB4" s="299"/>
      <c r="THC4" s="299"/>
      <c r="THD4" s="299"/>
      <c r="THE4" s="299"/>
      <c r="THF4" s="299"/>
      <c r="THG4" s="299"/>
      <c r="THH4" s="299"/>
      <c r="THI4" s="299"/>
      <c r="THJ4" s="299"/>
      <c r="THK4" s="299"/>
      <c r="THL4" s="299"/>
      <c r="THM4" s="299"/>
      <c r="THN4" s="299"/>
      <c r="THO4" s="299"/>
      <c r="THP4" s="299"/>
      <c r="THQ4" s="299"/>
      <c r="THR4" s="299"/>
      <c r="THS4" s="299"/>
      <c r="THT4" s="299"/>
      <c r="THU4" s="299"/>
      <c r="THV4" s="299"/>
      <c r="THW4" s="299"/>
      <c r="THX4" s="299"/>
      <c r="THY4" s="299"/>
      <c r="THZ4" s="299"/>
      <c r="TIA4" s="299"/>
      <c r="TIB4" s="299"/>
      <c r="TIC4" s="299"/>
      <c r="TID4" s="299"/>
      <c r="TIE4" s="299"/>
      <c r="TIF4" s="299"/>
      <c r="TIG4" s="299"/>
      <c r="TIH4" s="299"/>
      <c r="TII4" s="299"/>
      <c r="TIJ4" s="299"/>
      <c r="TIK4" s="299"/>
      <c r="TIL4" s="299"/>
      <c r="TIM4" s="299"/>
      <c r="TIN4" s="299"/>
      <c r="TIO4" s="299"/>
      <c r="TIP4" s="299"/>
      <c r="TIQ4" s="299"/>
      <c r="TIR4" s="299"/>
      <c r="TIS4" s="299"/>
      <c r="TIT4" s="299"/>
      <c r="TIU4" s="299"/>
      <c r="TIV4" s="299"/>
      <c r="TIW4" s="299"/>
      <c r="TIX4" s="299"/>
      <c r="TIY4" s="299"/>
      <c r="TIZ4" s="299"/>
      <c r="TJA4" s="299"/>
      <c r="TJB4" s="299"/>
      <c r="TJC4" s="299"/>
      <c r="TJD4" s="299"/>
      <c r="TJE4" s="299"/>
      <c r="TJF4" s="299"/>
      <c r="TJG4" s="299"/>
      <c r="TJH4" s="299"/>
      <c r="TJI4" s="299"/>
      <c r="TJJ4" s="299"/>
      <c r="TJK4" s="299"/>
      <c r="TJL4" s="299"/>
      <c r="TJM4" s="299"/>
      <c r="TJN4" s="299"/>
      <c r="TJO4" s="299"/>
      <c r="TJP4" s="299"/>
      <c r="TJQ4" s="299"/>
      <c r="TJR4" s="299"/>
      <c r="TJS4" s="299"/>
      <c r="TJT4" s="299"/>
      <c r="TJU4" s="299"/>
      <c r="TJV4" s="299"/>
      <c r="TJW4" s="299"/>
      <c r="TJX4" s="299"/>
      <c r="TJY4" s="299"/>
      <c r="TJZ4" s="299"/>
      <c r="TKA4" s="299"/>
      <c r="TKB4" s="299"/>
      <c r="TKC4" s="299"/>
      <c r="TKD4" s="299"/>
      <c r="TKE4" s="299"/>
      <c r="TKF4" s="299"/>
      <c r="TKG4" s="299"/>
      <c r="TKH4" s="299"/>
      <c r="TKI4" s="299"/>
      <c r="TKJ4" s="299"/>
      <c r="TKK4" s="299"/>
      <c r="TKL4" s="299"/>
      <c r="TKM4" s="299"/>
      <c r="TKN4" s="299"/>
      <c r="TKO4" s="299"/>
      <c r="TKP4" s="299"/>
      <c r="TKQ4" s="299"/>
      <c r="TKR4" s="299"/>
      <c r="TKS4" s="299"/>
      <c r="TKT4" s="299"/>
      <c r="TKU4" s="299"/>
      <c r="TKV4" s="299"/>
      <c r="TKW4" s="299"/>
      <c r="TKX4" s="299"/>
      <c r="TKY4" s="299"/>
      <c r="TKZ4" s="299"/>
      <c r="TLA4" s="299"/>
      <c r="TLB4" s="299"/>
      <c r="TLC4" s="299"/>
      <c r="TLD4" s="299"/>
      <c r="TLE4" s="299"/>
      <c r="TLF4" s="299"/>
      <c r="TLG4" s="299"/>
      <c r="TLH4" s="299"/>
      <c r="TLI4" s="299"/>
      <c r="TLJ4" s="299"/>
      <c r="TLK4" s="299"/>
      <c r="TLL4" s="299"/>
      <c r="TLM4" s="299"/>
      <c r="TLN4" s="299"/>
      <c r="TLO4" s="299"/>
      <c r="TLP4" s="299"/>
      <c r="TLQ4" s="299"/>
      <c r="TLR4" s="299"/>
      <c r="TLS4" s="299"/>
      <c r="TLT4" s="299"/>
      <c r="TLU4" s="299"/>
      <c r="TLV4" s="299"/>
      <c r="TLW4" s="299"/>
      <c r="TLX4" s="299"/>
      <c r="TLY4" s="299"/>
      <c r="TLZ4" s="299"/>
      <c r="TMA4" s="299"/>
      <c r="TMB4" s="299"/>
      <c r="TMC4" s="299"/>
      <c r="TMD4" s="299"/>
      <c r="TME4" s="299"/>
      <c r="TMF4" s="299"/>
      <c r="TMG4" s="299"/>
      <c r="TMH4" s="299"/>
      <c r="TMI4" s="299"/>
      <c r="TMJ4" s="299"/>
      <c r="TMK4" s="299"/>
      <c r="TML4" s="299"/>
      <c r="TMM4" s="299"/>
      <c r="TMN4" s="299"/>
      <c r="TMO4" s="299"/>
      <c r="TMP4" s="299"/>
      <c r="TMQ4" s="299"/>
      <c r="TMR4" s="299"/>
      <c r="TMS4" s="299"/>
      <c r="TMT4" s="299"/>
      <c r="TMU4" s="299"/>
      <c r="TMV4" s="299"/>
      <c r="TMW4" s="299"/>
      <c r="TMX4" s="299"/>
      <c r="TMY4" s="299"/>
      <c r="TMZ4" s="299"/>
      <c r="TNA4" s="299"/>
      <c r="TNB4" s="299"/>
      <c r="TNC4" s="299"/>
      <c r="TND4" s="299"/>
      <c r="TNE4" s="299"/>
      <c r="TNF4" s="299"/>
      <c r="TNG4" s="299"/>
      <c r="TNH4" s="299"/>
      <c r="TNI4" s="299"/>
      <c r="TNJ4" s="299"/>
      <c r="TNK4" s="299"/>
      <c r="TNL4" s="299"/>
      <c r="TNM4" s="299"/>
      <c r="TNN4" s="299"/>
      <c r="TNO4" s="299"/>
      <c r="TNP4" s="299"/>
      <c r="TNQ4" s="299"/>
      <c r="TNR4" s="299"/>
      <c r="TNS4" s="299"/>
      <c r="TNT4" s="299"/>
      <c r="TNU4" s="299"/>
      <c r="TNV4" s="299"/>
      <c r="TNW4" s="299"/>
      <c r="TNX4" s="299"/>
      <c r="TNY4" s="299"/>
      <c r="TNZ4" s="299"/>
      <c r="TOA4" s="299"/>
      <c r="TOB4" s="299"/>
      <c r="TOC4" s="299"/>
      <c r="TOD4" s="299"/>
      <c r="TOE4" s="299"/>
      <c r="TOF4" s="299"/>
      <c r="TOG4" s="299"/>
      <c r="TOH4" s="299"/>
      <c r="TOI4" s="299"/>
      <c r="TOJ4" s="299"/>
      <c r="TOK4" s="299"/>
      <c r="TOL4" s="299"/>
      <c r="TOM4" s="299"/>
      <c r="TON4" s="299"/>
      <c r="TOO4" s="299"/>
      <c r="TOP4" s="299"/>
      <c r="TOQ4" s="299"/>
      <c r="TOR4" s="299"/>
      <c r="TOS4" s="299"/>
      <c r="TOT4" s="299"/>
      <c r="TOU4" s="299"/>
      <c r="TOV4" s="299"/>
      <c r="TOW4" s="299"/>
      <c r="TOX4" s="299"/>
      <c r="TOY4" s="299"/>
      <c r="TOZ4" s="299"/>
      <c r="TPA4" s="299"/>
      <c r="TPB4" s="299"/>
      <c r="TPC4" s="299"/>
      <c r="TPD4" s="299"/>
      <c r="TPE4" s="299"/>
      <c r="TPF4" s="299"/>
      <c r="TPG4" s="299"/>
      <c r="TPH4" s="299"/>
      <c r="TPI4" s="299"/>
      <c r="TPJ4" s="299"/>
      <c r="TPK4" s="299"/>
      <c r="TPL4" s="299"/>
      <c r="TPM4" s="299"/>
      <c r="TPN4" s="299"/>
      <c r="TPO4" s="299"/>
      <c r="TPP4" s="299"/>
      <c r="TPQ4" s="299"/>
      <c r="TPR4" s="299"/>
      <c r="TPS4" s="299"/>
      <c r="TPT4" s="299"/>
      <c r="TPU4" s="299"/>
      <c r="TPV4" s="299"/>
      <c r="TPW4" s="299"/>
      <c r="TPX4" s="299"/>
      <c r="TPY4" s="299"/>
      <c r="TPZ4" s="299"/>
      <c r="TQA4" s="299"/>
      <c r="TQB4" s="299"/>
      <c r="TQC4" s="299"/>
      <c r="TQD4" s="299"/>
      <c r="TQE4" s="299"/>
      <c r="TQF4" s="299"/>
      <c r="TQG4" s="299"/>
      <c r="TQH4" s="299"/>
      <c r="TQI4" s="299"/>
      <c r="TQJ4" s="299"/>
      <c r="TQK4" s="299"/>
      <c r="TQL4" s="299"/>
      <c r="TQM4" s="299"/>
      <c r="TQN4" s="299"/>
      <c r="TQO4" s="299"/>
      <c r="TQP4" s="299"/>
      <c r="TQQ4" s="299"/>
      <c r="TQR4" s="299"/>
      <c r="TQS4" s="299"/>
      <c r="TQT4" s="299"/>
      <c r="TQU4" s="299"/>
      <c r="TQV4" s="299"/>
      <c r="TQW4" s="299"/>
      <c r="TQX4" s="299"/>
      <c r="TQY4" s="299"/>
      <c r="TQZ4" s="299"/>
      <c r="TRA4" s="299"/>
      <c r="TRB4" s="299"/>
      <c r="TRC4" s="299"/>
      <c r="TRD4" s="299"/>
      <c r="TRE4" s="299"/>
      <c r="TRF4" s="299"/>
      <c r="TRG4" s="299"/>
      <c r="TRH4" s="299"/>
      <c r="TRI4" s="299"/>
      <c r="TRJ4" s="299"/>
      <c r="TRK4" s="299"/>
      <c r="TRL4" s="299"/>
      <c r="TRM4" s="299"/>
      <c r="TRN4" s="299"/>
      <c r="TRO4" s="299"/>
      <c r="TRP4" s="299"/>
      <c r="TRQ4" s="299"/>
      <c r="TRR4" s="299"/>
      <c r="TRS4" s="299"/>
      <c r="TRT4" s="299"/>
      <c r="TRU4" s="299"/>
      <c r="TRV4" s="299"/>
      <c r="TRW4" s="299"/>
      <c r="TRX4" s="299"/>
      <c r="TRY4" s="299"/>
      <c r="TRZ4" s="299"/>
      <c r="TSA4" s="299"/>
      <c r="TSB4" s="299"/>
      <c r="TSC4" s="299"/>
      <c r="TSD4" s="299"/>
      <c r="TSE4" s="299"/>
      <c r="TSF4" s="299"/>
      <c r="TSG4" s="299"/>
      <c r="TSH4" s="299"/>
      <c r="TSI4" s="299"/>
      <c r="TSJ4" s="299"/>
      <c r="TSK4" s="299"/>
      <c r="TSL4" s="299"/>
      <c r="TSM4" s="299"/>
      <c r="TSN4" s="299"/>
      <c r="TSO4" s="299"/>
      <c r="TSP4" s="299"/>
      <c r="TSQ4" s="299"/>
      <c r="TSR4" s="299"/>
      <c r="TSS4" s="299"/>
      <c r="TST4" s="299"/>
      <c r="TSU4" s="299"/>
      <c r="TSV4" s="299"/>
      <c r="TSW4" s="299"/>
      <c r="TSX4" s="299"/>
      <c r="TSY4" s="299"/>
      <c r="TSZ4" s="299"/>
      <c r="TTA4" s="299"/>
      <c r="TTB4" s="299"/>
      <c r="TTC4" s="299"/>
      <c r="TTD4" s="299"/>
      <c r="TTE4" s="299"/>
      <c r="TTF4" s="299"/>
      <c r="TTG4" s="299"/>
      <c r="TTH4" s="299"/>
      <c r="TTI4" s="299"/>
      <c r="TTJ4" s="299"/>
      <c r="TTK4" s="299"/>
      <c r="TTL4" s="299"/>
      <c r="TTM4" s="299"/>
      <c r="TTN4" s="299"/>
      <c r="TTO4" s="299"/>
      <c r="TTP4" s="299"/>
      <c r="TTQ4" s="299"/>
      <c r="TTR4" s="299"/>
      <c r="TTS4" s="299"/>
      <c r="TTT4" s="299"/>
      <c r="TTU4" s="299"/>
      <c r="TTV4" s="299"/>
      <c r="TTW4" s="299"/>
      <c r="TTX4" s="299"/>
      <c r="TTY4" s="299"/>
      <c r="TTZ4" s="299"/>
      <c r="TUA4" s="299"/>
      <c r="TUB4" s="299"/>
      <c r="TUC4" s="299"/>
      <c r="TUD4" s="299"/>
      <c r="TUE4" s="299"/>
      <c r="TUF4" s="299"/>
      <c r="TUG4" s="299"/>
      <c r="TUH4" s="299"/>
      <c r="TUI4" s="299"/>
      <c r="TUJ4" s="299"/>
      <c r="TUK4" s="299"/>
      <c r="TUL4" s="299"/>
      <c r="TUM4" s="299"/>
      <c r="TUN4" s="299"/>
      <c r="TUO4" s="299"/>
      <c r="TUP4" s="299"/>
      <c r="TUQ4" s="299"/>
      <c r="TUR4" s="299"/>
      <c r="TUS4" s="299"/>
      <c r="TUT4" s="299"/>
      <c r="TUU4" s="299"/>
      <c r="TUV4" s="299"/>
      <c r="TUW4" s="299"/>
      <c r="TUX4" s="299"/>
      <c r="TUY4" s="299"/>
      <c r="TUZ4" s="299"/>
      <c r="TVA4" s="299"/>
      <c r="TVB4" s="299"/>
      <c r="TVC4" s="299"/>
      <c r="TVD4" s="299"/>
      <c r="TVE4" s="299"/>
      <c r="TVF4" s="299"/>
      <c r="TVG4" s="299"/>
      <c r="TVH4" s="299"/>
      <c r="TVI4" s="299"/>
      <c r="TVJ4" s="299"/>
      <c r="TVK4" s="299"/>
      <c r="TVL4" s="299"/>
      <c r="TVM4" s="299"/>
      <c r="TVN4" s="299"/>
      <c r="TVO4" s="299"/>
      <c r="TVP4" s="299"/>
      <c r="TVQ4" s="299"/>
      <c r="TVR4" s="299"/>
      <c r="TVS4" s="299"/>
      <c r="TVT4" s="299"/>
      <c r="TVU4" s="299"/>
      <c r="TVV4" s="299"/>
      <c r="TVW4" s="299"/>
      <c r="TVX4" s="299"/>
      <c r="TVY4" s="299"/>
      <c r="TVZ4" s="299"/>
      <c r="TWA4" s="299"/>
      <c r="TWB4" s="299"/>
      <c r="TWC4" s="299"/>
      <c r="TWD4" s="299"/>
      <c r="TWE4" s="299"/>
      <c r="TWF4" s="299"/>
      <c r="TWG4" s="299"/>
      <c r="TWH4" s="299"/>
      <c r="TWI4" s="299"/>
      <c r="TWJ4" s="299"/>
      <c r="TWK4" s="299"/>
      <c r="TWL4" s="299"/>
      <c r="TWM4" s="299"/>
      <c r="TWN4" s="299"/>
      <c r="TWO4" s="299"/>
      <c r="TWP4" s="299"/>
      <c r="TWQ4" s="299"/>
      <c r="TWR4" s="299"/>
      <c r="TWS4" s="299"/>
      <c r="TWT4" s="299"/>
      <c r="TWU4" s="299"/>
      <c r="TWV4" s="299"/>
      <c r="TWW4" s="299"/>
      <c r="TWX4" s="299"/>
      <c r="TWY4" s="299"/>
      <c r="TWZ4" s="299"/>
      <c r="TXA4" s="299"/>
      <c r="TXB4" s="299"/>
      <c r="TXC4" s="299"/>
      <c r="TXD4" s="299"/>
      <c r="TXE4" s="299"/>
      <c r="TXF4" s="299"/>
      <c r="TXG4" s="299"/>
      <c r="TXH4" s="299"/>
      <c r="TXI4" s="299"/>
      <c r="TXJ4" s="299"/>
      <c r="TXK4" s="299"/>
      <c r="TXL4" s="299"/>
      <c r="TXM4" s="299"/>
      <c r="TXN4" s="299"/>
      <c r="TXO4" s="299"/>
      <c r="TXP4" s="299"/>
      <c r="TXQ4" s="299"/>
      <c r="TXR4" s="299"/>
      <c r="TXS4" s="299"/>
      <c r="TXT4" s="299"/>
      <c r="TXU4" s="299"/>
      <c r="TXV4" s="299"/>
      <c r="TXW4" s="299"/>
      <c r="TXX4" s="299"/>
      <c r="TXY4" s="299"/>
      <c r="TXZ4" s="299"/>
      <c r="TYA4" s="299"/>
      <c r="TYB4" s="299"/>
      <c r="TYC4" s="299"/>
      <c r="TYD4" s="299"/>
      <c r="TYE4" s="299"/>
      <c r="TYF4" s="299"/>
      <c r="TYG4" s="299"/>
      <c r="TYH4" s="299"/>
      <c r="TYI4" s="299"/>
      <c r="TYJ4" s="299"/>
      <c r="TYK4" s="299"/>
      <c r="TYL4" s="299"/>
      <c r="TYM4" s="299"/>
      <c r="TYN4" s="299"/>
      <c r="TYO4" s="299"/>
      <c r="TYP4" s="299"/>
      <c r="TYQ4" s="299"/>
      <c r="TYR4" s="299"/>
      <c r="TYS4" s="299"/>
      <c r="TYT4" s="299"/>
      <c r="TYU4" s="299"/>
      <c r="TYV4" s="299"/>
      <c r="TYW4" s="299"/>
      <c r="TYX4" s="299"/>
      <c r="TYY4" s="299"/>
      <c r="TYZ4" s="299"/>
      <c r="TZA4" s="299"/>
      <c r="TZB4" s="299"/>
      <c r="TZC4" s="299"/>
      <c r="TZD4" s="299"/>
      <c r="TZE4" s="299"/>
      <c r="TZF4" s="299"/>
      <c r="TZG4" s="299"/>
      <c r="TZH4" s="299"/>
      <c r="TZI4" s="299"/>
      <c r="TZJ4" s="299"/>
      <c r="TZK4" s="299"/>
      <c r="TZL4" s="299"/>
      <c r="TZM4" s="299"/>
      <c r="TZN4" s="299"/>
      <c r="TZO4" s="299"/>
      <c r="TZP4" s="299"/>
      <c r="TZQ4" s="299"/>
      <c r="TZR4" s="299"/>
      <c r="TZS4" s="299"/>
      <c r="TZT4" s="299"/>
      <c r="TZU4" s="299"/>
      <c r="TZV4" s="299"/>
      <c r="TZW4" s="299"/>
      <c r="TZX4" s="299"/>
      <c r="TZY4" s="299"/>
      <c r="TZZ4" s="299"/>
      <c r="UAA4" s="299"/>
      <c r="UAB4" s="299"/>
      <c r="UAC4" s="299"/>
      <c r="UAD4" s="299"/>
      <c r="UAE4" s="299"/>
      <c r="UAF4" s="299"/>
      <c r="UAG4" s="299"/>
      <c r="UAH4" s="299"/>
      <c r="UAI4" s="299"/>
      <c r="UAJ4" s="299"/>
      <c r="UAK4" s="299"/>
      <c r="UAL4" s="299"/>
      <c r="UAM4" s="299"/>
      <c r="UAN4" s="299"/>
      <c r="UAO4" s="299"/>
      <c r="UAP4" s="299"/>
      <c r="UAQ4" s="299"/>
      <c r="UAR4" s="299"/>
      <c r="UAS4" s="299"/>
      <c r="UAT4" s="299"/>
      <c r="UAU4" s="299"/>
      <c r="UAV4" s="299"/>
      <c r="UAW4" s="299"/>
      <c r="UAX4" s="299"/>
      <c r="UAY4" s="299"/>
      <c r="UAZ4" s="299"/>
      <c r="UBA4" s="299"/>
      <c r="UBB4" s="299"/>
      <c r="UBC4" s="299"/>
      <c r="UBD4" s="299"/>
      <c r="UBE4" s="299"/>
      <c r="UBF4" s="299"/>
      <c r="UBG4" s="299"/>
      <c r="UBH4" s="299"/>
      <c r="UBI4" s="299"/>
      <c r="UBJ4" s="299"/>
      <c r="UBK4" s="299"/>
      <c r="UBL4" s="299"/>
      <c r="UBM4" s="299"/>
      <c r="UBN4" s="299"/>
      <c r="UBO4" s="299"/>
      <c r="UBP4" s="299"/>
      <c r="UBQ4" s="299"/>
      <c r="UBR4" s="299"/>
      <c r="UBS4" s="299"/>
      <c r="UBT4" s="299"/>
      <c r="UBU4" s="299"/>
      <c r="UBV4" s="299"/>
      <c r="UBW4" s="299"/>
      <c r="UBX4" s="299"/>
      <c r="UBY4" s="299"/>
      <c r="UBZ4" s="299"/>
      <c r="UCA4" s="299"/>
      <c r="UCB4" s="299"/>
      <c r="UCC4" s="299"/>
      <c r="UCD4" s="299"/>
      <c r="UCE4" s="299"/>
      <c r="UCF4" s="299"/>
      <c r="UCG4" s="299"/>
      <c r="UCH4" s="299"/>
      <c r="UCI4" s="299"/>
      <c r="UCJ4" s="299"/>
      <c r="UCK4" s="299"/>
      <c r="UCL4" s="299"/>
      <c r="UCM4" s="299"/>
      <c r="UCN4" s="299"/>
      <c r="UCO4" s="299"/>
      <c r="UCP4" s="299"/>
      <c r="UCQ4" s="299"/>
      <c r="UCR4" s="299"/>
      <c r="UCS4" s="299"/>
      <c r="UCT4" s="299"/>
      <c r="UCU4" s="299"/>
      <c r="UCV4" s="299"/>
      <c r="UCW4" s="299"/>
      <c r="UCX4" s="299"/>
      <c r="UCY4" s="299"/>
      <c r="UCZ4" s="299"/>
      <c r="UDA4" s="299"/>
      <c r="UDB4" s="299"/>
      <c r="UDC4" s="299"/>
      <c r="UDD4" s="299"/>
      <c r="UDE4" s="299"/>
      <c r="UDF4" s="299"/>
      <c r="UDG4" s="299"/>
      <c r="UDH4" s="299"/>
      <c r="UDI4" s="299"/>
      <c r="UDJ4" s="299"/>
      <c r="UDK4" s="299"/>
      <c r="UDL4" s="299"/>
      <c r="UDM4" s="299"/>
      <c r="UDN4" s="299"/>
      <c r="UDO4" s="299"/>
      <c r="UDP4" s="299"/>
      <c r="UDQ4" s="299"/>
      <c r="UDR4" s="299"/>
      <c r="UDS4" s="299"/>
      <c r="UDT4" s="299"/>
      <c r="UDU4" s="299"/>
      <c r="UDV4" s="299"/>
      <c r="UDW4" s="299"/>
      <c r="UDX4" s="299"/>
      <c r="UDY4" s="299"/>
      <c r="UDZ4" s="299"/>
      <c r="UEA4" s="299"/>
      <c r="UEB4" s="299"/>
      <c r="UEC4" s="299"/>
      <c r="UED4" s="299"/>
      <c r="UEE4" s="299"/>
      <c r="UEF4" s="299"/>
      <c r="UEG4" s="299"/>
      <c r="UEH4" s="299"/>
      <c r="UEI4" s="299"/>
      <c r="UEJ4" s="299"/>
      <c r="UEK4" s="299"/>
      <c r="UEL4" s="299"/>
      <c r="UEM4" s="299"/>
      <c r="UEN4" s="299"/>
      <c r="UEO4" s="299"/>
      <c r="UEP4" s="299"/>
      <c r="UEQ4" s="299"/>
      <c r="UER4" s="299"/>
      <c r="UES4" s="299"/>
      <c r="UET4" s="299"/>
      <c r="UEU4" s="299"/>
      <c r="UEV4" s="299"/>
      <c r="UEW4" s="299"/>
      <c r="UEX4" s="299"/>
      <c r="UEY4" s="299"/>
      <c r="UEZ4" s="299"/>
      <c r="UFA4" s="299"/>
      <c r="UFB4" s="299"/>
      <c r="UFC4" s="299"/>
      <c r="UFD4" s="299"/>
      <c r="UFE4" s="299"/>
      <c r="UFF4" s="299"/>
      <c r="UFG4" s="299"/>
      <c r="UFH4" s="299"/>
      <c r="UFI4" s="299"/>
      <c r="UFJ4" s="299"/>
      <c r="UFK4" s="299"/>
      <c r="UFL4" s="299"/>
      <c r="UFM4" s="299"/>
      <c r="UFN4" s="299"/>
      <c r="UFO4" s="299"/>
      <c r="UFP4" s="299"/>
      <c r="UFQ4" s="299"/>
      <c r="UFR4" s="299"/>
      <c r="UFS4" s="299"/>
      <c r="UFT4" s="299"/>
      <c r="UFU4" s="299"/>
      <c r="UFV4" s="299"/>
      <c r="UFW4" s="299"/>
      <c r="UFX4" s="299"/>
      <c r="UFY4" s="299"/>
      <c r="UFZ4" s="299"/>
      <c r="UGA4" s="299"/>
      <c r="UGB4" s="299"/>
      <c r="UGC4" s="299"/>
      <c r="UGD4" s="299"/>
      <c r="UGE4" s="299"/>
      <c r="UGF4" s="299"/>
      <c r="UGG4" s="299"/>
      <c r="UGH4" s="299"/>
      <c r="UGI4" s="299"/>
      <c r="UGJ4" s="299"/>
      <c r="UGK4" s="299"/>
      <c r="UGL4" s="299"/>
      <c r="UGM4" s="299"/>
      <c r="UGN4" s="299"/>
      <c r="UGO4" s="299"/>
      <c r="UGP4" s="299"/>
      <c r="UGQ4" s="299"/>
      <c r="UGR4" s="299"/>
      <c r="UGS4" s="299"/>
      <c r="UGT4" s="299"/>
      <c r="UGU4" s="299"/>
      <c r="UGV4" s="299"/>
      <c r="UGW4" s="299"/>
      <c r="UGX4" s="299"/>
      <c r="UGY4" s="299"/>
      <c r="UGZ4" s="299"/>
      <c r="UHA4" s="299"/>
      <c r="UHB4" s="299"/>
      <c r="UHC4" s="299"/>
      <c r="UHD4" s="299"/>
      <c r="UHE4" s="299"/>
      <c r="UHF4" s="299"/>
      <c r="UHG4" s="299"/>
      <c r="UHH4" s="299"/>
      <c r="UHI4" s="299"/>
      <c r="UHJ4" s="299"/>
      <c r="UHK4" s="299"/>
      <c r="UHL4" s="299"/>
      <c r="UHM4" s="299"/>
      <c r="UHN4" s="299"/>
      <c r="UHO4" s="299"/>
      <c r="UHP4" s="299"/>
      <c r="UHQ4" s="299"/>
      <c r="UHR4" s="299"/>
      <c r="UHS4" s="299"/>
      <c r="UHT4" s="299"/>
      <c r="UHU4" s="299"/>
      <c r="UHV4" s="299"/>
      <c r="UHW4" s="299"/>
      <c r="UHX4" s="299"/>
      <c r="UHY4" s="299"/>
      <c r="UHZ4" s="299"/>
      <c r="UIA4" s="299"/>
      <c r="UIB4" s="299"/>
      <c r="UIC4" s="299"/>
      <c r="UID4" s="299"/>
      <c r="UIE4" s="299"/>
      <c r="UIF4" s="299"/>
      <c r="UIG4" s="299"/>
      <c r="UIH4" s="299"/>
      <c r="UII4" s="299"/>
      <c r="UIJ4" s="299"/>
      <c r="UIK4" s="299"/>
      <c r="UIL4" s="299"/>
      <c r="UIM4" s="299"/>
      <c r="UIN4" s="299"/>
      <c r="UIO4" s="299"/>
      <c r="UIP4" s="299"/>
      <c r="UIQ4" s="299"/>
      <c r="UIR4" s="299"/>
      <c r="UIS4" s="299"/>
      <c r="UIT4" s="299"/>
      <c r="UIU4" s="299"/>
      <c r="UIV4" s="299"/>
      <c r="UIW4" s="299"/>
      <c r="UIX4" s="299"/>
      <c r="UIY4" s="299"/>
      <c r="UIZ4" s="299"/>
      <c r="UJA4" s="299"/>
      <c r="UJB4" s="299"/>
      <c r="UJC4" s="299"/>
      <c r="UJD4" s="299"/>
      <c r="UJE4" s="299"/>
      <c r="UJF4" s="299"/>
      <c r="UJG4" s="299"/>
      <c r="UJH4" s="299"/>
      <c r="UJI4" s="299"/>
      <c r="UJJ4" s="299"/>
      <c r="UJK4" s="299"/>
      <c r="UJL4" s="299"/>
      <c r="UJM4" s="299"/>
      <c r="UJN4" s="299"/>
      <c r="UJO4" s="299"/>
      <c r="UJP4" s="299"/>
      <c r="UJQ4" s="299"/>
      <c r="UJR4" s="299"/>
      <c r="UJS4" s="299"/>
      <c r="UJT4" s="299"/>
      <c r="UJU4" s="299"/>
      <c r="UJV4" s="299"/>
      <c r="UJW4" s="299"/>
      <c r="UJX4" s="299"/>
      <c r="UJY4" s="299"/>
      <c r="UJZ4" s="299"/>
      <c r="UKA4" s="299"/>
      <c r="UKB4" s="299"/>
      <c r="UKC4" s="299"/>
      <c r="UKD4" s="299"/>
      <c r="UKE4" s="299"/>
      <c r="UKF4" s="299"/>
      <c r="UKG4" s="299"/>
      <c r="UKH4" s="299"/>
      <c r="UKI4" s="299"/>
      <c r="UKJ4" s="299"/>
      <c r="UKK4" s="299"/>
      <c r="UKL4" s="299"/>
      <c r="UKM4" s="299"/>
      <c r="UKN4" s="299"/>
      <c r="UKO4" s="299"/>
      <c r="UKP4" s="299"/>
      <c r="UKQ4" s="299"/>
      <c r="UKR4" s="299"/>
      <c r="UKS4" s="299"/>
      <c r="UKT4" s="299"/>
      <c r="UKU4" s="299"/>
      <c r="UKV4" s="299"/>
      <c r="UKW4" s="299"/>
      <c r="UKX4" s="299"/>
      <c r="UKY4" s="299"/>
      <c r="UKZ4" s="299"/>
      <c r="ULA4" s="299"/>
      <c r="ULB4" s="299"/>
      <c r="ULC4" s="299"/>
      <c r="ULD4" s="299"/>
      <c r="ULE4" s="299"/>
      <c r="ULF4" s="299"/>
      <c r="ULG4" s="299"/>
      <c r="ULH4" s="299"/>
      <c r="ULI4" s="299"/>
      <c r="ULJ4" s="299"/>
      <c r="ULK4" s="299"/>
      <c r="ULL4" s="299"/>
      <c r="ULM4" s="299"/>
      <c r="ULN4" s="299"/>
      <c r="ULO4" s="299"/>
      <c r="ULP4" s="299"/>
      <c r="ULQ4" s="299"/>
      <c r="ULR4" s="299"/>
      <c r="ULS4" s="299"/>
      <c r="ULT4" s="299"/>
      <c r="ULU4" s="299"/>
      <c r="ULV4" s="299"/>
      <c r="ULW4" s="299"/>
      <c r="ULX4" s="299"/>
      <c r="ULY4" s="299"/>
      <c r="ULZ4" s="299"/>
      <c r="UMA4" s="299"/>
      <c r="UMB4" s="299"/>
      <c r="UMC4" s="299"/>
      <c r="UMD4" s="299"/>
      <c r="UME4" s="299"/>
      <c r="UMF4" s="299"/>
      <c r="UMG4" s="299"/>
      <c r="UMH4" s="299"/>
      <c r="UMI4" s="299"/>
      <c r="UMJ4" s="299"/>
      <c r="UMK4" s="299"/>
      <c r="UML4" s="299"/>
      <c r="UMM4" s="299"/>
      <c r="UMN4" s="299"/>
      <c r="UMO4" s="299"/>
      <c r="UMP4" s="299"/>
      <c r="UMQ4" s="299"/>
      <c r="UMR4" s="299"/>
      <c r="UMS4" s="299"/>
      <c r="UMT4" s="299"/>
      <c r="UMU4" s="299"/>
      <c r="UMV4" s="299"/>
      <c r="UMW4" s="299"/>
      <c r="UMX4" s="299"/>
      <c r="UMY4" s="299"/>
      <c r="UMZ4" s="299"/>
      <c r="UNA4" s="299"/>
      <c r="UNB4" s="299"/>
      <c r="UNC4" s="299"/>
      <c r="UND4" s="299"/>
      <c r="UNE4" s="299"/>
      <c r="UNF4" s="299"/>
      <c r="UNG4" s="299"/>
      <c r="UNH4" s="299"/>
      <c r="UNI4" s="299"/>
      <c r="UNJ4" s="299"/>
      <c r="UNK4" s="299"/>
      <c r="UNL4" s="299"/>
      <c r="UNM4" s="299"/>
      <c r="UNN4" s="299"/>
      <c r="UNO4" s="299"/>
      <c r="UNP4" s="299"/>
      <c r="UNQ4" s="299"/>
      <c r="UNR4" s="299"/>
      <c r="UNS4" s="299"/>
      <c r="UNT4" s="299"/>
      <c r="UNU4" s="299"/>
      <c r="UNV4" s="299"/>
      <c r="UNW4" s="299"/>
      <c r="UNX4" s="299"/>
      <c r="UNY4" s="299"/>
      <c r="UNZ4" s="299"/>
      <c r="UOA4" s="299"/>
      <c r="UOB4" s="299"/>
      <c r="UOC4" s="299"/>
      <c r="UOD4" s="299"/>
      <c r="UOE4" s="299"/>
      <c r="UOF4" s="299"/>
      <c r="UOG4" s="299"/>
      <c r="UOH4" s="299"/>
      <c r="UOI4" s="299"/>
      <c r="UOJ4" s="299"/>
      <c r="UOK4" s="299"/>
      <c r="UOL4" s="299"/>
      <c r="UOM4" s="299"/>
      <c r="UON4" s="299"/>
      <c r="UOO4" s="299"/>
      <c r="UOP4" s="299"/>
      <c r="UOQ4" s="299"/>
      <c r="UOR4" s="299"/>
      <c r="UOS4" s="299"/>
      <c r="UOT4" s="299"/>
      <c r="UOU4" s="299"/>
      <c r="UOV4" s="299"/>
      <c r="UOW4" s="299"/>
      <c r="UOX4" s="299"/>
      <c r="UOY4" s="299"/>
      <c r="UOZ4" s="299"/>
      <c r="UPA4" s="299"/>
      <c r="UPB4" s="299"/>
      <c r="UPC4" s="299"/>
      <c r="UPD4" s="299"/>
      <c r="UPE4" s="299"/>
      <c r="UPF4" s="299"/>
      <c r="UPG4" s="299"/>
      <c r="UPH4" s="299"/>
      <c r="UPI4" s="299"/>
      <c r="UPJ4" s="299"/>
      <c r="UPK4" s="299"/>
      <c r="UPL4" s="299"/>
      <c r="UPM4" s="299"/>
      <c r="UPN4" s="299"/>
      <c r="UPO4" s="299"/>
      <c r="UPP4" s="299"/>
      <c r="UPQ4" s="299"/>
      <c r="UPR4" s="299"/>
      <c r="UPS4" s="299"/>
      <c r="UPT4" s="299"/>
      <c r="UPU4" s="299"/>
      <c r="UPV4" s="299"/>
      <c r="UPW4" s="299"/>
      <c r="UPX4" s="299"/>
      <c r="UPY4" s="299"/>
      <c r="UPZ4" s="299"/>
      <c r="UQA4" s="299"/>
      <c r="UQB4" s="299"/>
      <c r="UQC4" s="299"/>
      <c r="UQD4" s="299"/>
      <c r="UQE4" s="299"/>
      <c r="UQF4" s="299"/>
      <c r="UQG4" s="299"/>
      <c r="UQH4" s="299"/>
      <c r="UQI4" s="299"/>
      <c r="UQJ4" s="299"/>
      <c r="UQK4" s="299"/>
      <c r="UQL4" s="299"/>
      <c r="UQM4" s="299"/>
      <c r="UQN4" s="299"/>
      <c r="UQO4" s="299"/>
      <c r="UQP4" s="299"/>
      <c r="UQQ4" s="299"/>
      <c r="UQR4" s="299"/>
      <c r="UQS4" s="299"/>
      <c r="UQT4" s="299"/>
      <c r="UQU4" s="299"/>
      <c r="UQV4" s="299"/>
      <c r="UQW4" s="299"/>
      <c r="UQX4" s="299"/>
      <c r="UQY4" s="299"/>
      <c r="UQZ4" s="299"/>
      <c r="URA4" s="299"/>
      <c r="URB4" s="299"/>
      <c r="URC4" s="299"/>
      <c r="URD4" s="299"/>
      <c r="URE4" s="299"/>
      <c r="URF4" s="299"/>
      <c r="URG4" s="299"/>
      <c r="URH4" s="299"/>
      <c r="URI4" s="299"/>
      <c r="URJ4" s="299"/>
      <c r="URK4" s="299"/>
      <c r="URL4" s="299"/>
      <c r="URM4" s="299"/>
      <c r="URN4" s="299"/>
      <c r="URO4" s="299"/>
      <c r="URP4" s="299"/>
      <c r="URQ4" s="299"/>
      <c r="URR4" s="299"/>
      <c r="URS4" s="299"/>
      <c r="URT4" s="299"/>
      <c r="URU4" s="299"/>
      <c r="URV4" s="299"/>
      <c r="URW4" s="299"/>
      <c r="URX4" s="299"/>
      <c r="URY4" s="299"/>
      <c r="URZ4" s="299"/>
      <c r="USA4" s="299"/>
      <c r="USB4" s="299"/>
      <c r="USC4" s="299"/>
      <c r="USD4" s="299"/>
      <c r="USE4" s="299"/>
      <c r="USF4" s="299"/>
      <c r="USG4" s="299"/>
      <c r="USH4" s="299"/>
      <c r="USI4" s="299"/>
      <c r="USJ4" s="299"/>
      <c r="USK4" s="299"/>
      <c r="USL4" s="299"/>
      <c r="USM4" s="299"/>
      <c r="USN4" s="299"/>
      <c r="USO4" s="299"/>
      <c r="USP4" s="299"/>
      <c r="USQ4" s="299"/>
      <c r="USR4" s="299"/>
      <c r="USS4" s="299"/>
      <c r="UST4" s="299"/>
      <c r="USU4" s="299"/>
      <c r="USV4" s="299"/>
      <c r="USW4" s="299"/>
      <c r="USX4" s="299"/>
      <c r="USY4" s="299"/>
      <c r="USZ4" s="299"/>
      <c r="UTA4" s="299"/>
      <c r="UTB4" s="299"/>
      <c r="UTC4" s="299"/>
      <c r="UTD4" s="299"/>
      <c r="UTE4" s="299"/>
      <c r="UTF4" s="299"/>
      <c r="UTG4" s="299"/>
      <c r="UTH4" s="299"/>
      <c r="UTI4" s="299"/>
      <c r="UTJ4" s="299"/>
      <c r="UTK4" s="299"/>
      <c r="UTL4" s="299"/>
      <c r="UTM4" s="299"/>
      <c r="UTN4" s="299"/>
      <c r="UTO4" s="299"/>
      <c r="UTP4" s="299"/>
      <c r="UTQ4" s="299"/>
      <c r="UTR4" s="299"/>
      <c r="UTS4" s="299"/>
      <c r="UTT4" s="299"/>
      <c r="UTU4" s="299"/>
      <c r="UTV4" s="299"/>
      <c r="UTW4" s="299"/>
      <c r="UTX4" s="299"/>
      <c r="UTY4" s="299"/>
      <c r="UTZ4" s="299"/>
      <c r="UUA4" s="299"/>
      <c r="UUB4" s="299"/>
      <c r="UUC4" s="299"/>
      <c r="UUD4" s="299"/>
      <c r="UUE4" s="299"/>
      <c r="UUF4" s="299"/>
      <c r="UUG4" s="299"/>
      <c r="UUH4" s="299"/>
      <c r="UUI4" s="299"/>
      <c r="UUJ4" s="299"/>
      <c r="UUK4" s="299"/>
      <c r="UUL4" s="299"/>
      <c r="UUM4" s="299"/>
      <c r="UUN4" s="299"/>
      <c r="UUO4" s="299"/>
      <c r="UUP4" s="299"/>
      <c r="UUQ4" s="299"/>
      <c r="UUR4" s="299"/>
      <c r="UUS4" s="299"/>
      <c r="UUT4" s="299"/>
      <c r="UUU4" s="299"/>
      <c r="UUV4" s="299"/>
      <c r="UUW4" s="299"/>
      <c r="UUX4" s="299"/>
      <c r="UUY4" s="299"/>
      <c r="UUZ4" s="299"/>
      <c r="UVA4" s="299"/>
      <c r="UVB4" s="299"/>
      <c r="UVC4" s="299"/>
      <c r="UVD4" s="299"/>
      <c r="UVE4" s="299"/>
      <c r="UVF4" s="299"/>
      <c r="UVG4" s="299"/>
      <c r="UVH4" s="299"/>
      <c r="UVI4" s="299"/>
      <c r="UVJ4" s="299"/>
      <c r="UVK4" s="299"/>
      <c r="UVL4" s="299"/>
      <c r="UVM4" s="299"/>
      <c r="UVN4" s="299"/>
      <c r="UVO4" s="299"/>
      <c r="UVP4" s="299"/>
      <c r="UVQ4" s="299"/>
      <c r="UVR4" s="299"/>
      <c r="UVS4" s="299"/>
      <c r="UVT4" s="299"/>
      <c r="UVU4" s="299"/>
      <c r="UVV4" s="299"/>
      <c r="UVW4" s="299"/>
      <c r="UVX4" s="299"/>
      <c r="UVY4" s="299"/>
      <c r="UVZ4" s="299"/>
      <c r="UWA4" s="299"/>
      <c r="UWB4" s="299"/>
      <c r="UWC4" s="299"/>
      <c r="UWD4" s="299"/>
      <c r="UWE4" s="299"/>
      <c r="UWF4" s="299"/>
      <c r="UWG4" s="299"/>
      <c r="UWH4" s="299"/>
      <c r="UWI4" s="299"/>
      <c r="UWJ4" s="299"/>
      <c r="UWK4" s="299"/>
      <c r="UWL4" s="299"/>
      <c r="UWM4" s="299"/>
      <c r="UWN4" s="299"/>
      <c r="UWO4" s="299"/>
      <c r="UWP4" s="299"/>
      <c r="UWQ4" s="299"/>
      <c r="UWR4" s="299"/>
      <c r="UWS4" s="299"/>
      <c r="UWT4" s="299"/>
      <c r="UWU4" s="299"/>
      <c r="UWV4" s="299"/>
      <c r="UWW4" s="299"/>
      <c r="UWX4" s="299"/>
      <c r="UWY4" s="299"/>
      <c r="UWZ4" s="299"/>
      <c r="UXA4" s="299"/>
      <c r="UXB4" s="299"/>
      <c r="UXC4" s="299"/>
      <c r="UXD4" s="299"/>
      <c r="UXE4" s="299"/>
      <c r="UXF4" s="299"/>
      <c r="UXG4" s="299"/>
      <c r="UXH4" s="299"/>
      <c r="UXI4" s="299"/>
      <c r="UXJ4" s="299"/>
      <c r="UXK4" s="299"/>
      <c r="UXL4" s="299"/>
      <c r="UXM4" s="299"/>
      <c r="UXN4" s="299"/>
      <c r="UXO4" s="299"/>
      <c r="UXP4" s="299"/>
      <c r="UXQ4" s="299"/>
      <c r="UXR4" s="299"/>
      <c r="UXS4" s="299"/>
      <c r="UXT4" s="299"/>
      <c r="UXU4" s="299"/>
      <c r="UXV4" s="299"/>
      <c r="UXW4" s="299"/>
      <c r="UXX4" s="299"/>
      <c r="UXY4" s="299"/>
      <c r="UXZ4" s="299"/>
      <c r="UYA4" s="299"/>
      <c r="UYB4" s="299"/>
      <c r="UYC4" s="299"/>
      <c r="UYD4" s="299"/>
      <c r="UYE4" s="299"/>
      <c r="UYF4" s="299"/>
      <c r="UYG4" s="299"/>
      <c r="UYH4" s="299"/>
      <c r="UYI4" s="299"/>
      <c r="UYJ4" s="299"/>
      <c r="UYK4" s="299"/>
      <c r="UYL4" s="299"/>
      <c r="UYM4" s="299"/>
      <c r="UYN4" s="299"/>
      <c r="UYO4" s="299"/>
      <c r="UYP4" s="299"/>
      <c r="UYQ4" s="299"/>
      <c r="UYR4" s="299"/>
      <c r="UYS4" s="299"/>
      <c r="UYT4" s="299"/>
      <c r="UYU4" s="299"/>
      <c r="UYV4" s="299"/>
      <c r="UYW4" s="299"/>
      <c r="UYX4" s="299"/>
      <c r="UYY4" s="299"/>
      <c r="UYZ4" s="299"/>
      <c r="UZA4" s="299"/>
      <c r="UZB4" s="299"/>
      <c r="UZC4" s="299"/>
      <c r="UZD4" s="299"/>
      <c r="UZE4" s="299"/>
      <c r="UZF4" s="299"/>
      <c r="UZG4" s="299"/>
      <c r="UZH4" s="299"/>
      <c r="UZI4" s="299"/>
      <c r="UZJ4" s="299"/>
      <c r="UZK4" s="299"/>
      <c r="UZL4" s="299"/>
      <c r="UZM4" s="299"/>
      <c r="UZN4" s="299"/>
      <c r="UZO4" s="299"/>
      <c r="UZP4" s="299"/>
      <c r="UZQ4" s="299"/>
      <c r="UZR4" s="299"/>
      <c r="UZS4" s="299"/>
      <c r="UZT4" s="299"/>
      <c r="UZU4" s="299"/>
      <c r="UZV4" s="299"/>
      <c r="UZW4" s="299"/>
      <c r="UZX4" s="299"/>
      <c r="UZY4" s="299"/>
      <c r="UZZ4" s="299"/>
      <c r="VAA4" s="299"/>
      <c r="VAB4" s="299"/>
      <c r="VAC4" s="299"/>
      <c r="VAD4" s="299"/>
      <c r="VAE4" s="299"/>
      <c r="VAF4" s="299"/>
      <c r="VAG4" s="299"/>
      <c r="VAH4" s="299"/>
      <c r="VAI4" s="299"/>
      <c r="VAJ4" s="299"/>
      <c r="VAK4" s="299"/>
      <c r="VAL4" s="299"/>
      <c r="VAM4" s="299"/>
      <c r="VAN4" s="299"/>
      <c r="VAO4" s="299"/>
      <c r="VAP4" s="299"/>
      <c r="VAQ4" s="299"/>
      <c r="VAR4" s="299"/>
      <c r="VAS4" s="299"/>
      <c r="VAT4" s="299"/>
      <c r="VAU4" s="299"/>
      <c r="VAV4" s="299"/>
      <c r="VAW4" s="299"/>
      <c r="VAX4" s="299"/>
      <c r="VAY4" s="299"/>
      <c r="VAZ4" s="299"/>
      <c r="VBA4" s="299"/>
      <c r="VBB4" s="299"/>
      <c r="VBC4" s="299"/>
      <c r="VBD4" s="299"/>
      <c r="VBE4" s="299"/>
      <c r="VBF4" s="299"/>
      <c r="VBG4" s="299"/>
      <c r="VBH4" s="299"/>
      <c r="VBI4" s="299"/>
      <c r="VBJ4" s="299"/>
      <c r="VBK4" s="299"/>
      <c r="VBL4" s="299"/>
      <c r="VBM4" s="299"/>
      <c r="VBN4" s="299"/>
      <c r="VBO4" s="299"/>
      <c r="VBP4" s="299"/>
      <c r="VBQ4" s="299"/>
      <c r="VBR4" s="299"/>
      <c r="VBS4" s="299"/>
      <c r="VBT4" s="299"/>
      <c r="VBU4" s="299"/>
      <c r="VBV4" s="299"/>
      <c r="VBW4" s="299"/>
      <c r="VBX4" s="299"/>
      <c r="VBY4" s="299"/>
      <c r="VBZ4" s="299"/>
      <c r="VCA4" s="299"/>
      <c r="VCB4" s="299"/>
      <c r="VCC4" s="299"/>
      <c r="VCD4" s="299"/>
      <c r="VCE4" s="299"/>
      <c r="VCF4" s="299"/>
      <c r="VCG4" s="299"/>
      <c r="VCH4" s="299"/>
      <c r="VCI4" s="299"/>
      <c r="VCJ4" s="299"/>
      <c r="VCK4" s="299"/>
      <c r="VCL4" s="299"/>
      <c r="VCM4" s="299"/>
      <c r="VCN4" s="299"/>
      <c r="VCO4" s="299"/>
      <c r="VCP4" s="299"/>
      <c r="VCQ4" s="299"/>
      <c r="VCR4" s="299"/>
      <c r="VCS4" s="299"/>
      <c r="VCT4" s="299"/>
      <c r="VCU4" s="299"/>
      <c r="VCV4" s="299"/>
      <c r="VCW4" s="299"/>
      <c r="VCX4" s="299"/>
      <c r="VCY4" s="299"/>
      <c r="VCZ4" s="299"/>
      <c r="VDA4" s="299"/>
      <c r="VDB4" s="299"/>
      <c r="VDC4" s="299"/>
      <c r="VDD4" s="299"/>
      <c r="VDE4" s="299"/>
      <c r="VDF4" s="299"/>
      <c r="VDG4" s="299"/>
      <c r="VDH4" s="299"/>
      <c r="VDI4" s="299"/>
      <c r="VDJ4" s="299"/>
      <c r="VDK4" s="299"/>
      <c r="VDL4" s="299"/>
      <c r="VDM4" s="299"/>
      <c r="VDN4" s="299"/>
      <c r="VDO4" s="299"/>
      <c r="VDP4" s="299"/>
      <c r="VDQ4" s="299"/>
      <c r="VDR4" s="299"/>
      <c r="VDS4" s="299"/>
      <c r="VDT4" s="299"/>
      <c r="VDU4" s="299"/>
      <c r="VDV4" s="299"/>
      <c r="VDW4" s="299"/>
      <c r="VDX4" s="299"/>
      <c r="VDY4" s="299"/>
      <c r="VDZ4" s="299"/>
      <c r="VEA4" s="299"/>
      <c r="VEB4" s="299"/>
      <c r="VEC4" s="299"/>
      <c r="VED4" s="299"/>
      <c r="VEE4" s="299"/>
      <c r="VEF4" s="299"/>
      <c r="VEG4" s="299"/>
      <c r="VEH4" s="299"/>
      <c r="VEI4" s="299"/>
      <c r="VEJ4" s="299"/>
      <c r="VEK4" s="299"/>
      <c r="VEL4" s="299"/>
      <c r="VEM4" s="299"/>
      <c r="VEN4" s="299"/>
      <c r="VEO4" s="299"/>
      <c r="VEP4" s="299"/>
      <c r="VEQ4" s="299"/>
      <c r="VER4" s="299"/>
      <c r="VES4" s="299"/>
      <c r="VET4" s="299"/>
      <c r="VEU4" s="299"/>
      <c r="VEV4" s="299"/>
      <c r="VEW4" s="299"/>
      <c r="VEX4" s="299"/>
      <c r="VEY4" s="299"/>
      <c r="VEZ4" s="299"/>
      <c r="VFA4" s="299"/>
      <c r="VFB4" s="299"/>
      <c r="VFC4" s="299"/>
      <c r="VFD4" s="299"/>
      <c r="VFE4" s="299"/>
      <c r="VFF4" s="299"/>
      <c r="VFG4" s="299"/>
      <c r="VFH4" s="299"/>
      <c r="VFI4" s="299"/>
      <c r="VFJ4" s="299"/>
      <c r="VFK4" s="299"/>
      <c r="VFL4" s="299"/>
      <c r="VFM4" s="299"/>
      <c r="VFN4" s="299"/>
      <c r="VFO4" s="299"/>
      <c r="VFP4" s="299"/>
      <c r="VFQ4" s="299"/>
      <c r="VFR4" s="299"/>
      <c r="VFS4" s="299"/>
      <c r="VFT4" s="299"/>
      <c r="VFU4" s="299"/>
      <c r="VFV4" s="299"/>
      <c r="VFW4" s="299"/>
      <c r="VFX4" s="299"/>
      <c r="VFY4" s="299"/>
      <c r="VFZ4" s="299"/>
      <c r="VGA4" s="299"/>
      <c r="VGB4" s="299"/>
      <c r="VGC4" s="299"/>
      <c r="VGD4" s="299"/>
      <c r="VGE4" s="299"/>
      <c r="VGF4" s="299"/>
      <c r="VGG4" s="299"/>
      <c r="VGH4" s="299"/>
      <c r="VGI4" s="299"/>
      <c r="VGJ4" s="299"/>
      <c r="VGK4" s="299"/>
      <c r="VGL4" s="299"/>
      <c r="VGM4" s="299"/>
      <c r="VGN4" s="299"/>
      <c r="VGO4" s="299"/>
      <c r="VGP4" s="299"/>
      <c r="VGQ4" s="299"/>
      <c r="VGR4" s="299"/>
      <c r="VGS4" s="299"/>
      <c r="VGT4" s="299"/>
      <c r="VGU4" s="299"/>
      <c r="VGV4" s="299"/>
      <c r="VGW4" s="299"/>
      <c r="VGX4" s="299"/>
      <c r="VGY4" s="299"/>
      <c r="VGZ4" s="299"/>
      <c r="VHA4" s="299"/>
      <c r="VHB4" s="299"/>
      <c r="VHC4" s="299"/>
      <c r="VHD4" s="299"/>
      <c r="VHE4" s="299"/>
      <c r="VHF4" s="299"/>
      <c r="VHG4" s="299"/>
      <c r="VHH4" s="299"/>
      <c r="VHI4" s="299"/>
      <c r="VHJ4" s="299"/>
      <c r="VHK4" s="299"/>
      <c r="VHL4" s="299"/>
      <c r="VHM4" s="299"/>
      <c r="VHN4" s="299"/>
      <c r="VHO4" s="299"/>
      <c r="VHP4" s="299"/>
      <c r="VHQ4" s="299"/>
      <c r="VHR4" s="299"/>
      <c r="VHS4" s="299"/>
      <c r="VHT4" s="299"/>
      <c r="VHU4" s="299"/>
      <c r="VHV4" s="299"/>
      <c r="VHW4" s="299"/>
      <c r="VHX4" s="299"/>
      <c r="VHY4" s="299"/>
      <c r="VHZ4" s="299"/>
      <c r="VIA4" s="299"/>
      <c r="VIB4" s="299"/>
      <c r="VIC4" s="299"/>
      <c r="VID4" s="299"/>
      <c r="VIE4" s="299"/>
      <c r="VIF4" s="299"/>
      <c r="VIG4" s="299"/>
      <c r="VIH4" s="299"/>
      <c r="VII4" s="299"/>
      <c r="VIJ4" s="299"/>
      <c r="VIK4" s="299"/>
      <c r="VIL4" s="299"/>
      <c r="VIM4" s="299"/>
      <c r="VIN4" s="299"/>
      <c r="VIO4" s="299"/>
      <c r="VIP4" s="299"/>
      <c r="VIQ4" s="299"/>
      <c r="VIR4" s="299"/>
      <c r="VIS4" s="299"/>
      <c r="VIT4" s="299"/>
      <c r="VIU4" s="299"/>
      <c r="VIV4" s="299"/>
      <c r="VIW4" s="299"/>
      <c r="VIX4" s="299"/>
      <c r="VIY4" s="299"/>
      <c r="VIZ4" s="299"/>
      <c r="VJA4" s="299"/>
      <c r="VJB4" s="299"/>
      <c r="VJC4" s="299"/>
      <c r="VJD4" s="299"/>
      <c r="VJE4" s="299"/>
      <c r="VJF4" s="299"/>
      <c r="VJG4" s="299"/>
      <c r="VJH4" s="299"/>
      <c r="VJI4" s="299"/>
      <c r="VJJ4" s="299"/>
      <c r="VJK4" s="299"/>
      <c r="VJL4" s="299"/>
      <c r="VJM4" s="299"/>
      <c r="VJN4" s="299"/>
      <c r="VJO4" s="299"/>
      <c r="VJP4" s="299"/>
      <c r="VJQ4" s="299"/>
      <c r="VJR4" s="299"/>
      <c r="VJS4" s="299"/>
      <c r="VJT4" s="299"/>
      <c r="VJU4" s="299"/>
      <c r="VJV4" s="299"/>
      <c r="VJW4" s="299"/>
      <c r="VJX4" s="299"/>
      <c r="VJY4" s="299"/>
      <c r="VJZ4" s="299"/>
      <c r="VKA4" s="299"/>
      <c r="VKB4" s="299"/>
      <c r="VKC4" s="299"/>
      <c r="VKD4" s="299"/>
      <c r="VKE4" s="299"/>
      <c r="VKF4" s="299"/>
      <c r="VKG4" s="299"/>
      <c r="VKH4" s="299"/>
      <c r="VKI4" s="299"/>
      <c r="VKJ4" s="299"/>
      <c r="VKK4" s="299"/>
      <c r="VKL4" s="299"/>
      <c r="VKM4" s="299"/>
      <c r="VKN4" s="299"/>
      <c r="VKO4" s="299"/>
      <c r="VKP4" s="299"/>
      <c r="VKQ4" s="299"/>
      <c r="VKR4" s="299"/>
      <c r="VKS4" s="299"/>
      <c r="VKT4" s="299"/>
      <c r="VKU4" s="299"/>
      <c r="VKV4" s="299"/>
      <c r="VKW4" s="299"/>
      <c r="VKX4" s="299"/>
      <c r="VKY4" s="299"/>
      <c r="VKZ4" s="299"/>
      <c r="VLA4" s="299"/>
      <c r="VLB4" s="299"/>
      <c r="VLC4" s="299"/>
      <c r="VLD4" s="299"/>
      <c r="VLE4" s="299"/>
      <c r="VLF4" s="299"/>
      <c r="VLG4" s="299"/>
      <c r="VLH4" s="299"/>
      <c r="VLI4" s="299"/>
      <c r="VLJ4" s="299"/>
      <c r="VLK4" s="299"/>
      <c r="VLL4" s="299"/>
      <c r="VLM4" s="299"/>
      <c r="VLN4" s="299"/>
      <c r="VLO4" s="299"/>
      <c r="VLP4" s="299"/>
      <c r="VLQ4" s="299"/>
      <c r="VLR4" s="299"/>
      <c r="VLS4" s="299"/>
      <c r="VLT4" s="299"/>
      <c r="VLU4" s="299"/>
      <c r="VLV4" s="299"/>
      <c r="VLW4" s="299"/>
      <c r="VLX4" s="299"/>
      <c r="VLY4" s="299"/>
      <c r="VLZ4" s="299"/>
      <c r="VMA4" s="299"/>
      <c r="VMB4" s="299"/>
      <c r="VMC4" s="299"/>
      <c r="VMD4" s="299"/>
      <c r="VME4" s="299"/>
      <c r="VMF4" s="299"/>
      <c r="VMG4" s="299"/>
      <c r="VMH4" s="299"/>
      <c r="VMI4" s="299"/>
      <c r="VMJ4" s="299"/>
      <c r="VMK4" s="299"/>
      <c r="VML4" s="299"/>
      <c r="VMM4" s="299"/>
      <c r="VMN4" s="299"/>
      <c r="VMO4" s="299"/>
      <c r="VMP4" s="299"/>
      <c r="VMQ4" s="299"/>
      <c r="VMR4" s="299"/>
      <c r="VMS4" s="299"/>
      <c r="VMT4" s="299"/>
      <c r="VMU4" s="299"/>
      <c r="VMV4" s="299"/>
      <c r="VMW4" s="299"/>
      <c r="VMX4" s="299"/>
      <c r="VMY4" s="299"/>
      <c r="VMZ4" s="299"/>
      <c r="VNA4" s="299"/>
      <c r="VNB4" s="299"/>
      <c r="VNC4" s="299"/>
      <c r="VND4" s="299"/>
      <c r="VNE4" s="299"/>
      <c r="VNF4" s="299"/>
      <c r="VNG4" s="299"/>
      <c r="VNH4" s="299"/>
      <c r="VNI4" s="299"/>
      <c r="VNJ4" s="299"/>
      <c r="VNK4" s="299"/>
      <c r="VNL4" s="299"/>
      <c r="VNM4" s="299"/>
      <c r="VNN4" s="299"/>
      <c r="VNO4" s="299"/>
      <c r="VNP4" s="299"/>
      <c r="VNQ4" s="299"/>
      <c r="VNR4" s="299"/>
      <c r="VNS4" s="299"/>
      <c r="VNT4" s="299"/>
      <c r="VNU4" s="299"/>
      <c r="VNV4" s="299"/>
      <c r="VNW4" s="299"/>
      <c r="VNX4" s="299"/>
      <c r="VNY4" s="299"/>
      <c r="VNZ4" s="299"/>
      <c r="VOA4" s="299"/>
      <c r="VOB4" s="299"/>
      <c r="VOC4" s="299"/>
      <c r="VOD4" s="299"/>
      <c r="VOE4" s="299"/>
      <c r="VOF4" s="299"/>
      <c r="VOG4" s="299"/>
      <c r="VOH4" s="299"/>
      <c r="VOI4" s="299"/>
      <c r="VOJ4" s="299"/>
      <c r="VOK4" s="299"/>
      <c r="VOL4" s="299"/>
      <c r="VOM4" s="299"/>
      <c r="VON4" s="299"/>
      <c r="VOO4" s="299"/>
      <c r="VOP4" s="299"/>
      <c r="VOQ4" s="299"/>
      <c r="VOR4" s="299"/>
      <c r="VOS4" s="299"/>
      <c r="VOT4" s="299"/>
      <c r="VOU4" s="299"/>
      <c r="VOV4" s="299"/>
      <c r="VOW4" s="299"/>
      <c r="VOX4" s="299"/>
      <c r="VOY4" s="299"/>
      <c r="VOZ4" s="299"/>
      <c r="VPA4" s="299"/>
      <c r="VPB4" s="299"/>
      <c r="VPC4" s="299"/>
      <c r="VPD4" s="299"/>
      <c r="VPE4" s="299"/>
      <c r="VPF4" s="299"/>
      <c r="VPG4" s="299"/>
      <c r="VPH4" s="299"/>
      <c r="VPI4" s="299"/>
      <c r="VPJ4" s="299"/>
      <c r="VPK4" s="299"/>
      <c r="VPL4" s="299"/>
      <c r="VPM4" s="299"/>
      <c r="VPN4" s="299"/>
      <c r="VPO4" s="299"/>
      <c r="VPP4" s="299"/>
      <c r="VPQ4" s="299"/>
      <c r="VPR4" s="299"/>
      <c r="VPS4" s="299"/>
      <c r="VPT4" s="299"/>
      <c r="VPU4" s="299"/>
      <c r="VPV4" s="299"/>
      <c r="VPW4" s="299"/>
      <c r="VPX4" s="299"/>
      <c r="VPY4" s="299"/>
      <c r="VPZ4" s="299"/>
      <c r="VQA4" s="299"/>
      <c r="VQB4" s="299"/>
      <c r="VQC4" s="299"/>
      <c r="VQD4" s="299"/>
      <c r="VQE4" s="299"/>
      <c r="VQF4" s="299"/>
      <c r="VQG4" s="299"/>
      <c r="VQH4" s="299"/>
      <c r="VQI4" s="299"/>
      <c r="VQJ4" s="299"/>
      <c r="VQK4" s="299"/>
      <c r="VQL4" s="299"/>
      <c r="VQM4" s="299"/>
      <c r="VQN4" s="299"/>
      <c r="VQO4" s="299"/>
      <c r="VQP4" s="299"/>
      <c r="VQQ4" s="299"/>
      <c r="VQR4" s="299"/>
      <c r="VQS4" s="299"/>
      <c r="VQT4" s="299"/>
      <c r="VQU4" s="299"/>
      <c r="VQV4" s="299"/>
      <c r="VQW4" s="299"/>
      <c r="VQX4" s="299"/>
      <c r="VQY4" s="299"/>
      <c r="VQZ4" s="299"/>
      <c r="VRA4" s="299"/>
      <c r="VRB4" s="299"/>
      <c r="VRC4" s="299"/>
      <c r="VRD4" s="299"/>
      <c r="VRE4" s="299"/>
      <c r="VRF4" s="299"/>
      <c r="VRG4" s="299"/>
      <c r="VRH4" s="299"/>
      <c r="VRI4" s="299"/>
      <c r="VRJ4" s="299"/>
      <c r="VRK4" s="299"/>
      <c r="VRL4" s="299"/>
      <c r="VRM4" s="299"/>
      <c r="VRN4" s="299"/>
      <c r="VRO4" s="299"/>
      <c r="VRP4" s="299"/>
      <c r="VRQ4" s="299"/>
      <c r="VRR4" s="299"/>
      <c r="VRS4" s="299"/>
      <c r="VRT4" s="299"/>
      <c r="VRU4" s="299"/>
      <c r="VRV4" s="299"/>
      <c r="VRW4" s="299"/>
      <c r="VRX4" s="299"/>
      <c r="VRY4" s="299"/>
      <c r="VRZ4" s="299"/>
      <c r="VSA4" s="299"/>
      <c r="VSB4" s="299"/>
      <c r="VSC4" s="299"/>
      <c r="VSD4" s="299"/>
      <c r="VSE4" s="299"/>
      <c r="VSF4" s="299"/>
      <c r="VSG4" s="299"/>
      <c r="VSH4" s="299"/>
      <c r="VSI4" s="299"/>
      <c r="VSJ4" s="299"/>
      <c r="VSK4" s="299"/>
      <c r="VSL4" s="299"/>
      <c r="VSM4" s="299"/>
      <c r="VSN4" s="299"/>
      <c r="VSO4" s="299"/>
      <c r="VSP4" s="299"/>
      <c r="VSQ4" s="299"/>
      <c r="VSR4" s="299"/>
      <c r="VSS4" s="299"/>
      <c r="VST4" s="299"/>
      <c r="VSU4" s="299"/>
      <c r="VSV4" s="299"/>
      <c r="VSW4" s="299"/>
      <c r="VSX4" s="299"/>
      <c r="VSY4" s="299"/>
      <c r="VSZ4" s="299"/>
      <c r="VTA4" s="299"/>
      <c r="VTB4" s="299"/>
      <c r="VTC4" s="299"/>
      <c r="VTD4" s="299"/>
      <c r="VTE4" s="299"/>
      <c r="VTF4" s="299"/>
      <c r="VTG4" s="299"/>
      <c r="VTH4" s="299"/>
      <c r="VTI4" s="299"/>
      <c r="VTJ4" s="299"/>
      <c r="VTK4" s="299"/>
      <c r="VTL4" s="299"/>
      <c r="VTM4" s="299"/>
      <c r="VTN4" s="299"/>
      <c r="VTO4" s="299"/>
      <c r="VTP4" s="299"/>
      <c r="VTQ4" s="299"/>
      <c r="VTR4" s="299"/>
      <c r="VTS4" s="299"/>
      <c r="VTT4" s="299"/>
      <c r="VTU4" s="299"/>
      <c r="VTV4" s="299"/>
      <c r="VTW4" s="299"/>
      <c r="VTX4" s="299"/>
      <c r="VTY4" s="299"/>
      <c r="VTZ4" s="299"/>
      <c r="VUA4" s="299"/>
      <c r="VUB4" s="299"/>
      <c r="VUC4" s="299"/>
      <c r="VUD4" s="299"/>
      <c r="VUE4" s="299"/>
      <c r="VUF4" s="299"/>
      <c r="VUG4" s="299"/>
      <c r="VUH4" s="299"/>
      <c r="VUI4" s="299"/>
      <c r="VUJ4" s="299"/>
      <c r="VUK4" s="299"/>
      <c r="VUL4" s="299"/>
      <c r="VUM4" s="299"/>
      <c r="VUN4" s="299"/>
      <c r="VUO4" s="299"/>
      <c r="VUP4" s="299"/>
      <c r="VUQ4" s="299"/>
      <c r="VUR4" s="299"/>
      <c r="VUS4" s="299"/>
      <c r="VUT4" s="299"/>
      <c r="VUU4" s="299"/>
      <c r="VUV4" s="299"/>
      <c r="VUW4" s="299"/>
      <c r="VUX4" s="299"/>
      <c r="VUY4" s="299"/>
      <c r="VUZ4" s="299"/>
      <c r="VVA4" s="299"/>
      <c r="VVB4" s="299"/>
      <c r="VVC4" s="299"/>
      <c r="VVD4" s="299"/>
      <c r="VVE4" s="299"/>
      <c r="VVF4" s="299"/>
      <c r="VVG4" s="299"/>
      <c r="VVH4" s="299"/>
      <c r="VVI4" s="299"/>
      <c r="VVJ4" s="299"/>
      <c r="VVK4" s="299"/>
      <c r="VVL4" s="299"/>
      <c r="VVM4" s="299"/>
      <c r="VVN4" s="299"/>
      <c r="VVO4" s="299"/>
      <c r="VVP4" s="299"/>
      <c r="VVQ4" s="299"/>
      <c r="VVR4" s="299"/>
      <c r="VVS4" s="299"/>
      <c r="VVT4" s="299"/>
      <c r="VVU4" s="299"/>
      <c r="VVV4" s="299"/>
      <c r="VVW4" s="299"/>
      <c r="VVX4" s="299"/>
      <c r="VVY4" s="299"/>
      <c r="VVZ4" s="299"/>
      <c r="VWA4" s="299"/>
      <c r="VWB4" s="299"/>
      <c r="VWC4" s="299"/>
      <c r="VWD4" s="299"/>
      <c r="VWE4" s="299"/>
      <c r="VWF4" s="299"/>
      <c r="VWG4" s="299"/>
      <c r="VWH4" s="299"/>
      <c r="VWI4" s="299"/>
      <c r="VWJ4" s="299"/>
      <c r="VWK4" s="299"/>
      <c r="VWL4" s="299"/>
      <c r="VWM4" s="299"/>
      <c r="VWN4" s="299"/>
      <c r="VWO4" s="299"/>
      <c r="VWP4" s="299"/>
      <c r="VWQ4" s="299"/>
      <c r="VWR4" s="299"/>
      <c r="VWS4" s="299"/>
      <c r="VWT4" s="299"/>
      <c r="VWU4" s="299"/>
      <c r="VWV4" s="299"/>
      <c r="VWW4" s="299"/>
      <c r="VWX4" s="299"/>
      <c r="VWY4" s="299"/>
      <c r="VWZ4" s="299"/>
      <c r="VXA4" s="299"/>
      <c r="VXB4" s="299"/>
      <c r="VXC4" s="299"/>
      <c r="VXD4" s="299"/>
      <c r="VXE4" s="299"/>
      <c r="VXF4" s="299"/>
      <c r="VXG4" s="299"/>
      <c r="VXH4" s="299"/>
      <c r="VXI4" s="299"/>
      <c r="VXJ4" s="299"/>
      <c r="VXK4" s="299"/>
      <c r="VXL4" s="299"/>
      <c r="VXM4" s="299"/>
      <c r="VXN4" s="299"/>
      <c r="VXO4" s="299"/>
      <c r="VXP4" s="299"/>
      <c r="VXQ4" s="299"/>
      <c r="VXR4" s="299"/>
      <c r="VXS4" s="299"/>
      <c r="VXT4" s="299"/>
      <c r="VXU4" s="299"/>
      <c r="VXV4" s="299"/>
      <c r="VXW4" s="299"/>
      <c r="VXX4" s="299"/>
      <c r="VXY4" s="299"/>
      <c r="VXZ4" s="299"/>
      <c r="VYA4" s="299"/>
      <c r="VYB4" s="299"/>
      <c r="VYC4" s="299"/>
      <c r="VYD4" s="299"/>
      <c r="VYE4" s="299"/>
      <c r="VYF4" s="299"/>
      <c r="VYG4" s="299"/>
      <c r="VYH4" s="299"/>
      <c r="VYI4" s="299"/>
      <c r="VYJ4" s="299"/>
      <c r="VYK4" s="299"/>
      <c r="VYL4" s="299"/>
      <c r="VYM4" s="299"/>
      <c r="VYN4" s="299"/>
      <c r="VYO4" s="299"/>
      <c r="VYP4" s="299"/>
      <c r="VYQ4" s="299"/>
      <c r="VYR4" s="299"/>
      <c r="VYS4" s="299"/>
      <c r="VYT4" s="299"/>
      <c r="VYU4" s="299"/>
      <c r="VYV4" s="299"/>
      <c r="VYW4" s="299"/>
      <c r="VYX4" s="299"/>
      <c r="VYY4" s="299"/>
      <c r="VYZ4" s="299"/>
      <c r="VZA4" s="299"/>
      <c r="VZB4" s="299"/>
      <c r="VZC4" s="299"/>
      <c r="VZD4" s="299"/>
      <c r="VZE4" s="299"/>
      <c r="VZF4" s="299"/>
      <c r="VZG4" s="299"/>
      <c r="VZH4" s="299"/>
      <c r="VZI4" s="299"/>
      <c r="VZJ4" s="299"/>
      <c r="VZK4" s="299"/>
      <c r="VZL4" s="299"/>
      <c r="VZM4" s="299"/>
      <c r="VZN4" s="299"/>
      <c r="VZO4" s="299"/>
      <c r="VZP4" s="299"/>
      <c r="VZQ4" s="299"/>
      <c r="VZR4" s="299"/>
      <c r="VZS4" s="299"/>
      <c r="VZT4" s="299"/>
      <c r="VZU4" s="299"/>
      <c r="VZV4" s="299"/>
      <c r="VZW4" s="299"/>
      <c r="VZX4" s="299"/>
      <c r="VZY4" s="299"/>
      <c r="VZZ4" s="299"/>
      <c r="WAA4" s="299"/>
      <c r="WAB4" s="299"/>
      <c r="WAC4" s="299"/>
      <c r="WAD4" s="299"/>
      <c r="WAE4" s="299"/>
      <c r="WAF4" s="299"/>
      <c r="WAG4" s="299"/>
      <c r="WAH4" s="299"/>
      <c r="WAI4" s="299"/>
      <c r="WAJ4" s="299"/>
      <c r="WAK4" s="299"/>
      <c r="WAL4" s="299"/>
      <c r="WAM4" s="299"/>
      <c r="WAN4" s="299"/>
      <c r="WAO4" s="299"/>
      <c r="WAP4" s="299"/>
      <c r="WAQ4" s="299"/>
      <c r="WAR4" s="299"/>
      <c r="WAS4" s="299"/>
      <c r="WAT4" s="299"/>
      <c r="WAU4" s="299"/>
      <c r="WAV4" s="299"/>
      <c r="WAW4" s="299"/>
      <c r="WAX4" s="299"/>
      <c r="WAY4" s="299"/>
      <c r="WAZ4" s="299"/>
      <c r="WBA4" s="299"/>
      <c r="WBB4" s="299"/>
      <c r="WBC4" s="299"/>
      <c r="WBD4" s="299"/>
      <c r="WBE4" s="299"/>
      <c r="WBF4" s="299"/>
      <c r="WBG4" s="299"/>
      <c r="WBH4" s="299"/>
      <c r="WBI4" s="299"/>
      <c r="WBJ4" s="299"/>
      <c r="WBK4" s="299"/>
      <c r="WBL4" s="299"/>
      <c r="WBM4" s="299"/>
      <c r="WBN4" s="299"/>
      <c r="WBO4" s="299"/>
      <c r="WBP4" s="299"/>
      <c r="WBQ4" s="299"/>
      <c r="WBR4" s="299"/>
      <c r="WBS4" s="299"/>
      <c r="WBT4" s="299"/>
      <c r="WBU4" s="299"/>
      <c r="WBV4" s="299"/>
      <c r="WBW4" s="299"/>
      <c r="WBX4" s="299"/>
      <c r="WBY4" s="299"/>
      <c r="WBZ4" s="299"/>
      <c r="WCA4" s="299"/>
      <c r="WCB4" s="299"/>
      <c r="WCC4" s="299"/>
      <c r="WCD4" s="299"/>
      <c r="WCE4" s="299"/>
      <c r="WCF4" s="299"/>
      <c r="WCG4" s="299"/>
      <c r="WCH4" s="299"/>
      <c r="WCI4" s="299"/>
      <c r="WCJ4" s="299"/>
      <c r="WCK4" s="299"/>
      <c r="WCL4" s="299"/>
      <c r="WCM4" s="299"/>
      <c r="WCN4" s="299"/>
      <c r="WCO4" s="299"/>
      <c r="WCP4" s="299"/>
      <c r="WCQ4" s="299"/>
      <c r="WCR4" s="299"/>
      <c r="WCS4" s="299"/>
      <c r="WCT4" s="299"/>
      <c r="WCU4" s="299"/>
      <c r="WCV4" s="299"/>
      <c r="WCW4" s="299"/>
      <c r="WCX4" s="299"/>
      <c r="WCY4" s="299"/>
      <c r="WCZ4" s="299"/>
      <c r="WDA4" s="299"/>
      <c r="WDB4" s="299"/>
      <c r="WDC4" s="299"/>
      <c r="WDD4" s="299"/>
      <c r="WDE4" s="299"/>
      <c r="WDF4" s="299"/>
      <c r="WDG4" s="299"/>
      <c r="WDH4" s="299"/>
      <c r="WDI4" s="299"/>
      <c r="WDJ4" s="299"/>
      <c r="WDK4" s="299"/>
      <c r="WDL4" s="299"/>
      <c r="WDM4" s="299"/>
      <c r="WDN4" s="299"/>
      <c r="WDO4" s="299"/>
      <c r="WDP4" s="299"/>
      <c r="WDQ4" s="299"/>
      <c r="WDR4" s="299"/>
      <c r="WDS4" s="299"/>
      <c r="WDT4" s="299"/>
      <c r="WDU4" s="299"/>
      <c r="WDV4" s="299"/>
      <c r="WDW4" s="299"/>
      <c r="WDX4" s="299"/>
      <c r="WDY4" s="299"/>
      <c r="WDZ4" s="299"/>
      <c r="WEA4" s="299"/>
      <c r="WEB4" s="299"/>
      <c r="WEC4" s="299"/>
      <c r="WED4" s="299"/>
      <c r="WEE4" s="299"/>
      <c r="WEF4" s="299"/>
      <c r="WEG4" s="299"/>
      <c r="WEH4" s="299"/>
      <c r="WEI4" s="299"/>
      <c r="WEJ4" s="299"/>
      <c r="WEK4" s="299"/>
      <c r="WEL4" s="299"/>
      <c r="WEM4" s="299"/>
      <c r="WEN4" s="299"/>
      <c r="WEO4" s="299"/>
      <c r="WEP4" s="299"/>
      <c r="WEQ4" s="299"/>
      <c r="WER4" s="299"/>
      <c r="WES4" s="299"/>
      <c r="WET4" s="299"/>
      <c r="WEU4" s="299"/>
      <c r="WEV4" s="299"/>
      <c r="WEW4" s="299"/>
      <c r="WEX4" s="299"/>
      <c r="WEY4" s="299"/>
      <c r="WEZ4" s="299"/>
      <c r="WFA4" s="299"/>
      <c r="WFB4" s="299"/>
      <c r="WFC4" s="299"/>
      <c r="WFD4" s="299"/>
      <c r="WFE4" s="299"/>
      <c r="WFF4" s="299"/>
      <c r="WFG4" s="299"/>
      <c r="WFH4" s="299"/>
      <c r="WFI4" s="299"/>
      <c r="WFJ4" s="299"/>
      <c r="WFK4" s="299"/>
      <c r="WFL4" s="299"/>
      <c r="WFM4" s="299"/>
      <c r="WFN4" s="299"/>
      <c r="WFO4" s="299"/>
      <c r="WFP4" s="299"/>
      <c r="WFQ4" s="299"/>
      <c r="WFR4" s="299"/>
      <c r="WFS4" s="299"/>
      <c r="WFT4" s="299"/>
      <c r="WFU4" s="299"/>
      <c r="WFV4" s="299"/>
      <c r="WFW4" s="299"/>
      <c r="WFX4" s="299"/>
      <c r="WFY4" s="299"/>
      <c r="WFZ4" s="299"/>
      <c r="WGA4" s="299"/>
      <c r="WGB4" s="299"/>
      <c r="WGC4" s="299"/>
      <c r="WGD4" s="299"/>
      <c r="WGE4" s="299"/>
      <c r="WGF4" s="299"/>
      <c r="WGG4" s="299"/>
      <c r="WGH4" s="299"/>
      <c r="WGI4" s="299"/>
      <c r="WGJ4" s="299"/>
      <c r="WGK4" s="299"/>
      <c r="WGL4" s="299"/>
      <c r="WGM4" s="299"/>
      <c r="WGN4" s="299"/>
      <c r="WGO4" s="299"/>
      <c r="WGP4" s="299"/>
      <c r="WGQ4" s="299"/>
      <c r="WGR4" s="299"/>
      <c r="WGS4" s="299"/>
      <c r="WGT4" s="299"/>
      <c r="WGU4" s="299"/>
      <c r="WGV4" s="299"/>
      <c r="WGW4" s="299"/>
      <c r="WGX4" s="299"/>
      <c r="WGY4" s="299"/>
      <c r="WGZ4" s="299"/>
      <c r="WHA4" s="299"/>
      <c r="WHB4" s="299"/>
      <c r="WHC4" s="299"/>
      <c r="WHD4" s="299"/>
      <c r="WHE4" s="299"/>
      <c r="WHF4" s="299"/>
      <c r="WHG4" s="299"/>
      <c r="WHH4" s="299"/>
      <c r="WHI4" s="299"/>
      <c r="WHJ4" s="299"/>
      <c r="WHK4" s="299"/>
      <c r="WHL4" s="299"/>
      <c r="WHM4" s="299"/>
      <c r="WHN4" s="299"/>
      <c r="WHO4" s="299"/>
      <c r="WHP4" s="299"/>
      <c r="WHQ4" s="299"/>
      <c r="WHR4" s="299"/>
      <c r="WHS4" s="299"/>
      <c r="WHT4" s="299"/>
      <c r="WHU4" s="299"/>
      <c r="WHV4" s="299"/>
      <c r="WHW4" s="299"/>
      <c r="WHX4" s="299"/>
      <c r="WHY4" s="299"/>
      <c r="WHZ4" s="299"/>
      <c r="WIA4" s="299"/>
      <c r="WIB4" s="299"/>
      <c r="WIC4" s="299"/>
      <c r="WID4" s="299"/>
      <c r="WIE4" s="299"/>
      <c r="WIF4" s="299"/>
      <c r="WIG4" s="299"/>
      <c r="WIH4" s="299"/>
      <c r="WII4" s="299"/>
      <c r="WIJ4" s="299"/>
      <c r="WIK4" s="299"/>
      <c r="WIL4" s="299"/>
      <c r="WIM4" s="299"/>
      <c r="WIN4" s="299"/>
      <c r="WIO4" s="299"/>
      <c r="WIP4" s="299"/>
      <c r="WIQ4" s="299"/>
      <c r="WIR4" s="299"/>
      <c r="WIS4" s="299"/>
      <c r="WIT4" s="299"/>
      <c r="WIU4" s="299"/>
      <c r="WIV4" s="299"/>
      <c r="WIW4" s="299"/>
      <c r="WIX4" s="299"/>
      <c r="WIY4" s="299"/>
      <c r="WIZ4" s="299"/>
      <c r="WJA4" s="299"/>
      <c r="WJB4" s="299"/>
      <c r="WJC4" s="299"/>
      <c r="WJD4" s="299"/>
      <c r="WJE4" s="299"/>
      <c r="WJF4" s="299"/>
      <c r="WJG4" s="299"/>
      <c r="WJH4" s="299"/>
      <c r="WJI4" s="299"/>
      <c r="WJJ4" s="299"/>
      <c r="WJK4" s="299"/>
      <c r="WJL4" s="299"/>
      <c r="WJM4" s="299"/>
      <c r="WJN4" s="299"/>
      <c r="WJO4" s="299"/>
      <c r="WJP4" s="299"/>
      <c r="WJQ4" s="299"/>
      <c r="WJR4" s="299"/>
      <c r="WJS4" s="299"/>
      <c r="WJT4" s="299"/>
      <c r="WJU4" s="299"/>
      <c r="WJV4" s="299"/>
      <c r="WJW4" s="299"/>
      <c r="WJX4" s="299"/>
      <c r="WJY4" s="299"/>
      <c r="WJZ4" s="299"/>
      <c r="WKA4" s="299"/>
      <c r="WKB4" s="299"/>
      <c r="WKC4" s="299"/>
      <c r="WKD4" s="299"/>
      <c r="WKE4" s="299"/>
      <c r="WKF4" s="299"/>
      <c r="WKG4" s="299"/>
      <c r="WKH4" s="299"/>
      <c r="WKI4" s="299"/>
      <c r="WKJ4" s="299"/>
      <c r="WKK4" s="299"/>
      <c r="WKL4" s="299"/>
      <c r="WKM4" s="299"/>
      <c r="WKN4" s="299"/>
      <c r="WKO4" s="299"/>
      <c r="WKP4" s="299"/>
      <c r="WKQ4" s="299"/>
      <c r="WKR4" s="299"/>
      <c r="WKS4" s="299"/>
      <c r="WKT4" s="299"/>
      <c r="WKU4" s="299"/>
      <c r="WKV4" s="299"/>
      <c r="WKW4" s="299"/>
      <c r="WKX4" s="299"/>
      <c r="WKY4" s="299"/>
      <c r="WKZ4" s="299"/>
      <c r="WLA4" s="299"/>
      <c r="WLB4" s="299"/>
      <c r="WLC4" s="299"/>
      <c r="WLD4" s="299"/>
      <c r="WLE4" s="299"/>
      <c r="WLF4" s="299"/>
      <c r="WLG4" s="299"/>
      <c r="WLH4" s="299"/>
      <c r="WLI4" s="299"/>
      <c r="WLJ4" s="299"/>
      <c r="WLK4" s="299"/>
      <c r="WLL4" s="299"/>
      <c r="WLM4" s="299"/>
      <c r="WLN4" s="299"/>
      <c r="WLO4" s="299"/>
      <c r="WLP4" s="299"/>
      <c r="WLQ4" s="299"/>
      <c r="WLR4" s="299"/>
      <c r="WLS4" s="299"/>
      <c r="WLT4" s="299"/>
      <c r="WLU4" s="299"/>
      <c r="WLV4" s="299"/>
      <c r="WLW4" s="299"/>
      <c r="WLX4" s="299"/>
      <c r="WLY4" s="299"/>
      <c r="WLZ4" s="299"/>
      <c r="WMA4" s="299"/>
      <c r="WMB4" s="299"/>
      <c r="WMC4" s="299"/>
      <c r="WMD4" s="299"/>
      <c r="WME4" s="299"/>
      <c r="WMF4" s="299"/>
      <c r="WMG4" s="299"/>
      <c r="WMH4" s="299"/>
      <c r="WMI4" s="299"/>
      <c r="WMJ4" s="299"/>
      <c r="WMK4" s="299"/>
      <c r="WML4" s="299"/>
      <c r="WMM4" s="299"/>
      <c r="WMN4" s="299"/>
      <c r="WMO4" s="299"/>
      <c r="WMP4" s="299"/>
      <c r="WMQ4" s="299"/>
      <c r="WMR4" s="299"/>
      <c r="WMS4" s="299"/>
      <c r="WMT4" s="299"/>
      <c r="WMU4" s="299"/>
      <c r="WMV4" s="299"/>
      <c r="WMW4" s="299"/>
      <c r="WMX4" s="299"/>
      <c r="WMY4" s="299"/>
      <c r="WMZ4" s="299"/>
      <c r="WNA4" s="299"/>
      <c r="WNB4" s="299"/>
      <c r="WNC4" s="299"/>
      <c r="WND4" s="299"/>
      <c r="WNE4" s="299"/>
      <c r="WNF4" s="299"/>
      <c r="WNG4" s="299"/>
      <c r="WNH4" s="299"/>
      <c r="WNI4" s="299"/>
      <c r="WNJ4" s="299"/>
      <c r="WNK4" s="299"/>
      <c r="WNL4" s="299"/>
      <c r="WNM4" s="299"/>
      <c r="WNN4" s="299"/>
      <c r="WNO4" s="299"/>
      <c r="WNP4" s="299"/>
      <c r="WNQ4" s="299"/>
      <c r="WNR4" s="299"/>
      <c r="WNS4" s="299"/>
      <c r="WNT4" s="299"/>
      <c r="WNU4" s="299"/>
      <c r="WNV4" s="299"/>
      <c r="WNW4" s="299"/>
      <c r="WNX4" s="299"/>
      <c r="WNY4" s="299"/>
      <c r="WNZ4" s="299"/>
      <c r="WOA4" s="299"/>
      <c r="WOB4" s="299"/>
      <c r="WOC4" s="299"/>
      <c r="WOD4" s="299"/>
      <c r="WOE4" s="299"/>
      <c r="WOF4" s="299"/>
      <c r="WOG4" s="299"/>
      <c r="WOH4" s="299"/>
      <c r="WOI4" s="299"/>
      <c r="WOJ4" s="299"/>
      <c r="WOK4" s="299"/>
      <c r="WOL4" s="299"/>
      <c r="WOM4" s="299"/>
      <c r="WON4" s="299"/>
      <c r="WOO4" s="299"/>
      <c r="WOP4" s="299"/>
      <c r="WOQ4" s="299"/>
      <c r="WOR4" s="299"/>
      <c r="WOS4" s="299"/>
      <c r="WOT4" s="299"/>
      <c r="WOU4" s="299"/>
      <c r="WOV4" s="299"/>
      <c r="WOW4" s="299"/>
      <c r="WOX4" s="299"/>
      <c r="WOY4" s="299"/>
      <c r="WOZ4" s="299"/>
      <c r="WPA4" s="299"/>
      <c r="WPB4" s="299"/>
      <c r="WPC4" s="299"/>
      <c r="WPD4" s="299"/>
      <c r="WPE4" s="299"/>
      <c r="WPF4" s="299"/>
      <c r="WPG4" s="299"/>
      <c r="WPH4" s="299"/>
      <c r="WPI4" s="299"/>
      <c r="WPJ4" s="299"/>
      <c r="WPK4" s="299"/>
      <c r="WPL4" s="299"/>
      <c r="WPM4" s="299"/>
      <c r="WPN4" s="299"/>
      <c r="WPO4" s="299"/>
      <c r="WPP4" s="299"/>
      <c r="WPQ4" s="299"/>
      <c r="WPR4" s="299"/>
      <c r="WPS4" s="299"/>
      <c r="WPT4" s="299"/>
      <c r="WPU4" s="299"/>
      <c r="WPV4" s="299"/>
      <c r="WPW4" s="299"/>
      <c r="WPX4" s="299"/>
      <c r="WPY4" s="299"/>
      <c r="WPZ4" s="299"/>
      <c r="WQA4" s="299"/>
      <c r="WQB4" s="299"/>
      <c r="WQC4" s="299"/>
      <c r="WQD4" s="299"/>
      <c r="WQE4" s="299"/>
      <c r="WQF4" s="299"/>
      <c r="WQG4" s="299"/>
      <c r="WQH4" s="299"/>
      <c r="WQI4" s="299"/>
      <c r="WQJ4" s="299"/>
      <c r="WQK4" s="299"/>
      <c r="WQL4" s="299"/>
      <c r="WQM4" s="299"/>
      <c r="WQN4" s="299"/>
      <c r="WQO4" s="299"/>
      <c r="WQP4" s="299"/>
      <c r="WQQ4" s="299"/>
      <c r="WQR4" s="299"/>
      <c r="WQS4" s="299"/>
      <c r="WQT4" s="299"/>
      <c r="WQU4" s="299"/>
      <c r="WQV4" s="299"/>
      <c r="WQW4" s="299"/>
      <c r="WQX4" s="299"/>
      <c r="WQY4" s="299"/>
      <c r="WQZ4" s="299"/>
      <c r="WRA4" s="299"/>
      <c r="WRB4" s="299"/>
      <c r="WRC4" s="299"/>
      <c r="WRD4" s="299"/>
      <c r="WRE4" s="299"/>
      <c r="WRF4" s="299"/>
      <c r="WRG4" s="299"/>
      <c r="WRH4" s="299"/>
      <c r="WRI4" s="299"/>
      <c r="WRJ4" s="299"/>
      <c r="WRK4" s="299"/>
      <c r="WRL4" s="299"/>
      <c r="WRM4" s="299"/>
      <c r="WRN4" s="299"/>
      <c r="WRO4" s="299"/>
      <c r="WRP4" s="299"/>
      <c r="WRQ4" s="299"/>
      <c r="WRR4" s="299"/>
      <c r="WRS4" s="299"/>
      <c r="WRT4" s="299"/>
      <c r="WRU4" s="299"/>
      <c r="WRV4" s="299"/>
      <c r="WRW4" s="299"/>
      <c r="WRX4" s="299"/>
      <c r="WRY4" s="299"/>
      <c r="WRZ4" s="299"/>
      <c r="WSA4" s="299"/>
      <c r="WSB4" s="299"/>
      <c r="WSC4" s="299"/>
      <c r="WSD4" s="299"/>
      <c r="WSE4" s="299"/>
      <c r="WSF4" s="299"/>
      <c r="WSG4" s="299"/>
      <c r="WSH4" s="299"/>
      <c r="WSI4" s="299"/>
      <c r="WSJ4" s="299"/>
      <c r="WSK4" s="299"/>
      <c r="WSL4" s="299"/>
      <c r="WSM4" s="299"/>
      <c r="WSN4" s="299"/>
      <c r="WSO4" s="299"/>
      <c r="WSP4" s="299"/>
      <c r="WSQ4" s="299"/>
      <c r="WSR4" s="299"/>
      <c r="WSS4" s="299"/>
      <c r="WST4" s="299"/>
      <c r="WSU4" s="299"/>
      <c r="WSV4" s="299"/>
      <c r="WSW4" s="299"/>
      <c r="WSX4" s="299"/>
      <c r="WSY4" s="299"/>
      <c r="WSZ4" s="299"/>
      <c r="WTA4" s="299"/>
      <c r="WTB4" s="299"/>
      <c r="WTC4" s="299"/>
      <c r="WTD4" s="299"/>
      <c r="WTE4" s="299"/>
      <c r="WTF4" s="299"/>
      <c r="WTG4" s="299"/>
      <c r="WTH4" s="299"/>
      <c r="WTI4" s="299"/>
      <c r="WTJ4" s="299"/>
      <c r="WTK4" s="299"/>
      <c r="WTL4" s="299"/>
      <c r="WTM4" s="299"/>
      <c r="WTN4" s="299"/>
      <c r="WTO4" s="299"/>
      <c r="WTP4" s="299"/>
      <c r="WTQ4" s="299"/>
      <c r="WTR4" s="299"/>
      <c r="WTS4" s="299"/>
      <c r="WTT4" s="299"/>
      <c r="WTU4" s="299"/>
      <c r="WTV4" s="299"/>
      <c r="WTW4" s="299"/>
      <c r="WTX4" s="299"/>
      <c r="WTY4" s="299"/>
      <c r="WTZ4" s="299"/>
      <c r="WUA4" s="299"/>
      <c r="WUB4" s="299"/>
      <c r="WUC4" s="299"/>
      <c r="WUD4" s="299"/>
      <c r="WUE4" s="299"/>
      <c r="WUF4" s="299"/>
      <c r="WUG4" s="299"/>
      <c r="WUH4" s="299"/>
      <c r="WUI4" s="299"/>
      <c r="WUJ4" s="299"/>
      <c r="WUK4" s="299"/>
      <c r="WUL4" s="299"/>
      <c r="WUM4" s="299"/>
      <c r="WUN4" s="299"/>
      <c r="WUO4" s="299"/>
      <c r="WUP4" s="299"/>
      <c r="WUQ4" s="299"/>
      <c r="WUR4" s="299"/>
      <c r="WUS4" s="299"/>
      <c r="WUT4" s="299"/>
      <c r="WUU4" s="299"/>
      <c r="WUV4" s="299"/>
      <c r="WUW4" s="299"/>
      <c r="WUX4" s="299"/>
      <c r="WUY4" s="299"/>
      <c r="WUZ4" s="299"/>
      <c r="WVA4" s="299"/>
      <c r="WVB4" s="299"/>
      <c r="WVC4" s="299"/>
      <c r="WVD4" s="299"/>
      <c r="WVE4" s="299"/>
      <c r="WVF4" s="299"/>
      <c r="WVG4" s="299"/>
      <c r="WVH4" s="299"/>
      <c r="WVI4" s="299"/>
      <c r="WVJ4" s="299"/>
      <c r="WVK4" s="299"/>
      <c r="WVL4" s="299"/>
      <c r="WVM4" s="299"/>
      <c r="WVN4" s="299"/>
      <c r="WVO4" s="299"/>
      <c r="WVP4" s="299"/>
      <c r="WVQ4" s="299"/>
      <c r="WVR4" s="299"/>
      <c r="WVS4" s="299"/>
      <c r="WVT4" s="299"/>
      <c r="WVU4" s="299"/>
      <c r="WVV4" s="299"/>
      <c r="WVW4" s="299"/>
      <c r="WVX4" s="299"/>
      <c r="WVY4" s="299"/>
      <c r="WVZ4" s="299"/>
      <c r="WWA4" s="299"/>
      <c r="WWB4" s="299"/>
      <c r="WWC4" s="299"/>
      <c r="WWD4" s="299"/>
      <c r="WWE4" s="299"/>
      <c r="WWF4" s="299"/>
      <c r="WWG4" s="299"/>
      <c r="WWH4" s="299"/>
      <c r="WWI4" s="299"/>
      <c r="WWJ4" s="299"/>
      <c r="WWK4" s="299"/>
      <c r="WWL4" s="299"/>
      <c r="WWM4" s="299"/>
      <c r="WWN4" s="299"/>
      <c r="WWO4" s="299"/>
      <c r="WWP4" s="299"/>
      <c r="WWQ4" s="299"/>
      <c r="WWR4" s="299"/>
      <c r="WWS4" s="299"/>
      <c r="WWT4" s="299"/>
      <c r="WWU4" s="299"/>
      <c r="WWV4" s="299"/>
      <c r="WWW4" s="299"/>
      <c r="WWX4" s="299"/>
      <c r="WWY4" s="299"/>
      <c r="WWZ4" s="299"/>
      <c r="WXA4" s="299"/>
      <c r="WXB4" s="299"/>
      <c r="WXC4" s="299"/>
      <c r="WXD4" s="299"/>
      <c r="WXE4" s="299"/>
      <c r="WXF4" s="299"/>
      <c r="WXG4" s="299"/>
      <c r="WXH4" s="299"/>
      <c r="WXI4" s="299"/>
      <c r="WXJ4" s="299"/>
      <c r="WXK4" s="299"/>
      <c r="WXL4" s="299"/>
      <c r="WXM4" s="299"/>
      <c r="WXN4" s="299"/>
      <c r="WXO4" s="299"/>
      <c r="WXP4" s="299"/>
      <c r="WXQ4" s="299"/>
      <c r="WXR4" s="299"/>
      <c r="WXS4" s="299"/>
      <c r="WXT4" s="299"/>
      <c r="WXU4" s="299"/>
      <c r="WXV4" s="299"/>
      <c r="WXW4" s="299"/>
      <c r="WXX4" s="299"/>
      <c r="WXY4" s="299"/>
      <c r="WXZ4" s="299"/>
      <c r="WYA4" s="299"/>
      <c r="WYB4" s="299"/>
      <c r="WYC4" s="299"/>
      <c r="WYD4" s="299"/>
      <c r="WYE4" s="299"/>
      <c r="WYF4" s="299"/>
      <c r="WYG4" s="299"/>
      <c r="WYH4" s="299"/>
      <c r="WYI4" s="299"/>
      <c r="WYJ4" s="299"/>
      <c r="WYK4" s="299"/>
      <c r="WYL4" s="299"/>
      <c r="WYM4" s="299"/>
      <c r="WYN4" s="299"/>
      <c r="WYO4" s="299"/>
      <c r="WYP4" s="299"/>
      <c r="WYQ4" s="299"/>
      <c r="WYR4" s="299"/>
      <c r="WYS4" s="299"/>
      <c r="WYT4" s="299"/>
      <c r="WYU4" s="299"/>
      <c r="WYV4" s="299"/>
      <c r="WYW4" s="299"/>
      <c r="WYX4" s="299"/>
      <c r="WYY4" s="299"/>
      <c r="WYZ4" s="299"/>
      <c r="WZA4" s="299"/>
      <c r="WZB4" s="299"/>
      <c r="WZC4" s="299"/>
      <c r="WZD4" s="299"/>
      <c r="WZE4" s="299"/>
      <c r="WZF4" s="299"/>
      <c r="WZG4" s="299"/>
      <c r="WZH4" s="299"/>
      <c r="WZI4" s="299"/>
      <c r="WZJ4" s="299"/>
      <c r="WZK4" s="299"/>
      <c r="WZL4" s="299"/>
      <c r="WZM4" s="299"/>
      <c r="WZN4" s="299"/>
      <c r="WZO4" s="299"/>
      <c r="WZP4" s="299"/>
      <c r="WZQ4" s="299"/>
      <c r="WZR4" s="299"/>
      <c r="WZS4" s="299"/>
      <c r="WZT4" s="299"/>
      <c r="WZU4" s="299"/>
      <c r="WZV4" s="299"/>
      <c r="WZW4" s="299"/>
      <c r="WZX4" s="299"/>
      <c r="WZY4" s="299"/>
      <c r="WZZ4" s="299"/>
      <c r="XAA4" s="299"/>
      <c r="XAB4" s="299"/>
      <c r="XAC4" s="299"/>
      <c r="XAD4" s="299"/>
      <c r="XAE4" s="299"/>
      <c r="XAF4" s="299"/>
      <c r="XAG4" s="299"/>
      <c r="XAH4" s="299"/>
      <c r="XAI4" s="299"/>
      <c r="XAJ4" s="299"/>
      <c r="XAK4" s="299"/>
      <c r="XAL4" s="299"/>
      <c r="XAM4" s="299"/>
      <c r="XAN4" s="299"/>
      <c r="XAO4" s="299"/>
      <c r="XAP4" s="299"/>
      <c r="XAQ4" s="299"/>
      <c r="XAR4" s="299"/>
      <c r="XAS4" s="299"/>
      <c r="XAT4" s="299"/>
      <c r="XAU4" s="299"/>
      <c r="XAV4" s="299"/>
      <c r="XAW4" s="299"/>
      <c r="XAX4" s="299"/>
      <c r="XAY4" s="299"/>
      <c r="XAZ4" s="299"/>
      <c r="XBA4" s="299"/>
      <c r="XBB4" s="299"/>
      <c r="XBC4" s="299"/>
      <c r="XBD4" s="299"/>
      <c r="XBE4" s="299"/>
      <c r="XBF4" s="299"/>
      <c r="XBG4" s="299"/>
      <c r="XBH4" s="299"/>
      <c r="XBI4" s="299"/>
      <c r="XBJ4" s="299"/>
      <c r="XBK4" s="299"/>
      <c r="XBL4" s="299"/>
      <c r="XBM4" s="299"/>
      <c r="XBN4" s="299"/>
      <c r="XBO4" s="299"/>
      <c r="XBP4" s="299"/>
      <c r="XBQ4" s="299"/>
      <c r="XBR4" s="299"/>
      <c r="XBS4" s="299"/>
      <c r="XBT4" s="299"/>
      <c r="XBU4" s="299"/>
      <c r="XBV4" s="299"/>
      <c r="XBW4" s="299"/>
      <c r="XBX4" s="299"/>
      <c r="XBY4" s="299"/>
      <c r="XBZ4" s="299"/>
      <c r="XCA4" s="299"/>
      <c r="XCB4" s="299"/>
      <c r="XCC4" s="299"/>
      <c r="XCD4" s="299"/>
      <c r="XCE4" s="299"/>
      <c r="XCF4" s="299"/>
      <c r="XCG4" s="299"/>
      <c r="XCH4" s="299"/>
      <c r="XCI4" s="299"/>
      <c r="XCJ4" s="299"/>
      <c r="XCK4" s="299"/>
      <c r="XCL4" s="299"/>
      <c r="XCM4" s="299"/>
      <c r="XCN4" s="299"/>
      <c r="XCO4" s="299"/>
      <c r="XCP4" s="299"/>
      <c r="XCQ4" s="299"/>
      <c r="XCR4" s="299"/>
      <c r="XCS4" s="299"/>
      <c r="XCT4" s="299"/>
      <c r="XCU4" s="299"/>
      <c r="XCV4" s="299"/>
      <c r="XCW4" s="299"/>
      <c r="XCX4" s="299"/>
      <c r="XCY4" s="299"/>
      <c r="XCZ4" s="299"/>
      <c r="XDA4" s="299"/>
      <c r="XDB4" s="299"/>
      <c r="XDC4" s="299"/>
      <c r="XDD4" s="299"/>
      <c r="XDE4" s="299"/>
      <c r="XDF4" s="299"/>
      <c r="XDG4" s="299"/>
      <c r="XDH4" s="299"/>
      <c r="XDI4" s="299"/>
      <c r="XDJ4" s="299"/>
      <c r="XDK4" s="299"/>
      <c r="XDL4" s="299"/>
      <c r="XDM4" s="299"/>
      <c r="XDN4" s="299"/>
      <c r="XDO4" s="299"/>
      <c r="XDP4" s="299"/>
      <c r="XDQ4" s="299"/>
      <c r="XDR4" s="299"/>
      <c r="XDS4" s="299"/>
      <c r="XDT4" s="299"/>
      <c r="XDU4" s="299"/>
      <c r="XDV4" s="299"/>
      <c r="XDW4" s="299"/>
      <c r="XDX4" s="299"/>
      <c r="XDY4" s="299"/>
      <c r="XDZ4" s="299"/>
      <c r="XEA4" s="299"/>
      <c r="XEB4" s="299"/>
      <c r="XEC4" s="299"/>
      <c r="XED4" s="299"/>
      <c r="XEE4" s="299"/>
      <c r="XEF4" s="299"/>
      <c r="XEG4" s="299"/>
      <c r="XEH4" s="299"/>
      <c r="XEI4" s="299"/>
      <c r="XEJ4" s="299"/>
      <c r="XEK4" s="299"/>
      <c r="XEL4" s="299"/>
      <c r="XEM4" s="299"/>
      <c r="XEN4" s="299"/>
      <c r="XEO4" s="299"/>
      <c r="XEP4" s="299"/>
      <c r="XEQ4" s="299"/>
      <c r="XER4" s="299"/>
      <c r="XES4" s="299"/>
      <c r="XET4" s="299"/>
      <c r="XEU4" s="299"/>
      <c r="XEV4" s="299"/>
      <c r="XEW4" s="299"/>
      <c r="XEX4" s="299"/>
      <c r="XEY4" s="299"/>
      <c r="XEZ4" s="299"/>
      <c r="XFA4" s="299"/>
      <c r="XFB4" s="299"/>
      <c r="XFC4" s="299"/>
      <c r="XFD4" s="299"/>
    </row>
    <row r="5" spans="1:16384" s="9" customFormat="1" ht="29.45" customHeight="1" x14ac:dyDescent="0.45">
      <c r="A5" s="300" t="s">
        <v>43</v>
      </c>
      <c r="B5" s="301" t="s">
        <v>31</v>
      </c>
      <c r="C5" s="302" t="s">
        <v>32</v>
      </c>
      <c r="D5" s="302"/>
      <c r="E5" s="301" t="s">
        <v>33</v>
      </c>
      <c r="F5" s="302" t="s">
        <v>34</v>
      </c>
      <c r="G5" s="301" t="s">
        <v>35</v>
      </c>
      <c r="H5" s="301"/>
      <c r="I5" s="301"/>
      <c r="J5" s="301" t="s">
        <v>36</v>
      </c>
      <c r="K5" s="301"/>
      <c r="L5" s="301"/>
      <c r="M5" s="303" t="s">
        <v>37</v>
      </c>
      <c r="Q5" s="16"/>
    </row>
    <row r="6" spans="1:16384" s="9" customFormat="1" ht="30" x14ac:dyDescent="0.45">
      <c r="A6" s="300"/>
      <c r="B6" s="301"/>
      <c r="C6" s="32" t="s">
        <v>13</v>
      </c>
      <c r="D6" s="55" t="s">
        <v>19</v>
      </c>
      <c r="E6" s="301"/>
      <c r="F6" s="302"/>
      <c r="G6" s="56" t="s">
        <v>38</v>
      </c>
      <c r="H6" s="55" t="s">
        <v>13</v>
      </c>
      <c r="I6" s="56" t="s">
        <v>39</v>
      </c>
      <c r="J6" s="32" t="s">
        <v>40</v>
      </c>
      <c r="K6" s="55" t="s">
        <v>19</v>
      </c>
      <c r="L6" s="33" t="s">
        <v>41</v>
      </c>
      <c r="M6" s="303"/>
      <c r="Q6" s="16"/>
    </row>
    <row r="7" spans="1:16384" s="8" customFormat="1" ht="16.5" customHeight="1" x14ac:dyDescent="0.45">
      <c r="A7" s="54">
        <v>1</v>
      </c>
      <c r="B7" s="55">
        <v>2</v>
      </c>
      <c r="C7" s="32">
        <v>3</v>
      </c>
      <c r="D7" s="55">
        <v>4</v>
      </c>
      <c r="E7" s="55">
        <v>5</v>
      </c>
      <c r="F7" s="55">
        <v>6</v>
      </c>
      <c r="G7" s="55">
        <v>7</v>
      </c>
      <c r="H7" s="55">
        <v>8</v>
      </c>
      <c r="I7" s="55">
        <v>9</v>
      </c>
      <c r="J7" s="32">
        <v>10</v>
      </c>
      <c r="K7" s="55">
        <v>11</v>
      </c>
      <c r="L7" s="32">
        <v>12</v>
      </c>
      <c r="M7" s="57">
        <v>13</v>
      </c>
      <c r="Q7" s="15"/>
    </row>
    <row r="8" spans="1:16384" ht="16.5" customHeight="1" x14ac:dyDescent="0.5">
      <c r="A8" s="74">
        <v>1.01</v>
      </c>
      <c r="B8" s="60" t="s">
        <v>65</v>
      </c>
      <c r="C8" s="61">
        <f>H8+J8</f>
        <v>4000</v>
      </c>
      <c r="D8" s="62" t="s">
        <v>8</v>
      </c>
      <c r="E8" s="63">
        <v>7.55</v>
      </c>
      <c r="F8" s="10">
        <f>C8*E8</f>
        <v>30200</v>
      </c>
      <c r="G8" s="10" t="s">
        <v>433</v>
      </c>
      <c r="H8" s="10">
        <v>4000</v>
      </c>
      <c r="I8" s="10">
        <f>H8*E8</f>
        <v>30200</v>
      </c>
      <c r="J8" s="10"/>
      <c r="K8" s="62" t="s">
        <v>8</v>
      </c>
      <c r="L8" s="10">
        <f>J8*E8</f>
        <v>0</v>
      </c>
      <c r="M8" s="81">
        <v>4000</v>
      </c>
    </row>
    <row r="9" spans="1:16384" ht="16.5" customHeight="1" x14ac:dyDescent="0.5">
      <c r="A9" s="74">
        <v>1.02</v>
      </c>
      <c r="B9" s="60" t="s">
        <v>66</v>
      </c>
      <c r="C9" s="61">
        <f t="shared" ref="C9:C62" si="0">H9+J9</f>
        <v>566.32000000000005</v>
      </c>
      <c r="D9" s="62" t="s">
        <v>6</v>
      </c>
      <c r="E9" s="63">
        <v>279.85000000000002</v>
      </c>
      <c r="F9" s="10">
        <f t="shared" ref="F9:F62" si="1">C9*E9</f>
        <v>158484.65200000003</v>
      </c>
      <c r="G9" s="10" t="s">
        <v>433</v>
      </c>
      <c r="H9" s="10">
        <v>566.32000000000005</v>
      </c>
      <c r="I9" s="10">
        <f t="shared" ref="I9:I10" si="2">H9*E9</f>
        <v>158484.65200000003</v>
      </c>
      <c r="J9" s="10"/>
      <c r="K9" s="62" t="s">
        <v>6</v>
      </c>
      <c r="L9" s="10">
        <f t="shared" ref="L9:L62" si="3">J9*E9</f>
        <v>0</v>
      </c>
      <c r="M9" s="81">
        <v>447</v>
      </c>
    </row>
    <row r="10" spans="1:16384" ht="16.5" customHeight="1" x14ac:dyDescent="0.5">
      <c r="A10" s="74">
        <v>1.03</v>
      </c>
      <c r="B10" s="60" t="s">
        <v>67</v>
      </c>
      <c r="C10" s="61">
        <f t="shared" si="0"/>
        <v>269.33</v>
      </c>
      <c r="D10" s="62" t="s">
        <v>6</v>
      </c>
      <c r="E10" s="63">
        <v>54.55</v>
      </c>
      <c r="F10" s="10">
        <f t="shared" si="1"/>
        <v>14691.951499999999</v>
      </c>
      <c r="G10" s="10" t="s">
        <v>434</v>
      </c>
      <c r="H10" s="10">
        <v>269.33</v>
      </c>
      <c r="I10" s="10">
        <f t="shared" si="2"/>
        <v>14691.951499999999</v>
      </c>
      <c r="J10" s="10"/>
      <c r="K10" s="62" t="s">
        <v>6</v>
      </c>
      <c r="L10" s="10">
        <f t="shared" si="3"/>
        <v>0</v>
      </c>
      <c r="M10" s="81">
        <v>273</v>
      </c>
    </row>
    <row r="11" spans="1:16384" ht="16.5" customHeight="1" x14ac:dyDescent="0.5">
      <c r="A11" s="74">
        <v>1.04</v>
      </c>
      <c r="B11" s="60" t="s">
        <v>68</v>
      </c>
      <c r="C11" s="61">
        <f t="shared" si="0"/>
        <v>927.68</v>
      </c>
      <c r="D11" s="62" t="s">
        <v>6</v>
      </c>
      <c r="E11" s="63">
        <v>2347</v>
      </c>
      <c r="F11" s="10">
        <f t="shared" si="1"/>
        <v>2177264.96</v>
      </c>
      <c r="G11" s="10" t="s">
        <v>434</v>
      </c>
      <c r="H11" s="10">
        <v>927.68</v>
      </c>
      <c r="I11" s="10">
        <f t="shared" ref="I11:I62" si="4">H11*E11</f>
        <v>2177264.96</v>
      </c>
      <c r="J11" s="10"/>
      <c r="K11" s="62" t="s">
        <v>6</v>
      </c>
      <c r="L11" s="10">
        <f t="shared" si="3"/>
        <v>0</v>
      </c>
      <c r="M11" s="81">
        <v>450</v>
      </c>
    </row>
    <row r="12" spans="1:16384" ht="16.5" customHeight="1" x14ac:dyDescent="0.5">
      <c r="A12" s="74">
        <v>1.05</v>
      </c>
      <c r="B12" s="60" t="s">
        <v>69</v>
      </c>
      <c r="C12" s="61">
        <f t="shared" si="0"/>
        <v>822.94</v>
      </c>
      <c r="D12" s="62" t="s">
        <v>6</v>
      </c>
      <c r="E12" s="63">
        <v>278.3</v>
      </c>
      <c r="F12" s="10">
        <f t="shared" si="1"/>
        <v>229024.20200000002</v>
      </c>
      <c r="G12" s="10" t="s">
        <v>434</v>
      </c>
      <c r="H12" s="10">
        <v>822.94</v>
      </c>
      <c r="I12" s="10">
        <f t="shared" si="4"/>
        <v>229024.20200000002</v>
      </c>
      <c r="J12" s="10"/>
      <c r="K12" s="62" t="s">
        <v>6</v>
      </c>
      <c r="L12" s="10">
        <f t="shared" si="3"/>
        <v>0</v>
      </c>
      <c r="M12" s="81">
        <v>824</v>
      </c>
    </row>
    <row r="13" spans="1:16384" ht="16.5" customHeight="1" x14ac:dyDescent="0.5">
      <c r="A13" s="74">
        <v>1.06</v>
      </c>
      <c r="B13" s="60" t="s">
        <v>70</v>
      </c>
      <c r="C13" s="61">
        <f t="shared" si="0"/>
        <v>209.48</v>
      </c>
      <c r="D13" s="62" t="s">
        <v>6</v>
      </c>
      <c r="E13" s="63">
        <v>4269.95</v>
      </c>
      <c r="F13" s="10">
        <f t="shared" si="1"/>
        <v>894469.12599999993</v>
      </c>
      <c r="G13" s="10">
        <v>0</v>
      </c>
      <c r="H13" s="10"/>
      <c r="I13" s="10">
        <f t="shared" si="4"/>
        <v>0</v>
      </c>
      <c r="J13" s="10">
        <f>'Pandalur Dt Wise'!I261</f>
        <v>209.48</v>
      </c>
      <c r="K13" s="62" t="s">
        <v>6</v>
      </c>
      <c r="L13" s="10">
        <f t="shared" si="3"/>
        <v>894469.12599999993</v>
      </c>
      <c r="M13" s="81">
        <v>300</v>
      </c>
    </row>
    <row r="14" spans="1:16384" ht="16.5" customHeight="1" x14ac:dyDescent="0.5">
      <c r="A14" s="74">
        <v>1.07</v>
      </c>
      <c r="B14" s="60" t="s">
        <v>4</v>
      </c>
      <c r="C14" s="61">
        <f t="shared" si="0"/>
        <v>173.76000000000002</v>
      </c>
      <c r="D14" s="62" t="s">
        <v>6</v>
      </c>
      <c r="E14" s="63">
        <v>8093</v>
      </c>
      <c r="F14" s="10">
        <f t="shared" si="1"/>
        <v>1406239.6800000002</v>
      </c>
      <c r="G14" s="10" t="s">
        <v>435</v>
      </c>
      <c r="H14" s="10">
        <v>16.650000000000002</v>
      </c>
      <c r="I14" s="10">
        <f t="shared" si="4"/>
        <v>134748.45000000001</v>
      </c>
      <c r="J14" s="10">
        <f>'Pandalur Dt Wise'!I274</f>
        <v>157.11000000000001</v>
      </c>
      <c r="K14" s="62" t="s">
        <v>6</v>
      </c>
      <c r="L14" s="10">
        <f t="shared" si="3"/>
        <v>1271491.2300000002</v>
      </c>
      <c r="M14" s="81">
        <v>270</v>
      </c>
    </row>
    <row r="15" spans="1:16384" ht="16.5" customHeight="1" x14ac:dyDescent="0.5">
      <c r="A15" s="74">
        <v>1.08</v>
      </c>
      <c r="B15" s="60" t="s">
        <v>71</v>
      </c>
      <c r="C15" s="61">
        <f t="shared" si="0"/>
        <v>181.41</v>
      </c>
      <c r="D15" s="62" t="s">
        <v>6</v>
      </c>
      <c r="E15" s="63">
        <v>7536.75</v>
      </c>
      <c r="F15" s="10">
        <f t="shared" si="1"/>
        <v>1367241.8174999999</v>
      </c>
      <c r="G15" s="10" t="s">
        <v>435</v>
      </c>
      <c r="H15" s="10">
        <v>181.41</v>
      </c>
      <c r="I15" s="10">
        <f t="shared" si="4"/>
        <v>1367241.8174999999</v>
      </c>
      <c r="J15" s="10"/>
      <c r="K15" s="62" t="s">
        <v>6</v>
      </c>
      <c r="L15" s="10">
        <f t="shared" si="3"/>
        <v>0</v>
      </c>
      <c r="M15" s="81">
        <v>141</v>
      </c>
    </row>
    <row r="16" spans="1:16384" ht="16.5" customHeight="1" x14ac:dyDescent="0.5">
      <c r="A16" s="74">
        <v>1.0900000000000001</v>
      </c>
      <c r="B16" s="60" t="s">
        <v>72</v>
      </c>
      <c r="C16" s="61">
        <f t="shared" si="0"/>
        <v>247.35</v>
      </c>
      <c r="D16" s="62" t="s">
        <v>6</v>
      </c>
      <c r="E16" s="64">
        <v>7647.2</v>
      </c>
      <c r="F16" s="10">
        <f t="shared" si="1"/>
        <v>1891534.92</v>
      </c>
      <c r="G16" s="10">
        <v>0</v>
      </c>
      <c r="H16" s="10"/>
      <c r="I16" s="10">
        <f t="shared" si="4"/>
        <v>0</v>
      </c>
      <c r="J16" s="10">
        <f>'Pandalur Dt Wise'!I136</f>
        <v>247.35</v>
      </c>
      <c r="K16" s="62" t="s">
        <v>6</v>
      </c>
      <c r="L16" s="10">
        <f t="shared" si="3"/>
        <v>1891534.92</v>
      </c>
      <c r="M16" s="81">
        <v>243</v>
      </c>
    </row>
    <row r="17" spans="1:16" ht="16.5" customHeight="1" x14ac:dyDescent="0.5">
      <c r="A17" s="74">
        <v>1.1000000000000001</v>
      </c>
      <c r="B17" s="60" t="s">
        <v>73</v>
      </c>
      <c r="C17" s="61">
        <f t="shared" si="0"/>
        <v>81.180000000000007</v>
      </c>
      <c r="D17" s="62" t="s">
        <v>6</v>
      </c>
      <c r="E17" s="64">
        <v>7870.19</v>
      </c>
      <c r="F17" s="10">
        <f t="shared" si="1"/>
        <v>638902.02419999999</v>
      </c>
      <c r="G17" s="10">
        <v>0</v>
      </c>
      <c r="H17" s="10"/>
      <c r="I17" s="10">
        <f t="shared" si="4"/>
        <v>0</v>
      </c>
      <c r="J17" s="10">
        <f>'Pandalur Dt Wise'!I206</f>
        <v>81.180000000000007</v>
      </c>
      <c r="K17" s="62" t="s">
        <v>6</v>
      </c>
      <c r="L17" s="10">
        <f t="shared" si="3"/>
        <v>638902.02419999999</v>
      </c>
      <c r="M17" s="82">
        <v>103</v>
      </c>
    </row>
    <row r="18" spans="1:16" ht="16.5" customHeight="1" x14ac:dyDescent="0.5">
      <c r="A18" s="74">
        <v>1.1100000000000001</v>
      </c>
      <c r="B18" s="60" t="s">
        <v>74</v>
      </c>
      <c r="C18" s="61">
        <f t="shared" si="0"/>
        <v>743.97</v>
      </c>
      <c r="D18" s="62" t="s">
        <v>8</v>
      </c>
      <c r="E18" s="63">
        <v>1159.9000000000001</v>
      </c>
      <c r="F18" s="10">
        <f t="shared" si="1"/>
        <v>862930.80300000007</v>
      </c>
      <c r="G18" s="10" t="s">
        <v>436</v>
      </c>
      <c r="H18" s="10">
        <v>580.51</v>
      </c>
      <c r="I18" s="10">
        <f t="shared" si="4"/>
        <v>673333.549</v>
      </c>
      <c r="J18" s="10">
        <f>'Pandalur Dt Wise'!I12</f>
        <v>163.46</v>
      </c>
      <c r="K18" s="62" t="s">
        <v>8</v>
      </c>
      <c r="L18" s="10">
        <f t="shared" si="3"/>
        <v>189597.25400000002</v>
      </c>
      <c r="M18" s="81">
        <v>715</v>
      </c>
    </row>
    <row r="19" spans="1:16" ht="16.5" customHeight="1" x14ac:dyDescent="0.5">
      <c r="A19" s="74">
        <v>1.1200000000000001</v>
      </c>
      <c r="B19" s="60" t="s">
        <v>75</v>
      </c>
      <c r="C19" s="61">
        <f t="shared" si="0"/>
        <v>661.02</v>
      </c>
      <c r="D19" s="62" t="s">
        <v>8</v>
      </c>
      <c r="E19" s="63">
        <v>1278.8</v>
      </c>
      <c r="F19" s="10">
        <f t="shared" si="1"/>
        <v>845312.37599999993</v>
      </c>
      <c r="G19" s="10">
        <v>0</v>
      </c>
      <c r="H19" s="10"/>
      <c r="I19" s="10">
        <f t="shared" si="4"/>
        <v>0</v>
      </c>
      <c r="J19" s="10">
        <f>'Pandalur Dt Wise'!I164+'Pandalur Dt Wise'!I231</f>
        <v>661.02</v>
      </c>
      <c r="K19" s="62" t="s">
        <v>8</v>
      </c>
      <c r="L19" s="10">
        <f t="shared" si="3"/>
        <v>845312.37599999993</v>
      </c>
      <c r="M19" s="81">
        <v>805</v>
      </c>
    </row>
    <row r="20" spans="1:16" ht="16.5" customHeight="1" x14ac:dyDescent="0.5">
      <c r="A20" s="74">
        <v>1.1299999999999999</v>
      </c>
      <c r="B20" s="60" t="s">
        <v>76</v>
      </c>
      <c r="C20" s="61">
        <f t="shared" si="0"/>
        <v>953.6</v>
      </c>
      <c r="D20" s="62" t="s">
        <v>8</v>
      </c>
      <c r="E20" s="63">
        <v>1406.65</v>
      </c>
      <c r="F20" s="10">
        <f t="shared" si="1"/>
        <v>1341381.4400000002</v>
      </c>
      <c r="G20" s="10" t="s">
        <v>437</v>
      </c>
      <c r="H20" s="10">
        <v>257.36</v>
      </c>
      <c r="I20" s="10">
        <f t="shared" si="4"/>
        <v>362015.44400000002</v>
      </c>
      <c r="J20" s="10">
        <f>'Pandalur Dt Wise'!I37+'Pandalur Dt Wise'!I86</f>
        <v>696.24</v>
      </c>
      <c r="K20" s="62" t="s">
        <v>8</v>
      </c>
      <c r="L20" s="10">
        <f t="shared" si="3"/>
        <v>979365.99600000004</v>
      </c>
      <c r="M20" s="83">
        <v>906</v>
      </c>
    </row>
    <row r="21" spans="1:16" ht="16.5" customHeight="1" x14ac:dyDescent="0.5">
      <c r="A21" s="74">
        <v>1.1399999999999999</v>
      </c>
      <c r="B21" s="60" t="s">
        <v>77</v>
      </c>
      <c r="C21" s="61">
        <f t="shared" si="0"/>
        <v>388.26122120000002</v>
      </c>
      <c r="D21" s="62" t="s">
        <v>5</v>
      </c>
      <c r="E21" s="63">
        <v>10099.75</v>
      </c>
      <c r="F21" s="10">
        <f t="shared" si="1"/>
        <v>3921341.2688147002</v>
      </c>
      <c r="G21" s="10" t="s">
        <v>437</v>
      </c>
      <c r="H21" s="10">
        <v>162.1</v>
      </c>
      <c r="I21" s="10">
        <f t="shared" si="4"/>
        <v>1637169.4749999999</v>
      </c>
      <c r="J21" s="10">
        <f>'Steel 1500MT'!K114</f>
        <v>226.16122120000003</v>
      </c>
      <c r="K21" s="62" t="s">
        <v>5</v>
      </c>
      <c r="L21" s="10">
        <f t="shared" si="3"/>
        <v>2284171.7938147001</v>
      </c>
      <c r="M21" s="83">
        <v>524.6</v>
      </c>
    </row>
    <row r="22" spans="1:16" ht="16.5" customHeight="1" x14ac:dyDescent="0.5">
      <c r="A22" s="74">
        <v>1.1499999999999999</v>
      </c>
      <c r="B22" s="60" t="s">
        <v>78</v>
      </c>
      <c r="C22" s="61">
        <f t="shared" si="0"/>
        <v>12</v>
      </c>
      <c r="D22" s="62" t="s">
        <v>79</v>
      </c>
      <c r="E22" s="63">
        <v>14635</v>
      </c>
      <c r="F22" s="10">
        <f t="shared" si="1"/>
        <v>175620</v>
      </c>
      <c r="G22" s="10">
        <v>0</v>
      </c>
      <c r="H22" s="10"/>
      <c r="I22" s="10">
        <f t="shared" si="4"/>
        <v>0</v>
      </c>
      <c r="J22" s="10">
        <f>'Pandalur Dt Wise'!I267</f>
        <v>12</v>
      </c>
      <c r="K22" s="62" t="s">
        <v>79</v>
      </c>
      <c r="L22" s="10">
        <f t="shared" si="3"/>
        <v>175620</v>
      </c>
      <c r="M22" s="83">
        <v>10</v>
      </c>
    </row>
    <row r="23" spans="1:16" ht="16.5" customHeight="1" x14ac:dyDescent="0.5">
      <c r="A23" s="74">
        <v>1.1599999999999999</v>
      </c>
      <c r="B23" s="60" t="s">
        <v>80</v>
      </c>
      <c r="C23" s="61">
        <f t="shared" si="0"/>
        <v>34</v>
      </c>
      <c r="D23" s="62" t="s">
        <v>79</v>
      </c>
      <c r="E23" s="63">
        <v>3453.2</v>
      </c>
      <c r="F23" s="10">
        <f t="shared" si="1"/>
        <v>117408.79999999999</v>
      </c>
      <c r="G23" s="10">
        <v>0</v>
      </c>
      <c r="H23" s="10"/>
      <c r="I23" s="10">
        <f t="shared" si="4"/>
        <v>0</v>
      </c>
      <c r="J23" s="10">
        <f>'Pandalur Dt Wise'!I280</f>
        <v>34</v>
      </c>
      <c r="K23" s="62" t="s">
        <v>79</v>
      </c>
      <c r="L23" s="10">
        <f t="shared" si="3"/>
        <v>117408.79999999999</v>
      </c>
      <c r="M23" s="83">
        <v>36</v>
      </c>
    </row>
    <row r="24" spans="1:16" ht="16.5" customHeight="1" x14ac:dyDescent="0.5">
      <c r="A24" s="74">
        <v>1.17</v>
      </c>
      <c r="B24" s="60" t="s">
        <v>81</v>
      </c>
      <c r="C24" s="61">
        <f t="shared" si="0"/>
        <v>92</v>
      </c>
      <c r="D24" s="62" t="s">
        <v>79</v>
      </c>
      <c r="E24" s="63">
        <v>4250</v>
      </c>
      <c r="F24" s="10">
        <f t="shared" si="1"/>
        <v>391000</v>
      </c>
      <c r="G24" s="10">
        <v>0</v>
      </c>
      <c r="H24" s="10"/>
      <c r="I24" s="10">
        <f t="shared" si="4"/>
        <v>0</v>
      </c>
      <c r="J24" s="10">
        <f>'Pandalur Dt Wise'!I286</f>
        <v>92</v>
      </c>
      <c r="K24" s="62" t="s">
        <v>79</v>
      </c>
      <c r="L24" s="10">
        <f t="shared" si="3"/>
        <v>391000</v>
      </c>
      <c r="M24" s="83">
        <v>92</v>
      </c>
    </row>
    <row r="25" spans="1:16" ht="16.5" customHeight="1" x14ac:dyDescent="0.5">
      <c r="A25" s="74">
        <v>1.18</v>
      </c>
      <c r="B25" s="60" t="s">
        <v>82</v>
      </c>
      <c r="C25" s="61">
        <f t="shared" si="0"/>
        <v>0</v>
      </c>
      <c r="D25" s="62" t="s">
        <v>8</v>
      </c>
      <c r="E25" s="63">
        <v>1653.4</v>
      </c>
      <c r="F25" s="10">
        <f t="shared" si="1"/>
        <v>0</v>
      </c>
      <c r="G25" s="10">
        <v>0</v>
      </c>
      <c r="H25" s="10"/>
      <c r="I25" s="10">
        <f t="shared" si="4"/>
        <v>0</v>
      </c>
      <c r="J25" s="10"/>
      <c r="K25" s="62" t="s">
        <v>8</v>
      </c>
      <c r="L25" s="10">
        <f t="shared" si="3"/>
        <v>0</v>
      </c>
      <c r="M25" s="84">
        <v>1503</v>
      </c>
    </row>
    <row r="26" spans="1:16" ht="16.5" customHeight="1" x14ac:dyDescent="0.5">
      <c r="A26" s="74">
        <v>1.19</v>
      </c>
      <c r="B26" s="60" t="s">
        <v>83</v>
      </c>
      <c r="C26" s="61">
        <f t="shared" si="0"/>
        <v>1480.4</v>
      </c>
      <c r="D26" s="62" t="s">
        <v>8</v>
      </c>
      <c r="E26" s="63">
        <v>356.05</v>
      </c>
      <c r="F26" s="10">
        <f t="shared" si="1"/>
        <v>527096.42000000004</v>
      </c>
      <c r="G26" s="10">
        <v>0</v>
      </c>
      <c r="H26" s="10"/>
      <c r="I26" s="10">
        <f t="shared" si="4"/>
        <v>0</v>
      </c>
      <c r="J26" s="10">
        <f>'Pandalur Dt Wise'!I413</f>
        <v>1480.4</v>
      </c>
      <c r="K26" s="62" t="s">
        <v>8</v>
      </c>
      <c r="L26" s="10">
        <f t="shared" si="3"/>
        <v>527096.42000000004</v>
      </c>
      <c r="M26" s="84">
        <v>3522</v>
      </c>
    </row>
    <row r="27" spans="1:16" ht="16.5" customHeight="1" x14ac:dyDescent="0.5">
      <c r="A27" s="74">
        <v>1.2</v>
      </c>
      <c r="B27" s="60" t="s">
        <v>84</v>
      </c>
      <c r="C27" s="61">
        <f t="shared" si="0"/>
        <v>539.80999999999995</v>
      </c>
      <c r="D27" s="62" t="s">
        <v>8</v>
      </c>
      <c r="E27" s="63">
        <v>401.1</v>
      </c>
      <c r="F27" s="10">
        <f t="shared" si="1"/>
        <v>216517.791</v>
      </c>
      <c r="G27" s="10">
        <v>0</v>
      </c>
      <c r="H27" s="10"/>
      <c r="I27" s="10">
        <f t="shared" si="4"/>
        <v>0</v>
      </c>
      <c r="J27" s="10">
        <f>'Pandalur Dt Wise'!I434</f>
        <v>539.80999999999995</v>
      </c>
      <c r="K27" s="62" t="s">
        <v>8</v>
      </c>
      <c r="L27" s="10">
        <f t="shared" si="3"/>
        <v>216517.791</v>
      </c>
      <c r="M27" s="84">
        <v>1350</v>
      </c>
    </row>
    <row r="28" spans="1:16" ht="16.5" customHeight="1" x14ac:dyDescent="0.5">
      <c r="A28" s="74">
        <v>1.21</v>
      </c>
      <c r="B28" s="60" t="s">
        <v>85</v>
      </c>
      <c r="C28" s="61">
        <f t="shared" si="0"/>
        <v>0</v>
      </c>
      <c r="D28" s="62" t="s">
        <v>8</v>
      </c>
      <c r="E28" s="63">
        <v>309.2</v>
      </c>
      <c r="F28" s="10">
        <f t="shared" si="1"/>
        <v>0</v>
      </c>
      <c r="G28" s="10">
        <v>0</v>
      </c>
      <c r="H28" s="10"/>
      <c r="I28" s="10">
        <f t="shared" si="4"/>
        <v>0</v>
      </c>
      <c r="J28" s="10"/>
      <c r="K28" s="62" t="s">
        <v>8</v>
      </c>
      <c r="L28" s="10">
        <f t="shared" si="3"/>
        <v>0</v>
      </c>
      <c r="M28" s="84">
        <v>3209</v>
      </c>
    </row>
    <row r="29" spans="1:16" ht="16.5" customHeight="1" x14ac:dyDescent="0.5">
      <c r="A29" s="74">
        <v>1.22</v>
      </c>
      <c r="B29" s="60" t="s">
        <v>86</v>
      </c>
      <c r="C29" s="61">
        <f t="shared" si="0"/>
        <v>81.5</v>
      </c>
      <c r="D29" s="62" t="s">
        <v>7</v>
      </c>
      <c r="E29" s="63">
        <v>1277</v>
      </c>
      <c r="F29" s="10">
        <f t="shared" si="1"/>
        <v>104075.5</v>
      </c>
      <c r="G29" s="10">
        <v>0</v>
      </c>
      <c r="H29" s="10"/>
      <c r="I29" s="10">
        <f t="shared" si="4"/>
        <v>0</v>
      </c>
      <c r="J29" s="10">
        <f>'Pandalur Dt Wise'!I51</f>
        <v>81.5</v>
      </c>
      <c r="K29" s="62" t="s">
        <v>7</v>
      </c>
      <c r="L29" s="10">
        <f t="shared" si="3"/>
        <v>104075.5</v>
      </c>
      <c r="M29" s="83">
        <v>76.400000000000006</v>
      </c>
      <c r="P29" s="87"/>
    </row>
    <row r="30" spans="1:16" ht="16.5" customHeight="1" x14ac:dyDescent="0.5">
      <c r="A30" s="74">
        <v>1.23</v>
      </c>
      <c r="B30" s="60" t="s">
        <v>87</v>
      </c>
      <c r="C30" s="61">
        <f t="shared" si="0"/>
        <v>0</v>
      </c>
      <c r="D30" s="62" t="s">
        <v>79</v>
      </c>
      <c r="E30" s="63">
        <v>18000</v>
      </c>
      <c r="F30" s="10">
        <f t="shared" si="1"/>
        <v>0</v>
      </c>
      <c r="G30" s="10">
        <v>0</v>
      </c>
      <c r="H30" s="10"/>
      <c r="I30" s="10">
        <f t="shared" si="4"/>
        <v>0</v>
      </c>
      <c r="J30" s="10"/>
      <c r="K30" s="62" t="s">
        <v>79</v>
      </c>
      <c r="L30" s="10">
        <f t="shared" si="3"/>
        <v>0</v>
      </c>
      <c r="M30" s="83">
        <v>11</v>
      </c>
    </row>
    <row r="31" spans="1:16" ht="16.5" customHeight="1" x14ac:dyDescent="0.5">
      <c r="A31" s="74">
        <v>1.24</v>
      </c>
      <c r="B31" s="60" t="s">
        <v>88</v>
      </c>
      <c r="C31" s="61">
        <f t="shared" si="0"/>
        <v>1897.96</v>
      </c>
      <c r="D31" s="62" t="s">
        <v>8</v>
      </c>
      <c r="E31" s="174">
        <f>1198.15*0.7</f>
        <v>838.70500000000004</v>
      </c>
      <c r="F31" s="10">
        <f t="shared" si="1"/>
        <v>1591828.5418</v>
      </c>
      <c r="G31" s="10">
        <v>0</v>
      </c>
      <c r="H31" s="10"/>
      <c r="I31" s="10">
        <f t="shared" si="4"/>
        <v>0</v>
      </c>
      <c r="J31" s="10">
        <f>'Pandalur Dt Wise'!I445</f>
        <v>1897.96</v>
      </c>
      <c r="K31" s="62" t="s">
        <v>8</v>
      </c>
      <c r="L31" s="10">
        <f>J31*E31</f>
        <v>1591828.5418</v>
      </c>
      <c r="M31" s="83">
        <v>1911</v>
      </c>
    </row>
    <row r="32" spans="1:16" ht="16.5" customHeight="1" x14ac:dyDescent="0.5">
      <c r="A32" s="74">
        <v>1.25</v>
      </c>
      <c r="B32" s="60" t="s">
        <v>89</v>
      </c>
      <c r="C32" s="61">
        <f t="shared" si="0"/>
        <v>105.92</v>
      </c>
      <c r="D32" s="62" t="s">
        <v>7</v>
      </c>
      <c r="E32" s="174">
        <f>656.5*0.7</f>
        <v>459.54999999999995</v>
      </c>
      <c r="F32" s="10">
        <f t="shared" si="1"/>
        <v>48675.535999999993</v>
      </c>
      <c r="G32" s="10">
        <v>0</v>
      </c>
      <c r="H32" s="10"/>
      <c r="I32" s="10">
        <f t="shared" si="4"/>
        <v>0</v>
      </c>
      <c r="J32" s="10">
        <f>'Pandalur Dt Wise'!I451</f>
        <v>105.92</v>
      </c>
      <c r="K32" s="62" t="s">
        <v>7</v>
      </c>
      <c r="L32" s="10">
        <f>J32*E32</f>
        <v>48675.535999999993</v>
      </c>
      <c r="M32" s="83">
        <v>107</v>
      </c>
    </row>
    <row r="33" spans="1:13" ht="16.5" customHeight="1" x14ac:dyDescent="0.5">
      <c r="A33" s="74">
        <v>1.26</v>
      </c>
      <c r="B33" s="60" t="s">
        <v>90</v>
      </c>
      <c r="C33" s="61">
        <f t="shared" si="0"/>
        <v>0</v>
      </c>
      <c r="D33" s="62" t="s">
        <v>8</v>
      </c>
      <c r="E33" s="63">
        <v>1427.85</v>
      </c>
      <c r="F33" s="10">
        <f t="shared" si="1"/>
        <v>0</v>
      </c>
      <c r="G33" s="10">
        <v>0</v>
      </c>
      <c r="H33" s="10"/>
      <c r="I33" s="10">
        <f t="shared" si="4"/>
        <v>0</v>
      </c>
      <c r="J33" s="10"/>
      <c r="K33" s="62" t="s">
        <v>8</v>
      </c>
      <c r="L33" s="10">
        <f t="shared" si="3"/>
        <v>0</v>
      </c>
      <c r="M33" s="83">
        <v>34</v>
      </c>
    </row>
    <row r="34" spans="1:13" ht="16.5" customHeight="1" x14ac:dyDescent="0.5">
      <c r="A34" s="74">
        <v>1.27</v>
      </c>
      <c r="B34" s="60" t="s">
        <v>91</v>
      </c>
      <c r="C34" s="61">
        <f t="shared" si="0"/>
        <v>0</v>
      </c>
      <c r="D34" s="62" t="s">
        <v>8</v>
      </c>
      <c r="E34" s="63">
        <v>197.75</v>
      </c>
      <c r="F34" s="10">
        <f t="shared" si="1"/>
        <v>0</v>
      </c>
      <c r="G34" s="10">
        <v>0</v>
      </c>
      <c r="H34" s="10"/>
      <c r="I34" s="10">
        <f t="shared" si="4"/>
        <v>0</v>
      </c>
      <c r="J34" s="10"/>
      <c r="K34" s="62" t="s">
        <v>8</v>
      </c>
      <c r="L34" s="10">
        <f t="shared" si="3"/>
        <v>0</v>
      </c>
      <c r="M34" s="84">
        <v>1865</v>
      </c>
    </row>
    <row r="35" spans="1:13" ht="16.5" customHeight="1" x14ac:dyDescent="0.5">
      <c r="A35" s="74">
        <v>1.28</v>
      </c>
      <c r="B35" s="60" t="s">
        <v>92</v>
      </c>
      <c r="C35" s="61">
        <f t="shared" si="0"/>
        <v>0</v>
      </c>
      <c r="D35" s="62" t="s">
        <v>7</v>
      </c>
      <c r="E35" s="63">
        <v>241.35</v>
      </c>
      <c r="F35" s="10">
        <f t="shared" si="1"/>
        <v>0</v>
      </c>
      <c r="G35" s="10">
        <v>0</v>
      </c>
      <c r="H35" s="10"/>
      <c r="I35" s="10">
        <f t="shared" si="4"/>
        <v>0</v>
      </c>
      <c r="J35" s="10"/>
      <c r="K35" s="62" t="s">
        <v>7</v>
      </c>
      <c r="L35" s="10">
        <f t="shared" si="3"/>
        <v>0</v>
      </c>
      <c r="M35" s="83">
        <v>842</v>
      </c>
    </row>
    <row r="36" spans="1:13" ht="16.5" customHeight="1" x14ac:dyDescent="0.5">
      <c r="A36" s="75">
        <v>1.29</v>
      </c>
      <c r="B36" s="60" t="s">
        <v>93</v>
      </c>
      <c r="C36" s="61">
        <f t="shared" si="0"/>
        <v>35731</v>
      </c>
      <c r="D36" s="69" t="s">
        <v>94</v>
      </c>
      <c r="E36" s="174">
        <f>145.2*0.7</f>
        <v>101.63999999999999</v>
      </c>
      <c r="F36" s="10">
        <f t="shared" si="1"/>
        <v>3631698.8399999994</v>
      </c>
      <c r="G36" s="10">
        <v>0</v>
      </c>
      <c r="H36" s="10"/>
      <c r="I36" s="10">
        <f t="shared" si="4"/>
        <v>0</v>
      </c>
      <c r="J36" s="10">
        <f>'Pandalur Dt Wise'!I366</f>
        <v>35731</v>
      </c>
      <c r="K36" s="69" t="s">
        <v>94</v>
      </c>
      <c r="L36" s="10">
        <f t="shared" si="3"/>
        <v>3631698.8399999994</v>
      </c>
      <c r="M36" s="85">
        <v>35811</v>
      </c>
    </row>
    <row r="37" spans="1:13" ht="16.5" customHeight="1" x14ac:dyDescent="0.5">
      <c r="A37" s="74">
        <v>1.3</v>
      </c>
      <c r="B37" s="60" t="s">
        <v>95</v>
      </c>
      <c r="C37" s="61">
        <f t="shared" si="0"/>
        <v>230.02999999999997</v>
      </c>
      <c r="D37" s="62" t="s">
        <v>6</v>
      </c>
      <c r="E37" s="68">
        <v>12500.45</v>
      </c>
      <c r="F37" s="10">
        <f t="shared" si="1"/>
        <v>2875478.5134999999</v>
      </c>
      <c r="G37" s="10" t="s">
        <v>438</v>
      </c>
      <c r="H37" s="10">
        <v>177.7</v>
      </c>
      <c r="I37" s="10">
        <f t="shared" si="4"/>
        <v>2221329.9649999999</v>
      </c>
      <c r="J37" s="10">
        <f>'Pandalur Dt Wise'!I67</f>
        <v>52.33</v>
      </c>
      <c r="K37" s="62" t="s">
        <v>6</v>
      </c>
      <c r="L37" s="10">
        <f t="shared" si="3"/>
        <v>654148.54850000003</v>
      </c>
      <c r="M37" s="81">
        <v>154</v>
      </c>
    </row>
    <row r="38" spans="1:13" ht="16.5" customHeight="1" x14ac:dyDescent="0.5">
      <c r="A38" s="74">
        <v>1.31</v>
      </c>
      <c r="B38" s="60" t="s">
        <v>72</v>
      </c>
      <c r="C38" s="61">
        <f t="shared" si="0"/>
        <v>81.88</v>
      </c>
      <c r="D38" s="62" t="s">
        <v>6</v>
      </c>
      <c r="E38" s="63">
        <v>12668.25</v>
      </c>
      <c r="F38" s="10">
        <f t="shared" si="1"/>
        <v>1037276.3099999999</v>
      </c>
      <c r="G38" s="10">
        <v>0</v>
      </c>
      <c r="H38" s="10"/>
      <c r="I38" s="10">
        <f t="shared" si="4"/>
        <v>0</v>
      </c>
      <c r="J38" s="10">
        <f>+'Pandalur Dt Wise'!I96+'Pandalur Dt Wise'!I187</f>
        <v>81.88</v>
      </c>
      <c r="K38" s="62" t="s">
        <v>6</v>
      </c>
      <c r="L38" s="10">
        <f t="shared" si="3"/>
        <v>1037276.3099999999</v>
      </c>
      <c r="M38" s="81">
        <v>72</v>
      </c>
    </row>
    <row r="39" spans="1:13" ht="16.5" customHeight="1" x14ac:dyDescent="0.5">
      <c r="A39" s="74">
        <v>1.32</v>
      </c>
      <c r="B39" s="60" t="s">
        <v>96</v>
      </c>
      <c r="C39" s="61">
        <f t="shared" si="0"/>
        <v>64.19</v>
      </c>
      <c r="D39" s="62" t="s">
        <v>6</v>
      </c>
      <c r="E39" s="63">
        <v>12998.75</v>
      </c>
      <c r="F39" s="10">
        <f t="shared" si="1"/>
        <v>834389.76249999995</v>
      </c>
      <c r="G39" s="10">
        <v>0</v>
      </c>
      <c r="H39" s="10"/>
      <c r="I39" s="10">
        <f t="shared" si="4"/>
        <v>0</v>
      </c>
      <c r="J39" s="10">
        <f>'Pandalur Dt Wise'!I106+'Pandalur Dt Wise'!I254</f>
        <v>64.19</v>
      </c>
      <c r="K39" s="62" t="s">
        <v>6</v>
      </c>
      <c r="L39" s="10">
        <f t="shared" si="3"/>
        <v>834389.76249999995</v>
      </c>
      <c r="M39" s="81">
        <v>69</v>
      </c>
    </row>
    <row r="40" spans="1:13" ht="16.5" customHeight="1" x14ac:dyDescent="0.5">
      <c r="A40" s="74">
        <v>1.33</v>
      </c>
      <c r="B40" s="60" t="s">
        <v>97</v>
      </c>
      <c r="C40" s="61">
        <f t="shared" si="0"/>
        <v>0</v>
      </c>
      <c r="D40" s="62" t="s">
        <v>6</v>
      </c>
      <c r="E40" s="64">
        <v>3455.65</v>
      </c>
      <c r="F40" s="10">
        <f t="shared" si="1"/>
        <v>0</v>
      </c>
      <c r="G40" s="10">
        <v>0</v>
      </c>
      <c r="H40" s="10"/>
      <c r="I40" s="10">
        <f t="shared" si="4"/>
        <v>0</v>
      </c>
      <c r="J40" s="10"/>
      <c r="K40" s="62" t="s">
        <v>6</v>
      </c>
      <c r="L40" s="10">
        <f t="shared" si="3"/>
        <v>0</v>
      </c>
      <c r="M40" s="81">
        <v>16</v>
      </c>
    </row>
    <row r="41" spans="1:13" ht="16.5" customHeight="1" x14ac:dyDescent="0.5">
      <c r="A41" s="74">
        <v>1.34</v>
      </c>
      <c r="B41" s="60" t="s">
        <v>98</v>
      </c>
      <c r="C41" s="61">
        <f t="shared" si="0"/>
        <v>0</v>
      </c>
      <c r="D41" s="62" t="s">
        <v>6</v>
      </c>
      <c r="E41" s="63">
        <v>11812.25</v>
      </c>
      <c r="F41" s="10">
        <f t="shared" si="1"/>
        <v>0</v>
      </c>
      <c r="G41" s="10">
        <v>0</v>
      </c>
      <c r="H41" s="10"/>
      <c r="I41" s="10">
        <f t="shared" si="4"/>
        <v>0</v>
      </c>
      <c r="J41" s="10"/>
      <c r="K41" s="62" t="s">
        <v>6</v>
      </c>
      <c r="L41" s="10">
        <f t="shared" si="3"/>
        <v>0</v>
      </c>
      <c r="M41" s="81">
        <v>6</v>
      </c>
    </row>
    <row r="42" spans="1:13" ht="16.5" customHeight="1" x14ac:dyDescent="0.5">
      <c r="A42" s="74">
        <v>1.35</v>
      </c>
      <c r="B42" s="60" t="s">
        <v>99</v>
      </c>
      <c r="C42" s="61">
        <f t="shared" si="0"/>
        <v>0</v>
      </c>
      <c r="D42" s="62" t="s">
        <v>6</v>
      </c>
      <c r="E42" s="63">
        <v>11980</v>
      </c>
      <c r="F42" s="10">
        <f t="shared" si="1"/>
        <v>0</v>
      </c>
      <c r="G42" s="10">
        <v>0</v>
      </c>
      <c r="H42" s="10"/>
      <c r="I42" s="10">
        <f t="shared" si="4"/>
        <v>0</v>
      </c>
      <c r="J42" s="10"/>
      <c r="K42" s="62" t="s">
        <v>6</v>
      </c>
      <c r="L42" s="10">
        <f t="shared" si="3"/>
        <v>0</v>
      </c>
      <c r="M42" s="81">
        <v>5</v>
      </c>
    </row>
    <row r="43" spans="1:13" ht="16.5" customHeight="1" x14ac:dyDescent="0.5">
      <c r="A43" s="75">
        <v>1.36</v>
      </c>
      <c r="B43" s="60" t="s">
        <v>100</v>
      </c>
      <c r="C43" s="61">
        <f t="shared" si="0"/>
        <v>0</v>
      </c>
      <c r="D43" s="62" t="s">
        <v>8</v>
      </c>
      <c r="E43" s="63">
        <v>1514.45</v>
      </c>
      <c r="F43" s="10">
        <f t="shared" si="1"/>
        <v>0</v>
      </c>
      <c r="G43" s="10">
        <v>0</v>
      </c>
      <c r="H43" s="10"/>
      <c r="I43" s="10">
        <f t="shared" si="4"/>
        <v>0</v>
      </c>
      <c r="J43" s="10"/>
      <c r="K43" s="62" t="s">
        <v>8</v>
      </c>
      <c r="L43" s="10">
        <f t="shared" si="3"/>
        <v>0</v>
      </c>
      <c r="M43" s="85">
        <v>3</v>
      </c>
    </row>
    <row r="44" spans="1:13" ht="16.5" customHeight="1" x14ac:dyDescent="0.5">
      <c r="A44" s="74">
        <v>1.37</v>
      </c>
      <c r="B44" s="60" t="s">
        <v>187</v>
      </c>
      <c r="C44" s="61">
        <f t="shared" si="0"/>
        <v>0</v>
      </c>
      <c r="D44" s="62" t="s">
        <v>8</v>
      </c>
      <c r="E44" s="63">
        <v>8106</v>
      </c>
      <c r="F44" s="10">
        <f t="shared" si="1"/>
        <v>0</v>
      </c>
      <c r="G44" s="10">
        <v>0</v>
      </c>
      <c r="H44" s="10"/>
      <c r="I44" s="10">
        <f t="shared" si="4"/>
        <v>0</v>
      </c>
      <c r="J44" s="10"/>
      <c r="K44" s="62" t="s">
        <v>8</v>
      </c>
      <c r="L44" s="10">
        <f t="shared" si="3"/>
        <v>0</v>
      </c>
      <c r="M44" s="81">
        <v>1.2</v>
      </c>
    </row>
    <row r="45" spans="1:13" ht="16.5" customHeight="1" x14ac:dyDescent="0.5">
      <c r="A45" s="74">
        <v>1.38</v>
      </c>
      <c r="B45" s="60" t="s">
        <v>102</v>
      </c>
      <c r="C45" s="61">
        <f t="shared" si="0"/>
        <v>0</v>
      </c>
      <c r="D45" s="62" t="s">
        <v>9</v>
      </c>
      <c r="E45" s="68">
        <v>114.95</v>
      </c>
      <c r="F45" s="10">
        <f t="shared" si="1"/>
        <v>0</v>
      </c>
      <c r="G45" s="10">
        <v>0</v>
      </c>
      <c r="H45" s="10"/>
      <c r="I45" s="10">
        <f t="shared" si="4"/>
        <v>0</v>
      </c>
      <c r="J45" s="10"/>
      <c r="K45" s="62" t="s">
        <v>9</v>
      </c>
      <c r="L45" s="10">
        <f t="shared" si="3"/>
        <v>0</v>
      </c>
      <c r="M45" s="81">
        <v>100</v>
      </c>
    </row>
    <row r="46" spans="1:13" ht="16.5" customHeight="1" x14ac:dyDescent="0.5">
      <c r="A46" s="74">
        <v>1.39</v>
      </c>
      <c r="B46" s="60" t="s">
        <v>103</v>
      </c>
      <c r="C46" s="61">
        <f t="shared" si="0"/>
        <v>0</v>
      </c>
      <c r="D46" s="62" t="s">
        <v>79</v>
      </c>
      <c r="E46" s="63">
        <v>3325</v>
      </c>
      <c r="F46" s="10">
        <f t="shared" si="1"/>
        <v>0</v>
      </c>
      <c r="G46" s="10">
        <v>0</v>
      </c>
      <c r="H46" s="10"/>
      <c r="I46" s="10">
        <f t="shared" si="4"/>
        <v>0</v>
      </c>
      <c r="J46" s="10"/>
      <c r="K46" s="62" t="s">
        <v>79</v>
      </c>
      <c r="L46" s="10">
        <f t="shared" si="3"/>
        <v>0</v>
      </c>
      <c r="M46" s="81">
        <v>5</v>
      </c>
    </row>
    <row r="47" spans="1:13" ht="16.5" customHeight="1" x14ac:dyDescent="0.5">
      <c r="A47" s="74">
        <v>1.4</v>
      </c>
      <c r="B47" s="60" t="s">
        <v>104</v>
      </c>
      <c r="C47" s="61">
        <f t="shared" si="0"/>
        <v>0</v>
      </c>
      <c r="D47" s="62" t="s">
        <v>79</v>
      </c>
      <c r="E47" s="63">
        <v>7546.3</v>
      </c>
      <c r="F47" s="10">
        <f t="shared" si="1"/>
        <v>0</v>
      </c>
      <c r="G47" s="10">
        <v>0</v>
      </c>
      <c r="H47" s="10"/>
      <c r="I47" s="10">
        <f t="shared" si="4"/>
        <v>0</v>
      </c>
      <c r="J47" s="10"/>
      <c r="K47" s="62" t="s">
        <v>79</v>
      </c>
      <c r="L47" s="10">
        <f t="shared" si="3"/>
        <v>0</v>
      </c>
      <c r="M47" s="81">
        <v>3</v>
      </c>
    </row>
    <row r="48" spans="1:13" ht="16.5" customHeight="1" x14ac:dyDescent="0.5">
      <c r="A48" s="74">
        <v>1.41</v>
      </c>
      <c r="B48" s="60" t="s">
        <v>105</v>
      </c>
      <c r="C48" s="61">
        <f t="shared" si="0"/>
        <v>0</v>
      </c>
      <c r="D48" s="62" t="s">
        <v>8</v>
      </c>
      <c r="E48" s="63">
        <v>1191.7</v>
      </c>
      <c r="F48" s="10">
        <f t="shared" si="1"/>
        <v>0</v>
      </c>
      <c r="G48" s="10">
        <v>0</v>
      </c>
      <c r="H48" s="10"/>
      <c r="I48" s="10">
        <f t="shared" si="4"/>
        <v>0</v>
      </c>
      <c r="J48" s="10"/>
      <c r="K48" s="62" t="s">
        <v>8</v>
      </c>
      <c r="L48" s="10">
        <f t="shared" si="3"/>
        <v>0</v>
      </c>
      <c r="M48" s="81">
        <v>16</v>
      </c>
    </row>
    <row r="49" spans="1:13" ht="16.5" customHeight="1" x14ac:dyDescent="0.5">
      <c r="A49" s="74">
        <v>1.42</v>
      </c>
      <c r="B49" s="60" t="s">
        <v>106</v>
      </c>
      <c r="C49" s="61">
        <f t="shared" si="0"/>
        <v>0</v>
      </c>
      <c r="D49" s="62" t="s">
        <v>8</v>
      </c>
      <c r="E49" s="63">
        <v>1401</v>
      </c>
      <c r="F49" s="10">
        <f t="shared" si="1"/>
        <v>0</v>
      </c>
      <c r="G49" s="10">
        <v>0</v>
      </c>
      <c r="H49" s="10"/>
      <c r="I49" s="10">
        <f t="shared" si="4"/>
        <v>0</v>
      </c>
      <c r="J49" s="10"/>
      <c r="K49" s="62" t="s">
        <v>8</v>
      </c>
      <c r="L49" s="10">
        <f t="shared" si="3"/>
        <v>0</v>
      </c>
      <c r="M49" s="81">
        <v>65</v>
      </c>
    </row>
    <row r="50" spans="1:13" ht="16.5" customHeight="1" x14ac:dyDescent="0.5">
      <c r="A50" s="74">
        <v>1.43</v>
      </c>
      <c r="B50" s="60" t="s">
        <v>107</v>
      </c>
      <c r="C50" s="61">
        <f t="shared" si="0"/>
        <v>0</v>
      </c>
      <c r="D50" s="62" t="s">
        <v>6</v>
      </c>
      <c r="E50" s="63">
        <v>6904.1</v>
      </c>
      <c r="F50" s="10">
        <f t="shared" si="1"/>
        <v>0</v>
      </c>
      <c r="G50" s="10">
        <v>0</v>
      </c>
      <c r="H50" s="10"/>
      <c r="I50" s="10">
        <f t="shared" si="4"/>
        <v>0</v>
      </c>
      <c r="J50" s="10"/>
      <c r="K50" s="62" t="s">
        <v>6</v>
      </c>
      <c r="L50" s="10">
        <f t="shared" si="3"/>
        <v>0</v>
      </c>
      <c r="M50" s="81">
        <v>1.5</v>
      </c>
    </row>
    <row r="51" spans="1:13" ht="16.5" customHeight="1" x14ac:dyDescent="0.5">
      <c r="A51" s="74">
        <v>1.44</v>
      </c>
      <c r="B51" s="60" t="s">
        <v>108</v>
      </c>
      <c r="C51" s="61">
        <f t="shared" si="0"/>
        <v>0</v>
      </c>
      <c r="D51" s="62" t="s">
        <v>8</v>
      </c>
      <c r="E51" s="63">
        <v>1562.75</v>
      </c>
      <c r="F51" s="10">
        <f t="shared" si="1"/>
        <v>0</v>
      </c>
      <c r="G51" s="10">
        <v>0</v>
      </c>
      <c r="H51" s="10"/>
      <c r="I51" s="10">
        <f t="shared" si="4"/>
        <v>0</v>
      </c>
      <c r="J51" s="10"/>
      <c r="K51" s="62" t="s">
        <v>8</v>
      </c>
      <c r="L51" s="10">
        <f t="shared" si="3"/>
        <v>0</v>
      </c>
      <c r="M51" s="81">
        <v>21</v>
      </c>
    </row>
    <row r="52" spans="1:13" ht="16.5" customHeight="1" x14ac:dyDescent="0.5">
      <c r="A52" s="74">
        <v>1.45</v>
      </c>
      <c r="B52" s="60" t="s">
        <v>109</v>
      </c>
      <c r="C52" s="61">
        <f t="shared" si="0"/>
        <v>0</v>
      </c>
      <c r="D52" s="62" t="s">
        <v>8</v>
      </c>
      <c r="E52" s="63">
        <v>174.65</v>
      </c>
      <c r="F52" s="10">
        <f t="shared" si="1"/>
        <v>0</v>
      </c>
      <c r="G52" s="10">
        <v>0</v>
      </c>
      <c r="H52" s="10"/>
      <c r="I52" s="10">
        <f t="shared" si="4"/>
        <v>0</v>
      </c>
      <c r="J52" s="10"/>
      <c r="K52" s="62" t="s">
        <v>8</v>
      </c>
      <c r="L52" s="10">
        <f t="shared" si="3"/>
        <v>0</v>
      </c>
      <c r="M52" s="81">
        <v>10</v>
      </c>
    </row>
    <row r="53" spans="1:13" ht="16.5" customHeight="1" x14ac:dyDescent="0.5">
      <c r="A53" s="75">
        <v>1.46</v>
      </c>
      <c r="B53" s="60" t="s">
        <v>110</v>
      </c>
      <c r="C53" s="61">
        <f t="shared" si="0"/>
        <v>0</v>
      </c>
      <c r="D53" s="62" t="s">
        <v>79</v>
      </c>
      <c r="E53" s="63">
        <v>2903</v>
      </c>
      <c r="F53" s="10">
        <f t="shared" si="1"/>
        <v>0</v>
      </c>
      <c r="G53" s="10">
        <v>0</v>
      </c>
      <c r="H53" s="10"/>
      <c r="I53" s="10">
        <f t="shared" si="4"/>
        <v>0</v>
      </c>
      <c r="J53" s="10"/>
      <c r="K53" s="62" t="s">
        <v>79</v>
      </c>
      <c r="L53" s="10">
        <f t="shared" si="3"/>
        <v>0</v>
      </c>
      <c r="M53" s="85">
        <v>2</v>
      </c>
    </row>
    <row r="54" spans="1:13" ht="16.5" customHeight="1" x14ac:dyDescent="0.5">
      <c r="A54" s="74">
        <v>1.47</v>
      </c>
      <c r="B54" s="60" t="s">
        <v>111</v>
      </c>
      <c r="C54" s="61">
        <f t="shared" si="0"/>
        <v>0</v>
      </c>
      <c r="D54" s="62" t="s">
        <v>79</v>
      </c>
      <c r="E54" s="63">
        <v>837</v>
      </c>
      <c r="F54" s="10">
        <f t="shared" si="1"/>
        <v>0</v>
      </c>
      <c r="G54" s="10">
        <v>0</v>
      </c>
      <c r="H54" s="10"/>
      <c r="I54" s="10">
        <f t="shared" si="4"/>
        <v>0</v>
      </c>
      <c r="J54" s="10"/>
      <c r="K54" s="62" t="s">
        <v>79</v>
      </c>
      <c r="L54" s="10">
        <f t="shared" si="3"/>
        <v>0</v>
      </c>
      <c r="M54" s="81">
        <v>4</v>
      </c>
    </row>
    <row r="55" spans="1:13" ht="16.5" customHeight="1" x14ac:dyDescent="0.5">
      <c r="A55" s="74">
        <v>1.48</v>
      </c>
      <c r="B55" s="60" t="s">
        <v>112</v>
      </c>
      <c r="C55" s="61">
        <f t="shared" si="0"/>
        <v>0</v>
      </c>
      <c r="D55" s="62" t="s">
        <v>79</v>
      </c>
      <c r="E55" s="68">
        <v>6352</v>
      </c>
      <c r="F55" s="10">
        <f t="shared" si="1"/>
        <v>0</v>
      </c>
      <c r="G55" s="10">
        <v>0</v>
      </c>
      <c r="H55" s="10"/>
      <c r="I55" s="10">
        <f t="shared" si="4"/>
        <v>0</v>
      </c>
      <c r="J55" s="10"/>
      <c r="K55" s="62" t="s">
        <v>79</v>
      </c>
      <c r="L55" s="10">
        <f t="shared" si="3"/>
        <v>0</v>
      </c>
      <c r="M55" s="81">
        <v>4</v>
      </c>
    </row>
    <row r="56" spans="1:13" ht="16.5" customHeight="1" x14ac:dyDescent="0.5">
      <c r="A56" s="74">
        <v>1.49</v>
      </c>
      <c r="B56" s="60" t="s">
        <v>113</v>
      </c>
      <c r="C56" s="61">
        <f t="shared" si="0"/>
        <v>0</v>
      </c>
      <c r="D56" s="62" t="s">
        <v>7</v>
      </c>
      <c r="E56" s="63">
        <v>350.8</v>
      </c>
      <c r="F56" s="10">
        <f t="shared" si="1"/>
        <v>0</v>
      </c>
      <c r="G56" s="10">
        <v>0</v>
      </c>
      <c r="H56" s="10"/>
      <c r="I56" s="10">
        <f t="shared" si="4"/>
        <v>0</v>
      </c>
      <c r="J56" s="10"/>
      <c r="K56" s="62" t="s">
        <v>7</v>
      </c>
      <c r="L56" s="10">
        <f t="shared" si="3"/>
        <v>0</v>
      </c>
      <c r="M56" s="81">
        <v>50</v>
      </c>
    </row>
    <row r="57" spans="1:13" ht="16.5" customHeight="1" x14ac:dyDescent="0.5">
      <c r="A57" s="74">
        <v>1.5</v>
      </c>
      <c r="B57" s="60" t="s">
        <v>114</v>
      </c>
      <c r="C57" s="61">
        <f t="shared" si="0"/>
        <v>0</v>
      </c>
      <c r="D57" s="62" t="s">
        <v>7</v>
      </c>
      <c r="E57" s="63">
        <v>238.8</v>
      </c>
      <c r="F57" s="10">
        <f t="shared" si="1"/>
        <v>0</v>
      </c>
      <c r="G57" s="10">
        <v>0</v>
      </c>
      <c r="H57" s="10"/>
      <c r="I57" s="10">
        <f t="shared" si="4"/>
        <v>0</v>
      </c>
      <c r="J57" s="10"/>
      <c r="K57" s="62" t="s">
        <v>7</v>
      </c>
      <c r="L57" s="10">
        <f t="shared" si="3"/>
        <v>0</v>
      </c>
      <c r="M57" s="81">
        <v>25</v>
      </c>
    </row>
    <row r="58" spans="1:13" ht="16.5" customHeight="1" x14ac:dyDescent="0.5">
      <c r="A58" s="74">
        <v>1.51</v>
      </c>
      <c r="B58" s="60" t="s">
        <v>115</v>
      </c>
      <c r="C58" s="61">
        <f t="shared" si="0"/>
        <v>0</v>
      </c>
      <c r="D58" s="62" t="s">
        <v>7</v>
      </c>
      <c r="E58" s="63">
        <v>552</v>
      </c>
      <c r="F58" s="10">
        <f t="shared" si="1"/>
        <v>0</v>
      </c>
      <c r="G58" s="10">
        <v>0</v>
      </c>
      <c r="H58" s="10"/>
      <c r="I58" s="10">
        <f t="shared" si="4"/>
        <v>0</v>
      </c>
      <c r="J58" s="10"/>
      <c r="K58" s="62" t="s">
        <v>7</v>
      </c>
      <c r="L58" s="10">
        <f t="shared" si="3"/>
        <v>0</v>
      </c>
      <c r="M58" s="81">
        <v>20</v>
      </c>
    </row>
    <row r="59" spans="1:13" ht="16.5" customHeight="1" x14ac:dyDescent="0.5">
      <c r="A59" s="74">
        <v>1.52</v>
      </c>
      <c r="B59" s="60" t="s">
        <v>116</v>
      </c>
      <c r="C59" s="61">
        <f t="shared" si="0"/>
        <v>0</v>
      </c>
      <c r="D59" s="62" t="s">
        <v>79</v>
      </c>
      <c r="E59" s="63">
        <v>10050</v>
      </c>
      <c r="F59" s="10">
        <f t="shared" si="1"/>
        <v>0</v>
      </c>
      <c r="G59" s="10">
        <v>0</v>
      </c>
      <c r="H59" s="10"/>
      <c r="I59" s="10">
        <f t="shared" si="4"/>
        <v>0</v>
      </c>
      <c r="J59" s="10"/>
      <c r="K59" s="62" t="s">
        <v>79</v>
      </c>
      <c r="L59" s="10">
        <f t="shared" si="3"/>
        <v>0</v>
      </c>
      <c r="M59" s="81">
        <v>1</v>
      </c>
    </row>
    <row r="60" spans="1:13" ht="16.5" customHeight="1" x14ac:dyDescent="0.5">
      <c r="A60" s="74">
        <v>1.53</v>
      </c>
      <c r="B60" s="60" t="s">
        <v>117</v>
      </c>
      <c r="C60" s="61">
        <f t="shared" si="0"/>
        <v>0</v>
      </c>
      <c r="D60" s="62" t="s">
        <v>79</v>
      </c>
      <c r="E60" s="63">
        <v>4636</v>
      </c>
      <c r="F60" s="10">
        <f t="shared" si="1"/>
        <v>0</v>
      </c>
      <c r="G60" s="10">
        <v>0</v>
      </c>
      <c r="H60" s="10"/>
      <c r="I60" s="10">
        <f t="shared" si="4"/>
        <v>0</v>
      </c>
      <c r="J60" s="10"/>
      <c r="K60" s="62" t="s">
        <v>79</v>
      </c>
      <c r="L60" s="10">
        <f t="shared" si="3"/>
        <v>0</v>
      </c>
      <c r="M60" s="81">
        <v>2</v>
      </c>
    </row>
    <row r="61" spans="1:13" ht="16.5" customHeight="1" x14ac:dyDescent="0.5">
      <c r="A61" s="74">
        <v>1.54</v>
      </c>
      <c r="B61" s="60" t="s">
        <v>118</v>
      </c>
      <c r="C61" s="61">
        <f t="shared" si="0"/>
        <v>0</v>
      </c>
      <c r="D61" s="62" t="s">
        <v>7</v>
      </c>
      <c r="E61" s="63">
        <v>638.70000000000005</v>
      </c>
      <c r="F61" s="10">
        <f t="shared" si="1"/>
        <v>0</v>
      </c>
      <c r="G61" s="10">
        <v>0</v>
      </c>
      <c r="H61" s="10"/>
      <c r="I61" s="10">
        <f t="shared" si="4"/>
        <v>0</v>
      </c>
      <c r="J61" s="10"/>
      <c r="K61" s="62" t="s">
        <v>7</v>
      </c>
      <c r="L61" s="10">
        <f t="shared" si="3"/>
        <v>0</v>
      </c>
      <c r="M61" s="81">
        <v>5</v>
      </c>
    </row>
    <row r="62" spans="1:13" ht="16.5" customHeight="1" x14ac:dyDescent="0.5">
      <c r="A62" s="74">
        <v>1.55</v>
      </c>
      <c r="B62" s="60" t="s">
        <v>119</v>
      </c>
      <c r="C62" s="61">
        <f t="shared" si="0"/>
        <v>0</v>
      </c>
      <c r="D62" s="62" t="s">
        <v>7</v>
      </c>
      <c r="E62" s="63">
        <v>859.7</v>
      </c>
      <c r="F62" s="10">
        <f t="shared" si="1"/>
        <v>0</v>
      </c>
      <c r="G62" s="10">
        <v>0</v>
      </c>
      <c r="H62" s="10"/>
      <c r="I62" s="10">
        <f t="shared" si="4"/>
        <v>0</v>
      </c>
      <c r="J62" s="10"/>
      <c r="K62" s="62" t="s">
        <v>7</v>
      </c>
      <c r="L62" s="10">
        <f t="shared" si="3"/>
        <v>0</v>
      </c>
      <c r="M62" s="81">
        <v>3.5</v>
      </c>
    </row>
    <row r="63" spans="1:13" ht="16.5" customHeight="1" x14ac:dyDescent="0.45">
      <c r="A63" s="48"/>
      <c r="B63" s="278" t="s">
        <v>10</v>
      </c>
      <c r="C63" s="278"/>
      <c r="D63" s="278"/>
      <c r="E63" s="278"/>
      <c r="F63" s="80">
        <f>SUM(F8:F62)</f>
        <v>27330085.235814698</v>
      </c>
      <c r="G63" s="13"/>
      <c r="H63" s="13"/>
      <c r="I63" s="80">
        <f>SUM(I8:I62)</f>
        <v>9005504.466</v>
      </c>
      <c r="J63" s="10"/>
      <c r="K63" s="13"/>
      <c r="L63" s="80">
        <f>SUM(L8:L62)</f>
        <v>18324580.7698147</v>
      </c>
      <c r="M63" s="47"/>
    </row>
    <row r="64" spans="1:13" ht="16.5" customHeight="1" x14ac:dyDescent="0.45">
      <c r="A64" s="48"/>
      <c r="B64" s="278" t="s">
        <v>42</v>
      </c>
      <c r="C64" s="278"/>
      <c r="D64" s="278"/>
      <c r="E64" s="278"/>
      <c r="F64" s="34">
        <f>F63*0.18</f>
        <v>4919415.3424466457</v>
      </c>
      <c r="G64" s="13"/>
      <c r="H64" s="13"/>
      <c r="I64" s="34">
        <f>I63*0.18</f>
        <v>1620990.80388</v>
      </c>
      <c r="J64" s="10"/>
      <c r="K64" s="13"/>
      <c r="L64" s="34">
        <f>L63*0.18</f>
        <v>3298424.5385666457</v>
      </c>
      <c r="M64" s="47"/>
    </row>
    <row r="65" spans="1:17" ht="16.5" customHeight="1" thickBot="1" x14ac:dyDescent="0.5">
      <c r="A65" s="49"/>
      <c r="B65" s="279" t="s">
        <v>120</v>
      </c>
      <c r="C65" s="279"/>
      <c r="D65" s="279"/>
      <c r="E65" s="279"/>
      <c r="F65" s="78">
        <f>F63+F64</f>
        <v>32249500.578261346</v>
      </c>
      <c r="G65" s="51"/>
      <c r="H65" s="51"/>
      <c r="I65" s="78">
        <f>I63+I64</f>
        <v>10626495.269880001</v>
      </c>
      <c r="J65" s="50"/>
      <c r="K65" s="51"/>
      <c r="L65" s="78">
        <f>L63+L64</f>
        <v>21623005.308381345</v>
      </c>
      <c r="M65" s="52"/>
    </row>
    <row r="67" spans="1:17" s="136" customFormat="1" ht="15.4" x14ac:dyDescent="0.45">
      <c r="B67" s="136" t="s">
        <v>221</v>
      </c>
      <c r="I67" s="137"/>
      <c r="J67" s="138"/>
      <c r="L67" s="137"/>
      <c r="Q67" s="139"/>
    </row>
    <row r="68" spans="1:17" s="136" customFormat="1" ht="15.4" x14ac:dyDescent="0.45">
      <c r="A68" s="136">
        <v>1</v>
      </c>
      <c r="B68" s="136" t="s">
        <v>439</v>
      </c>
      <c r="I68" s="137"/>
      <c r="J68" s="138"/>
      <c r="L68" s="137"/>
      <c r="Q68" s="139"/>
    </row>
    <row r="69" spans="1:17" s="136" customFormat="1" ht="15.4" x14ac:dyDescent="0.45">
      <c r="A69" s="136">
        <f>A68+1</f>
        <v>2</v>
      </c>
      <c r="B69" s="136" t="s">
        <v>222</v>
      </c>
      <c r="I69" s="137"/>
      <c r="J69" s="138"/>
      <c r="L69" s="137"/>
      <c r="Q69" s="139"/>
    </row>
    <row r="70" spans="1:17" s="136" customFormat="1" ht="15.4" x14ac:dyDescent="0.45">
      <c r="A70" s="136">
        <f>A69+1</f>
        <v>3</v>
      </c>
      <c r="B70" s="136" t="s">
        <v>223</v>
      </c>
      <c r="J70" s="139"/>
      <c r="L70" s="139"/>
      <c r="Q70" s="139"/>
    </row>
    <row r="71" spans="1:17" s="136" customFormat="1" ht="15.4" x14ac:dyDescent="0.45">
      <c r="A71" s="136">
        <f>A70+1</f>
        <v>4</v>
      </c>
      <c r="B71" s="136" t="s">
        <v>224</v>
      </c>
      <c r="J71" s="139"/>
      <c r="L71" s="139"/>
      <c r="Q71" s="139"/>
    </row>
    <row r="72" spans="1:17" s="136" customFormat="1" ht="15.4" x14ac:dyDescent="0.45">
      <c r="A72" s="140"/>
      <c r="B72" s="140"/>
      <c r="C72" s="140"/>
      <c r="D72" s="140"/>
      <c r="E72" s="140"/>
      <c r="F72" s="140"/>
      <c r="G72" s="140"/>
      <c r="J72" s="139"/>
      <c r="L72" s="139"/>
      <c r="Q72" s="139"/>
    </row>
    <row r="73" spans="1:17" s="136" customFormat="1" ht="15.4" x14ac:dyDescent="0.45">
      <c r="A73" s="140"/>
      <c r="B73" s="140"/>
      <c r="C73" s="140"/>
      <c r="D73" s="140"/>
      <c r="E73" s="140"/>
      <c r="F73" s="140"/>
      <c r="G73" s="140"/>
      <c r="J73" s="139"/>
      <c r="L73" s="139"/>
      <c r="Q73" s="139"/>
    </row>
    <row r="74" spans="1:17" s="136" customFormat="1" ht="57" customHeight="1" x14ac:dyDescent="0.45">
      <c r="A74" s="140"/>
      <c r="B74" s="140"/>
      <c r="C74" s="140"/>
      <c r="D74" s="140"/>
      <c r="E74" s="140"/>
      <c r="F74" s="140"/>
      <c r="G74" s="140"/>
      <c r="J74" s="139"/>
      <c r="L74" s="139"/>
      <c r="Q74" s="139"/>
    </row>
    <row r="75" spans="1:17" s="136" customFormat="1" ht="15.4" x14ac:dyDescent="0.4">
      <c r="A75" s="141"/>
      <c r="B75" s="142" t="s">
        <v>225</v>
      </c>
      <c r="C75" s="143"/>
      <c r="D75" s="143"/>
      <c r="E75" s="277" t="s">
        <v>226</v>
      </c>
      <c r="F75" s="277"/>
      <c r="G75" s="143"/>
      <c r="H75" s="144"/>
      <c r="I75" s="144"/>
      <c r="J75" s="143"/>
      <c r="K75" s="277" t="s">
        <v>227</v>
      </c>
      <c r="L75" s="277"/>
      <c r="M75" s="144"/>
      <c r="N75" s="145"/>
      <c r="Q75" s="139"/>
    </row>
    <row r="76" spans="1:17" s="136" customFormat="1" ht="15.4" x14ac:dyDescent="0.4">
      <c r="A76" s="141"/>
      <c r="B76" s="142" t="s">
        <v>210</v>
      </c>
      <c r="C76" s="143"/>
      <c r="D76" s="143"/>
      <c r="E76" s="277" t="s">
        <v>210</v>
      </c>
      <c r="F76" s="277"/>
      <c r="G76" s="143"/>
      <c r="H76" s="144"/>
      <c r="I76" s="144"/>
      <c r="J76" s="143"/>
      <c r="K76" s="277" t="s">
        <v>228</v>
      </c>
      <c r="L76" s="277"/>
      <c r="M76" s="144"/>
      <c r="N76" s="145"/>
      <c r="Q76" s="139"/>
    </row>
  </sheetData>
  <mergeCells count="2542">
    <mergeCell ref="E75:F75"/>
    <mergeCell ref="K75:L75"/>
    <mergeCell ref="E76:F76"/>
    <mergeCell ref="K76:L76"/>
    <mergeCell ref="A1:M1"/>
    <mergeCell ref="A2:M2"/>
    <mergeCell ref="N2:Z2"/>
    <mergeCell ref="AA2:AM2"/>
    <mergeCell ref="AN2:AZ2"/>
    <mergeCell ref="BA2:BM2"/>
    <mergeCell ref="HN2:HZ2"/>
    <mergeCell ref="IA2:IM2"/>
    <mergeCell ref="IN2:IZ2"/>
    <mergeCell ref="JA2:JM2"/>
    <mergeCell ref="JN2:JZ2"/>
    <mergeCell ref="KA2:KM2"/>
    <mergeCell ref="EN2:EZ2"/>
    <mergeCell ref="FA2:FM2"/>
    <mergeCell ref="FN2:FZ2"/>
    <mergeCell ref="GA2:GM2"/>
    <mergeCell ref="GN2:GZ2"/>
    <mergeCell ref="HA2:HM2"/>
    <mergeCell ref="BN2:BZ2"/>
    <mergeCell ref="CA2:CM2"/>
    <mergeCell ref="CN2:CZ2"/>
    <mergeCell ref="DA2:DM2"/>
    <mergeCell ref="DN2:DZ2"/>
    <mergeCell ref="EA2:EM2"/>
    <mergeCell ref="EN4:EZ4"/>
    <mergeCell ref="FA4:FM4"/>
    <mergeCell ref="FN4:FZ4"/>
    <mergeCell ref="GA4:GM4"/>
    <mergeCell ref="QN2:QZ2"/>
    <mergeCell ref="RA2:RM2"/>
    <mergeCell ref="RN2:RZ2"/>
    <mergeCell ref="SA2:SM2"/>
    <mergeCell ref="SN2:SZ2"/>
    <mergeCell ref="TA2:TM2"/>
    <mergeCell ref="NN2:NZ2"/>
    <mergeCell ref="OA2:OM2"/>
    <mergeCell ref="ON2:OZ2"/>
    <mergeCell ref="PA2:PM2"/>
    <mergeCell ref="PN2:PZ2"/>
    <mergeCell ref="QA2:QM2"/>
    <mergeCell ref="KN2:KZ2"/>
    <mergeCell ref="LA2:LM2"/>
    <mergeCell ref="LN2:LZ2"/>
    <mergeCell ref="MA2:MM2"/>
    <mergeCell ref="MN2:MZ2"/>
    <mergeCell ref="NA2:NM2"/>
    <mergeCell ref="ZN2:ZZ2"/>
    <mergeCell ref="AAA2:AAM2"/>
    <mergeCell ref="AAN2:AAZ2"/>
    <mergeCell ref="ABA2:ABM2"/>
    <mergeCell ref="ABN2:ABZ2"/>
    <mergeCell ref="ACA2:ACM2"/>
    <mergeCell ref="WN2:WZ2"/>
    <mergeCell ref="XA2:XM2"/>
    <mergeCell ref="XN2:XZ2"/>
    <mergeCell ref="YA2:YM2"/>
    <mergeCell ref="YN2:YZ2"/>
    <mergeCell ref="ZA2:ZM2"/>
    <mergeCell ref="TN2:TZ2"/>
    <mergeCell ref="UA2:UM2"/>
    <mergeCell ref="UN2:UZ2"/>
    <mergeCell ref="VA2:VM2"/>
    <mergeCell ref="VN2:VZ2"/>
    <mergeCell ref="WA2:WM2"/>
    <mergeCell ref="AIN2:AIZ2"/>
    <mergeCell ref="AJA2:AJM2"/>
    <mergeCell ref="AJN2:AJZ2"/>
    <mergeCell ref="AKA2:AKM2"/>
    <mergeCell ref="AKN2:AKZ2"/>
    <mergeCell ref="ALA2:ALM2"/>
    <mergeCell ref="AFN2:AFZ2"/>
    <mergeCell ref="AGA2:AGM2"/>
    <mergeCell ref="AGN2:AGZ2"/>
    <mergeCell ref="AHA2:AHM2"/>
    <mergeCell ref="AHN2:AHZ2"/>
    <mergeCell ref="AIA2:AIM2"/>
    <mergeCell ref="ACN2:ACZ2"/>
    <mergeCell ref="ADA2:ADM2"/>
    <mergeCell ref="ADN2:ADZ2"/>
    <mergeCell ref="AEA2:AEM2"/>
    <mergeCell ref="AEN2:AEZ2"/>
    <mergeCell ref="AFA2:AFM2"/>
    <mergeCell ref="ARN2:ARZ2"/>
    <mergeCell ref="ASA2:ASM2"/>
    <mergeCell ref="ASN2:ASZ2"/>
    <mergeCell ref="ATA2:ATM2"/>
    <mergeCell ref="ATN2:ATZ2"/>
    <mergeCell ref="AUA2:AUM2"/>
    <mergeCell ref="AON2:AOZ2"/>
    <mergeCell ref="APA2:APM2"/>
    <mergeCell ref="APN2:APZ2"/>
    <mergeCell ref="AQA2:AQM2"/>
    <mergeCell ref="AQN2:AQZ2"/>
    <mergeCell ref="ARA2:ARM2"/>
    <mergeCell ref="ALN2:ALZ2"/>
    <mergeCell ref="AMA2:AMM2"/>
    <mergeCell ref="AMN2:AMZ2"/>
    <mergeCell ref="ANA2:ANM2"/>
    <mergeCell ref="ANN2:ANZ2"/>
    <mergeCell ref="AOA2:AOM2"/>
    <mergeCell ref="BAN2:BAZ2"/>
    <mergeCell ref="BBA2:BBM2"/>
    <mergeCell ref="BBN2:BBZ2"/>
    <mergeCell ref="BCA2:BCM2"/>
    <mergeCell ref="BCN2:BCZ2"/>
    <mergeCell ref="BDA2:BDM2"/>
    <mergeCell ref="AXN2:AXZ2"/>
    <mergeCell ref="AYA2:AYM2"/>
    <mergeCell ref="AYN2:AYZ2"/>
    <mergeCell ref="AZA2:AZM2"/>
    <mergeCell ref="AZN2:AZZ2"/>
    <mergeCell ref="BAA2:BAM2"/>
    <mergeCell ref="AUN2:AUZ2"/>
    <mergeCell ref="AVA2:AVM2"/>
    <mergeCell ref="AVN2:AVZ2"/>
    <mergeCell ref="AWA2:AWM2"/>
    <mergeCell ref="AWN2:AWZ2"/>
    <mergeCell ref="AXA2:AXM2"/>
    <mergeCell ref="BJN2:BJZ2"/>
    <mergeCell ref="BKA2:BKM2"/>
    <mergeCell ref="BKN2:BKZ2"/>
    <mergeCell ref="BLA2:BLM2"/>
    <mergeCell ref="BLN2:BLZ2"/>
    <mergeCell ref="BMA2:BMM2"/>
    <mergeCell ref="BGN2:BGZ2"/>
    <mergeCell ref="BHA2:BHM2"/>
    <mergeCell ref="BHN2:BHZ2"/>
    <mergeCell ref="BIA2:BIM2"/>
    <mergeCell ref="BIN2:BIZ2"/>
    <mergeCell ref="BJA2:BJM2"/>
    <mergeCell ref="BDN2:BDZ2"/>
    <mergeCell ref="BEA2:BEM2"/>
    <mergeCell ref="BEN2:BEZ2"/>
    <mergeCell ref="BFA2:BFM2"/>
    <mergeCell ref="BFN2:BFZ2"/>
    <mergeCell ref="BGA2:BGM2"/>
    <mergeCell ref="BSN2:BSZ2"/>
    <mergeCell ref="BTA2:BTM2"/>
    <mergeCell ref="BTN2:BTZ2"/>
    <mergeCell ref="BUA2:BUM2"/>
    <mergeCell ref="BUN2:BUZ2"/>
    <mergeCell ref="BVA2:BVM2"/>
    <mergeCell ref="BPN2:BPZ2"/>
    <mergeCell ref="BQA2:BQM2"/>
    <mergeCell ref="BQN2:BQZ2"/>
    <mergeCell ref="BRA2:BRM2"/>
    <mergeCell ref="BRN2:BRZ2"/>
    <mergeCell ref="BSA2:BSM2"/>
    <mergeCell ref="BMN2:BMZ2"/>
    <mergeCell ref="BNA2:BNM2"/>
    <mergeCell ref="BNN2:BNZ2"/>
    <mergeCell ref="BOA2:BOM2"/>
    <mergeCell ref="BON2:BOZ2"/>
    <mergeCell ref="BPA2:BPM2"/>
    <mergeCell ref="CBN2:CBZ2"/>
    <mergeCell ref="CCA2:CCM2"/>
    <mergeCell ref="CCN2:CCZ2"/>
    <mergeCell ref="CDA2:CDM2"/>
    <mergeCell ref="CDN2:CDZ2"/>
    <mergeCell ref="CEA2:CEM2"/>
    <mergeCell ref="BYN2:BYZ2"/>
    <mergeCell ref="BZA2:BZM2"/>
    <mergeCell ref="BZN2:BZZ2"/>
    <mergeCell ref="CAA2:CAM2"/>
    <mergeCell ref="CAN2:CAZ2"/>
    <mergeCell ref="CBA2:CBM2"/>
    <mergeCell ref="BVN2:BVZ2"/>
    <mergeCell ref="BWA2:BWM2"/>
    <mergeCell ref="BWN2:BWZ2"/>
    <mergeCell ref="BXA2:BXM2"/>
    <mergeCell ref="BXN2:BXZ2"/>
    <mergeCell ref="BYA2:BYM2"/>
    <mergeCell ref="CKN2:CKZ2"/>
    <mergeCell ref="CLA2:CLM2"/>
    <mergeCell ref="CLN2:CLZ2"/>
    <mergeCell ref="CMA2:CMM2"/>
    <mergeCell ref="CMN2:CMZ2"/>
    <mergeCell ref="CNA2:CNM2"/>
    <mergeCell ref="CHN2:CHZ2"/>
    <mergeCell ref="CIA2:CIM2"/>
    <mergeCell ref="CIN2:CIZ2"/>
    <mergeCell ref="CJA2:CJM2"/>
    <mergeCell ref="CJN2:CJZ2"/>
    <mergeCell ref="CKA2:CKM2"/>
    <mergeCell ref="CEN2:CEZ2"/>
    <mergeCell ref="CFA2:CFM2"/>
    <mergeCell ref="CFN2:CFZ2"/>
    <mergeCell ref="CGA2:CGM2"/>
    <mergeCell ref="CGN2:CGZ2"/>
    <mergeCell ref="CHA2:CHM2"/>
    <mergeCell ref="CTN2:CTZ2"/>
    <mergeCell ref="CUA2:CUM2"/>
    <mergeCell ref="CUN2:CUZ2"/>
    <mergeCell ref="CVA2:CVM2"/>
    <mergeCell ref="CVN2:CVZ2"/>
    <mergeCell ref="CWA2:CWM2"/>
    <mergeCell ref="CQN2:CQZ2"/>
    <mergeCell ref="CRA2:CRM2"/>
    <mergeCell ref="CRN2:CRZ2"/>
    <mergeCell ref="CSA2:CSM2"/>
    <mergeCell ref="CSN2:CSZ2"/>
    <mergeCell ref="CTA2:CTM2"/>
    <mergeCell ref="CNN2:CNZ2"/>
    <mergeCell ref="COA2:COM2"/>
    <mergeCell ref="CON2:COZ2"/>
    <mergeCell ref="CPA2:CPM2"/>
    <mergeCell ref="CPN2:CPZ2"/>
    <mergeCell ref="CQA2:CQM2"/>
    <mergeCell ref="DCN2:DCZ2"/>
    <mergeCell ref="DDA2:DDM2"/>
    <mergeCell ref="DDN2:DDZ2"/>
    <mergeCell ref="DEA2:DEM2"/>
    <mergeCell ref="DEN2:DEZ2"/>
    <mergeCell ref="DFA2:DFM2"/>
    <mergeCell ref="CZN2:CZZ2"/>
    <mergeCell ref="DAA2:DAM2"/>
    <mergeCell ref="DAN2:DAZ2"/>
    <mergeCell ref="DBA2:DBM2"/>
    <mergeCell ref="DBN2:DBZ2"/>
    <mergeCell ref="DCA2:DCM2"/>
    <mergeCell ref="CWN2:CWZ2"/>
    <mergeCell ref="CXA2:CXM2"/>
    <mergeCell ref="CXN2:CXZ2"/>
    <mergeCell ref="CYA2:CYM2"/>
    <mergeCell ref="CYN2:CYZ2"/>
    <mergeCell ref="CZA2:CZM2"/>
    <mergeCell ref="DLN2:DLZ2"/>
    <mergeCell ref="DMA2:DMM2"/>
    <mergeCell ref="DMN2:DMZ2"/>
    <mergeCell ref="DNA2:DNM2"/>
    <mergeCell ref="DNN2:DNZ2"/>
    <mergeCell ref="DOA2:DOM2"/>
    <mergeCell ref="DIN2:DIZ2"/>
    <mergeCell ref="DJA2:DJM2"/>
    <mergeCell ref="DJN2:DJZ2"/>
    <mergeCell ref="DKA2:DKM2"/>
    <mergeCell ref="DKN2:DKZ2"/>
    <mergeCell ref="DLA2:DLM2"/>
    <mergeCell ref="DFN2:DFZ2"/>
    <mergeCell ref="DGA2:DGM2"/>
    <mergeCell ref="DGN2:DGZ2"/>
    <mergeCell ref="DHA2:DHM2"/>
    <mergeCell ref="DHN2:DHZ2"/>
    <mergeCell ref="DIA2:DIM2"/>
    <mergeCell ref="DUN2:DUZ2"/>
    <mergeCell ref="DVA2:DVM2"/>
    <mergeCell ref="DVN2:DVZ2"/>
    <mergeCell ref="DWA2:DWM2"/>
    <mergeCell ref="DWN2:DWZ2"/>
    <mergeCell ref="DXA2:DXM2"/>
    <mergeCell ref="DRN2:DRZ2"/>
    <mergeCell ref="DSA2:DSM2"/>
    <mergeCell ref="DSN2:DSZ2"/>
    <mergeCell ref="DTA2:DTM2"/>
    <mergeCell ref="DTN2:DTZ2"/>
    <mergeCell ref="DUA2:DUM2"/>
    <mergeCell ref="DON2:DOZ2"/>
    <mergeCell ref="DPA2:DPM2"/>
    <mergeCell ref="DPN2:DPZ2"/>
    <mergeCell ref="DQA2:DQM2"/>
    <mergeCell ref="DQN2:DQZ2"/>
    <mergeCell ref="DRA2:DRM2"/>
    <mergeCell ref="EDN2:EDZ2"/>
    <mergeCell ref="EEA2:EEM2"/>
    <mergeCell ref="EEN2:EEZ2"/>
    <mergeCell ref="EFA2:EFM2"/>
    <mergeCell ref="EFN2:EFZ2"/>
    <mergeCell ref="EGA2:EGM2"/>
    <mergeCell ref="EAN2:EAZ2"/>
    <mergeCell ref="EBA2:EBM2"/>
    <mergeCell ref="EBN2:EBZ2"/>
    <mergeCell ref="ECA2:ECM2"/>
    <mergeCell ref="ECN2:ECZ2"/>
    <mergeCell ref="EDA2:EDM2"/>
    <mergeCell ref="DXN2:DXZ2"/>
    <mergeCell ref="DYA2:DYM2"/>
    <mergeCell ref="DYN2:DYZ2"/>
    <mergeCell ref="DZA2:DZM2"/>
    <mergeCell ref="DZN2:DZZ2"/>
    <mergeCell ref="EAA2:EAM2"/>
    <mergeCell ref="EMN2:EMZ2"/>
    <mergeCell ref="ENA2:ENM2"/>
    <mergeCell ref="ENN2:ENZ2"/>
    <mergeCell ref="EOA2:EOM2"/>
    <mergeCell ref="EON2:EOZ2"/>
    <mergeCell ref="EPA2:EPM2"/>
    <mergeCell ref="EJN2:EJZ2"/>
    <mergeCell ref="EKA2:EKM2"/>
    <mergeCell ref="EKN2:EKZ2"/>
    <mergeCell ref="ELA2:ELM2"/>
    <mergeCell ref="ELN2:ELZ2"/>
    <mergeCell ref="EMA2:EMM2"/>
    <mergeCell ref="EGN2:EGZ2"/>
    <mergeCell ref="EHA2:EHM2"/>
    <mergeCell ref="EHN2:EHZ2"/>
    <mergeCell ref="EIA2:EIM2"/>
    <mergeCell ref="EIN2:EIZ2"/>
    <mergeCell ref="EJA2:EJM2"/>
    <mergeCell ref="EVN2:EVZ2"/>
    <mergeCell ref="EWA2:EWM2"/>
    <mergeCell ref="EWN2:EWZ2"/>
    <mergeCell ref="EXA2:EXM2"/>
    <mergeCell ref="EXN2:EXZ2"/>
    <mergeCell ref="EYA2:EYM2"/>
    <mergeCell ref="ESN2:ESZ2"/>
    <mergeCell ref="ETA2:ETM2"/>
    <mergeCell ref="ETN2:ETZ2"/>
    <mergeCell ref="EUA2:EUM2"/>
    <mergeCell ref="EUN2:EUZ2"/>
    <mergeCell ref="EVA2:EVM2"/>
    <mergeCell ref="EPN2:EPZ2"/>
    <mergeCell ref="EQA2:EQM2"/>
    <mergeCell ref="EQN2:EQZ2"/>
    <mergeCell ref="ERA2:ERM2"/>
    <mergeCell ref="ERN2:ERZ2"/>
    <mergeCell ref="ESA2:ESM2"/>
    <mergeCell ref="FEN2:FEZ2"/>
    <mergeCell ref="FFA2:FFM2"/>
    <mergeCell ref="FFN2:FFZ2"/>
    <mergeCell ref="FGA2:FGM2"/>
    <mergeCell ref="FGN2:FGZ2"/>
    <mergeCell ref="FHA2:FHM2"/>
    <mergeCell ref="FBN2:FBZ2"/>
    <mergeCell ref="FCA2:FCM2"/>
    <mergeCell ref="FCN2:FCZ2"/>
    <mergeCell ref="FDA2:FDM2"/>
    <mergeCell ref="FDN2:FDZ2"/>
    <mergeCell ref="FEA2:FEM2"/>
    <mergeCell ref="EYN2:EYZ2"/>
    <mergeCell ref="EZA2:EZM2"/>
    <mergeCell ref="EZN2:EZZ2"/>
    <mergeCell ref="FAA2:FAM2"/>
    <mergeCell ref="FAN2:FAZ2"/>
    <mergeCell ref="FBA2:FBM2"/>
    <mergeCell ref="FNN2:FNZ2"/>
    <mergeCell ref="FOA2:FOM2"/>
    <mergeCell ref="FON2:FOZ2"/>
    <mergeCell ref="FPA2:FPM2"/>
    <mergeCell ref="FPN2:FPZ2"/>
    <mergeCell ref="FQA2:FQM2"/>
    <mergeCell ref="FKN2:FKZ2"/>
    <mergeCell ref="FLA2:FLM2"/>
    <mergeCell ref="FLN2:FLZ2"/>
    <mergeCell ref="FMA2:FMM2"/>
    <mergeCell ref="FMN2:FMZ2"/>
    <mergeCell ref="FNA2:FNM2"/>
    <mergeCell ref="FHN2:FHZ2"/>
    <mergeCell ref="FIA2:FIM2"/>
    <mergeCell ref="FIN2:FIZ2"/>
    <mergeCell ref="FJA2:FJM2"/>
    <mergeCell ref="FJN2:FJZ2"/>
    <mergeCell ref="FKA2:FKM2"/>
    <mergeCell ref="FWN2:FWZ2"/>
    <mergeCell ref="FXA2:FXM2"/>
    <mergeCell ref="FXN2:FXZ2"/>
    <mergeCell ref="FYA2:FYM2"/>
    <mergeCell ref="FYN2:FYZ2"/>
    <mergeCell ref="FZA2:FZM2"/>
    <mergeCell ref="FTN2:FTZ2"/>
    <mergeCell ref="FUA2:FUM2"/>
    <mergeCell ref="FUN2:FUZ2"/>
    <mergeCell ref="FVA2:FVM2"/>
    <mergeCell ref="FVN2:FVZ2"/>
    <mergeCell ref="FWA2:FWM2"/>
    <mergeCell ref="FQN2:FQZ2"/>
    <mergeCell ref="FRA2:FRM2"/>
    <mergeCell ref="FRN2:FRZ2"/>
    <mergeCell ref="FSA2:FSM2"/>
    <mergeCell ref="FSN2:FSZ2"/>
    <mergeCell ref="FTA2:FTM2"/>
    <mergeCell ref="GFN2:GFZ2"/>
    <mergeCell ref="GGA2:GGM2"/>
    <mergeCell ref="GGN2:GGZ2"/>
    <mergeCell ref="GHA2:GHM2"/>
    <mergeCell ref="GHN2:GHZ2"/>
    <mergeCell ref="GIA2:GIM2"/>
    <mergeCell ref="GCN2:GCZ2"/>
    <mergeCell ref="GDA2:GDM2"/>
    <mergeCell ref="GDN2:GDZ2"/>
    <mergeCell ref="GEA2:GEM2"/>
    <mergeCell ref="GEN2:GEZ2"/>
    <mergeCell ref="GFA2:GFM2"/>
    <mergeCell ref="FZN2:FZZ2"/>
    <mergeCell ref="GAA2:GAM2"/>
    <mergeCell ref="GAN2:GAZ2"/>
    <mergeCell ref="GBA2:GBM2"/>
    <mergeCell ref="GBN2:GBZ2"/>
    <mergeCell ref="GCA2:GCM2"/>
    <mergeCell ref="GON2:GOZ2"/>
    <mergeCell ref="GPA2:GPM2"/>
    <mergeCell ref="GPN2:GPZ2"/>
    <mergeCell ref="GQA2:GQM2"/>
    <mergeCell ref="GQN2:GQZ2"/>
    <mergeCell ref="GRA2:GRM2"/>
    <mergeCell ref="GLN2:GLZ2"/>
    <mergeCell ref="GMA2:GMM2"/>
    <mergeCell ref="GMN2:GMZ2"/>
    <mergeCell ref="GNA2:GNM2"/>
    <mergeCell ref="GNN2:GNZ2"/>
    <mergeCell ref="GOA2:GOM2"/>
    <mergeCell ref="GIN2:GIZ2"/>
    <mergeCell ref="GJA2:GJM2"/>
    <mergeCell ref="GJN2:GJZ2"/>
    <mergeCell ref="GKA2:GKM2"/>
    <mergeCell ref="GKN2:GKZ2"/>
    <mergeCell ref="GLA2:GLM2"/>
    <mergeCell ref="GXN2:GXZ2"/>
    <mergeCell ref="GYA2:GYM2"/>
    <mergeCell ref="GYN2:GYZ2"/>
    <mergeCell ref="GZA2:GZM2"/>
    <mergeCell ref="GZN2:GZZ2"/>
    <mergeCell ref="HAA2:HAM2"/>
    <mergeCell ref="GUN2:GUZ2"/>
    <mergeCell ref="GVA2:GVM2"/>
    <mergeCell ref="GVN2:GVZ2"/>
    <mergeCell ref="GWA2:GWM2"/>
    <mergeCell ref="GWN2:GWZ2"/>
    <mergeCell ref="GXA2:GXM2"/>
    <mergeCell ref="GRN2:GRZ2"/>
    <mergeCell ref="GSA2:GSM2"/>
    <mergeCell ref="GSN2:GSZ2"/>
    <mergeCell ref="GTA2:GTM2"/>
    <mergeCell ref="GTN2:GTZ2"/>
    <mergeCell ref="GUA2:GUM2"/>
    <mergeCell ref="HGN2:HGZ2"/>
    <mergeCell ref="HHA2:HHM2"/>
    <mergeCell ref="HHN2:HHZ2"/>
    <mergeCell ref="HIA2:HIM2"/>
    <mergeCell ref="HIN2:HIZ2"/>
    <mergeCell ref="HJA2:HJM2"/>
    <mergeCell ref="HDN2:HDZ2"/>
    <mergeCell ref="HEA2:HEM2"/>
    <mergeCell ref="HEN2:HEZ2"/>
    <mergeCell ref="HFA2:HFM2"/>
    <mergeCell ref="HFN2:HFZ2"/>
    <mergeCell ref="HGA2:HGM2"/>
    <mergeCell ref="HAN2:HAZ2"/>
    <mergeCell ref="HBA2:HBM2"/>
    <mergeCell ref="HBN2:HBZ2"/>
    <mergeCell ref="HCA2:HCM2"/>
    <mergeCell ref="HCN2:HCZ2"/>
    <mergeCell ref="HDA2:HDM2"/>
    <mergeCell ref="HPN2:HPZ2"/>
    <mergeCell ref="HQA2:HQM2"/>
    <mergeCell ref="HQN2:HQZ2"/>
    <mergeCell ref="HRA2:HRM2"/>
    <mergeCell ref="HRN2:HRZ2"/>
    <mergeCell ref="HSA2:HSM2"/>
    <mergeCell ref="HMN2:HMZ2"/>
    <mergeCell ref="HNA2:HNM2"/>
    <mergeCell ref="HNN2:HNZ2"/>
    <mergeCell ref="HOA2:HOM2"/>
    <mergeCell ref="HON2:HOZ2"/>
    <mergeCell ref="HPA2:HPM2"/>
    <mergeCell ref="HJN2:HJZ2"/>
    <mergeCell ref="HKA2:HKM2"/>
    <mergeCell ref="HKN2:HKZ2"/>
    <mergeCell ref="HLA2:HLM2"/>
    <mergeCell ref="HLN2:HLZ2"/>
    <mergeCell ref="HMA2:HMM2"/>
    <mergeCell ref="HYN2:HYZ2"/>
    <mergeCell ref="HZA2:HZM2"/>
    <mergeCell ref="HZN2:HZZ2"/>
    <mergeCell ref="IAA2:IAM2"/>
    <mergeCell ref="IAN2:IAZ2"/>
    <mergeCell ref="IBA2:IBM2"/>
    <mergeCell ref="HVN2:HVZ2"/>
    <mergeCell ref="HWA2:HWM2"/>
    <mergeCell ref="HWN2:HWZ2"/>
    <mergeCell ref="HXA2:HXM2"/>
    <mergeCell ref="HXN2:HXZ2"/>
    <mergeCell ref="HYA2:HYM2"/>
    <mergeCell ref="HSN2:HSZ2"/>
    <mergeCell ref="HTA2:HTM2"/>
    <mergeCell ref="HTN2:HTZ2"/>
    <mergeCell ref="HUA2:HUM2"/>
    <mergeCell ref="HUN2:HUZ2"/>
    <mergeCell ref="HVA2:HVM2"/>
    <mergeCell ref="IHN2:IHZ2"/>
    <mergeCell ref="IIA2:IIM2"/>
    <mergeCell ref="IIN2:IIZ2"/>
    <mergeCell ref="IJA2:IJM2"/>
    <mergeCell ref="IJN2:IJZ2"/>
    <mergeCell ref="IKA2:IKM2"/>
    <mergeCell ref="IEN2:IEZ2"/>
    <mergeCell ref="IFA2:IFM2"/>
    <mergeCell ref="IFN2:IFZ2"/>
    <mergeCell ref="IGA2:IGM2"/>
    <mergeCell ref="IGN2:IGZ2"/>
    <mergeCell ref="IHA2:IHM2"/>
    <mergeCell ref="IBN2:IBZ2"/>
    <mergeCell ref="ICA2:ICM2"/>
    <mergeCell ref="ICN2:ICZ2"/>
    <mergeCell ref="IDA2:IDM2"/>
    <mergeCell ref="IDN2:IDZ2"/>
    <mergeCell ref="IEA2:IEM2"/>
    <mergeCell ref="IQN2:IQZ2"/>
    <mergeCell ref="IRA2:IRM2"/>
    <mergeCell ref="IRN2:IRZ2"/>
    <mergeCell ref="ISA2:ISM2"/>
    <mergeCell ref="ISN2:ISZ2"/>
    <mergeCell ref="ITA2:ITM2"/>
    <mergeCell ref="INN2:INZ2"/>
    <mergeCell ref="IOA2:IOM2"/>
    <mergeCell ref="ION2:IOZ2"/>
    <mergeCell ref="IPA2:IPM2"/>
    <mergeCell ref="IPN2:IPZ2"/>
    <mergeCell ref="IQA2:IQM2"/>
    <mergeCell ref="IKN2:IKZ2"/>
    <mergeCell ref="ILA2:ILM2"/>
    <mergeCell ref="ILN2:ILZ2"/>
    <mergeCell ref="IMA2:IMM2"/>
    <mergeCell ref="IMN2:IMZ2"/>
    <mergeCell ref="INA2:INM2"/>
    <mergeCell ref="IZN2:IZZ2"/>
    <mergeCell ref="JAA2:JAM2"/>
    <mergeCell ref="JAN2:JAZ2"/>
    <mergeCell ref="JBA2:JBM2"/>
    <mergeCell ref="JBN2:JBZ2"/>
    <mergeCell ref="JCA2:JCM2"/>
    <mergeCell ref="IWN2:IWZ2"/>
    <mergeCell ref="IXA2:IXM2"/>
    <mergeCell ref="IXN2:IXZ2"/>
    <mergeCell ref="IYA2:IYM2"/>
    <mergeCell ref="IYN2:IYZ2"/>
    <mergeCell ref="IZA2:IZM2"/>
    <mergeCell ref="ITN2:ITZ2"/>
    <mergeCell ref="IUA2:IUM2"/>
    <mergeCell ref="IUN2:IUZ2"/>
    <mergeCell ref="IVA2:IVM2"/>
    <mergeCell ref="IVN2:IVZ2"/>
    <mergeCell ref="IWA2:IWM2"/>
    <mergeCell ref="JIN2:JIZ2"/>
    <mergeCell ref="JJA2:JJM2"/>
    <mergeCell ref="JJN2:JJZ2"/>
    <mergeCell ref="JKA2:JKM2"/>
    <mergeCell ref="JKN2:JKZ2"/>
    <mergeCell ref="JLA2:JLM2"/>
    <mergeCell ref="JFN2:JFZ2"/>
    <mergeCell ref="JGA2:JGM2"/>
    <mergeCell ref="JGN2:JGZ2"/>
    <mergeCell ref="JHA2:JHM2"/>
    <mergeCell ref="JHN2:JHZ2"/>
    <mergeCell ref="JIA2:JIM2"/>
    <mergeCell ref="JCN2:JCZ2"/>
    <mergeCell ref="JDA2:JDM2"/>
    <mergeCell ref="JDN2:JDZ2"/>
    <mergeCell ref="JEA2:JEM2"/>
    <mergeCell ref="JEN2:JEZ2"/>
    <mergeCell ref="JFA2:JFM2"/>
    <mergeCell ref="JRN2:JRZ2"/>
    <mergeCell ref="JSA2:JSM2"/>
    <mergeCell ref="JSN2:JSZ2"/>
    <mergeCell ref="JTA2:JTM2"/>
    <mergeCell ref="JTN2:JTZ2"/>
    <mergeCell ref="JUA2:JUM2"/>
    <mergeCell ref="JON2:JOZ2"/>
    <mergeCell ref="JPA2:JPM2"/>
    <mergeCell ref="JPN2:JPZ2"/>
    <mergeCell ref="JQA2:JQM2"/>
    <mergeCell ref="JQN2:JQZ2"/>
    <mergeCell ref="JRA2:JRM2"/>
    <mergeCell ref="JLN2:JLZ2"/>
    <mergeCell ref="JMA2:JMM2"/>
    <mergeCell ref="JMN2:JMZ2"/>
    <mergeCell ref="JNA2:JNM2"/>
    <mergeCell ref="JNN2:JNZ2"/>
    <mergeCell ref="JOA2:JOM2"/>
    <mergeCell ref="KAN2:KAZ2"/>
    <mergeCell ref="KBA2:KBM2"/>
    <mergeCell ref="KBN2:KBZ2"/>
    <mergeCell ref="KCA2:KCM2"/>
    <mergeCell ref="KCN2:KCZ2"/>
    <mergeCell ref="KDA2:KDM2"/>
    <mergeCell ref="JXN2:JXZ2"/>
    <mergeCell ref="JYA2:JYM2"/>
    <mergeCell ref="JYN2:JYZ2"/>
    <mergeCell ref="JZA2:JZM2"/>
    <mergeCell ref="JZN2:JZZ2"/>
    <mergeCell ref="KAA2:KAM2"/>
    <mergeCell ref="JUN2:JUZ2"/>
    <mergeCell ref="JVA2:JVM2"/>
    <mergeCell ref="JVN2:JVZ2"/>
    <mergeCell ref="JWA2:JWM2"/>
    <mergeCell ref="JWN2:JWZ2"/>
    <mergeCell ref="JXA2:JXM2"/>
    <mergeCell ref="KJN2:KJZ2"/>
    <mergeCell ref="KKA2:KKM2"/>
    <mergeCell ref="KKN2:KKZ2"/>
    <mergeCell ref="KLA2:KLM2"/>
    <mergeCell ref="KLN2:KLZ2"/>
    <mergeCell ref="KMA2:KMM2"/>
    <mergeCell ref="KGN2:KGZ2"/>
    <mergeCell ref="KHA2:KHM2"/>
    <mergeCell ref="KHN2:KHZ2"/>
    <mergeCell ref="KIA2:KIM2"/>
    <mergeCell ref="KIN2:KIZ2"/>
    <mergeCell ref="KJA2:KJM2"/>
    <mergeCell ref="KDN2:KDZ2"/>
    <mergeCell ref="KEA2:KEM2"/>
    <mergeCell ref="KEN2:KEZ2"/>
    <mergeCell ref="KFA2:KFM2"/>
    <mergeCell ref="KFN2:KFZ2"/>
    <mergeCell ref="KGA2:KGM2"/>
    <mergeCell ref="KSN2:KSZ2"/>
    <mergeCell ref="KTA2:KTM2"/>
    <mergeCell ref="KTN2:KTZ2"/>
    <mergeCell ref="KUA2:KUM2"/>
    <mergeCell ref="KUN2:KUZ2"/>
    <mergeCell ref="KVA2:KVM2"/>
    <mergeCell ref="KPN2:KPZ2"/>
    <mergeCell ref="KQA2:KQM2"/>
    <mergeCell ref="KQN2:KQZ2"/>
    <mergeCell ref="KRA2:KRM2"/>
    <mergeCell ref="KRN2:KRZ2"/>
    <mergeCell ref="KSA2:KSM2"/>
    <mergeCell ref="KMN2:KMZ2"/>
    <mergeCell ref="KNA2:KNM2"/>
    <mergeCell ref="KNN2:KNZ2"/>
    <mergeCell ref="KOA2:KOM2"/>
    <mergeCell ref="KON2:KOZ2"/>
    <mergeCell ref="KPA2:KPM2"/>
    <mergeCell ref="LBN2:LBZ2"/>
    <mergeCell ref="LCA2:LCM2"/>
    <mergeCell ref="LCN2:LCZ2"/>
    <mergeCell ref="LDA2:LDM2"/>
    <mergeCell ref="LDN2:LDZ2"/>
    <mergeCell ref="LEA2:LEM2"/>
    <mergeCell ref="KYN2:KYZ2"/>
    <mergeCell ref="KZA2:KZM2"/>
    <mergeCell ref="KZN2:KZZ2"/>
    <mergeCell ref="LAA2:LAM2"/>
    <mergeCell ref="LAN2:LAZ2"/>
    <mergeCell ref="LBA2:LBM2"/>
    <mergeCell ref="KVN2:KVZ2"/>
    <mergeCell ref="KWA2:KWM2"/>
    <mergeCell ref="KWN2:KWZ2"/>
    <mergeCell ref="KXA2:KXM2"/>
    <mergeCell ref="KXN2:KXZ2"/>
    <mergeCell ref="KYA2:KYM2"/>
    <mergeCell ref="LKN2:LKZ2"/>
    <mergeCell ref="LLA2:LLM2"/>
    <mergeCell ref="LLN2:LLZ2"/>
    <mergeCell ref="LMA2:LMM2"/>
    <mergeCell ref="LMN2:LMZ2"/>
    <mergeCell ref="LNA2:LNM2"/>
    <mergeCell ref="LHN2:LHZ2"/>
    <mergeCell ref="LIA2:LIM2"/>
    <mergeCell ref="LIN2:LIZ2"/>
    <mergeCell ref="LJA2:LJM2"/>
    <mergeCell ref="LJN2:LJZ2"/>
    <mergeCell ref="LKA2:LKM2"/>
    <mergeCell ref="LEN2:LEZ2"/>
    <mergeCell ref="LFA2:LFM2"/>
    <mergeCell ref="LFN2:LFZ2"/>
    <mergeCell ref="LGA2:LGM2"/>
    <mergeCell ref="LGN2:LGZ2"/>
    <mergeCell ref="LHA2:LHM2"/>
    <mergeCell ref="LTN2:LTZ2"/>
    <mergeCell ref="LUA2:LUM2"/>
    <mergeCell ref="LUN2:LUZ2"/>
    <mergeCell ref="LVA2:LVM2"/>
    <mergeCell ref="LVN2:LVZ2"/>
    <mergeCell ref="LWA2:LWM2"/>
    <mergeCell ref="LQN2:LQZ2"/>
    <mergeCell ref="LRA2:LRM2"/>
    <mergeCell ref="LRN2:LRZ2"/>
    <mergeCell ref="LSA2:LSM2"/>
    <mergeCell ref="LSN2:LSZ2"/>
    <mergeCell ref="LTA2:LTM2"/>
    <mergeCell ref="LNN2:LNZ2"/>
    <mergeCell ref="LOA2:LOM2"/>
    <mergeCell ref="LON2:LOZ2"/>
    <mergeCell ref="LPA2:LPM2"/>
    <mergeCell ref="LPN2:LPZ2"/>
    <mergeCell ref="LQA2:LQM2"/>
    <mergeCell ref="MCN2:MCZ2"/>
    <mergeCell ref="MDA2:MDM2"/>
    <mergeCell ref="MDN2:MDZ2"/>
    <mergeCell ref="MEA2:MEM2"/>
    <mergeCell ref="MEN2:MEZ2"/>
    <mergeCell ref="MFA2:MFM2"/>
    <mergeCell ref="LZN2:LZZ2"/>
    <mergeCell ref="MAA2:MAM2"/>
    <mergeCell ref="MAN2:MAZ2"/>
    <mergeCell ref="MBA2:MBM2"/>
    <mergeCell ref="MBN2:MBZ2"/>
    <mergeCell ref="MCA2:MCM2"/>
    <mergeCell ref="LWN2:LWZ2"/>
    <mergeCell ref="LXA2:LXM2"/>
    <mergeCell ref="LXN2:LXZ2"/>
    <mergeCell ref="LYA2:LYM2"/>
    <mergeCell ref="LYN2:LYZ2"/>
    <mergeCell ref="LZA2:LZM2"/>
    <mergeCell ref="MLN2:MLZ2"/>
    <mergeCell ref="MMA2:MMM2"/>
    <mergeCell ref="MMN2:MMZ2"/>
    <mergeCell ref="MNA2:MNM2"/>
    <mergeCell ref="MNN2:MNZ2"/>
    <mergeCell ref="MOA2:MOM2"/>
    <mergeCell ref="MIN2:MIZ2"/>
    <mergeCell ref="MJA2:MJM2"/>
    <mergeCell ref="MJN2:MJZ2"/>
    <mergeCell ref="MKA2:MKM2"/>
    <mergeCell ref="MKN2:MKZ2"/>
    <mergeCell ref="MLA2:MLM2"/>
    <mergeCell ref="MFN2:MFZ2"/>
    <mergeCell ref="MGA2:MGM2"/>
    <mergeCell ref="MGN2:MGZ2"/>
    <mergeCell ref="MHA2:MHM2"/>
    <mergeCell ref="MHN2:MHZ2"/>
    <mergeCell ref="MIA2:MIM2"/>
    <mergeCell ref="MUN2:MUZ2"/>
    <mergeCell ref="MVA2:MVM2"/>
    <mergeCell ref="MVN2:MVZ2"/>
    <mergeCell ref="MWA2:MWM2"/>
    <mergeCell ref="MWN2:MWZ2"/>
    <mergeCell ref="MXA2:MXM2"/>
    <mergeCell ref="MRN2:MRZ2"/>
    <mergeCell ref="MSA2:MSM2"/>
    <mergeCell ref="MSN2:MSZ2"/>
    <mergeCell ref="MTA2:MTM2"/>
    <mergeCell ref="MTN2:MTZ2"/>
    <mergeCell ref="MUA2:MUM2"/>
    <mergeCell ref="MON2:MOZ2"/>
    <mergeCell ref="MPA2:MPM2"/>
    <mergeCell ref="MPN2:MPZ2"/>
    <mergeCell ref="MQA2:MQM2"/>
    <mergeCell ref="MQN2:MQZ2"/>
    <mergeCell ref="MRA2:MRM2"/>
    <mergeCell ref="NDN2:NDZ2"/>
    <mergeCell ref="NEA2:NEM2"/>
    <mergeCell ref="NEN2:NEZ2"/>
    <mergeCell ref="NFA2:NFM2"/>
    <mergeCell ref="NFN2:NFZ2"/>
    <mergeCell ref="NGA2:NGM2"/>
    <mergeCell ref="NAN2:NAZ2"/>
    <mergeCell ref="NBA2:NBM2"/>
    <mergeCell ref="NBN2:NBZ2"/>
    <mergeCell ref="NCA2:NCM2"/>
    <mergeCell ref="NCN2:NCZ2"/>
    <mergeCell ref="NDA2:NDM2"/>
    <mergeCell ref="MXN2:MXZ2"/>
    <mergeCell ref="MYA2:MYM2"/>
    <mergeCell ref="MYN2:MYZ2"/>
    <mergeCell ref="MZA2:MZM2"/>
    <mergeCell ref="MZN2:MZZ2"/>
    <mergeCell ref="NAA2:NAM2"/>
    <mergeCell ref="NMN2:NMZ2"/>
    <mergeCell ref="NNA2:NNM2"/>
    <mergeCell ref="NNN2:NNZ2"/>
    <mergeCell ref="NOA2:NOM2"/>
    <mergeCell ref="NON2:NOZ2"/>
    <mergeCell ref="NPA2:NPM2"/>
    <mergeCell ref="NJN2:NJZ2"/>
    <mergeCell ref="NKA2:NKM2"/>
    <mergeCell ref="NKN2:NKZ2"/>
    <mergeCell ref="NLA2:NLM2"/>
    <mergeCell ref="NLN2:NLZ2"/>
    <mergeCell ref="NMA2:NMM2"/>
    <mergeCell ref="NGN2:NGZ2"/>
    <mergeCell ref="NHA2:NHM2"/>
    <mergeCell ref="NHN2:NHZ2"/>
    <mergeCell ref="NIA2:NIM2"/>
    <mergeCell ref="NIN2:NIZ2"/>
    <mergeCell ref="NJA2:NJM2"/>
    <mergeCell ref="NVN2:NVZ2"/>
    <mergeCell ref="NWA2:NWM2"/>
    <mergeCell ref="NWN2:NWZ2"/>
    <mergeCell ref="NXA2:NXM2"/>
    <mergeCell ref="NXN2:NXZ2"/>
    <mergeCell ref="NYA2:NYM2"/>
    <mergeCell ref="NSN2:NSZ2"/>
    <mergeCell ref="NTA2:NTM2"/>
    <mergeCell ref="NTN2:NTZ2"/>
    <mergeCell ref="NUA2:NUM2"/>
    <mergeCell ref="NUN2:NUZ2"/>
    <mergeCell ref="NVA2:NVM2"/>
    <mergeCell ref="NPN2:NPZ2"/>
    <mergeCell ref="NQA2:NQM2"/>
    <mergeCell ref="NQN2:NQZ2"/>
    <mergeCell ref="NRA2:NRM2"/>
    <mergeCell ref="NRN2:NRZ2"/>
    <mergeCell ref="NSA2:NSM2"/>
    <mergeCell ref="OEN2:OEZ2"/>
    <mergeCell ref="OFA2:OFM2"/>
    <mergeCell ref="OFN2:OFZ2"/>
    <mergeCell ref="OGA2:OGM2"/>
    <mergeCell ref="OGN2:OGZ2"/>
    <mergeCell ref="OHA2:OHM2"/>
    <mergeCell ref="OBN2:OBZ2"/>
    <mergeCell ref="OCA2:OCM2"/>
    <mergeCell ref="OCN2:OCZ2"/>
    <mergeCell ref="ODA2:ODM2"/>
    <mergeCell ref="ODN2:ODZ2"/>
    <mergeCell ref="OEA2:OEM2"/>
    <mergeCell ref="NYN2:NYZ2"/>
    <mergeCell ref="NZA2:NZM2"/>
    <mergeCell ref="NZN2:NZZ2"/>
    <mergeCell ref="OAA2:OAM2"/>
    <mergeCell ref="OAN2:OAZ2"/>
    <mergeCell ref="OBA2:OBM2"/>
    <mergeCell ref="ONN2:ONZ2"/>
    <mergeCell ref="OOA2:OOM2"/>
    <mergeCell ref="OON2:OOZ2"/>
    <mergeCell ref="OPA2:OPM2"/>
    <mergeCell ref="OPN2:OPZ2"/>
    <mergeCell ref="OQA2:OQM2"/>
    <mergeCell ref="OKN2:OKZ2"/>
    <mergeCell ref="OLA2:OLM2"/>
    <mergeCell ref="OLN2:OLZ2"/>
    <mergeCell ref="OMA2:OMM2"/>
    <mergeCell ref="OMN2:OMZ2"/>
    <mergeCell ref="ONA2:ONM2"/>
    <mergeCell ref="OHN2:OHZ2"/>
    <mergeCell ref="OIA2:OIM2"/>
    <mergeCell ref="OIN2:OIZ2"/>
    <mergeCell ref="OJA2:OJM2"/>
    <mergeCell ref="OJN2:OJZ2"/>
    <mergeCell ref="OKA2:OKM2"/>
    <mergeCell ref="OWN2:OWZ2"/>
    <mergeCell ref="OXA2:OXM2"/>
    <mergeCell ref="OXN2:OXZ2"/>
    <mergeCell ref="OYA2:OYM2"/>
    <mergeCell ref="OYN2:OYZ2"/>
    <mergeCell ref="OZA2:OZM2"/>
    <mergeCell ref="OTN2:OTZ2"/>
    <mergeCell ref="OUA2:OUM2"/>
    <mergeCell ref="OUN2:OUZ2"/>
    <mergeCell ref="OVA2:OVM2"/>
    <mergeCell ref="OVN2:OVZ2"/>
    <mergeCell ref="OWA2:OWM2"/>
    <mergeCell ref="OQN2:OQZ2"/>
    <mergeCell ref="ORA2:ORM2"/>
    <mergeCell ref="ORN2:ORZ2"/>
    <mergeCell ref="OSA2:OSM2"/>
    <mergeCell ref="OSN2:OSZ2"/>
    <mergeCell ref="OTA2:OTM2"/>
    <mergeCell ref="PFN2:PFZ2"/>
    <mergeCell ref="PGA2:PGM2"/>
    <mergeCell ref="PGN2:PGZ2"/>
    <mergeCell ref="PHA2:PHM2"/>
    <mergeCell ref="PHN2:PHZ2"/>
    <mergeCell ref="PIA2:PIM2"/>
    <mergeCell ref="PCN2:PCZ2"/>
    <mergeCell ref="PDA2:PDM2"/>
    <mergeCell ref="PDN2:PDZ2"/>
    <mergeCell ref="PEA2:PEM2"/>
    <mergeCell ref="PEN2:PEZ2"/>
    <mergeCell ref="PFA2:PFM2"/>
    <mergeCell ref="OZN2:OZZ2"/>
    <mergeCell ref="PAA2:PAM2"/>
    <mergeCell ref="PAN2:PAZ2"/>
    <mergeCell ref="PBA2:PBM2"/>
    <mergeCell ref="PBN2:PBZ2"/>
    <mergeCell ref="PCA2:PCM2"/>
    <mergeCell ref="PON2:POZ2"/>
    <mergeCell ref="PPA2:PPM2"/>
    <mergeCell ref="PPN2:PPZ2"/>
    <mergeCell ref="PQA2:PQM2"/>
    <mergeCell ref="PQN2:PQZ2"/>
    <mergeCell ref="PRA2:PRM2"/>
    <mergeCell ref="PLN2:PLZ2"/>
    <mergeCell ref="PMA2:PMM2"/>
    <mergeCell ref="PMN2:PMZ2"/>
    <mergeCell ref="PNA2:PNM2"/>
    <mergeCell ref="PNN2:PNZ2"/>
    <mergeCell ref="POA2:POM2"/>
    <mergeCell ref="PIN2:PIZ2"/>
    <mergeCell ref="PJA2:PJM2"/>
    <mergeCell ref="PJN2:PJZ2"/>
    <mergeCell ref="PKA2:PKM2"/>
    <mergeCell ref="PKN2:PKZ2"/>
    <mergeCell ref="PLA2:PLM2"/>
    <mergeCell ref="PXN2:PXZ2"/>
    <mergeCell ref="PYA2:PYM2"/>
    <mergeCell ref="PYN2:PYZ2"/>
    <mergeCell ref="PZA2:PZM2"/>
    <mergeCell ref="PZN2:PZZ2"/>
    <mergeCell ref="QAA2:QAM2"/>
    <mergeCell ref="PUN2:PUZ2"/>
    <mergeCell ref="PVA2:PVM2"/>
    <mergeCell ref="PVN2:PVZ2"/>
    <mergeCell ref="PWA2:PWM2"/>
    <mergeCell ref="PWN2:PWZ2"/>
    <mergeCell ref="PXA2:PXM2"/>
    <mergeCell ref="PRN2:PRZ2"/>
    <mergeCell ref="PSA2:PSM2"/>
    <mergeCell ref="PSN2:PSZ2"/>
    <mergeCell ref="PTA2:PTM2"/>
    <mergeCell ref="PTN2:PTZ2"/>
    <mergeCell ref="PUA2:PUM2"/>
    <mergeCell ref="QGN2:QGZ2"/>
    <mergeCell ref="QHA2:QHM2"/>
    <mergeCell ref="QHN2:QHZ2"/>
    <mergeCell ref="QIA2:QIM2"/>
    <mergeCell ref="QIN2:QIZ2"/>
    <mergeCell ref="QJA2:QJM2"/>
    <mergeCell ref="QDN2:QDZ2"/>
    <mergeCell ref="QEA2:QEM2"/>
    <mergeCell ref="QEN2:QEZ2"/>
    <mergeCell ref="QFA2:QFM2"/>
    <mergeCell ref="QFN2:QFZ2"/>
    <mergeCell ref="QGA2:QGM2"/>
    <mergeCell ref="QAN2:QAZ2"/>
    <mergeCell ref="QBA2:QBM2"/>
    <mergeCell ref="QBN2:QBZ2"/>
    <mergeCell ref="QCA2:QCM2"/>
    <mergeCell ref="QCN2:QCZ2"/>
    <mergeCell ref="QDA2:QDM2"/>
    <mergeCell ref="QPN2:QPZ2"/>
    <mergeCell ref="QQA2:QQM2"/>
    <mergeCell ref="QQN2:QQZ2"/>
    <mergeCell ref="QRA2:QRM2"/>
    <mergeCell ref="QRN2:QRZ2"/>
    <mergeCell ref="QSA2:QSM2"/>
    <mergeCell ref="QMN2:QMZ2"/>
    <mergeCell ref="QNA2:QNM2"/>
    <mergeCell ref="QNN2:QNZ2"/>
    <mergeCell ref="QOA2:QOM2"/>
    <mergeCell ref="QON2:QOZ2"/>
    <mergeCell ref="QPA2:QPM2"/>
    <mergeCell ref="QJN2:QJZ2"/>
    <mergeCell ref="QKA2:QKM2"/>
    <mergeCell ref="QKN2:QKZ2"/>
    <mergeCell ref="QLA2:QLM2"/>
    <mergeCell ref="QLN2:QLZ2"/>
    <mergeCell ref="QMA2:QMM2"/>
    <mergeCell ref="QYN2:QYZ2"/>
    <mergeCell ref="QZA2:QZM2"/>
    <mergeCell ref="QZN2:QZZ2"/>
    <mergeCell ref="RAA2:RAM2"/>
    <mergeCell ref="RAN2:RAZ2"/>
    <mergeCell ref="RBA2:RBM2"/>
    <mergeCell ref="QVN2:QVZ2"/>
    <mergeCell ref="QWA2:QWM2"/>
    <mergeCell ref="QWN2:QWZ2"/>
    <mergeCell ref="QXA2:QXM2"/>
    <mergeCell ref="QXN2:QXZ2"/>
    <mergeCell ref="QYA2:QYM2"/>
    <mergeCell ref="QSN2:QSZ2"/>
    <mergeCell ref="QTA2:QTM2"/>
    <mergeCell ref="QTN2:QTZ2"/>
    <mergeCell ref="QUA2:QUM2"/>
    <mergeCell ref="QUN2:QUZ2"/>
    <mergeCell ref="QVA2:QVM2"/>
    <mergeCell ref="RHN2:RHZ2"/>
    <mergeCell ref="RIA2:RIM2"/>
    <mergeCell ref="RIN2:RIZ2"/>
    <mergeCell ref="RJA2:RJM2"/>
    <mergeCell ref="RJN2:RJZ2"/>
    <mergeCell ref="RKA2:RKM2"/>
    <mergeCell ref="REN2:REZ2"/>
    <mergeCell ref="RFA2:RFM2"/>
    <mergeCell ref="RFN2:RFZ2"/>
    <mergeCell ref="RGA2:RGM2"/>
    <mergeCell ref="RGN2:RGZ2"/>
    <mergeCell ref="RHA2:RHM2"/>
    <mergeCell ref="RBN2:RBZ2"/>
    <mergeCell ref="RCA2:RCM2"/>
    <mergeCell ref="RCN2:RCZ2"/>
    <mergeCell ref="RDA2:RDM2"/>
    <mergeCell ref="RDN2:RDZ2"/>
    <mergeCell ref="REA2:REM2"/>
    <mergeCell ref="RQN2:RQZ2"/>
    <mergeCell ref="RRA2:RRM2"/>
    <mergeCell ref="RRN2:RRZ2"/>
    <mergeCell ref="RSA2:RSM2"/>
    <mergeCell ref="RSN2:RSZ2"/>
    <mergeCell ref="RTA2:RTM2"/>
    <mergeCell ref="RNN2:RNZ2"/>
    <mergeCell ref="ROA2:ROM2"/>
    <mergeCell ref="RON2:ROZ2"/>
    <mergeCell ref="RPA2:RPM2"/>
    <mergeCell ref="RPN2:RPZ2"/>
    <mergeCell ref="RQA2:RQM2"/>
    <mergeCell ref="RKN2:RKZ2"/>
    <mergeCell ref="RLA2:RLM2"/>
    <mergeCell ref="RLN2:RLZ2"/>
    <mergeCell ref="RMA2:RMM2"/>
    <mergeCell ref="RMN2:RMZ2"/>
    <mergeCell ref="RNA2:RNM2"/>
    <mergeCell ref="RZN2:RZZ2"/>
    <mergeCell ref="SAA2:SAM2"/>
    <mergeCell ref="SAN2:SAZ2"/>
    <mergeCell ref="SBA2:SBM2"/>
    <mergeCell ref="SBN2:SBZ2"/>
    <mergeCell ref="SCA2:SCM2"/>
    <mergeCell ref="RWN2:RWZ2"/>
    <mergeCell ref="RXA2:RXM2"/>
    <mergeCell ref="RXN2:RXZ2"/>
    <mergeCell ref="RYA2:RYM2"/>
    <mergeCell ref="RYN2:RYZ2"/>
    <mergeCell ref="RZA2:RZM2"/>
    <mergeCell ref="RTN2:RTZ2"/>
    <mergeCell ref="RUA2:RUM2"/>
    <mergeCell ref="RUN2:RUZ2"/>
    <mergeCell ref="RVA2:RVM2"/>
    <mergeCell ref="RVN2:RVZ2"/>
    <mergeCell ref="RWA2:RWM2"/>
    <mergeCell ref="SIN2:SIZ2"/>
    <mergeCell ref="SJA2:SJM2"/>
    <mergeCell ref="SJN2:SJZ2"/>
    <mergeCell ref="SKA2:SKM2"/>
    <mergeCell ref="SKN2:SKZ2"/>
    <mergeCell ref="SLA2:SLM2"/>
    <mergeCell ref="SFN2:SFZ2"/>
    <mergeCell ref="SGA2:SGM2"/>
    <mergeCell ref="SGN2:SGZ2"/>
    <mergeCell ref="SHA2:SHM2"/>
    <mergeCell ref="SHN2:SHZ2"/>
    <mergeCell ref="SIA2:SIM2"/>
    <mergeCell ref="SCN2:SCZ2"/>
    <mergeCell ref="SDA2:SDM2"/>
    <mergeCell ref="SDN2:SDZ2"/>
    <mergeCell ref="SEA2:SEM2"/>
    <mergeCell ref="SEN2:SEZ2"/>
    <mergeCell ref="SFA2:SFM2"/>
    <mergeCell ref="SRN2:SRZ2"/>
    <mergeCell ref="SSA2:SSM2"/>
    <mergeCell ref="SSN2:SSZ2"/>
    <mergeCell ref="STA2:STM2"/>
    <mergeCell ref="STN2:STZ2"/>
    <mergeCell ref="SUA2:SUM2"/>
    <mergeCell ref="SON2:SOZ2"/>
    <mergeCell ref="SPA2:SPM2"/>
    <mergeCell ref="SPN2:SPZ2"/>
    <mergeCell ref="SQA2:SQM2"/>
    <mergeCell ref="SQN2:SQZ2"/>
    <mergeCell ref="SRA2:SRM2"/>
    <mergeCell ref="SLN2:SLZ2"/>
    <mergeCell ref="SMA2:SMM2"/>
    <mergeCell ref="SMN2:SMZ2"/>
    <mergeCell ref="SNA2:SNM2"/>
    <mergeCell ref="SNN2:SNZ2"/>
    <mergeCell ref="SOA2:SOM2"/>
    <mergeCell ref="TAN2:TAZ2"/>
    <mergeCell ref="TBA2:TBM2"/>
    <mergeCell ref="TBN2:TBZ2"/>
    <mergeCell ref="TCA2:TCM2"/>
    <mergeCell ref="TCN2:TCZ2"/>
    <mergeCell ref="TDA2:TDM2"/>
    <mergeCell ref="SXN2:SXZ2"/>
    <mergeCell ref="SYA2:SYM2"/>
    <mergeCell ref="SYN2:SYZ2"/>
    <mergeCell ref="SZA2:SZM2"/>
    <mergeCell ref="SZN2:SZZ2"/>
    <mergeCell ref="TAA2:TAM2"/>
    <mergeCell ref="SUN2:SUZ2"/>
    <mergeCell ref="SVA2:SVM2"/>
    <mergeCell ref="SVN2:SVZ2"/>
    <mergeCell ref="SWA2:SWM2"/>
    <mergeCell ref="SWN2:SWZ2"/>
    <mergeCell ref="SXA2:SXM2"/>
    <mergeCell ref="TJN2:TJZ2"/>
    <mergeCell ref="TKA2:TKM2"/>
    <mergeCell ref="TKN2:TKZ2"/>
    <mergeCell ref="TLA2:TLM2"/>
    <mergeCell ref="TLN2:TLZ2"/>
    <mergeCell ref="TMA2:TMM2"/>
    <mergeCell ref="TGN2:TGZ2"/>
    <mergeCell ref="THA2:THM2"/>
    <mergeCell ref="THN2:THZ2"/>
    <mergeCell ref="TIA2:TIM2"/>
    <mergeCell ref="TIN2:TIZ2"/>
    <mergeCell ref="TJA2:TJM2"/>
    <mergeCell ref="TDN2:TDZ2"/>
    <mergeCell ref="TEA2:TEM2"/>
    <mergeCell ref="TEN2:TEZ2"/>
    <mergeCell ref="TFA2:TFM2"/>
    <mergeCell ref="TFN2:TFZ2"/>
    <mergeCell ref="TGA2:TGM2"/>
    <mergeCell ref="TSN2:TSZ2"/>
    <mergeCell ref="TTA2:TTM2"/>
    <mergeCell ref="TTN2:TTZ2"/>
    <mergeCell ref="TUA2:TUM2"/>
    <mergeCell ref="TUN2:TUZ2"/>
    <mergeCell ref="TVA2:TVM2"/>
    <mergeCell ref="TPN2:TPZ2"/>
    <mergeCell ref="TQA2:TQM2"/>
    <mergeCell ref="TQN2:TQZ2"/>
    <mergeCell ref="TRA2:TRM2"/>
    <mergeCell ref="TRN2:TRZ2"/>
    <mergeCell ref="TSA2:TSM2"/>
    <mergeCell ref="TMN2:TMZ2"/>
    <mergeCell ref="TNA2:TNM2"/>
    <mergeCell ref="TNN2:TNZ2"/>
    <mergeCell ref="TOA2:TOM2"/>
    <mergeCell ref="TON2:TOZ2"/>
    <mergeCell ref="TPA2:TPM2"/>
    <mergeCell ref="UBN2:UBZ2"/>
    <mergeCell ref="UCA2:UCM2"/>
    <mergeCell ref="UCN2:UCZ2"/>
    <mergeCell ref="UDA2:UDM2"/>
    <mergeCell ref="UDN2:UDZ2"/>
    <mergeCell ref="UEA2:UEM2"/>
    <mergeCell ref="TYN2:TYZ2"/>
    <mergeCell ref="TZA2:TZM2"/>
    <mergeCell ref="TZN2:TZZ2"/>
    <mergeCell ref="UAA2:UAM2"/>
    <mergeCell ref="UAN2:UAZ2"/>
    <mergeCell ref="UBA2:UBM2"/>
    <mergeCell ref="TVN2:TVZ2"/>
    <mergeCell ref="TWA2:TWM2"/>
    <mergeCell ref="TWN2:TWZ2"/>
    <mergeCell ref="TXA2:TXM2"/>
    <mergeCell ref="TXN2:TXZ2"/>
    <mergeCell ref="TYA2:TYM2"/>
    <mergeCell ref="UKN2:UKZ2"/>
    <mergeCell ref="ULA2:ULM2"/>
    <mergeCell ref="ULN2:ULZ2"/>
    <mergeCell ref="UMA2:UMM2"/>
    <mergeCell ref="UMN2:UMZ2"/>
    <mergeCell ref="UNA2:UNM2"/>
    <mergeCell ref="UHN2:UHZ2"/>
    <mergeCell ref="UIA2:UIM2"/>
    <mergeCell ref="UIN2:UIZ2"/>
    <mergeCell ref="UJA2:UJM2"/>
    <mergeCell ref="UJN2:UJZ2"/>
    <mergeCell ref="UKA2:UKM2"/>
    <mergeCell ref="UEN2:UEZ2"/>
    <mergeCell ref="UFA2:UFM2"/>
    <mergeCell ref="UFN2:UFZ2"/>
    <mergeCell ref="UGA2:UGM2"/>
    <mergeCell ref="UGN2:UGZ2"/>
    <mergeCell ref="UHA2:UHM2"/>
    <mergeCell ref="UTN2:UTZ2"/>
    <mergeCell ref="UUA2:UUM2"/>
    <mergeCell ref="UUN2:UUZ2"/>
    <mergeCell ref="UVA2:UVM2"/>
    <mergeCell ref="UVN2:UVZ2"/>
    <mergeCell ref="UWA2:UWM2"/>
    <mergeCell ref="UQN2:UQZ2"/>
    <mergeCell ref="URA2:URM2"/>
    <mergeCell ref="URN2:URZ2"/>
    <mergeCell ref="USA2:USM2"/>
    <mergeCell ref="USN2:USZ2"/>
    <mergeCell ref="UTA2:UTM2"/>
    <mergeCell ref="UNN2:UNZ2"/>
    <mergeCell ref="UOA2:UOM2"/>
    <mergeCell ref="UON2:UOZ2"/>
    <mergeCell ref="UPA2:UPM2"/>
    <mergeCell ref="UPN2:UPZ2"/>
    <mergeCell ref="UQA2:UQM2"/>
    <mergeCell ref="VCN2:VCZ2"/>
    <mergeCell ref="VDA2:VDM2"/>
    <mergeCell ref="VDN2:VDZ2"/>
    <mergeCell ref="VEA2:VEM2"/>
    <mergeCell ref="VEN2:VEZ2"/>
    <mergeCell ref="VFA2:VFM2"/>
    <mergeCell ref="UZN2:UZZ2"/>
    <mergeCell ref="VAA2:VAM2"/>
    <mergeCell ref="VAN2:VAZ2"/>
    <mergeCell ref="VBA2:VBM2"/>
    <mergeCell ref="VBN2:VBZ2"/>
    <mergeCell ref="VCA2:VCM2"/>
    <mergeCell ref="UWN2:UWZ2"/>
    <mergeCell ref="UXA2:UXM2"/>
    <mergeCell ref="UXN2:UXZ2"/>
    <mergeCell ref="UYA2:UYM2"/>
    <mergeCell ref="UYN2:UYZ2"/>
    <mergeCell ref="UZA2:UZM2"/>
    <mergeCell ref="VLN2:VLZ2"/>
    <mergeCell ref="VMA2:VMM2"/>
    <mergeCell ref="VMN2:VMZ2"/>
    <mergeCell ref="VNA2:VNM2"/>
    <mergeCell ref="VNN2:VNZ2"/>
    <mergeCell ref="VOA2:VOM2"/>
    <mergeCell ref="VIN2:VIZ2"/>
    <mergeCell ref="VJA2:VJM2"/>
    <mergeCell ref="VJN2:VJZ2"/>
    <mergeCell ref="VKA2:VKM2"/>
    <mergeCell ref="VKN2:VKZ2"/>
    <mergeCell ref="VLA2:VLM2"/>
    <mergeCell ref="VFN2:VFZ2"/>
    <mergeCell ref="VGA2:VGM2"/>
    <mergeCell ref="VGN2:VGZ2"/>
    <mergeCell ref="VHA2:VHM2"/>
    <mergeCell ref="VHN2:VHZ2"/>
    <mergeCell ref="VIA2:VIM2"/>
    <mergeCell ref="VUN2:VUZ2"/>
    <mergeCell ref="VVA2:VVM2"/>
    <mergeCell ref="VVN2:VVZ2"/>
    <mergeCell ref="VWA2:VWM2"/>
    <mergeCell ref="VWN2:VWZ2"/>
    <mergeCell ref="VXA2:VXM2"/>
    <mergeCell ref="VRN2:VRZ2"/>
    <mergeCell ref="VSA2:VSM2"/>
    <mergeCell ref="VSN2:VSZ2"/>
    <mergeCell ref="VTA2:VTM2"/>
    <mergeCell ref="VTN2:VTZ2"/>
    <mergeCell ref="VUA2:VUM2"/>
    <mergeCell ref="VON2:VOZ2"/>
    <mergeCell ref="VPA2:VPM2"/>
    <mergeCell ref="VPN2:VPZ2"/>
    <mergeCell ref="VQA2:VQM2"/>
    <mergeCell ref="VQN2:VQZ2"/>
    <mergeCell ref="VRA2:VRM2"/>
    <mergeCell ref="WDN2:WDZ2"/>
    <mergeCell ref="WEA2:WEM2"/>
    <mergeCell ref="WEN2:WEZ2"/>
    <mergeCell ref="WFA2:WFM2"/>
    <mergeCell ref="WFN2:WFZ2"/>
    <mergeCell ref="WGA2:WGM2"/>
    <mergeCell ref="WAN2:WAZ2"/>
    <mergeCell ref="WBA2:WBM2"/>
    <mergeCell ref="WBN2:WBZ2"/>
    <mergeCell ref="WCA2:WCM2"/>
    <mergeCell ref="WCN2:WCZ2"/>
    <mergeCell ref="WDA2:WDM2"/>
    <mergeCell ref="VXN2:VXZ2"/>
    <mergeCell ref="VYA2:VYM2"/>
    <mergeCell ref="VYN2:VYZ2"/>
    <mergeCell ref="VZA2:VZM2"/>
    <mergeCell ref="VZN2:VZZ2"/>
    <mergeCell ref="WAA2:WAM2"/>
    <mergeCell ref="WMN2:WMZ2"/>
    <mergeCell ref="WNA2:WNM2"/>
    <mergeCell ref="WNN2:WNZ2"/>
    <mergeCell ref="WOA2:WOM2"/>
    <mergeCell ref="WON2:WOZ2"/>
    <mergeCell ref="WPA2:WPM2"/>
    <mergeCell ref="WJN2:WJZ2"/>
    <mergeCell ref="WKA2:WKM2"/>
    <mergeCell ref="WKN2:WKZ2"/>
    <mergeCell ref="WLA2:WLM2"/>
    <mergeCell ref="WLN2:WLZ2"/>
    <mergeCell ref="WMA2:WMM2"/>
    <mergeCell ref="WGN2:WGZ2"/>
    <mergeCell ref="WHA2:WHM2"/>
    <mergeCell ref="WHN2:WHZ2"/>
    <mergeCell ref="WIA2:WIM2"/>
    <mergeCell ref="WIN2:WIZ2"/>
    <mergeCell ref="WJA2:WJM2"/>
    <mergeCell ref="XAN2:XAZ2"/>
    <mergeCell ref="XBA2:XBM2"/>
    <mergeCell ref="WVN2:WVZ2"/>
    <mergeCell ref="WWA2:WWM2"/>
    <mergeCell ref="WWN2:WWZ2"/>
    <mergeCell ref="WXA2:WXM2"/>
    <mergeCell ref="WXN2:WXZ2"/>
    <mergeCell ref="WYA2:WYM2"/>
    <mergeCell ref="WSN2:WSZ2"/>
    <mergeCell ref="WTA2:WTM2"/>
    <mergeCell ref="WTN2:WTZ2"/>
    <mergeCell ref="WUA2:WUM2"/>
    <mergeCell ref="WUN2:WUZ2"/>
    <mergeCell ref="WVA2:WVM2"/>
    <mergeCell ref="WPN2:WPZ2"/>
    <mergeCell ref="WQA2:WQM2"/>
    <mergeCell ref="WQN2:WQZ2"/>
    <mergeCell ref="WRA2:WRM2"/>
    <mergeCell ref="WRN2:WRZ2"/>
    <mergeCell ref="WSA2:WSM2"/>
    <mergeCell ref="GN4:GZ4"/>
    <mergeCell ref="HA4:HM4"/>
    <mergeCell ref="BN4:BZ4"/>
    <mergeCell ref="CA4:CM4"/>
    <mergeCell ref="CN4:CZ4"/>
    <mergeCell ref="DA4:DM4"/>
    <mergeCell ref="DN4:DZ4"/>
    <mergeCell ref="EA4:EM4"/>
    <mergeCell ref="XEN2:XEZ2"/>
    <mergeCell ref="XFA2:XFD2"/>
    <mergeCell ref="B3:D3"/>
    <mergeCell ref="E3:G3"/>
    <mergeCell ref="H3:J3"/>
    <mergeCell ref="E4:G4"/>
    <mergeCell ref="N4:Z4"/>
    <mergeCell ref="AA4:AM4"/>
    <mergeCell ref="AN4:AZ4"/>
    <mergeCell ref="BA4:BM4"/>
    <mergeCell ref="XBN2:XBZ2"/>
    <mergeCell ref="XCA2:XCM2"/>
    <mergeCell ref="XCN2:XCZ2"/>
    <mergeCell ref="XDA2:XDM2"/>
    <mergeCell ref="XDN2:XDZ2"/>
    <mergeCell ref="XEA2:XEM2"/>
    <mergeCell ref="WYN2:WYZ2"/>
    <mergeCell ref="WZA2:WZM2"/>
    <mergeCell ref="WZN2:WZZ2"/>
    <mergeCell ref="XAA2:XAM2"/>
    <mergeCell ref="NN4:NZ4"/>
    <mergeCell ref="OA4:OM4"/>
    <mergeCell ref="ON4:OZ4"/>
    <mergeCell ref="PA4:PM4"/>
    <mergeCell ref="PN4:PZ4"/>
    <mergeCell ref="QA4:QM4"/>
    <mergeCell ref="KN4:KZ4"/>
    <mergeCell ref="LA4:LM4"/>
    <mergeCell ref="LN4:LZ4"/>
    <mergeCell ref="MA4:MM4"/>
    <mergeCell ref="MN4:MZ4"/>
    <mergeCell ref="NA4:NM4"/>
    <mergeCell ref="HN4:HZ4"/>
    <mergeCell ref="IA4:IM4"/>
    <mergeCell ref="IN4:IZ4"/>
    <mergeCell ref="JA4:JM4"/>
    <mergeCell ref="JN4:JZ4"/>
    <mergeCell ref="KA4:KM4"/>
    <mergeCell ref="WN4:WZ4"/>
    <mergeCell ref="XA4:XM4"/>
    <mergeCell ref="XN4:XZ4"/>
    <mergeCell ref="YA4:YM4"/>
    <mergeCell ref="YN4:YZ4"/>
    <mergeCell ref="ZA4:ZM4"/>
    <mergeCell ref="TN4:TZ4"/>
    <mergeCell ref="UA4:UM4"/>
    <mergeCell ref="UN4:UZ4"/>
    <mergeCell ref="VA4:VM4"/>
    <mergeCell ref="VN4:VZ4"/>
    <mergeCell ref="WA4:WM4"/>
    <mergeCell ref="QN4:QZ4"/>
    <mergeCell ref="RA4:RM4"/>
    <mergeCell ref="RN4:RZ4"/>
    <mergeCell ref="SA4:SM4"/>
    <mergeCell ref="SN4:SZ4"/>
    <mergeCell ref="TA4:TM4"/>
    <mergeCell ref="AFN4:AFZ4"/>
    <mergeCell ref="AGA4:AGM4"/>
    <mergeCell ref="AGN4:AGZ4"/>
    <mergeCell ref="AHA4:AHM4"/>
    <mergeCell ref="AHN4:AHZ4"/>
    <mergeCell ref="AIA4:AIM4"/>
    <mergeCell ref="ACN4:ACZ4"/>
    <mergeCell ref="ADA4:ADM4"/>
    <mergeCell ref="ADN4:ADZ4"/>
    <mergeCell ref="AEA4:AEM4"/>
    <mergeCell ref="AEN4:AEZ4"/>
    <mergeCell ref="AFA4:AFM4"/>
    <mergeCell ref="ZN4:ZZ4"/>
    <mergeCell ref="AAA4:AAM4"/>
    <mergeCell ref="AAN4:AAZ4"/>
    <mergeCell ref="ABA4:ABM4"/>
    <mergeCell ref="ABN4:ABZ4"/>
    <mergeCell ref="ACA4:ACM4"/>
    <mergeCell ref="AON4:AOZ4"/>
    <mergeCell ref="APA4:APM4"/>
    <mergeCell ref="APN4:APZ4"/>
    <mergeCell ref="AQA4:AQM4"/>
    <mergeCell ref="AQN4:AQZ4"/>
    <mergeCell ref="ARA4:ARM4"/>
    <mergeCell ref="ALN4:ALZ4"/>
    <mergeCell ref="AMA4:AMM4"/>
    <mergeCell ref="AMN4:AMZ4"/>
    <mergeCell ref="ANA4:ANM4"/>
    <mergeCell ref="ANN4:ANZ4"/>
    <mergeCell ref="AOA4:AOM4"/>
    <mergeCell ref="AIN4:AIZ4"/>
    <mergeCell ref="AJA4:AJM4"/>
    <mergeCell ref="AJN4:AJZ4"/>
    <mergeCell ref="AKA4:AKM4"/>
    <mergeCell ref="AKN4:AKZ4"/>
    <mergeCell ref="ALA4:ALM4"/>
    <mergeCell ref="AXN4:AXZ4"/>
    <mergeCell ref="AYA4:AYM4"/>
    <mergeCell ref="AYN4:AYZ4"/>
    <mergeCell ref="AZA4:AZM4"/>
    <mergeCell ref="AZN4:AZZ4"/>
    <mergeCell ref="BAA4:BAM4"/>
    <mergeCell ref="AUN4:AUZ4"/>
    <mergeCell ref="AVA4:AVM4"/>
    <mergeCell ref="AVN4:AVZ4"/>
    <mergeCell ref="AWA4:AWM4"/>
    <mergeCell ref="AWN4:AWZ4"/>
    <mergeCell ref="AXA4:AXM4"/>
    <mergeCell ref="ARN4:ARZ4"/>
    <mergeCell ref="ASA4:ASM4"/>
    <mergeCell ref="ASN4:ASZ4"/>
    <mergeCell ref="ATA4:ATM4"/>
    <mergeCell ref="ATN4:ATZ4"/>
    <mergeCell ref="AUA4:AUM4"/>
    <mergeCell ref="BGN4:BGZ4"/>
    <mergeCell ref="BHA4:BHM4"/>
    <mergeCell ref="BHN4:BHZ4"/>
    <mergeCell ref="BIA4:BIM4"/>
    <mergeCell ref="BIN4:BIZ4"/>
    <mergeCell ref="BJA4:BJM4"/>
    <mergeCell ref="BDN4:BDZ4"/>
    <mergeCell ref="BEA4:BEM4"/>
    <mergeCell ref="BEN4:BEZ4"/>
    <mergeCell ref="BFA4:BFM4"/>
    <mergeCell ref="BFN4:BFZ4"/>
    <mergeCell ref="BGA4:BGM4"/>
    <mergeCell ref="BAN4:BAZ4"/>
    <mergeCell ref="BBA4:BBM4"/>
    <mergeCell ref="BBN4:BBZ4"/>
    <mergeCell ref="BCA4:BCM4"/>
    <mergeCell ref="BCN4:BCZ4"/>
    <mergeCell ref="BDA4:BDM4"/>
    <mergeCell ref="BPN4:BPZ4"/>
    <mergeCell ref="BQA4:BQM4"/>
    <mergeCell ref="BQN4:BQZ4"/>
    <mergeCell ref="BRA4:BRM4"/>
    <mergeCell ref="BRN4:BRZ4"/>
    <mergeCell ref="BSA4:BSM4"/>
    <mergeCell ref="BMN4:BMZ4"/>
    <mergeCell ref="BNA4:BNM4"/>
    <mergeCell ref="BNN4:BNZ4"/>
    <mergeCell ref="BOA4:BOM4"/>
    <mergeCell ref="BON4:BOZ4"/>
    <mergeCell ref="BPA4:BPM4"/>
    <mergeCell ref="BJN4:BJZ4"/>
    <mergeCell ref="BKA4:BKM4"/>
    <mergeCell ref="BKN4:BKZ4"/>
    <mergeCell ref="BLA4:BLM4"/>
    <mergeCell ref="BLN4:BLZ4"/>
    <mergeCell ref="BMA4:BMM4"/>
    <mergeCell ref="BYN4:BYZ4"/>
    <mergeCell ref="BZA4:BZM4"/>
    <mergeCell ref="BZN4:BZZ4"/>
    <mergeCell ref="CAA4:CAM4"/>
    <mergeCell ref="CAN4:CAZ4"/>
    <mergeCell ref="CBA4:CBM4"/>
    <mergeCell ref="BVN4:BVZ4"/>
    <mergeCell ref="BWA4:BWM4"/>
    <mergeCell ref="BWN4:BWZ4"/>
    <mergeCell ref="BXA4:BXM4"/>
    <mergeCell ref="BXN4:BXZ4"/>
    <mergeCell ref="BYA4:BYM4"/>
    <mergeCell ref="BSN4:BSZ4"/>
    <mergeCell ref="BTA4:BTM4"/>
    <mergeCell ref="BTN4:BTZ4"/>
    <mergeCell ref="BUA4:BUM4"/>
    <mergeCell ref="BUN4:BUZ4"/>
    <mergeCell ref="BVA4:BVM4"/>
    <mergeCell ref="CHN4:CHZ4"/>
    <mergeCell ref="CIA4:CIM4"/>
    <mergeCell ref="CIN4:CIZ4"/>
    <mergeCell ref="CJA4:CJM4"/>
    <mergeCell ref="CJN4:CJZ4"/>
    <mergeCell ref="CKA4:CKM4"/>
    <mergeCell ref="CEN4:CEZ4"/>
    <mergeCell ref="CFA4:CFM4"/>
    <mergeCell ref="CFN4:CFZ4"/>
    <mergeCell ref="CGA4:CGM4"/>
    <mergeCell ref="CGN4:CGZ4"/>
    <mergeCell ref="CHA4:CHM4"/>
    <mergeCell ref="CBN4:CBZ4"/>
    <mergeCell ref="CCA4:CCM4"/>
    <mergeCell ref="CCN4:CCZ4"/>
    <mergeCell ref="CDA4:CDM4"/>
    <mergeCell ref="CDN4:CDZ4"/>
    <mergeCell ref="CEA4:CEM4"/>
    <mergeCell ref="CQN4:CQZ4"/>
    <mergeCell ref="CRA4:CRM4"/>
    <mergeCell ref="CRN4:CRZ4"/>
    <mergeCell ref="CSA4:CSM4"/>
    <mergeCell ref="CSN4:CSZ4"/>
    <mergeCell ref="CTA4:CTM4"/>
    <mergeCell ref="CNN4:CNZ4"/>
    <mergeCell ref="COA4:COM4"/>
    <mergeCell ref="CON4:COZ4"/>
    <mergeCell ref="CPA4:CPM4"/>
    <mergeCell ref="CPN4:CPZ4"/>
    <mergeCell ref="CQA4:CQM4"/>
    <mergeCell ref="CKN4:CKZ4"/>
    <mergeCell ref="CLA4:CLM4"/>
    <mergeCell ref="CLN4:CLZ4"/>
    <mergeCell ref="CMA4:CMM4"/>
    <mergeCell ref="CMN4:CMZ4"/>
    <mergeCell ref="CNA4:CNM4"/>
    <mergeCell ref="CZN4:CZZ4"/>
    <mergeCell ref="DAA4:DAM4"/>
    <mergeCell ref="DAN4:DAZ4"/>
    <mergeCell ref="DBA4:DBM4"/>
    <mergeCell ref="DBN4:DBZ4"/>
    <mergeCell ref="DCA4:DCM4"/>
    <mergeCell ref="CWN4:CWZ4"/>
    <mergeCell ref="CXA4:CXM4"/>
    <mergeCell ref="CXN4:CXZ4"/>
    <mergeCell ref="CYA4:CYM4"/>
    <mergeCell ref="CYN4:CYZ4"/>
    <mergeCell ref="CZA4:CZM4"/>
    <mergeCell ref="CTN4:CTZ4"/>
    <mergeCell ref="CUA4:CUM4"/>
    <mergeCell ref="CUN4:CUZ4"/>
    <mergeCell ref="CVA4:CVM4"/>
    <mergeCell ref="CVN4:CVZ4"/>
    <mergeCell ref="CWA4:CWM4"/>
    <mergeCell ref="DIN4:DIZ4"/>
    <mergeCell ref="DJA4:DJM4"/>
    <mergeCell ref="DJN4:DJZ4"/>
    <mergeCell ref="DKA4:DKM4"/>
    <mergeCell ref="DKN4:DKZ4"/>
    <mergeCell ref="DLA4:DLM4"/>
    <mergeCell ref="DFN4:DFZ4"/>
    <mergeCell ref="DGA4:DGM4"/>
    <mergeCell ref="DGN4:DGZ4"/>
    <mergeCell ref="DHA4:DHM4"/>
    <mergeCell ref="DHN4:DHZ4"/>
    <mergeCell ref="DIA4:DIM4"/>
    <mergeCell ref="DCN4:DCZ4"/>
    <mergeCell ref="DDA4:DDM4"/>
    <mergeCell ref="DDN4:DDZ4"/>
    <mergeCell ref="DEA4:DEM4"/>
    <mergeCell ref="DEN4:DEZ4"/>
    <mergeCell ref="DFA4:DFM4"/>
    <mergeCell ref="DRN4:DRZ4"/>
    <mergeCell ref="DSA4:DSM4"/>
    <mergeCell ref="DSN4:DSZ4"/>
    <mergeCell ref="DTA4:DTM4"/>
    <mergeCell ref="DTN4:DTZ4"/>
    <mergeCell ref="DUA4:DUM4"/>
    <mergeCell ref="DON4:DOZ4"/>
    <mergeCell ref="DPA4:DPM4"/>
    <mergeCell ref="DPN4:DPZ4"/>
    <mergeCell ref="DQA4:DQM4"/>
    <mergeCell ref="DQN4:DQZ4"/>
    <mergeCell ref="DRA4:DRM4"/>
    <mergeCell ref="DLN4:DLZ4"/>
    <mergeCell ref="DMA4:DMM4"/>
    <mergeCell ref="DMN4:DMZ4"/>
    <mergeCell ref="DNA4:DNM4"/>
    <mergeCell ref="DNN4:DNZ4"/>
    <mergeCell ref="DOA4:DOM4"/>
    <mergeCell ref="EAN4:EAZ4"/>
    <mergeCell ref="EBA4:EBM4"/>
    <mergeCell ref="EBN4:EBZ4"/>
    <mergeCell ref="ECA4:ECM4"/>
    <mergeCell ref="ECN4:ECZ4"/>
    <mergeCell ref="EDA4:EDM4"/>
    <mergeCell ref="DXN4:DXZ4"/>
    <mergeCell ref="DYA4:DYM4"/>
    <mergeCell ref="DYN4:DYZ4"/>
    <mergeCell ref="DZA4:DZM4"/>
    <mergeCell ref="DZN4:DZZ4"/>
    <mergeCell ref="EAA4:EAM4"/>
    <mergeCell ref="DUN4:DUZ4"/>
    <mergeCell ref="DVA4:DVM4"/>
    <mergeCell ref="DVN4:DVZ4"/>
    <mergeCell ref="DWA4:DWM4"/>
    <mergeCell ref="DWN4:DWZ4"/>
    <mergeCell ref="DXA4:DXM4"/>
    <mergeCell ref="EJN4:EJZ4"/>
    <mergeCell ref="EKA4:EKM4"/>
    <mergeCell ref="EKN4:EKZ4"/>
    <mergeCell ref="ELA4:ELM4"/>
    <mergeCell ref="ELN4:ELZ4"/>
    <mergeCell ref="EMA4:EMM4"/>
    <mergeCell ref="EGN4:EGZ4"/>
    <mergeCell ref="EHA4:EHM4"/>
    <mergeCell ref="EHN4:EHZ4"/>
    <mergeCell ref="EIA4:EIM4"/>
    <mergeCell ref="EIN4:EIZ4"/>
    <mergeCell ref="EJA4:EJM4"/>
    <mergeCell ref="EDN4:EDZ4"/>
    <mergeCell ref="EEA4:EEM4"/>
    <mergeCell ref="EEN4:EEZ4"/>
    <mergeCell ref="EFA4:EFM4"/>
    <mergeCell ref="EFN4:EFZ4"/>
    <mergeCell ref="EGA4:EGM4"/>
    <mergeCell ref="ESN4:ESZ4"/>
    <mergeCell ref="ETA4:ETM4"/>
    <mergeCell ref="ETN4:ETZ4"/>
    <mergeCell ref="EUA4:EUM4"/>
    <mergeCell ref="EUN4:EUZ4"/>
    <mergeCell ref="EVA4:EVM4"/>
    <mergeCell ref="EPN4:EPZ4"/>
    <mergeCell ref="EQA4:EQM4"/>
    <mergeCell ref="EQN4:EQZ4"/>
    <mergeCell ref="ERA4:ERM4"/>
    <mergeCell ref="ERN4:ERZ4"/>
    <mergeCell ref="ESA4:ESM4"/>
    <mergeCell ref="EMN4:EMZ4"/>
    <mergeCell ref="ENA4:ENM4"/>
    <mergeCell ref="ENN4:ENZ4"/>
    <mergeCell ref="EOA4:EOM4"/>
    <mergeCell ref="EON4:EOZ4"/>
    <mergeCell ref="EPA4:EPM4"/>
    <mergeCell ref="FBN4:FBZ4"/>
    <mergeCell ref="FCA4:FCM4"/>
    <mergeCell ref="FCN4:FCZ4"/>
    <mergeCell ref="FDA4:FDM4"/>
    <mergeCell ref="FDN4:FDZ4"/>
    <mergeCell ref="FEA4:FEM4"/>
    <mergeCell ref="EYN4:EYZ4"/>
    <mergeCell ref="EZA4:EZM4"/>
    <mergeCell ref="EZN4:EZZ4"/>
    <mergeCell ref="FAA4:FAM4"/>
    <mergeCell ref="FAN4:FAZ4"/>
    <mergeCell ref="FBA4:FBM4"/>
    <mergeCell ref="EVN4:EVZ4"/>
    <mergeCell ref="EWA4:EWM4"/>
    <mergeCell ref="EWN4:EWZ4"/>
    <mergeCell ref="EXA4:EXM4"/>
    <mergeCell ref="EXN4:EXZ4"/>
    <mergeCell ref="EYA4:EYM4"/>
    <mergeCell ref="FKN4:FKZ4"/>
    <mergeCell ref="FLA4:FLM4"/>
    <mergeCell ref="FLN4:FLZ4"/>
    <mergeCell ref="FMA4:FMM4"/>
    <mergeCell ref="FMN4:FMZ4"/>
    <mergeCell ref="FNA4:FNM4"/>
    <mergeCell ref="FHN4:FHZ4"/>
    <mergeCell ref="FIA4:FIM4"/>
    <mergeCell ref="FIN4:FIZ4"/>
    <mergeCell ref="FJA4:FJM4"/>
    <mergeCell ref="FJN4:FJZ4"/>
    <mergeCell ref="FKA4:FKM4"/>
    <mergeCell ref="FEN4:FEZ4"/>
    <mergeCell ref="FFA4:FFM4"/>
    <mergeCell ref="FFN4:FFZ4"/>
    <mergeCell ref="FGA4:FGM4"/>
    <mergeCell ref="FGN4:FGZ4"/>
    <mergeCell ref="FHA4:FHM4"/>
    <mergeCell ref="FTN4:FTZ4"/>
    <mergeCell ref="FUA4:FUM4"/>
    <mergeCell ref="FUN4:FUZ4"/>
    <mergeCell ref="FVA4:FVM4"/>
    <mergeCell ref="FVN4:FVZ4"/>
    <mergeCell ref="FWA4:FWM4"/>
    <mergeCell ref="FQN4:FQZ4"/>
    <mergeCell ref="FRA4:FRM4"/>
    <mergeCell ref="FRN4:FRZ4"/>
    <mergeCell ref="FSA4:FSM4"/>
    <mergeCell ref="FSN4:FSZ4"/>
    <mergeCell ref="FTA4:FTM4"/>
    <mergeCell ref="FNN4:FNZ4"/>
    <mergeCell ref="FOA4:FOM4"/>
    <mergeCell ref="FON4:FOZ4"/>
    <mergeCell ref="FPA4:FPM4"/>
    <mergeCell ref="FPN4:FPZ4"/>
    <mergeCell ref="FQA4:FQM4"/>
    <mergeCell ref="GCN4:GCZ4"/>
    <mergeCell ref="GDA4:GDM4"/>
    <mergeCell ref="GDN4:GDZ4"/>
    <mergeCell ref="GEA4:GEM4"/>
    <mergeCell ref="GEN4:GEZ4"/>
    <mergeCell ref="GFA4:GFM4"/>
    <mergeCell ref="FZN4:FZZ4"/>
    <mergeCell ref="GAA4:GAM4"/>
    <mergeCell ref="GAN4:GAZ4"/>
    <mergeCell ref="GBA4:GBM4"/>
    <mergeCell ref="GBN4:GBZ4"/>
    <mergeCell ref="GCA4:GCM4"/>
    <mergeCell ref="FWN4:FWZ4"/>
    <mergeCell ref="FXA4:FXM4"/>
    <mergeCell ref="FXN4:FXZ4"/>
    <mergeCell ref="FYA4:FYM4"/>
    <mergeCell ref="FYN4:FYZ4"/>
    <mergeCell ref="FZA4:FZM4"/>
    <mergeCell ref="GLN4:GLZ4"/>
    <mergeCell ref="GMA4:GMM4"/>
    <mergeCell ref="GMN4:GMZ4"/>
    <mergeCell ref="GNA4:GNM4"/>
    <mergeCell ref="GNN4:GNZ4"/>
    <mergeCell ref="GOA4:GOM4"/>
    <mergeCell ref="GIN4:GIZ4"/>
    <mergeCell ref="GJA4:GJM4"/>
    <mergeCell ref="GJN4:GJZ4"/>
    <mergeCell ref="GKA4:GKM4"/>
    <mergeCell ref="GKN4:GKZ4"/>
    <mergeCell ref="GLA4:GLM4"/>
    <mergeCell ref="GFN4:GFZ4"/>
    <mergeCell ref="GGA4:GGM4"/>
    <mergeCell ref="GGN4:GGZ4"/>
    <mergeCell ref="GHA4:GHM4"/>
    <mergeCell ref="GHN4:GHZ4"/>
    <mergeCell ref="GIA4:GIM4"/>
    <mergeCell ref="GUN4:GUZ4"/>
    <mergeCell ref="GVA4:GVM4"/>
    <mergeCell ref="GVN4:GVZ4"/>
    <mergeCell ref="GWA4:GWM4"/>
    <mergeCell ref="GWN4:GWZ4"/>
    <mergeCell ref="GXA4:GXM4"/>
    <mergeCell ref="GRN4:GRZ4"/>
    <mergeCell ref="GSA4:GSM4"/>
    <mergeCell ref="GSN4:GSZ4"/>
    <mergeCell ref="GTA4:GTM4"/>
    <mergeCell ref="GTN4:GTZ4"/>
    <mergeCell ref="GUA4:GUM4"/>
    <mergeCell ref="GON4:GOZ4"/>
    <mergeCell ref="GPA4:GPM4"/>
    <mergeCell ref="GPN4:GPZ4"/>
    <mergeCell ref="GQA4:GQM4"/>
    <mergeCell ref="GQN4:GQZ4"/>
    <mergeCell ref="GRA4:GRM4"/>
    <mergeCell ref="HDN4:HDZ4"/>
    <mergeCell ref="HEA4:HEM4"/>
    <mergeCell ref="HEN4:HEZ4"/>
    <mergeCell ref="HFA4:HFM4"/>
    <mergeCell ref="HFN4:HFZ4"/>
    <mergeCell ref="HGA4:HGM4"/>
    <mergeCell ref="HAN4:HAZ4"/>
    <mergeCell ref="HBA4:HBM4"/>
    <mergeCell ref="HBN4:HBZ4"/>
    <mergeCell ref="HCA4:HCM4"/>
    <mergeCell ref="HCN4:HCZ4"/>
    <mergeCell ref="HDA4:HDM4"/>
    <mergeCell ref="GXN4:GXZ4"/>
    <mergeCell ref="GYA4:GYM4"/>
    <mergeCell ref="GYN4:GYZ4"/>
    <mergeCell ref="GZA4:GZM4"/>
    <mergeCell ref="GZN4:GZZ4"/>
    <mergeCell ref="HAA4:HAM4"/>
    <mergeCell ref="HMN4:HMZ4"/>
    <mergeCell ref="HNA4:HNM4"/>
    <mergeCell ref="HNN4:HNZ4"/>
    <mergeCell ref="HOA4:HOM4"/>
    <mergeCell ref="HON4:HOZ4"/>
    <mergeCell ref="HPA4:HPM4"/>
    <mergeCell ref="HJN4:HJZ4"/>
    <mergeCell ref="HKA4:HKM4"/>
    <mergeCell ref="HKN4:HKZ4"/>
    <mergeCell ref="HLA4:HLM4"/>
    <mergeCell ref="HLN4:HLZ4"/>
    <mergeCell ref="HMA4:HMM4"/>
    <mergeCell ref="HGN4:HGZ4"/>
    <mergeCell ref="HHA4:HHM4"/>
    <mergeCell ref="HHN4:HHZ4"/>
    <mergeCell ref="HIA4:HIM4"/>
    <mergeCell ref="HIN4:HIZ4"/>
    <mergeCell ref="HJA4:HJM4"/>
    <mergeCell ref="HVN4:HVZ4"/>
    <mergeCell ref="HWA4:HWM4"/>
    <mergeCell ref="HWN4:HWZ4"/>
    <mergeCell ref="HXA4:HXM4"/>
    <mergeCell ref="HXN4:HXZ4"/>
    <mergeCell ref="HYA4:HYM4"/>
    <mergeCell ref="HSN4:HSZ4"/>
    <mergeCell ref="HTA4:HTM4"/>
    <mergeCell ref="HTN4:HTZ4"/>
    <mergeCell ref="HUA4:HUM4"/>
    <mergeCell ref="HUN4:HUZ4"/>
    <mergeCell ref="HVA4:HVM4"/>
    <mergeCell ref="HPN4:HPZ4"/>
    <mergeCell ref="HQA4:HQM4"/>
    <mergeCell ref="HQN4:HQZ4"/>
    <mergeCell ref="HRA4:HRM4"/>
    <mergeCell ref="HRN4:HRZ4"/>
    <mergeCell ref="HSA4:HSM4"/>
    <mergeCell ref="IEN4:IEZ4"/>
    <mergeCell ref="IFA4:IFM4"/>
    <mergeCell ref="IFN4:IFZ4"/>
    <mergeCell ref="IGA4:IGM4"/>
    <mergeCell ref="IGN4:IGZ4"/>
    <mergeCell ref="IHA4:IHM4"/>
    <mergeCell ref="IBN4:IBZ4"/>
    <mergeCell ref="ICA4:ICM4"/>
    <mergeCell ref="ICN4:ICZ4"/>
    <mergeCell ref="IDA4:IDM4"/>
    <mergeCell ref="IDN4:IDZ4"/>
    <mergeCell ref="IEA4:IEM4"/>
    <mergeCell ref="HYN4:HYZ4"/>
    <mergeCell ref="HZA4:HZM4"/>
    <mergeCell ref="HZN4:HZZ4"/>
    <mergeCell ref="IAA4:IAM4"/>
    <mergeCell ref="IAN4:IAZ4"/>
    <mergeCell ref="IBA4:IBM4"/>
    <mergeCell ref="INN4:INZ4"/>
    <mergeCell ref="IOA4:IOM4"/>
    <mergeCell ref="ION4:IOZ4"/>
    <mergeCell ref="IPA4:IPM4"/>
    <mergeCell ref="IPN4:IPZ4"/>
    <mergeCell ref="IQA4:IQM4"/>
    <mergeCell ref="IKN4:IKZ4"/>
    <mergeCell ref="ILA4:ILM4"/>
    <mergeCell ref="ILN4:ILZ4"/>
    <mergeCell ref="IMA4:IMM4"/>
    <mergeCell ref="IMN4:IMZ4"/>
    <mergeCell ref="INA4:INM4"/>
    <mergeCell ref="IHN4:IHZ4"/>
    <mergeCell ref="IIA4:IIM4"/>
    <mergeCell ref="IIN4:IIZ4"/>
    <mergeCell ref="IJA4:IJM4"/>
    <mergeCell ref="IJN4:IJZ4"/>
    <mergeCell ref="IKA4:IKM4"/>
    <mergeCell ref="IWN4:IWZ4"/>
    <mergeCell ref="IXA4:IXM4"/>
    <mergeCell ref="IXN4:IXZ4"/>
    <mergeCell ref="IYA4:IYM4"/>
    <mergeCell ref="IYN4:IYZ4"/>
    <mergeCell ref="IZA4:IZM4"/>
    <mergeCell ref="ITN4:ITZ4"/>
    <mergeCell ref="IUA4:IUM4"/>
    <mergeCell ref="IUN4:IUZ4"/>
    <mergeCell ref="IVA4:IVM4"/>
    <mergeCell ref="IVN4:IVZ4"/>
    <mergeCell ref="IWA4:IWM4"/>
    <mergeCell ref="IQN4:IQZ4"/>
    <mergeCell ref="IRA4:IRM4"/>
    <mergeCell ref="IRN4:IRZ4"/>
    <mergeCell ref="ISA4:ISM4"/>
    <mergeCell ref="ISN4:ISZ4"/>
    <mergeCell ref="ITA4:ITM4"/>
    <mergeCell ref="JFN4:JFZ4"/>
    <mergeCell ref="JGA4:JGM4"/>
    <mergeCell ref="JGN4:JGZ4"/>
    <mergeCell ref="JHA4:JHM4"/>
    <mergeCell ref="JHN4:JHZ4"/>
    <mergeCell ref="JIA4:JIM4"/>
    <mergeCell ref="JCN4:JCZ4"/>
    <mergeCell ref="JDA4:JDM4"/>
    <mergeCell ref="JDN4:JDZ4"/>
    <mergeCell ref="JEA4:JEM4"/>
    <mergeCell ref="JEN4:JEZ4"/>
    <mergeCell ref="JFA4:JFM4"/>
    <mergeCell ref="IZN4:IZZ4"/>
    <mergeCell ref="JAA4:JAM4"/>
    <mergeCell ref="JAN4:JAZ4"/>
    <mergeCell ref="JBA4:JBM4"/>
    <mergeCell ref="JBN4:JBZ4"/>
    <mergeCell ref="JCA4:JCM4"/>
    <mergeCell ref="JON4:JOZ4"/>
    <mergeCell ref="JPA4:JPM4"/>
    <mergeCell ref="JPN4:JPZ4"/>
    <mergeCell ref="JQA4:JQM4"/>
    <mergeCell ref="JQN4:JQZ4"/>
    <mergeCell ref="JRA4:JRM4"/>
    <mergeCell ref="JLN4:JLZ4"/>
    <mergeCell ref="JMA4:JMM4"/>
    <mergeCell ref="JMN4:JMZ4"/>
    <mergeCell ref="JNA4:JNM4"/>
    <mergeCell ref="JNN4:JNZ4"/>
    <mergeCell ref="JOA4:JOM4"/>
    <mergeCell ref="JIN4:JIZ4"/>
    <mergeCell ref="JJA4:JJM4"/>
    <mergeCell ref="JJN4:JJZ4"/>
    <mergeCell ref="JKA4:JKM4"/>
    <mergeCell ref="JKN4:JKZ4"/>
    <mergeCell ref="JLA4:JLM4"/>
    <mergeCell ref="JXN4:JXZ4"/>
    <mergeCell ref="JYA4:JYM4"/>
    <mergeCell ref="JYN4:JYZ4"/>
    <mergeCell ref="JZA4:JZM4"/>
    <mergeCell ref="JZN4:JZZ4"/>
    <mergeCell ref="KAA4:KAM4"/>
    <mergeCell ref="JUN4:JUZ4"/>
    <mergeCell ref="JVA4:JVM4"/>
    <mergeCell ref="JVN4:JVZ4"/>
    <mergeCell ref="JWA4:JWM4"/>
    <mergeCell ref="JWN4:JWZ4"/>
    <mergeCell ref="JXA4:JXM4"/>
    <mergeCell ref="JRN4:JRZ4"/>
    <mergeCell ref="JSA4:JSM4"/>
    <mergeCell ref="JSN4:JSZ4"/>
    <mergeCell ref="JTA4:JTM4"/>
    <mergeCell ref="JTN4:JTZ4"/>
    <mergeCell ref="JUA4:JUM4"/>
    <mergeCell ref="KGN4:KGZ4"/>
    <mergeCell ref="KHA4:KHM4"/>
    <mergeCell ref="KHN4:KHZ4"/>
    <mergeCell ref="KIA4:KIM4"/>
    <mergeCell ref="KIN4:KIZ4"/>
    <mergeCell ref="KJA4:KJM4"/>
    <mergeCell ref="KDN4:KDZ4"/>
    <mergeCell ref="KEA4:KEM4"/>
    <mergeCell ref="KEN4:KEZ4"/>
    <mergeCell ref="KFA4:KFM4"/>
    <mergeCell ref="KFN4:KFZ4"/>
    <mergeCell ref="KGA4:KGM4"/>
    <mergeCell ref="KAN4:KAZ4"/>
    <mergeCell ref="KBA4:KBM4"/>
    <mergeCell ref="KBN4:KBZ4"/>
    <mergeCell ref="KCA4:KCM4"/>
    <mergeCell ref="KCN4:KCZ4"/>
    <mergeCell ref="KDA4:KDM4"/>
    <mergeCell ref="KPN4:KPZ4"/>
    <mergeCell ref="KQA4:KQM4"/>
    <mergeCell ref="KQN4:KQZ4"/>
    <mergeCell ref="KRA4:KRM4"/>
    <mergeCell ref="KRN4:KRZ4"/>
    <mergeCell ref="KSA4:KSM4"/>
    <mergeCell ref="KMN4:KMZ4"/>
    <mergeCell ref="KNA4:KNM4"/>
    <mergeCell ref="KNN4:KNZ4"/>
    <mergeCell ref="KOA4:KOM4"/>
    <mergeCell ref="KON4:KOZ4"/>
    <mergeCell ref="KPA4:KPM4"/>
    <mergeCell ref="KJN4:KJZ4"/>
    <mergeCell ref="KKA4:KKM4"/>
    <mergeCell ref="KKN4:KKZ4"/>
    <mergeCell ref="KLA4:KLM4"/>
    <mergeCell ref="KLN4:KLZ4"/>
    <mergeCell ref="KMA4:KMM4"/>
    <mergeCell ref="KYN4:KYZ4"/>
    <mergeCell ref="KZA4:KZM4"/>
    <mergeCell ref="KZN4:KZZ4"/>
    <mergeCell ref="LAA4:LAM4"/>
    <mergeCell ref="LAN4:LAZ4"/>
    <mergeCell ref="LBA4:LBM4"/>
    <mergeCell ref="KVN4:KVZ4"/>
    <mergeCell ref="KWA4:KWM4"/>
    <mergeCell ref="KWN4:KWZ4"/>
    <mergeCell ref="KXA4:KXM4"/>
    <mergeCell ref="KXN4:KXZ4"/>
    <mergeCell ref="KYA4:KYM4"/>
    <mergeCell ref="KSN4:KSZ4"/>
    <mergeCell ref="KTA4:KTM4"/>
    <mergeCell ref="KTN4:KTZ4"/>
    <mergeCell ref="KUA4:KUM4"/>
    <mergeCell ref="KUN4:KUZ4"/>
    <mergeCell ref="KVA4:KVM4"/>
    <mergeCell ref="LHN4:LHZ4"/>
    <mergeCell ref="LIA4:LIM4"/>
    <mergeCell ref="LIN4:LIZ4"/>
    <mergeCell ref="LJA4:LJM4"/>
    <mergeCell ref="LJN4:LJZ4"/>
    <mergeCell ref="LKA4:LKM4"/>
    <mergeCell ref="LEN4:LEZ4"/>
    <mergeCell ref="LFA4:LFM4"/>
    <mergeCell ref="LFN4:LFZ4"/>
    <mergeCell ref="LGA4:LGM4"/>
    <mergeCell ref="LGN4:LGZ4"/>
    <mergeCell ref="LHA4:LHM4"/>
    <mergeCell ref="LBN4:LBZ4"/>
    <mergeCell ref="LCA4:LCM4"/>
    <mergeCell ref="LCN4:LCZ4"/>
    <mergeCell ref="LDA4:LDM4"/>
    <mergeCell ref="LDN4:LDZ4"/>
    <mergeCell ref="LEA4:LEM4"/>
    <mergeCell ref="LQN4:LQZ4"/>
    <mergeCell ref="LRA4:LRM4"/>
    <mergeCell ref="LRN4:LRZ4"/>
    <mergeCell ref="LSA4:LSM4"/>
    <mergeCell ref="LSN4:LSZ4"/>
    <mergeCell ref="LTA4:LTM4"/>
    <mergeCell ref="LNN4:LNZ4"/>
    <mergeCell ref="LOA4:LOM4"/>
    <mergeCell ref="LON4:LOZ4"/>
    <mergeCell ref="LPA4:LPM4"/>
    <mergeCell ref="LPN4:LPZ4"/>
    <mergeCell ref="LQA4:LQM4"/>
    <mergeCell ref="LKN4:LKZ4"/>
    <mergeCell ref="LLA4:LLM4"/>
    <mergeCell ref="LLN4:LLZ4"/>
    <mergeCell ref="LMA4:LMM4"/>
    <mergeCell ref="LMN4:LMZ4"/>
    <mergeCell ref="LNA4:LNM4"/>
    <mergeCell ref="LZN4:LZZ4"/>
    <mergeCell ref="MAA4:MAM4"/>
    <mergeCell ref="MAN4:MAZ4"/>
    <mergeCell ref="MBA4:MBM4"/>
    <mergeCell ref="MBN4:MBZ4"/>
    <mergeCell ref="MCA4:MCM4"/>
    <mergeCell ref="LWN4:LWZ4"/>
    <mergeCell ref="LXA4:LXM4"/>
    <mergeCell ref="LXN4:LXZ4"/>
    <mergeCell ref="LYA4:LYM4"/>
    <mergeCell ref="LYN4:LYZ4"/>
    <mergeCell ref="LZA4:LZM4"/>
    <mergeCell ref="LTN4:LTZ4"/>
    <mergeCell ref="LUA4:LUM4"/>
    <mergeCell ref="LUN4:LUZ4"/>
    <mergeCell ref="LVA4:LVM4"/>
    <mergeCell ref="LVN4:LVZ4"/>
    <mergeCell ref="LWA4:LWM4"/>
    <mergeCell ref="MIN4:MIZ4"/>
    <mergeCell ref="MJA4:MJM4"/>
    <mergeCell ref="MJN4:MJZ4"/>
    <mergeCell ref="MKA4:MKM4"/>
    <mergeCell ref="MKN4:MKZ4"/>
    <mergeCell ref="MLA4:MLM4"/>
    <mergeCell ref="MFN4:MFZ4"/>
    <mergeCell ref="MGA4:MGM4"/>
    <mergeCell ref="MGN4:MGZ4"/>
    <mergeCell ref="MHA4:MHM4"/>
    <mergeCell ref="MHN4:MHZ4"/>
    <mergeCell ref="MIA4:MIM4"/>
    <mergeCell ref="MCN4:MCZ4"/>
    <mergeCell ref="MDA4:MDM4"/>
    <mergeCell ref="MDN4:MDZ4"/>
    <mergeCell ref="MEA4:MEM4"/>
    <mergeCell ref="MEN4:MEZ4"/>
    <mergeCell ref="MFA4:MFM4"/>
    <mergeCell ref="MRN4:MRZ4"/>
    <mergeCell ref="MSA4:MSM4"/>
    <mergeCell ref="MSN4:MSZ4"/>
    <mergeCell ref="MTA4:MTM4"/>
    <mergeCell ref="MTN4:MTZ4"/>
    <mergeCell ref="MUA4:MUM4"/>
    <mergeCell ref="MON4:MOZ4"/>
    <mergeCell ref="MPA4:MPM4"/>
    <mergeCell ref="MPN4:MPZ4"/>
    <mergeCell ref="MQA4:MQM4"/>
    <mergeCell ref="MQN4:MQZ4"/>
    <mergeCell ref="MRA4:MRM4"/>
    <mergeCell ref="MLN4:MLZ4"/>
    <mergeCell ref="MMA4:MMM4"/>
    <mergeCell ref="MMN4:MMZ4"/>
    <mergeCell ref="MNA4:MNM4"/>
    <mergeCell ref="MNN4:MNZ4"/>
    <mergeCell ref="MOA4:MOM4"/>
    <mergeCell ref="NAN4:NAZ4"/>
    <mergeCell ref="NBA4:NBM4"/>
    <mergeCell ref="NBN4:NBZ4"/>
    <mergeCell ref="NCA4:NCM4"/>
    <mergeCell ref="NCN4:NCZ4"/>
    <mergeCell ref="NDA4:NDM4"/>
    <mergeCell ref="MXN4:MXZ4"/>
    <mergeCell ref="MYA4:MYM4"/>
    <mergeCell ref="MYN4:MYZ4"/>
    <mergeCell ref="MZA4:MZM4"/>
    <mergeCell ref="MZN4:MZZ4"/>
    <mergeCell ref="NAA4:NAM4"/>
    <mergeCell ref="MUN4:MUZ4"/>
    <mergeCell ref="MVA4:MVM4"/>
    <mergeCell ref="MVN4:MVZ4"/>
    <mergeCell ref="MWA4:MWM4"/>
    <mergeCell ref="MWN4:MWZ4"/>
    <mergeCell ref="MXA4:MXM4"/>
    <mergeCell ref="NJN4:NJZ4"/>
    <mergeCell ref="NKA4:NKM4"/>
    <mergeCell ref="NKN4:NKZ4"/>
    <mergeCell ref="NLA4:NLM4"/>
    <mergeCell ref="NLN4:NLZ4"/>
    <mergeCell ref="NMA4:NMM4"/>
    <mergeCell ref="NGN4:NGZ4"/>
    <mergeCell ref="NHA4:NHM4"/>
    <mergeCell ref="NHN4:NHZ4"/>
    <mergeCell ref="NIA4:NIM4"/>
    <mergeCell ref="NIN4:NIZ4"/>
    <mergeCell ref="NJA4:NJM4"/>
    <mergeCell ref="NDN4:NDZ4"/>
    <mergeCell ref="NEA4:NEM4"/>
    <mergeCell ref="NEN4:NEZ4"/>
    <mergeCell ref="NFA4:NFM4"/>
    <mergeCell ref="NFN4:NFZ4"/>
    <mergeCell ref="NGA4:NGM4"/>
    <mergeCell ref="NSN4:NSZ4"/>
    <mergeCell ref="NTA4:NTM4"/>
    <mergeCell ref="NTN4:NTZ4"/>
    <mergeCell ref="NUA4:NUM4"/>
    <mergeCell ref="NUN4:NUZ4"/>
    <mergeCell ref="NVA4:NVM4"/>
    <mergeCell ref="NPN4:NPZ4"/>
    <mergeCell ref="NQA4:NQM4"/>
    <mergeCell ref="NQN4:NQZ4"/>
    <mergeCell ref="NRA4:NRM4"/>
    <mergeCell ref="NRN4:NRZ4"/>
    <mergeCell ref="NSA4:NSM4"/>
    <mergeCell ref="NMN4:NMZ4"/>
    <mergeCell ref="NNA4:NNM4"/>
    <mergeCell ref="NNN4:NNZ4"/>
    <mergeCell ref="NOA4:NOM4"/>
    <mergeCell ref="NON4:NOZ4"/>
    <mergeCell ref="NPA4:NPM4"/>
    <mergeCell ref="OBN4:OBZ4"/>
    <mergeCell ref="OCA4:OCM4"/>
    <mergeCell ref="OCN4:OCZ4"/>
    <mergeCell ref="ODA4:ODM4"/>
    <mergeCell ref="ODN4:ODZ4"/>
    <mergeCell ref="OEA4:OEM4"/>
    <mergeCell ref="NYN4:NYZ4"/>
    <mergeCell ref="NZA4:NZM4"/>
    <mergeCell ref="NZN4:NZZ4"/>
    <mergeCell ref="OAA4:OAM4"/>
    <mergeCell ref="OAN4:OAZ4"/>
    <mergeCell ref="OBA4:OBM4"/>
    <mergeCell ref="NVN4:NVZ4"/>
    <mergeCell ref="NWA4:NWM4"/>
    <mergeCell ref="NWN4:NWZ4"/>
    <mergeCell ref="NXA4:NXM4"/>
    <mergeCell ref="NXN4:NXZ4"/>
    <mergeCell ref="NYA4:NYM4"/>
    <mergeCell ref="OKN4:OKZ4"/>
    <mergeCell ref="OLA4:OLM4"/>
    <mergeCell ref="OLN4:OLZ4"/>
    <mergeCell ref="OMA4:OMM4"/>
    <mergeCell ref="OMN4:OMZ4"/>
    <mergeCell ref="ONA4:ONM4"/>
    <mergeCell ref="OHN4:OHZ4"/>
    <mergeCell ref="OIA4:OIM4"/>
    <mergeCell ref="OIN4:OIZ4"/>
    <mergeCell ref="OJA4:OJM4"/>
    <mergeCell ref="OJN4:OJZ4"/>
    <mergeCell ref="OKA4:OKM4"/>
    <mergeCell ref="OEN4:OEZ4"/>
    <mergeCell ref="OFA4:OFM4"/>
    <mergeCell ref="OFN4:OFZ4"/>
    <mergeCell ref="OGA4:OGM4"/>
    <mergeCell ref="OGN4:OGZ4"/>
    <mergeCell ref="OHA4:OHM4"/>
    <mergeCell ref="OTN4:OTZ4"/>
    <mergeCell ref="OUA4:OUM4"/>
    <mergeCell ref="OUN4:OUZ4"/>
    <mergeCell ref="OVA4:OVM4"/>
    <mergeCell ref="OVN4:OVZ4"/>
    <mergeCell ref="OWA4:OWM4"/>
    <mergeCell ref="OQN4:OQZ4"/>
    <mergeCell ref="ORA4:ORM4"/>
    <mergeCell ref="ORN4:ORZ4"/>
    <mergeCell ref="OSA4:OSM4"/>
    <mergeCell ref="OSN4:OSZ4"/>
    <mergeCell ref="OTA4:OTM4"/>
    <mergeCell ref="ONN4:ONZ4"/>
    <mergeCell ref="OOA4:OOM4"/>
    <mergeCell ref="OON4:OOZ4"/>
    <mergeCell ref="OPA4:OPM4"/>
    <mergeCell ref="OPN4:OPZ4"/>
    <mergeCell ref="OQA4:OQM4"/>
    <mergeCell ref="PCN4:PCZ4"/>
    <mergeCell ref="PDA4:PDM4"/>
    <mergeCell ref="PDN4:PDZ4"/>
    <mergeCell ref="PEA4:PEM4"/>
    <mergeCell ref="PEN4:PEZ4"/>
    <mergeCell ref="PFA4:PFM4"/>
    <mergeCell ref="OZN4:OZZ4"/>
    <mergeCell ref="PAA4:PAM4"/>
    <mergeCell ref="PAN4:PAZ4"/>
    <mergeCell ref="PBA4:PBM4"/>
    <mergeCell ref="PBN4:PBZ4"/>
    <mergeCell ref="PCA4:PCM4"/>
    <mergeCell ref="OWN4:OWZ4"/>
    <mergeCell ref="OXA4:OXM4"/>
    <mergeCell ref="OXN4:OXZ4"/>
    <mergeCell ref="OYA4:OYM4"/>
    <mergeCell ref="OYN4:OYZ4"/>
    <mergeCell ref="OZA4:OZM4"/>
    <mergeCell ref="PLN4:PLZ4"/>
    <mergeCell ref="PMA4:PMM4"/>
    <mergeCell ref="PMN4:PMZ4"/>
    <mergeCell ref="PNA4:PNM4"/>
    <mergeCell ref="PNN4:PNZ4"/>
    <mergeCell ref="POA4:POM4"/>
    <mergeCell ref="PIN4:PIZ4"/>
    <mergeCell ref="PJA4:PJM4"/>
    <mergeCell ref="PJN4:PJZ4"/>
    <mergeCell ref="PKA4:PKM4"/>
    <mergeCell ref="PKN4:PKZ4"/>
    <mergeCell ref="PLA4:PLM4"/>
    <mergeCell ref="PFN4:PFZ4"/>
    <mergeCell ref="PGA4:PGM4"/>
    <mergeCell ref="PGN4:PGZ4"/>
    <mergeCell ref="PHA4:PHM4"/>
    <mergeCell ref="PHN4:PHZ4"/>
    <mergeCell ref="PIA4:PIM4"/>
    <mergeCell ref="PUN4:PUZ4"/>
    <mergeCell ref="PVA4:PVM4"/>
    <mergeCell ref="PVN4:PVZ4"/>
    <mergeCell ref="PWA4:PWM4"/>
    <mergeCell ref="PWN4:PWZ4"/>
    <mergeCell ref="PXA4:PXM4"/>
    <mergeCell ref="PRN4:PRZ4"/>
    <mergeCell ref="PSA4:PSM4"/>
    <mergeCell ref="PSN4:PSZ4"/>
    <mergeCell ref="PTA4:PTM4"/>
    <mergeCell ref="PTN4:PTZ4"/>
    <mergeCell ref="PUA4:PUM4"/>
    <mergeCell ref="PON4:POZ4"/>
    <mergeCell ref="PPA4:PPM4"/>
    <mergeCell ref="PPN4:PPZ4"/>
    <mergeCell ref="PQA4:PQM4"/>
    <mergeCell ref="PQN4:PQZ4"/>
    <mergeCell ref="PRA4:PRM4"/>
    <mergeCell ref="QDN4:QDZ4"/>
    <mergeCell ref="QEA4:QEM4"/>
    <mergeCell ref="QEN4:QEZ4"/>
    <mergeCell ref="QFA4:QFM4"/>
    <mergeCell ref="QFN4:QFZ4"/>
    <mergeCell ref="QGA4:QGM4"/>
    <mergeCell ref="QAN4:QAZ4"/>
    <mergeCell ref="QBA4:QBM4"/>
    <mergeCell ref="QBN4:QBZ4"/>
    <mergeCell ref="QCA4:QCM4"/>
    <mergeCell ref="QCN4:QCZ4"/>
    <mergeCell ref="QDA4:QDM4"/>
    <mergeCell ref="PXN4:PXZ4"/>
    <mergeCell ref="PYA4:PYM4"/>
    <mergeCell ref="PYN4:PYZ4"/>
    <mergeCell ref="PZA4:PZM4"/>
    <mergeCell ref="PZN4:PZZ4"/>
    <mergeCell ref="QAA4:QAM4"/>
    <mergeCell ref="QMN4:QMZ4"/>
    <mergeCell ref="QNA4:QNM4"/>
    <mergeCell ref="QNN4:QNZ4"/>
    <mergeCell ref="QOA4:QOM4"/>
    <mergeCell ref="QON4:QOZ4"/>
    <mergeCell ref="QPA4:QPM4"/>
    <mergeCell ref="QJN4:QJZ4"/>
    <mergeCell ref="QKA4:QKM4"/>
    <mergeCell ref="QKN4:QKZ4"/>
    <mergeCell ref="QLA4:QLM4"/>
    <mergeCell ref="QLN4:QLZ4"/>
    <mergeCell ref="QMA4:QMM4"/>
    <mergeCell ref="QGN4:QGZ4"/>
    <mergeCell ref="QHA4:QHM4"/>
    <mergeCell ref="QHN4:QHZ4"/>
    <mergeCell ref="QIA4:QIM4"/>
    <mergeCell ref="QIN4:QIZ4"/>
    <mergeCell ref="QJA4:QJM4"/>
    <mergeCell ref="QVN4:QVZ4"/>
    <mergeCell ref="QWA4:QWM4"/>
    <mergeCell ref="QWN4:QWZ4"/>
    <mergeCell ref="QXA4:QXM4"/>
    <mergeCell ref="QXN4:QXZ4"/>
    <mergeCell ref="QYA4:QYM4"/>
    <mergeCell ref="QSN4:QSZ4"/>
    <mergeCell ref="QTA4:QTM4"/>
    <mergeCell ref="QTN4:QTZ4"/>
    <mergeCell ref="QUA4:QUM4"/>
    <mergeCell ref="QUN4:QUZ4"/>
    <mergeCell ref="QVA4:QVM4"/>
    <mergeCell ref="QPN4:QPZ4"/>
    <mergeCell ref="QQA4:QQM4"/>
    <mergeCell ref="QQN4:QQZ4"/>
    <mergeCell ref="QRA4:QRM4"/>
    <mergeCell ref="QRN4:QRZ4"/>
    <mergeCell ref="QSA4:QSM4"/>
    <mergeCell ref="REN4:REZ4"/>
    <mergeCell ref="RFA4:RFM4"/>
    <mergeCell ref="RFN4:RFZ4"/>
    <mergeCell ref="RGA4:RGM4"/>
    <mergeCell ref="RGN4:RGZ4"/>
    <mergeCell ref="RHA4:RHM4"/>
    <mergeCell ref="RBN4:RBZ4"/>
    <mergeCell ref="RCA4:RCM4"/>
    <mergeCell ref="RCN4:RCZ4"/>
    <mergeCell ref="RDA4:RDM4"/>
    <mergeCell ref="RDN4:RDZ4"/>
    <mergeCell ref="REA4:REM4"/>
    <mergeCell ref="QYN4:QYZ4"/>
    <mergeCell ref="QZA4:QZM4"/>
    <mergeCell ref="QZN4:QZZ4"/>
    <mergeCell ref="RAA4:RAM4"/>
    <mergeCell ref="RAN4:RAZ4"/>
    <mergeCell ref="RBA4:RBM4"/>
    <mergeCell ref="RNN4:RNZ4"/>
    <mergeCell ref="ROA4:ROM4"/>
    <mergeCell ref="RON4:ROZ4"/>
    <mergeCell ref="RPA4:RPM4"/>
    <mergeCell ref="RPN4:RPZ4"/>
    <mergeCell ref="RQA4:RQM4"/>
    <mergeCell ref="RKN4:RKZ4"/>
    <mergeCell ref="RLA4:RLM4"/>
    <mergeCell ref="RLN4:RLZ4"/>
    <mergeCell ref="RMA4:RMM4"/>
    <mergeCell ref="RMN4:RMZ4"/>
    <mergeCell ref="RNA4:RNM4"/>
    <mergeCell ref="RHN4:RHZ4"/>
    <mergeCell ref="RIA4:RIM4"/>
    <mergeCell ref="RIN4:RIZ4"/>
    <mergeCell ref="RJA4:RJM4"/>
    <mergeCell ref="RJN4:RJZ4"/>
    <mergeCell ref="RKA4:RKM4"/>
    <mergeCell ref="RWN4:RWZ4"/>
    <mergeCell ref="RXA4:RXM4"/>
    <mergeCell ref="RXN4:RXZ4"/>
    <mergeCell ref="RYA4:RYM4"/>
    <mergeCell ref="RYN4:RYZ4"/>
    <mergeCell ref="RZA4:RZM4"/>
    <mergeCell ref="RTN4:RTZ4"/>
    <mergeCell ref="RUA4:RUM4"/>
    <mergeCell ref="RUN4:RUZ4"/>
    <mergeCell ref="RVA4:RVM4"/>
    <mergeCell ref="RVN4:RVZ4"/>
    <mergeCell ref="RWA4:RWM4"/>
    <mergeCell ref="RQN4:RQZ4"/>
    <mergeCell ref="RRA4:RRM4"/>
    <mergeCell ref="RRN4:RRZ4"/>
    <mergeCell ref="RSA4:RSM4"/>
    <mergeCell ref="RSN4:RSZ4"/>
    <mergeCell ref="RTA4:RTM4"/>
    <mergeCell ref="SFN4:SFZ4"/>
    <mergeCell ref="SGA4:SGM4"/>
    <mergeCell ref="SGN4:SGZ4"/>
    <mergeCell ref="SHA4:SHM4"/>
    <mergeCell ref="SHN4:SHZ4"/>
    <mergeCell ref="SIA4:SIM4"/>
    <mergeCell ref="SCN4:SCZ4"/>
    <mergeCell ref="SDA4:SDM4"/>
    <mergeCell ref="SDN4:SDZ4"/>
    <mergeCell ref="SEA4:SEM4"/>
    <mergeCell ref="SEN4:SEZ4"/>
    <mergeCell ref="SFA4:SFM4"/>
    <mergeCell ref="RZN4:RZZ4"/>
    <mergeCell ref="SAA4:SAM4"/>
    <mergeCell ref="SAN4:SAZ4"/>
    <mergeCell ref="SBA4:SBM4"/>
    <mergeCell ref="SBN4:SBZ4"/>
    <mergeCell ref="SCA4:SCM4"/>
    <mergeCell ref="SON4:SOZ4"/>
    <mergeCell ref="SPA4:SPM4"/>
    <mergeCell ref="SPN4:SPZ4"/>
    <mergeCell ref="SQA4:SQM4"/>
    <mergeCell ref="SQN4:SQZ4"/>
    <mergeCell ref="SRA4:SRM4"/>
    <mergeCell ref="SLN4:SLZ4"/>
    <mergeCell ref="SMA4:SMM4"/>
    <mergeCell ref="SMN4:SMZ4"/>
    <mergeCell ref="SNA4:SNM4"/>
    <mergeCell ref="SNN4:SNZ4"/>
    <mergeCell ref="SOA4:SOM4"/>
    <mergeCell ref="SIN4:SIZ4"/>
    <mergeCell ref="SJA4:SJM4"/>
    <mergeCell ref="SJN4:SJZ4"/>
    <mergeCell ref="SKA4:SKM4"/>
    <mergeCell ref="SKN4:SKZ4"/>
    <mergeCell ref="SLA4:SLM4"/>
    <mergeCell ref="SXN4:SXZ4"/>
    <mergeCell ref="SYA4:SYM4"/>
    <mergeCell ref="SYN4:SYZ4"/>
    <mergeCell ref="SZA4:SZM4"/>
    <mergeCell ref="SZN4:SZZ4"/>
    <mergeCell ref="TAA4:TAM4"/>
    <mergeCell ref="SUN4:SUZ4"/>
    <mergeCell ref="SVA4:SVM4"/>
    <mergeCell ref="SVN4:SVZ4"/>
    <mergeCell ref="SWA4:SWM4"/>
    <mergeCell ref="SWN4:SWZ4"/>
    <mergeCell ref="SXA4:SXM4"/>
    <mergeCell ref="SRN4:SRZ4"/>
    <mergeCell ref="SSA4:SSM4"/>
    <mergeCell ref="SSN4:SSZ4"/>
    <mergeCell ref="STA4:STM4"/>
    <mergeCell ref="STN4:STZ4"/>
    <mergeCell ref="SUA4:SUM4"/>
    <mergeCell ref="TGN4:TGZ4"/>
    <mergeCell ref="THA4:THM4"/>
    <mergeCell ref="THN4:THZ4"/>
    <mergeCell ref="TIA4:TIM4"/>
    <mergeCell ref="TIN4:TIZ4"/>
    <mergeCell ref="TJA4:TJM4"/>
    <mergeCell ref="TDN4:TDZ4"/>
    <mergeCell ref="TEA4:TEM4"/>
    <mergeCell ref="TEN4:TEZ4"/>
    <mergeCell ref="TFA4:TFM4"/>
    <mergeCell ref="TFN4:TFZ4"/>
    <mergeCell ref="TGA4:TGM4"/>
    <mergeCell ref="TAN4:TAZ4"/>
    <mergeCell ref="TBA4:TBM4"/>
    <mergeCell ref="TBN4:TBZ4"/>
    <mergeCell ref="TCA4:TCM4"/>
    <mergeCell ref="TCN4:TCZ4"/>
    <mergeCell ref="TDA4:TDM4"/>
    <mergeCell ref="TPN4:TPZ4"/>
    <mergeCell ref="TQA4:TQM4"/>
    <mergeCell ref="TQN4:TQZ4"/>
    <mergeCell ref="TRA4:TRM4"/>
    <mergeCell ref="TRN4:TRZ4"/>
    <mergeCell ref="TSA4:TSM4"/>
    <mergeCell ref="TMN4:TMZ4"/>
    <mergeCell ref="TNA4:TNM4"/>
    <mergeCell ref="TNN4:TNZ4"/>
    <mergeCell ref="TOA4:TOM4"/>
    <mergeCell ref="TON4:TOZ4"/>
    <mergeCell ref="TPA4:TPM4"/>
    <mergeCell ref="TJN4:TJZ4"/>
    <mergeCell ref="TKA4:TKM4"/>
    <mergeCell ref="TKN4:TKZ4"/>
    <mergeCell ref="TLA4:TLM4"/>
    <mergeCell ref="TLN4:TLZ4"/>
    <mergeCell ref="TMA4:TMM4"/>
    <mergeCell ref="TYN4:TYZ4"/>
    <mergeCell ref="TZA4:TZM4"/>
    <mergeCell ref="TZN4:TZZ4"/>
    <mergeCell ref="UAA4:UAM4"/>
    <mergeCell ref="UAN4:UAZ4"/>
    <mergeCell ref="UBA4:UBM4"/>
    <mergeCell ref="TVN4:TVZ4"/>
    <mergeCell ref="TWA4:TWM4"/>
    <mergeCell ref="TWN4:TWZ4"/>
    <mergeCell ref="TXA4:TXM4"/>
    <mergeCell ref="TXN4:TXZ4"/>
    <mergeCell ref="TYA4:TYM4"/>
    <mergeCell ref="TSN4:TSZ4"/>
    <mergeCell ref="TTA4:TTM4"/>
    <mergeCell ref="TTN4:TTZ4"/>
    <mergeCell ref="TUA4:TUM4"/>
    <mergeCell ref="TUN4:TUZ4"/>
    <mergeCell ref="TVA4:TVM4"/>
    <mergeCell ref="UHN4:UHZ4"/>
    <mergeCell ref="UIA4:UIM4"/>
    <mergeCell ref="UIN4:UIZ4"/>
    <mergeCell ref="UJA4:UJM4"/>
    <mergeCell ref="UJN4:UJZ4"/>
    <mergeCell ref="UKA4:UKM4"/>
    <mergeCell ref="UEN4:UEZ4"/>
    <mergeCell ref="UFA4:UFM4"/>
    <mergeCell ref="UFN4:UFZ4"/>
    <mergeCell ref="UGA4:UGM4"/>
    <mergeCell ref="UGN4:UGZ4"/>
    <mergeCell ref="UHA4:UHM4"/>
    <mergeCell ref="UBN4:UBZ4"/>
    <mergeCell ref="UCA4:UCM4"/>
    <mergeCell ref="UCN4:UCZ4"/>
    <mergeCell ref="UDA4:UDM4"/>
    <mergeCell ref="UDN4:UDZ4"/>
    <mergeCell ref="UEA4:UEM4"/>
    <mergeCell ref="UQN4:UQZ4"/>
    <mergeCell ref="URA4:URM4"/>
    <mergeCell ref="URN4:URZ4"/>
    <mergeCell ref="USA4:USM4"/>
    <mergeCell ref="USN4:USZ4"/>
    <mergeCell ref="UTA4:UTM4"/>
    <mergeCell ref="UNN4:UNZ4"/>
    <mergeCell ref="UOA4:UOM4"/>
    <mergeCell ref="UON4:UOZ4"/>
    <mergeCell ref="UPA4:UPM4"/>
    <mergeCell ref="UPN4:UPZ4"/>
    <mergeCell ref="UQA4:UQM4"/>
    <mergeCell ref="UKN4:UKZ4"/>
    <mergeCell ref="ULA4:ULM4"/>
    <mergeCell ref="ULN4:ULZ4"/>
    <mergeCell ref="UMA4:UMM4"/>
    <mergeCell ref="UMN4:UMZ4"/>
    <mergeCell ref="UNA4:UNM4"/>
    <mergeCell ref="UZN4:UZZ4"/>
    <mergeCell ref="VAA4:VAM4"/>
    <mergeCell ref="VAN4:VAZ4"/>
    <mergeCell ref="VBA4:VBM4"/>
    <mergeCell ref="VBN4:VBZ4"/>
    <mergeCell ref="VCA4:VCM4"/>
    <mergeCell ref="UWN4:UWZ4"/>
    <mergeCell ref="UXA4:UXM4"/>
    <mergeCell ref="UXN4:UXZ4"/>
    <mergeCell ref="UYA4:UYM4"/>
    <mergeCell ref="UYN4:UYZ4"/>
    <mergeCell ref="UZA4:UZM4"/>
    <mergeCell ref="UTN4:UTZ4"/>
    <mergeCell ref="UUA4:UUM4"/>
    <mergeCell ref="UUN4:UUZ4"/>
    <mergeCell ref="UVA4:UVM4"/>
    <mergeCell ref="UVN4:UVZ4"/>
    <mergeCell ref="UWA4:UWM4"/>
    <mergeCell ref="VIN4:VIZ4"/>
    <mergeCell ref="VJA4:VJM4"/>
    <mergeCell ref="VJN4:VJZ4"/>
    <mergeCell ref="VKA4:VKM4"/>
    <mergeCell ref="VKN4:VKZ4"/>
    <mergeCell ref="VLA4:VLM4"/>
    <mergeCell ref="VFN4:VFZ4"/>
    <mergeCell ref="VGA4:VGM4"/>
    <mergeCell ref="VGN4:VGZ4"/>
    <mergeCell ref="VHA4:VHM4"/>
    <mergeCell ref="VHN4:VHZ4"/>
    <mergeCell ref="VIA4:VIM4"/>
    <mergeCell ref="VCN4:VCZ4"/>
    <mergeCell ref="VDA4:VDM4"/>
    <mergeCell ref="VDN4:VDZ4"/>
    <mergeCell ref="VEA4:VEM4"/>
    <mergeCell ref="VEN4:VEZ4"/>
    <mergeCell ref="VFA4:VFM4"/>
    <mergeCell ref="VRN4:VRZ4"/>
    <mergeCell ref="VSA4:VSM4"/>
    <mergeCell ref="VSN4:VSZ4"/>
    <mergeCell ref="VTA4:VTM4"/>
    <mergeCell ref="VTN4:VTZ4"/>
    <mergeCell ref="VUA4:VUM4"/>
    <mergeCell ref="VON4:VOZ4"/>
    <mergeCell ref="VPA4:VPM4"/>
    <mergeCell ref="VPN4:VPZ4"/>
    <mergeCell ref="VQA4:VQM4"/>
    <mergeCell ref="VQN4:VQZ4"/>
    <mergeCell ref="VRA4:VRM4"/>
    <mergeCell ref="VLN4:VLZ4"/>
    <mergeCell ref="VMA4:VMM4"/>
    <mergeCell ref="VMN4:VMZ4"/>
    <mergeCell ref="VNA4:VNM4"/>
    <mergeCell ref="VNN4:VNZ4"/>
    <mergeCell ref="VOA4:VOM4"/>
    <mergeCell ref="WAN4:WAZ4"/>
    <mergeCell ref="WBA4:WBM4"/>
    <mergeCell ref="WBN4:WBZ4"/>
    <mergeCell ref="WCA4:WCM4"/>
    <mergeCell ref="WCN4:WCZ4"/>
    <mergeCell ref="WDA4:WDM4"/>
    <mergeCell ref="VXN4:VXZ4"/>
    <mergeCell ref="VYA4:VYM4"/>
    <mergeCell ref="VYN4:VYZ4"/>
    <mergeCell ref="VZA4:VZM4"/>
    <mergeCell ref="VZN4:VZZ4"/>
    <mergeCell ref="WAA4:WAM4"/>
    <mergeCell ref="VUN4:VUZ4"/>
    <mergeCell ref="VVA4:VVM4"/>
    <mergeCell ref="VVN4:VVZ4"/>
    <mergeCell ref="VWA4:VWM4"/>
    <mergeCell ref="VWN4:VWZ4"/>
    <mergeCell ref="VXA4:VXM4"/>
    <mergeCell ref="WJN4:WJZ4"/>
    <mergeCell ref="WKA4:WKM4"/>
    <mergeCell ref="WKN4:WKZ4"/>
    <mergeCell ref="WLA4:WLM4"/>
    <mergeCell ref="WLN4:WLZ4"/>
    <mergeCell ref="WMA4:WMM4"/>
    <mergeCell ref="WGN4:WGZ4"/>
    <mergeCell ref="WHA4:WHM4"/>
    <mergeCell ref="WHN4:WHZ4"/>
    <mergeCell ref="WIA4:WIM4"/>
    <mergeCell ref="WIN4:WIZ4"/>
    <mergeCell ref="WJA4:WJM4"/>
    <mergeCell ref="WDN4:WDZ4"/>
    <mergeCell ref="WEA4:WEM4"/>
    <mergeCell ref="WEN4:WEZ4"/>
    <mergeCell ref="WFA4:WFM4"/>
    <mergeCell ref="WFN4:WFZ4"/>
    <mergeCell ref="WGA4:WGM4"/>
    <mergeCell ref="WSN4:WSZ4"/>
    <mergeCell ref="WTA4:WTM4"/>
    <mergeCell ref="WTN4:WTZ4"/>
    <mergeCell ref="WUA4:WUM4"/>
    <mergeCell ref="WUN4:WUZ4"/>
    <mergeCell ref="WVA4:WVM4"/>
    <mergeCell ref="WPN4:WPZ4"/>
    <mergeCell ref="WQA4:WQM4"/>
    <mergeCell ref="WQN4:WQZ4"/>
    <mergeCell ref="WRA4:WRM4"/>
    <mergeCell ref="WRN4:WRZ4"/>
    <mergeCell ref="WSA4:WSM4"/>
    <mergeCell ref="WMN4:WMZ4"/>
    <mergeCell ref="WNA4:WNM4"/>
    <mergeCell ref="WNN4:WNZ4"/>
    <mergeCell ref="WOA4:WOM4"/>
    <mergeCell ref="WON4:WOZ4"/>
    <mergeCell ref="WPA4:WPM4"/>
    <mergeCell ref="H4:L4"/>
    <mergeCell ref="B63:E63"/>
    <mergeCell ref="B64:E64"/>
    <mergeCell ref="B65:E65"/>
    <mergeCell ref="XEN4:XEZ4"/>
    <mergeCell ref="XFA4:XFD4"/>
    <mergeCell ref="A5:A6"/>
    <mergeCell ref="B5:B6"/>
    <mergeCell ref="C5:D5"/>
    <mergeCell ref="E5:E6"/>
    <mergeCell ref="F5:F6"/>
    <mergeCell ref="G5:I5"/>
    <mergeCell ref="J5:L5"/>
    <mergeCell ref="M5:M6"/>
    <mergeCell ref="XBN4:XBZ4"/>
    <mergeCell ref="XCA4:XCM4"/>
    <mergeCell ref="XCN4:XCZ4"/>
    <mergeCell ref="XDA4:XDM4"/>
    <mergeCell ref="XDN4:XDZ4"/>
    <mergeCell ref="XEA4:XEM4"/>
    <mergeCell ref="WYN4:WYZ4"/>
    <mergeCell ref="WZA4:WZM4"/>
    <mergeCell ref="WZN4:WZZ4"/>
    <mergeCell ref="XAA4:XAM4"/>
    <mergeCell ref="XAN4:XAZ4"/>
    <mergeCell ref="XBA4:XBM4"/>
    <mergeCell ref="WVN4:WVZ4"/>
    <mergeCell ref="WWA4:WWM4"/>
    <mergeCell ref="WWN4:WWZ4"/>
    <mergeCell ref="WXA4:WXM4"/>
    <mergeCell ref="WXN4:WXZ4"/>
    <mergeCell ref="WYA4:WYM4"/>
  </mergeCells>
  <pageMargins left="0.70866141732283472" right="0.70866141732283472" top="0.74803149606299213" bottom="0.74803149606299213" header="0.31496062992125984" footer="0.31496062992125984"/>
  <pageSetup scale="57" fitToHeight="0" orientation="landscape" r:id="rId1"/>
  <headerFoot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6"/>
  <sheetViews>
    <sheetView workbookViewId="0">
      <selection activeCell="E11" sqref="E11"/>
    </sheetView>
  </sheetViews>
  <sheetFormatPr defaultColWidth="9.1328125" defaultRowHeight="15" x14ac:dyDescent="0.45"/>
  <cols>
    <col min="1" max="1" width="5.59765625" style="18" customWidth="1"/>
    <col min="2" max="2" width="44.1328125" style="18" customWidth="1"/>
    <col min="3" max="3" width="10.73046875" style="18" customWidth="1"/>
    <col min="4" max="4" width="11.73046875" style="18" customWidth="1"/>
    <col min="5" max="5" width="13.73046875" style="18" customWidth="1"/>
    <col min="6" max="6" width="10.3984375" style="18" customWidth="1"/>
    <col min="7" max="16384" width="9.1328125" style="18"/>
  </cols>
  <sheetData>
    <row r="1" spans="1:6" x14ac:dyDescent="0.45">
      <c r="A1" s="313" t="str">
        <f>Comparative!A2</f>
        <v>Name of Work :Construction of New Taluk operational godown of 2500M.T(1X1500MT, 1X1000MT) capacity in TNCSC campus at Survey No.2347/1 to an extent of 1.21.44 Hectare at Nelliyalam Village in Pandalur Taluk in Nilgiris District.</v>
      </c>
      <c r="B1" s="313"/>
      <c r="C1" s="313"/>
      <c r="D1" s="313"/>
      <c r="E1" s="313"/>
      <c r="F1" s="17"/>
    </row>
    <row r="2" spans="1:6" x14ac:dyDescent="0.45">
      <c r="A2" s="19"/>
      <c r="B2" s="19" t="s">
        <v>51</v>
      </c>
      <c r="C2" s="19"/>
      <c r="D2" s="20" t="s">
        <v>44</v>
      </c>
      <c r="E2" s="86">
        <v>45344</v>
      </c>
      <c r="F2" s="17"/>
    </row>
    <row r="3" spans="1:6" x14ac:dyDescent="0.45">
      <c r="B3" s="18" t="s">
        <v>126</v>
      </c>
      <c r="D3" s="20" t="s">
        <v>45</v>
      </c>
      <c r="E3" s="21" t="s">
        <v>125</v>
      </c>
    </row>
    <row r="4" spans="1:6" x14ac:dyDescent="0.45">
      <c r="B4" s="22" t="s">
        <v>52</v>
      </c>
      <c r="D4" s="20" t="s">
        <v>46</v>
      </c>
    </row>
    <row r="5" spans="1:6" x14ac:dyDescent="0.45">
      <c r="B5" s="23" t="s">
        <v>124</v>
      </c>
      <c r="D5" s="20" t="s">
        <v>46</v>
      </c>
    </row>
    <row r="6" spans="1:6" s="26" customFormat="1" ht="30" x14ac:dyDescent="0.45">
      <c r="A6" s="24" t="s">
        <v>47</v>
      </c>
      <c r="B6" s="25" t="s">
        <v>11</v>
      </c>
      <c r="C6" s="24" t="s">
        <v>48</v>
      </c>
      <c r="D6" s="25" t="s">
        <v>49</v>
      </c>
      <c r="E6" s="25" t="s">
        <v>50</v>
      </c>
    </row>
    <row r="7" spans="1:6" s="31" customFormat="1" x14ac:dyDescent="0.45">
      <c r="A7" s="29"/>
      <c r="B7" s="314"/>
      <c r="C7" s="315"/>
      <c r="D7" s="315"/>
      <c r="E7" s="316"/>
    </row>
    <row r="8" spans="1:6" x14ac:dyDescent="0.45">
      <c r="A8" s="27"/>
      <c r="B8" s="28"/>
      <c r="C8" s="29"/>
      <c r="D8" s="30"/>
      <c r="E8" s="30"/>
    </row>
    <row r="9" spans="1:6" x14ac:dyDescent="0.45">
      <c r="A9" s="27"/>
      <c r="B9" s="28"/>
      <c r="C9" s="29"/>
      <c r="D9" s="30"/>
      <c r="E9" s="30"/>
    </row>
    <row r="10" spans="1:6" x14ac:dyDescent="0.45">
      <c r="A10" s="29"/>
      <c r="B10" s="28"/>
      <c r="C10" s="29"/>
      <c r="D10" s="30"/>
      <c r="E10" s="30"/>
    </row>
    <row r="11" spans="1:6" x14ac:dyDescent="0.45">
      <c r="A11" s="27"/>
      <c r="B11" s="28"/>
      <c r="C11" s="29"/>
      <c r="D11" s="30"/>
      <c r="E11" s="30"/>
    </row>
    <row r="12" spans="1:6" x14ac:dyDescent="0.45">
      <c r="A12" s="27"/>
      <c r="B12" s="28"/>
      <c r="C12" s="29"/>
      <c r="D12" s="30"/>
      <c r="E12" s="30"/>
    </row>
    <row r="13" spans="1:6" x14ac:dyDescent="0.45">
      <c r="A13" s="29"/>
      <c r="B13" s="28"/>
      <c r="C13" s="29"/>
      <c r="D13" s="30"/>
      <c r="E13" s="30"/>
    </row>
    <row r="14" spans="1:6" x14ac:dyDescent="0.45">
      <c r="A14" s="27"/>
      <c r="B14" s="28"/>
      <c r="C14" s="29"/>
      <c r="D14" s="30"/>
      <c r="E14" s="30"/>
    </row>
    <row r="15" spans="1:6" x14ac:dyDescent="0.45">
      <c r="A15" s="27"/>
      <c r="B15" s="28"/>
      <c r="C15" s="29"/>
      <c r="D15" s="30"/>
      <c r="E15" s="30"/>
    </row>
    <row r="16" spans="1:6" x14ac:dyDescent="0.45">
      <c r="A16" s="29"/>
      <c r="B16" s="28"/>
      <c r="C16" s="29"/>
      <c r="D16" s="30"/>
      <c r="E16" s="30"/>
    </row>
    <row r="17" spans="1:5" x14ac:dyDescent="0.45">
      <c r="A17" s="27"/>
      <c r="B17" s="28"/>
      <c r="C17" s="29"/>
      <c r="D17" s="30"/>
      <c r="E17" s="30"/>
    </row>
    <row r="18" spans="1:5" x14ac:dyDescent="0.45">
      <c r="A18" s="27"/>
      <c r="B18" s="28"/>
      <c r="C18" s="29"/>
      <c r="D18" s="30"/>
      <c r="E18" s="30"/>
    </row>
    <row r="19" spans="1:5" x14ac:dyDescent="0.45">
      <c r="A19" s="29"/>
      <c r="B19" s="28"/>
      <c r="C19" s="29"/>
      <c r="D19" s="30"/>
      <c r="E19" s="30"/>
    </row>
    <row r="20" spans="1:5" x14ac:dyDescent="0.45">
      <c r="A20" s="27"/>
      <c r="B20" s="28"/>
      <c r="C20" s="29"/>
      <c r="D20" s="30"/>
      <c r="E20" s="30"/>
    </row>
    <row r="21" spans="1:5" x14ac:dyDescent="0.45">
      <c r="A21" s="27"/>
      <c r="B21" s="28"/>
      <c r="C21" s="29"/>
      <c r="D21" s="30"/>
      <c r="E21" s="30"/>
    </row>
    <row r="22" spans="1:5" x14ac:dyDescent="0.45">
      <c r="A22" s="29"/>
      <c r="B22" s="28"/>
      <c r="C22" s="29"/>
      <c r="D22" s="30"/>
      <c r="E22" s="30"/>
    </row>
    <row r="23" spans="1:5" x14ac:dyDescent="0.45">
      <c r="A23" s="27"/>
      <c r="B23" s="28"/>
      <c r="C23" s="29"/>
      <c r="D23" s="30"/>
      <c r="E23" s="30"/>
    </row>
    <row r="24" spans="1:5" x14ac:dyDescent="0.45">
      <c r="A24" s="27"/>
      <c r="B24" s="28"/>
      <c r="C24" s="29"/>
      <c r="D24" s="30"/>
      <c r="E24" s="30"/>
    </row>
    <row r="25" spans="1:5" x14ac:dyDescent="0.45">
      <c r="A25" s="29"/>
      <c r="B25" s="28"/>
      <c r="C25" s="29"/>
      <c r="D25" s="30"/>
      <c r="E25" s="30"/>
    </row>
    <row r="26" spans="1:5" x14ac:dyDescent="0.45">
      <c r="A26" s="27"/>
      <c r="B26" s="28"/>
      <c r="C26" s="29"/>
      <c r="D26" s="30"/>
      <c r="E26" s="30"/>
    </row>
    <row r="27" spans="1:5" x14ac:dyDescent="0.45">
      <c r="A27" s="27"/>
      <c r="B27" s="28"/>
      <c r="C27" s="29"/>
      <c r="D27" s="30"/>
      <c r="E27" s="30"/>
    </row>
    <row r="28" spans="1:5" x14ac:dyDescent="0.45">
      <c r="A28" s="29"/>
      <c r="B28" s="28"/>
      <c r="C28" s="29"/>
      <c r="D28" s="30"/>
      <c r="E28" s="30"/>
    </row>
    <row r="29" spans="1:5" x14ac:dyDescent="0.45">
      <c r="A29" s="27"/>
      <c r="B29" s="30"/>
      <c r="C29" s="30"/>
      <c r="D29" s="30"/>
      <c r="E29" s="30"/>
    </row>
    <row r="30" spans="1:5" x14ac:dyDescent="0.45">
      <c r="A30" s="31"/>
    </row>
    <row r="31" spans="1:5" x14ac:dyDescent="0.45">
      <c r="A31" s="31"/>
    </row>
    <row r="32" spans="1:5" x14ac:dyDescent="0.45">
      <c r="A32" s="31"/>
    </row>
    <row r="33" spans="1:1" x14ac:dyDescent="0.45">
      <c r="A33" s="31"/>
    </row>
    <row r="34" spans="1:1" x14ac:dyDescent="0.45">
      <c r="A34" s="31"/>
    </row>
    <row r="35" spans="1:1" x14ac:dyDescent="0.45">
      <c r="A35" s="31"/>
    </row>
    <row r="36" spans="1:1" x14ac:dyDescent="0.45">
      <c r="A36" s="31"/>
    </row>
  </sheetData>
  <mergeCells count="2">
    <mergeCell ref="A1:E1"/>
    <mergeCell ref="B7:E7"/>
  </mergeCells>
  <pageMargins left="0.70866141732283472" right="0.70866141732283472" top="0.74803149606299213" bottom="0.74803149606299213" header="0.31496062992125984" footer="0.31496062992125984"/>
  <pageSetup orientation="portrait" r:id="rId1"/>
  <headerFoot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451"/>
  <sheetViews>
    <sheetView zoomScale="70" zoomScaleNormal="70" workbookViewId="0">
      <pane ySplit="2" topLeftCell="A3" activePane="bottomLeft" state="frozen"/>
      <selection pane="bottomLeft" activeCell="E249" sqref="E249"/>
    </sheetView>
  </sheetViews>
  <sheetFormatPr defaultColWidth="8.73046875" defaultRowHeight="15" x14ac:dyDescent="0.4"/>
  <cols>
    <col min="1" max="1" width="7.73046875" style="171" bestFit="1" customWidth="1"/>
    <col min="2" max="2" width="54.73046875" style="152" customWidth="1"/>
    <col min="3" max="5" width="6.3984375" style="104" customWidth="1"/>
    <col min="6" max="6" width="12" style="104" customWidth="1"/>
    <col min="7" max="8" width="10.3984375" style="104" customWidth="1"/>
    <col min="9" max="9" width="12.86328125" style="104" bestFit="1" customWidth="1"/>
    <col min="10" max="10" width="7.86328125" style="104" customWidth="1"/>
    <col min="11" max="11" width="6.3984375" style="100" bestFit="1" customWidth="1"/>
    <col min="12" max="12" width="8.73046875" style="101"/>
    <col min="13" max="13" width="9" style="101" bestFit="1" customWidth="1"/>
    <col min="14" max="16384" width="8.73046875" style="101"/>
  </cols>
  <sheetData>
    <row r="1" spans="1:13" s="99" customFormat="1" x14ac:dyDescent="0.45">
      <c r="A1" s="353" t="s">
        <v>123</v>
      </c>
      <c r="B1" s="353"/>
      <c r="C1" s="354" t="s">
        <v>232</v>
      </c>
      <c r="D1" s="354"/>
      <c r="E1" s="354"/>
      <c r="F1" s="354"/>
      <c r="G1" s="354"/>
      <c r="H1" s="354"/>
      <c r="I1" s="354"/>
      <c r="J1" s="354"/>
      <c r="K1" s="98"/>
    </row>
    <row r="2" spans="1:13" s="98" customFormat="1" x14ac:dyDescent="0.45">
      <c r="A2" s="169" t="s">
        <v>14</v>
      </c>
      <c r="B2" s="151" t="s">
        <v>11</v>
      </c>
      <c r="C2" s="355" t="s">
        <v>15</v>
      </c>
      <c r="D2" s="355"/>
      <c r="E2" s="355"/>
      <c r="F2" s="32" t="s">
        <v>16</v>
      </c>
      <c r="G2" s="32" t="s">
        <v>17</v>
      </c>
      <c r="H2" s="32" t="s">
        <v>18</v>
      </c>
      <c r="I2" s="32" t="s">
        <v>13</v>
      </c>
      <c r="J2" s="32" t="s">
        <v>19</v>
      </c>
    </row>
    <row r="3" spans="1:13" s="98" customFormat="1" x14ac:dyDescent="0.45">
      <c r="A3" s="170"/>
      <c r="B3" s="317">
        <v>1</v>
      </c>
      <c r="C3" s="317"/>
      <c r="D3" s="317"/>
      <c r="E3" s="317"/>
      <c r="F3" s="317"/>
      <c r="G3" s="317"/>
      <c r="H3" s="317"/>
      <c r="I3" s="317"/>
      <c r="J3" s="317"/>
    </row>
    <row r="4" spans="1:13" x14ac:dyDescent="0.4">
      <c r="A4" s="335">
        <v>1.1100000000000001</v>
      </c>
      <c r="B4" s="338" t="s">
        <v>143</v>
      </c>
      <c r="C4" s="339"/>
      <c r="D4" s="339"/>
      <c r="E4" s="339"/>
      <c r="F4" s="339"/>
      <c r="G4" s="339"/>
      <c r="H4" s="339"/>
      <c r="I4" s="340"/>
    </row>
    <row r="5" spans="1:13" s="178" customFormat="1" ht="15.6" customHeight="1" x14ac:dyDescent="0.4">
      <c r="A5" s="336"/>
      <c r="B5" s="175" t="s">
        <v>144</v>
      </c>
      <c r="C5" s="89"/>
      <c r="D5" s="176"/>
      <c r="E5" s="89"/>
      <c r="F5" s="34"/>
      <c r="G5" s="34"/>
      <c r="H5" s="34"/>
      <c r="I5" s="34"/>
      <c r="J5" s="177"/>
    </row>
    <row r="6" spans="1:13" s="178" customFormat="1" ht="15.6" customHeight="1" x14ac:dyDescent="0.4">
      <c r="A6" s="336"/>
      <c r="B6" s="179" t="s">
        <v>128</v>
      </c>
      <c r="C6" s="89"/>
      <c r="D6" s="176"/>
      <c r="E6" s="89"/>
      <c r="F6" s="34"/>
      <c r="G6" s="34"/>
      <c r="H6" s="34"/>
      <c r="I6" s="34"/>
      <c r="J6" s="177"/>
    </row>
    <row r="7" spans="1:13" s="178" customFormat="1" ht="15.6" customHeight="1" x14ac:dyDescent="0.4">
      <c r="A7" s="336"/>
      <c r="B7" s="175" t="s">
        <v>426</v>
      </c>
      <c r="C7" s="89">
        <v>2</v>
      </c>
      <c r="D7" s="176" t="s">
        <v>20</v>
      </c>
      <c r="E7" s="89">
        <v>2</v>
      </c>
      <c r="F7" s="34">
        <v>42.46</v>
      </c>
      <c r="G7" s="34" t="s">
        <v>21</v>
      </c>
      <c r="H7" s="34">
        <v>0.3</v>
      </c>
      <c r="I7" s="102">
        <f>ROUND(PRODUCT(C7:H7),2)</f>
        <v>50.95</v>
      </c>
      <c r="J7" s="177"/>
      <c r="L7" s="223"/>
      <c r="M7" s="223"/>
    </row>
    <row r="8" spans="1:13" s="178" customFormat="1" ht="15.6" customHeight="1" x14ac:dyDescent="0.4">
      <c r="A8" s="336"/>
      <c r="B8" s="175" t="s">
        <v>425</v>
      </c>
      <c r="C8" s="89">
        <v>2</v>
      </c>
      <c r="D8" s="176" t="s">
        <v>20</v>
      </c>
      <c r="E8" s="89">
        <v>2</v>
      </c>
      <c r="F8" s="34">
        <v>15.15</v>
      </c>
      <c r="G8" s="34" t="s">
        <v>21</v>
      </c>
      <c r="H8" s="34">
        <v>0.3</v>
      </c>
      <c r="I8" s="102">
        <f>ROUND(PRODUCT(C8:H8),2)</f>
        <v>18.18</v>
      </c>
      <c r="J8" s="177"/>
      <c r="M8" s="223"/>
    </row>
    <row r="9" spans="1:13" s="178" customFormat="1" ht="15.6" customHeight="1" x14ac:dyDescent="0.4">
      <c r="A9" s="336"/>
      <c r="B9" s="179" t="s">
        <v>379</v>
      </c>
      <c r="C9" s="89"/>
      <c r="D9" s="176"/>
      <c r="E9" s="89"/>
      <c r="F9" s="34"/>
      <c r="G9" s="34"/>
      <c r="H9" s="34"/>
      <c r="I9" s="34"/>
      <c r="J9" s="177"/>
      <c r="M9" s="223"/>
    </row>
    <row r="10" spans="1:13" s="178" customFormat="1" ht="15.6" customHeight="1" x14ac:dyDescent="0.4">
      <c r="A10" s="336"/>
      <c r="B10" s="175" t="s">
        <v>426</v>
      </c>
      <c r="C10" s="89">
        <v>2</v>
      </c>
      <c r="D10" s="176" t="s">
        <v>20</v>
      </c>
      <c r="E10" s="89">
        <v>2</v>
      </c>
      <c r="F10" s="34">
        <v>63.46</v>
      </c>
      <c r="G10" s="34" t="s">
        <v>21</v>
      </c>
      <c r="H10" s="34">
        <v>0.3</v>
      </c>
      <c r="I10" s="102">
        <f>ROUND(PRODUCT(C10:H10),2)</f>
        <v>76.150000000000006</v>
      </c>
      <c r="J10" s="177"/>
      <c r="L10" s="223"/>
    </row>
    <row r="11" spans="1:13" s="178" customFormat="1" ht="15.6" customHeight="1" x14ac:dyDescent="0.4">
      <c r="A11" s="336"/>
      <c r="B11" s="175" t="s">
        <v>425</v>
      </c>
      <c r="C11" s="89">
        <v>2</v>
      </c>
      <c r="D11" s="176" t="s">
        <v>20</v>
      </c>
      <c r="E11" s="89">
        <v>2</v>
      </c>
      <c r="F11" s="34">
        <v>15.15</v>
      </c>
      <c r="G11" s="34" t="s">
        <v>21</v>
      </c>
      <c r="H11" s="34">
        <v>0.3</v>
      </c>
      <c r="I11" s="102">
        <f>ROUND(PRODUCT(C11:H11),2)</f>
        <v>18.18</v>
      </c>
      <c r="J11" s="177"/>
    </row>
    <row r="12" spans="1:13" s="178" customFormat="1" ht="15.6" customHeight="1" x14ac:dyDescent="0.4">
      <c r="A12" s="337"/>
      <c r="B12" s="327" t="s">
        <v>127</v>
      </c>
      <c r="C12" s="328"/>
      <c r="D12" s="328"/>
      <c r="E12" s="328"/>
      <c r="F12" s="328"/>
      <c r="G12" s="328"/>
      <c r="H12" s="329"/>
      <c r="I12" s="32">
        <f>ROUND(SUM(I7:I11),2)</f>
        <v>163.46</v>
      </c>
      <c r="J12" s="180" t="s">
        <v>420</v>
      </c>
    </row>
    <row r="13" spans="1:13" x14ac:dyDescent="0.4">
      <c r="A13" s="335">
        <v>1.1299999999999999</v>
      </c>
      <c r="B13" s="338" t="s">
        <v>143</v>
      </c>
      <c r="C13" s="339"/>
      <c r="D13" s="339"/>
      <c r="E13" s="339"/>
      <c r="F13" s="339"/>
      <c r="G13" s="339"/>
      <c r="H13" s="339"/>
      <c r="I13" s="340"/>
    </row>
    <row r="14" spans="1:13" s="178" customFormat="1" ht="15.6" customHeight="1" x14ac:dyDescent="0.4">
      <c r="A14" s="336"/>
      <c r="B14" s="179" t="s">
        <v>128</v>
      </c>
      <c r="C14" s="89"/>
      <c r="D14" s="176"/>
      <c r="E14" s="89"/>
      <c r="F14" s="34"/>
      <c r="G14" s="34"/>
      <c r="H14" s="34"/>
      <c r="I14" s="34"/>
      <c r="J14" s="177"/>
    </row>
    <row r="15" spans="1:13" s="178" customFormat="1" ht="15.6" customHeight="1" x14ac:dyDescent="0.4">
      <c r="A15" s="336"/>
      <c r="B15" s="175" t="s">
        <v>234</v>
      </c>
      <c r="C15" s="89"/>
      <c r="D15" s="176"/>
      <c r="E15" s="89"/>
      <c r="F15" s="34"/>
      <c r="G15" s="34"/>
      <c r="H15" s="34"/>
      <c r="I15" s="34"/>
      <c r="J15" s="177"/>
    </row>
    <row r="16" spans="1:13" s="178" customFormat="1" ht="15.6" customHeight="1" x14ac:dyDescent="0.4">
      <c r="A16" s="336"/>
      <c r="B16" s="175" t="s">
        <v>163</v>
      </c>
      <c r="C16" s="89">
        <v>2</v>
      </c>
      <c r="D16" s="176" t="s">
        <v>20</v>
      </c>
      <c r="E16" s="89">
        <v>4</v>
      </c>
      <c r="F16" s="200" t="s">
        <v>164</v>
      </c>
      <c r="G16" s="34">
        <v>1</v>
      </c>
      <c r="H16" s="34" t="s">
        <v>21</v>
      </c>
      <c r="I16" s="34">
        <f>2*4*5.35*1</f>
        <v>42.8</v>
      </c>
      <c r="J16" s="177"/>
    </row>
    <row r="17" spans="1:10" s="178" customFormat="1" ht="15.6" customHeight="1" x14ac:dyDescent="0.4">
      <c r="A17" s="336"/>
      <c r="B17" s="175" t="s">
        <v>165</v>
      </c>
      <c r="C17" s="89">
        <v>1</v>
      </c>
      <c r="D17" s="176" t="s">
        <v>20</v>
      </c>
      <c r="E17" s="89">
        <v>4</v>
      </c>
      <c r="F17" s="34">
        <v>2.1</v>
      </c>
      <c r="G17" s="34" t="s">
        <v>21</v>
      </c>
      <c r="H17" s="34">
        <v>0.45</v>
      </c>
      <c r="I17" s="102">
        <f t="shared" ref="I17:I36" si="0">ROUND(PRODUCT(C17:H17),2)</f>
        <v>3.78</v>
      </c>
      <c r="J17" s="177"/>
    </row>
    <row r="18" spans="1:10" s="178" customFormat="1" ht="15.6" customHeight="1" x14ac:dyDescent="0.4">
      <c r="A18" s="336"/>
      <c r="B18" s="175" t="s">
        <v>166</v>
      </c>
      <c r="C18" s="89">
        <v>1</v>
      </c>
      <c r="D18" s="176" t="s">
        <v>20</v>
      </c>
      <c r="E18" s="89">
        <v>4</v>
      </c>
      <c r="F18" s="34">
        <v>2.1</v>
      </c>
      <c r="G18" s="34" t="s">
        <v>21</v>
      </c>
      <c r="H18" s="34">
        <v>0.35</v>
      </c>
      <c r="I18" s="102">
        <f t="shared" si="0"/>
        <v>2.94</v>
      </c>
      <c r="J18" s="177"/>
    </row>
    <row r="19" spans="1:10" s="178" customFormat="1" ht="15.6" customHeight="1" x14ac:dyDescent="0.4">
      <c r="A19" s="336"/>
      <c r="B19" s="181" t="s">
        <v>167</v>
      </c>
      <c r="C19" s="182"/>
      <c r="D19" s="182"/>
      <c r="E19" s="182"/>
      <c r="F19" s="183"/>
      <c r="G19" s="183"/>
      <c r="H19" s="183"/>
      <c r="I19" s="184"/>
      <c r="J19" s="177"/>
    </row>
    <row r="20" spans="1:10" s="178" customFormat="1" ht="15.6" customHeight="1" x14ac:dyDescent="0.4">
      <c r="A20" s="336"/>
      <c r="B20" s="175" t="s">
        <v>168</v>
      </c>
      <c r="C20" s="89">
        <v>2</v>
      </c>
      <c r="D20" s="176" t="s">
        <v>20</v>
      </c>
      <c r="E20" s="89">
        <v>1</v>
      </c>
      <c r="F20" s="34">
        <v>42.46</v>
      </c>
      <c r="G20" s="34">
        <v>0.3</v>
      </c>
      <c r="H20" s="34" t="s">
        <v>21</v>
      </c>
      <c r="I20" s="102">
        <f t="shared" si="0"/>
        <v>25.48</v>
      </c>
      <c r="J20" s="177"/>
    </row>
    <row r="21" spans="1:10" s="178" customFormat="1" ht="15.6" customHeight="1" x14ac:dyDescent="0.4">
      <c r="A21" s="336"/>
      <c r="B21" s="175" t="s">
        <v>169</v>
      </c>
      <c r="C21" s="89">
        <v>2</v>
      </c>
      <c r="D21" s="176" t="s">
        <v>20</v>
      </c>
      <c r="E21" s="89">
        <v>1</v>
      </c>
      <c r="F21" s="34">
        <v>42.46</v>
      </c>
      <c r="G21" s="34" t="s">
        <v>21</v>
      </c>
      <c r="H21" s="34">
        <v>0.05</v>
      </c>
      <c r="I21" s="102">
        <f t="shared" si="0"/>
        <v>4.25</v>
      </c>
      <c r="J21" s="177"/>
    </row>
    <row r="22" spans="1:10" s="178" customFormat="1" ht="15.6" customHeight="1" x14ac:dyDescent="0.4">
      <c r="A22" s="336"/>
      <c r="B22" s="175" t="s">
        <v>170</v>
      </c>
      <c r="C22" s="89">
        <v>2</v>
      </c>
      <c r="D22" s="176" t="s">
        <v>20</v>
      </c>
      <c r="E22" s="89">
        <v>1</v>
      </c>
      <c r="F22" s="34">
        <v>15.15</v>
      </c>
      <c r="G22" s="34">
        <v>0.3</v>
      </c>
      <c r="H22" s="34" t="s">
        <v>21</v>
      </c>
      <c r="I22" s="102">
        <f t="shared" si="0"/>
        <v>9.09</v>
      </c>
      <c r="J22" s="177"/>
    </row>
    <row r="23" spans="1:10" s="178" customFormat="1" ht="15.6" customHeight="1" x14ac:dyDescent="0.4">
      <c r="A23" s="336"/>
      <c r="B23" s="175" t="s">
        <v>169</v>
      </c>
      <c r="C23" s="89">
        <v>2</v>
      </c>
      <c r="D23" s="176" t="s">
        <v>20</v>
      </c>
      <c r="E23" s="89">
        <v>1</v>
      </c>
      <c r="F23" s="34">
        <v>15.31</v>
      </c>
      <c r="G23" s="34" t="s">
        <v>21</v>
      </c>
      <c r="H23" s="34">
        <v>0.05</v>
      </c>
      <c r="I23" s="102">
        <f t="shared" si="0"/>
        <v>1.53</v>
      </c>
      <c r="J23" s="177"/>
    </row>
    <row r="24" spans="1:10" s="178" customFormat="1" ht="15.6" customHeight="1" x14ac:dyDescent="0.4">
      <c r="A24" s="336"/>
      <c r="B24" s="185" t="s">
        <v>171</v>
      </c>
      <c r="C24" s="89">
        <v>-2</v>
      </c>
      <c r="D24" s="176" t="s">
        <v>20</v>
      </c>
      <c r="E24" s="89">
        <v>2</v>
      </c>
      <c r="F24" s="34">
        <v>5.35</v>
      </c>
      <c r="G24" s="34">
        <v>0.3</v>
      </c>
      <c r="H24" s="34" t="s">
        <v>21</v>
      </c>
      <c r="I24" s="102">
        <f t="shared" si="0"/>
        <v>-6.42</v>
      </c>
      <c r="J24" s="177"/>
    </row>
    <row r="25" spans="1:10" s="178" customFormat="1" ht="15.6" customHeight="1" x14ac:dyDescent="0.4">
      <c r="A25" s="336"/>
      <c r="B25" s="186" t="s">
        <v>172</v>
      </c>
      <c r="C25" s="89">
        <v>-2</v>
      </c>
      <c r="D25" s="176" t="s">
        <v>20</v>
      </c>
      <c r="E25" s="89">
        <v>2</v>
      </c>
      <c r="F25" s="34">
        <v>5.35</v>
      </c>
      <c r="G25" s="34" t="s">
        <v>21</v>
      </c>
      <c r="H25" s="34">
        <v>0.05</v>
      </c>
      <c r="I25" s="102">
        <f t="shared" si="0"/>
        <v>-1.07</v>
      </c>
      <c r="J25" s="177"/>
    </row>
    <row r="26" spans="1:10" s="178" customFormat="1" ht="15.6" customHeight="1" x14ac:dyDescent="0.4">
      <c r="A26" s="336"/>
      <c r="B26" s="179" t="s">
        <v>379</v>
      </c>
      <c r="C26" s="89"/>
      <c r="D26" s="176"/>
      <c r="E26" s="89"/>
      <c r="F26" s="34"/>
      <c r="G26" s="34"/>
      <c r="H26" s="34"/>
      <c r="I26" s="34"/>
      <c r="J26" s="177"/>
    </row>
    <row r="27" spans="1:10" s="178" customFormat="1" ht="30" x14ac:dyDescent="0.4">
      <c r="A27" s="336"/>
      <c r="B27" s="175" t="s">
        <v>163</v>
      </c>
      <c r="C27" s="89">
        <v>2</v>
      </c>
      <c r="D27" s="176" t="s">
        <v>20</v>
      </c>
      <c r="E27" s="89">
        <v>3</v>
      </c>
      <c r="F27" s="215" t="s">
        <v>380</v>
      </c>
      <c r="G27" s="34">
        <v>1</v>
      </c>
      <c r="H27" s="34" t="s">
        <v>21</v>
      </c>
      <c r="I27" s="34">
        <f>2*4*5.35*1</f>
        <v>42.8</v>
      </c>
      <c r="J27" s="187"/>
    </row>
    <row r="28" spans="1:10" s="178" customFormat="1" ht="15" customHeight="1" x14ac:dyDescent="0.4">
      <c r="A28" s="336"/>
      <c r="B28" s="175" t="s">
        <v>165</v>
      </c>
      <c r="C28" s="89">
        <v>2</v>
      </c>
      <c r="D28" s="176" t="s">
        <v>20</v>
      </c>
      <c r="E28" s="89">
        <v>3</v>
      </c>
      <c r="F28" s="214">
        <v>2.1</v>
      </c>
      <c r="G28" s="214" t="s">
        <v>21</v>
      </c>
      <c r="H28" s="214">
        <v>0.45</v>
      </c>
      <c r="I28" s="102">
        <f t="shared" si="0"/>
        <v>5.67</v>
      </c>
      <c r="J28" s="187"/>
    </row>
    <row r="29" spans="1:10" s="178" customFormat="1" ht="15" customHeight="1" x14ac:dyDescent="0.4">
      <c r="A29" s="336"/>
      <c r="B29" s="175" t="s">
        <v>166</v>
      </c>
      <c r="C29" s="89">
        <v>2</v>
      </c>
      <c r="D29" s="176" t="s">
        <v>20</v>
      </c>
      <c r="E29" s="89">
        <v>3</v>
      </c>
      <c r="F29" s="214">
        <v>2.1</v>
      </c>
      <c r="G29" s="214" t="s">
        <v>21</v>
      </c>
      <c r="H29" s="214">
        <v>0.35</v>
      </c>
      <c r="I29" s="102">
        <f t="shared" si="0"/>
        <v>4.41</v>
      </c>
      <c r="J29" s="187"/>
    </row>
    <row r="30" spans="1:10" s="178" customFormat="1" ht="15" customHeight="1" x14ac:dyDescent="0.4">
      <c r="A30" s="336"/>
      <c r="B30" s="175" t="s">
        <v>167</v>
      </c>
      <c r="C30" s="89"/>
      <c r="D30" s="176"/>
      <c r="E30" s="89"/>
      <c r="F30" s="214"/>
      <c r="G30" s="214"/>
      <c r="H30" s="214"/>
      <c r="I30" s="102">
        <f t="shared" si="0"/>
        <v>0</v>
      </c>
      <c r="J30" s="187"/>
    </row>
    <row r="31" spans="1:10" s="178" customFormat="1" ht="15" customHeight="1" x14ac:dyDescent="0.4">
      <c r="A31" s="336"/>
      <c r="B31" s="175" t="s">
        <v>168</v>
      </c>
      <c r="C31" s="89">
        <v>2</v>
      </c>
      <c r="D31" s="176" t="s">
        <v>20</v>
      </c>
      <c r="E31" s="89">
        <v>1</v>
      </c>
      <c r="F31" s="214">
        <v>64.150000000000006</v>
      </c>
      <c r="G31" s="214">
        <v>0.3</v>
      </c>
      <c r="H31" s="214" t="s">
        <v>21</v>
      </c>
      <c r="I31" s="102">
        <f t="shared" si="0"/>
        <v>38.49</v>
      </c>
      <c r="J31" s="187"/>
    </row>
    <row r="32" spans="1:10" s="178" customFormat="1" ht="15" customHeight="1" x14ac:dyDescent="0.4">
      <c r="A32" s="336"/>
      <c r="B32" s="175" t="s">
        <v>169</v>
      </c>
      <c r="C32" s="89">
        <v>2</v>
      </c>
      <c r="D32" s="176" t="s">
        <v>20</v>
      </c>
      <c r="E32" s="89">
        <v>1</v>
      </c>
      <c r="F32" s="214">
        <v>64.150000000000006</v>
      </c>
      <c r="G32" s="214" t="s">
        <v>21</v>
      </c>
      <c r="H32" s="214">
        <v>0.05</v>
      </c>
      <c r="I32" s="102">
        <f t="shared" si="0"/>
        <v>6.42</v>
      </c>
      <c r="J32" s="187"/>
    </row>
    <row r="33" spans="1:10" s="178" customFormat="1" ht="15" customHeight="1" x14ac:dyDescent="0.4">
      <c r="A33" s="336"/>
      <c r="B33" s="175" t="s">
        <v>381</v>
      </c>
      <c r="C33" s="89">
        <v>2</v>
      </c>
      <c r="D33" s="176" t="s">
        <v>20</v>
      </c>
      <c r="E33" s="89">
        <v>1</v>
      </c>
      <c r="F33" s="214">
        <v>15.15</v>
      </c>
      <c r="G33" s="214">
        <v>0.3</v>
      </c>
      <c r="H33" s="214" t="s">
        <v>21</v>
      </c>
      <c r="I33" s="102">
        <f t="shared" si="0"/>
        <v>9.09</v>
      </c>
      <c r="J33" s="187"/>
    </row>
    <row r="34" spans="1:10" s="178" customFormat="1" ht="15" customHeight="1" x14ac:dyDescent="0.4">
      <c r="A34" s="336"/>
      <c r="B34" s="175" t="s">
        <v>169</v>
      </c>
      <c r="C34" s="89">
        <v>2</v>
      </c>
      <c r="D34" s="176" t="s">
        <v>20</v>
      </c>
      <c r="E34" s="89">
        <v>1</v>
      </c>
      <c r="F34" s="214">
        <v>15.61</v>
      </c>
      <c r="G34" s="214" t="s">
        <v>21</v>
      </c>
      <c r="H34" s="214">
        <v>0.05</v>
      </c>
      <c r="I34" s="102">
        <f t="shared" si="0"/>
        <v>1.56</v>
      </c>
      <c r="J34" s="187"/>
    </row>
    <row r="35" spans="1:10" s="178" customFormat="1" x14ac:dyDescent="0.4">
      <c r="A35" s="336"/>
      <c r="B35" s="185" t="s">
        <v>171</v>
      </c>
      <c r="C35" s="89">
        <v>-2</v>
      </c>
      <c r="D35" s="176" t="s">
        <v>20</v>
      </c>
      <c r="E35" s="89">
        <v>3</v>
      </c>
      <c r="F35" s="34">
        <v>5.85</v>
      </c>
      <c r="G35" s="34">
        <v>0.3</v>
      </c>
      <c r="H35" s="34" t="s">
        <v>21</v>
      </c>
      <c r="I35" s="102">
        <f t="shared" si="0"/>
        <v>-10.53</v>
      </c>
      <c r="J35" s="187"/>
    </row>
    <row r="36" spans="1:10" s="178" customFormat="1" x14ac:dyDescent="0.4">
      <c r="A36" s="336"/>
      <c r="B36" s="186" t="s">
        <v>172</v>
      </c>
      <c r="C36" s="89">
        <v>-2</v>
      </c>
      <c r="D36" s="176" t="s">
        <v>20</v>
      </c>
      <c r="E36" s="89">
        <v>3</v>
      </c>
      <c r="F36" s="34">
        <v>5.85</v>
      </c>
      <c r="G36" s="214" t="s">
        <v>21</v>
      </c>
      <c r="H36" s="34">
        <v>0.05</v>
      </c>
      <c r="I36" s="102">
        <f t="shared" si="0"/>
        <v>-1.76</v>
      </c>
      <c r="J36" s="187"/>
    </row>
    <row r="37" spans="1:10" s="178" customFormat="1" ht="15.6" customHeight="1" x14ac:dyDescent="0.4">
      <c r="A37" s="337"/>
      <c r="B37" s="327" t="s">
        <v>127</v>
      </c>
      <c r="C37" s="328"/>
      <c r="D37" s="328"/>
      <c r="E37" s="328"/>
      <c r="F37" s="328"/>
      <c r="G37" s="328"/>
      <c r="H37" s="329"/>
      <c r="I37" s="32">
        <f>ROUND(SUM(I16:I36),2)</f>
        <v>178.53</v>
      </c>
      <c r="J37" s="180" t="s">
        <v>420</v>
      </c>
    </row>
    <row r="38" spans="1:10" s="98" customFormat="1" x14ac:dyDescent="0.45">
      <c r="A38" s="170"/>
      <c r="B38" s="317">
        <v>2</v>
      </c>
      <c r="C38" s="317"/>
      <c r="D38" s="317"/>
      <c r="E38" s="317"/>
      <c r="F38" s="317"/>
      <c r="G38" s="317"/>
      <c r="H38" s="317"/>
      <c r="I38" s="317"/>
      <c r="J38" s="317"/>
    </row>
    <row r="39" spans="1:10" s="88" customFormat="1" ht="15" customHeight="1" x14ac:dyDescent="0.4">
      <c r="A39" s="344">
        <v>1.1399999999999999</v>
      </c>
      <c r="B39" s="347" t="s">
        <v>77</v>
      </c>
      <c r="C39" s="348"/>
      <c r="D39" s="348"/>
      <c r="E39" s="348"/>
      <c r="F39" s="348"/>
      <c r="G39" s="348"/>
      <c r="H39" s="348"/>
      <c r="I39" s="349"/>
      <c r="J39" s="90"/>
    </row>
    <row r="40" spans="1:10" s="178" customFormat="1" ht="15.6" customHeight="1" x14ac:dyDescent="0.4">
      <c r="A40" s="345"/>
      <c r="B40" s="179" t="s">
        <v>128</v>
      </c>
      <c r="C40" s="89"/>
      <c r="D40" s="176"/>
      <c r="E40" s="89"/>
      <c r="F40" s="34"/>
      <c r="G40" s="34"/>
      <c r="H40" s="34"/>
      <c r="I40" s="34"/>
      <c r="J40" s="177"/>
    </row>
    <row r="41" spans="1:10" s="88" customFormat="1" x14ac:dyDescent="0.4">
      <c r="A41" s="345"/>
      <c r="B41" s="103" t="s">
        <v>233</v>
      </c>
      <c r="C41" s="89"/>
      <c r="D41" s="90"/>
      <c r="E41" s="89"/>
      <c r="F41" s="105"/>
      <c r="G41" s="105"/>
      <c r="H41" s="102"/>
      <c r="I41" s="102">
        <f>PRODUCT(C41:H41)</f>
        <v>0</v>
      </c>
      <c r="J41" s="90"/>
    </row>
    <row r="42" spans="1:10" s="178" customFormat="1" ht="15.6" customHeight="1" x14ac:dyDescent="0.4">
      <c r="A42" s="345"/>
      <c r="B42" s="179" t="s">
        <v>379</v>
      </c>
      <c r="C42" s="89"/>
      <c r="D42" s="176"/>
      <c r="E42" s="89"/>
      <c r="F42" s="34"/>
      <c r="G42" s="34"/>
      <c r="H42" s="34"/>
      <c r="I42" s="34"/>
      <c r="J42" s="177"/>
    </row>
    <row r="43" spans="1:10" s="88" customFormat="1" x14ac:dyDescent="0.4">
      <c r="A43" s="345"/>
      <c r="B43" s="103" t="s">
        <v>233</v>
      </c>
      <c r="C43" s="89"/>
      <c r="D43" s="90"/>
      <c r="E43" s="89"/>
      <c r="F43" s="105"/>
      <c r="G43" s="105"/>
      <c r="H43" s="102"/>
      <c r="I43" s="102">
        <f>PRODUCT(C43:H43)</f>
        <v>0</v>
      </c>
      <c r="J43" s="90"/>
    </row>
    <row r="44" spans="1:10" s="88" customFormat="1" x14ac:dyDescent="0.4">
      <c r="A44" s="346"/>
      <c r="B44" s="350" t="s">
        <v>127</v>
      </c>
      <c r="C44" s="351"/>
      <c r="D44" s="351"/>
      <c r="E44" s="351"/>
      <c r="F44" s="351"/>
      <c r="G44" s="351"/>
      <c r="H44" s="352"/>
      <c r="I44" s="106">
        <f>SUM(I41:I43)</f>
        <v>0</v>
      </c>
      <c r="J44" s="90" t="s">
        <v>22</v>
      </c>
    </row>
    <row r="45" spans="1:10" s="178" customFormat="1" ht="15.6" customHeight="1" x14ac:dyDescent="0.4">
      <c r="A45" s="335">
        <v>1.22</v>
      </c>
      <c r="B45" s="324" t="s">
        <v>272</v>
      </c>
      <c r="C45" s="324"/>
      <c r="D45" s="324"/>
      <c r="E45" s="324"/>
      <c r="F45" s="324"/>
      <c r="G45" s="324"/>
      <c r="H45" s="324"/>
      <c r="I45" s="324"/>
      <c r="J45" s="324"/>
    </row>
    <row r="46" spans="1:10" s="178" customFormat="1" ht="15.6" customHeight="1" x14ac:dyDescent="0.4">
      <c r="A46" s="336"/>
      <c r="B46" s="321" t="s">
        <v>273</v>
      </c>
      <c r="C46" s="322"/>
      <c r="D46" s="322"/>
      <c r="E46" s="322"/>
      <c r="F46" s="322"/>
      <c r="G46" s="322"/>
      <c r="H46" s="322"/>
      <c r="I46" s="323"/>
      <c r="J46" s="325"/>
    </row>
    <row r="47" spans="1:10" s="178" customFormat="1" ht="15.6" customHeight="1" x14ac:dyDescent="0.4">
      <c r="A47" s="336"/>
      <c r="B47" s="187" t="s">
        <v>274</v>
      </c>
      <c r="C47" s="89">
        <v>1</v>
      </c>
      <c r="D47" s="176" t="s">
        <v>20</v>
      </c>
      <c r="E47" s="89">
        <v>4</v>
      </c>
      <c r="F47" s="34">
        <v>7.15</v>
      </c>
      <c r="G47" s="34" t="s">
        <v>21</v>
      </c>
      <c r="H47" s="34" t="s">
        <v>21</v>
      </c>
      <c r="I47" s="102">
        <f t="shared" ref="I47" si="1">ROUND(PRODUCT(C47:H47),2)</f>
        <v>28.6</v>
      </c>
      <c r="J47" s="326"/>
    </row>
    <row r="48" spans="1:10" s="178" customFormat="1" ht="15.6" customHeight="1" x14ac:dyDescent="0.4">
      <c r="A48" s="336"/>
      <c r="B48" s="321" t="s">
        <v>389</v>
      </c>
      <c r="C48" s="322"/>
      <c r="D48" s="322"/>
      <c r="E48" s="322"/>
      <c r="F48" s="322"/>
      <c r="G48" s="322"/>
      <c r="H48" s="322"/>
      <c r="I48" s="323"/>
      <c r="J48" s="325"/>
    </row>
    <row r="49" spans="1:13" s="178" customFormat="1" ht="15.6" customHeight="1" x14ac:dyDescent="0.4">
      <c r="A49" s="336"/>
      <c r="B49" s="187" t="s">
        <v>274</v>
      </c>
      <c r="C49" s="89">
        <v>1</v>
      </c>
      <c r="D49" s="176" t="s">
        <v>20</v>
      </c>
      <c r="E49" s="89">
        <v>6</v>
      </c>
      <c r="F49" s="34">
        <v>7.15</v>
      </c>
      <c r="G49" s="34" t="s">
        <v>21</v>
      </c>
      <c r="H49" s="34" t="s">
        <v>21</v>
      </c>
      <c r="I49" s="102">
        <f t="shared" ref="I49" si="2">ROUND(PRODUCT(C49:H49),2)</f>
        <v>42.9</v>
      </c>
      <c r="J49" s="326"/>
    </row>
    <row r="50" spans="1:13" s="178" customFormat="1" ht="15.6" customHeight="1" x14ac:dyDescent="0.4">
      <c r="A50" s="336"/>
      <c r="B50" s="187" t="s">
        <v>274</v>
      </c>
      <c r="C50" s="89">
        <v>1</v>
      </c>
      <c r="D50" s="176" t="s">
        <v>20</v>
      </c>
      <c r="E50" s="89">
        <v>2</v>
      </c>
      <c r="F50" s="34">
        <v>5</v>
      </c>
      <c r="G50" s="34" t="s">
        <v>21</v>
      </c>
      <c r="H50" s="34" t="s">
        <v>21</v>
      </c>
      <c r="I50" s="102">
        <f t="shared" ref="I50" si="3">ROUND(PRODUCT(C50:H50),2)</f>
        <v>10</v>
      </c>
      <c r="J50" s="177"/>
    </row>
    <row r="51" spans="1:13" s="178" customFormat="1" ht="15.6" customHeight="1" x14ac:dyDescent="0.4">
      <c r="A51" s="336"/>
      <c r="B51" s="327" t="s">
        <v>127</v>
      </c>
      <c r="C51" s="328"/>
      <c r="D51" s="328"/>
      <c r="E51" s="328"/>
      <c r="F51" s="328"/>
      <c r="G51" s="328"/>
      <c r="H51" s="329"/>
      <c r="I51" s="32">
        <f>ROUND(SUM(I47:I50),2)</f>
        <v>81.5</v>
      </c>
      <c r="J51" s="188" t="s">
        <v>7</v>
      </c>
    </row>
    <row r="52" spans="1:13" x14ac:dyDescent="0.4">
      <c r="A52" s="335">
        <v>1.3</v>
      </c>
      <c r="B52" s="338" t="s">
        <v>235</v>
      </c>
      <c r="C52" s="339"/>
      <c r="D52" s="339"/>
      <c r="E52" s="339"/>
      <c r="F52" s="339"/>
      <c r="G52" s="339"/>
      <c r="H52" s="339"/>
      <c r="I52" s="340"/>
    </row>
    <row r="53" spans="1:13" s="178" customFormat="1" ht="15.6" customHeight="1" x14ac:dyDescent="0.4">
      <c r="A53" s="336"/>
      <c r="B53" s="179" t="s">
        <v>128</v>
      </c>
      <c r="C53" s="89"/>
      <c r="D53" s="176"/>
      <c r="E53" s="89"/>
      <c r="F53" s="34"/>
      <c r="G53" s="34"/>
      <c r="H53" s="34"/>
      <c r="I53" s="34"/>
      <c r="J53" s="177"/>
    </row>
    <row r="54" spans="1:13" s="178" customFormat="1" ht="15.6" customHeight="1" x14ac:dyDescent="0.4">
      <c r="A54" s="336"/>
      <c r="B54" s="175" t="s">
        <v>427</v>
      </c>
      <c r="C54" s="89">
        <v>1</v>
      </c>
      <c r="D54" s="176" t="s">
        <v>20</v>
      </c>
      <c r="E54" s="89">
        <v>2</v>
      </c>
      <c r="F54" s="34">
        <v>42.46</v>
      </c>
      <c r="G54" s="34">
        <v>0.34</v>
      </c>
      <c r="H54" s="34">
        <v>0.3</v>
      </c>
      <c r="I54" s="102">
        <f t="shared" ref="I54" si="4">ROUND(PRODUCT(C54:H54),2)</f>
        <v>8.66</v>
      </c>
      <c r="J54" s="189"/>
    </row>
    <row r="55" spans="1:13" s="178" customFormat="1" ht="15.6" customHeight="1" x14ac:dyDescent="0.4">
      <c r="A55" s="336"/>
      <c r="B55" s="175" t="s">
        <v>428</v>
      </c>
      <c r="C55" s="89">
        <v>1</v>
      </c>
      <c r="D55" s="176" t="s">
        <v>20</v>
      </c>
      <c r="E55" s="89">
        <v>2</v>
      </c>
      <c r="F55" s="34">
        <v>15.15</v>
      </c>
      <c r="G55" s="34">
        <v>0.34</v>
      </c>
      <c r="H55" s="34">
        <v>0.3</v>
      </c>
      <c r="I55" s="102">
        <f t="shared" ref="I55" si="5">ROUND(PRODUCT(C55:H55),2)</f>
        <v>3.09</v>
      </c>
      <c r="J55" s="189"/>
    </row>
    <row r="56" spans="1:13" s="178" customFormat="1" ht="15.6" customHeight="1" x14ac:dyDescent="0.4">
      <c r="A56" s="336"/>
      <c r="B56" s="175" t="s">
        <v>173</v>
      </c>
      <c r="C56" s="89">
        <v>1</v>
      </c>
      <c r="D56" s="176" t="s">
        <v>20</v>
      </c>
      <c r="E56" s="89">
        <v>4</v>
      </c>
      <c r="F56" s="200" t="s">
        <v>174</v>
      </c>
      <c r="G56" s="34">
        <v>1</v>
      </c>
      <c r="H56" s="200" t="s">
        <v>175</v>
      </c>
      <c r="I56" s="34">
        <v>8.56</v>
      </c>
      <c r="J56" s="189"/>
      <c r="K56" s="190"/>
    </row>
    <row r="57" spans="1:13" s="178" customFormat="1" ht="15.6" customHeight="1" x14ac:dyDescent="0.4">
      <c r="A57" s="336"/>
      <c r="B57" s="175" t="s">
        <v>176</v>
      </c>
      <c r="C57" s="89">
        <v>1</v>
      </c>
      <c r="D57" s="176" t="s">
        <v>20</v>
      </c>
      <c r="E57" s="89">
        <v>2</v>
      </c>
      <c r="F57" s="34">
        <v>42.46</v>
      </c>
      <c r="G57" s="34">
        <v>0.3</v>
      </c>
      <c r="H57" s="34">
        <v>0.05</v>
      </c>
      <c r="I57" s="102">
        <f t="shared" ref="I57:I59" si="6">ROUND(PRODUCT(C57:H57),2)</f>
        <v>1.27</v>
      </c>
      <c r="J57" s="189"/>
    </row>
    <row r="58" spans="1:13" s="178" customFormat="1" ht="15.6" customHeight="1" x14ac:dyDescent="0.4">
      <c r="A58" s="336"/>
      <c r="B58" s="175" t="s">
        <v>177</v>
      </c>
      <c r="C58" s="89">
        <v>1</v>
      </c>
      <c r="D58" s="176" t="s">
        <v>20</v>
      </c>
      <c r="E58" s="89">
        <v>2</v>
      </c>
      <c r="F58" s="34">
        <v>15.15</v>
      </c>
      <c r="G58" s="34">
        <v>0.3</v>
      </c>
      <c r="H58" s="34">
        <v>0.05</v>
      </c>
      <c r="I58" s="102">
        <f t="shared" si="6"/>
        <v>0.45</v>
      </c>
      <c r="J58" s="189"/>
    </row>
    <row r="59" spans="1:13" s="178" customFormat="1" ht="15.6" customHeight="1" x14ac:dyDescent="0.4">
      <c r="A59" s="336"/>
      <c r="B59" s="187" t="s">
        <v>236</v>
      </c>
      <c r="C59" s="89">
        <v>-1</v>
      </c>
      <c r="D59" s="176" t="s">
        <v>20</v>
      </c>
      <c r="E59" s="89">
        <v>4</v>
      </c>
      <c r="F59" s="34">
        <v>5.85</v>
      </c>
      <c r="G59" s="34">
        <v>0.3</v>
      </c>
      <c r="H59" s="34">
        <v>0.05</v>
      </c>
      <c r="I59" s="102">
        <f t="shared" si="6"/>
        <v>-0.35</v>
      </c>
      <c r="J59" s="189"/>
    </row>
    <row r="60" spans="1:13" s="178" customFormat="1" ht="15.6" customHeight="1" x14ac:dyDescent="0.4">
      <c r="A60" s="336"/>
      <c r="B60" s="321" t="s">
        <v>389</v>
      </c>
      <c r="C60" s="322"/>
      <c r="D60" s="322"/>
      <c r="E60" s="322"/>
      <c r="F60" s="322"/>
      <c r="G60" s="322"/>
      <c r="H60" s="322"/>
      <c r="I60" s="323"/>
      <c r="J60" s="189"/>
    </row>
    <row r="61" spans="1:13" s="178" customFormat="1" ht="15.6" customHeight="1" x14ac:dyDescent="0.4">
      <c r="A61" s="336"/>
      <c r="B61" s="175" t="s">
        <v>427</v>
      </c>
      <c r="C61" s="89">
        <v>1</v>
      </c>
      <c r="D61" s="176" t="s">
        <v>20</v>
      </c>
      <c r="E61" s="89">
        <v>2</v>
      </c>
      <c r="F61" s="34">
        <v>63.46</v>
      </c>
      <c r="G61" s="34">
        <v>0.34</v>
      </c>
      <c r="H61" s="34">
        <v>0.3</v>
      </c>
      <c r="I61" s="102">
        <f t="shared" ref="I61:I62" si="7">ROUND(PRODUCT(C61:H61),2)</f>
        <v>12.95</v>
      </c>
      <c r="J61" s="189"/>
    </row>
    <row r="62" spans="1:13" s="178" customFormat="1" ht="15.6" customHeight="1" x14ac:dyDescent="0.4">
      <c r="A62" s="336"/>
      <c r="B62" s="175" t="s">
        <v>428</v>
      </c>
      <c r="C62" s="89">
        <v>1</v>
      </c>
      <c r="D62" s="176" t="s">
        <v>20</v>
      </c>
      <c r="E62" s="89">
        <v>2</v>
      </c>
      <c r="F62" s="34">
        <v>15.15</v>
      </c>
      <c r="G62" s="34">
        <v>0.34</v>
      </c>
      <c r="H62" s="34">
        <v>0.3</v>
      </c>
      <c r="I62" s="102">
        <f t="shared" si="7"/>
        <v>3.09</v>
      </c>
      <c r="J62" s="189"/>
    </row>
    <row r="63" spans="1:13" s="178" customFormat="1" ht="15.95" customHeight="1" x14ac:dyDescent="0.4">
      <c r="A63" s="336"/>
      <c r="B63" s="187" t="s">
        <v>173</v>
      </c>
      <c r="C63" s="89">
        <v>1</v>
      </c>
      <c r="D63" s="176" t="s">
        <v>20</v>
      </c>
      <c r="E63" s="89">
        <v>6</v>
      </c>
      <c r="F63" s="216" t="s">
        <v>174</v>
      </c>
      <c r="G63" s="214" t="s">
        <v>390</v>
      </c>
      <c r="H63" s="217" t="s">
        <v>175</v>
      </c>
      <c r="I63" s="102">
        <v>12.77</v>
      </c>
      <c r="J63" s="187"/>
      <c r="M63" s="190"/>
    </row>
    <row r="64" spans="1:13" s="178" customFormat="1" ht="15.95" customHeight="1" x14ac:dyDescent="0.4">
      <c r="A64" s="336"/>
      <c r="B64" s="187" t="s">
        <v>176</v>
      </c>
      <c r="C64" s="89">
        <v>1</v>
      </c>
      <c r="D64" s="176" t="s">
        <v>20</v>
      </c>
      <c r="E64" s="89">
        <v>2</v>
      </c>
      <c r="F64" s="213">
        <v>64.150000000000006</v>
      </c>
      <c r="G64" s="213">
        <v>0.3</v>
      </c>
      <c r="H64" s="213">
        <v>0.05</v>
      </c>
      <c r="I64" s="102">
        <f t="shared" ref="I64:I66" si="8">ROUND(PRODUCT(C64:H64),2)</f>
        <v>1.92</v>
      </c>
      <c r="J64" s="187"/>
    </row>
    <row r="65" spans="1:12" s="178" customFormat="1" ht="15.95" customHeight="1" x14ac:dyDescent="0.4">
      <c r="A65" s="336"/>
      <c r="B65" s="187" t="s">
        <v>177</v>
      </c>
      <c r="C65" s="89">
        <v>1</v>
      </c>
      <c r="D65" s="176" t="s">
        <v>20</v>
      </c>
      <c r="E65" s="89">
        <v>2</v>
      </c>
      <c r="F65" s="213">
        <v>15.15</v>
      </c>
      <c r="G65" s="213">
        <v>0.3</v>
      </c>
      <c r="H65" s="213">
        <v>0.05</v>
      </c>
      <c r="I65" s="102">
        <f t="shared" si="8"/>
        <v>0.45</v>
      </c>
      <c r="J65" s="187"/>
    </row>
    <row r="66" spans="1:12" s="178" customFormat="1" ht="15.95" customHeight="1" x14ac:dyDescent="0.4">
      <c r="A66" s="336"/>
      <c r="B66" s="187" t="s">
        <v>236</v>
      </c>
      <c r="C66" s="89">
        <v>-1</v>
      </c>
      <c r="D66" s="176" t="s">
        <v>20</v>
      </c>
      <c r="E66" s="89">
        <v>6</v>
      </c>
      <c r="F66" s="213">
        <v>5.85</v>
      </c>
      <c r="G66" s="213">
        <v>0.3</v>
      </c>
      <c r="H66" s="213">
        <v>0.05</v>
      </c>
      <c r="I66" s="102">
        <f t="shared" si="8"/>
        <v>-0.53</v>
      </c>
      <c r="J66" s="187"/>
    </row>
    <row r="67" spans="1:12" s="178" customFormat="1" ht="15.6" customHeight="1" x14ac:dyDescent="0.4">
      <c r="A67" s="337"/>
      <c r="B67" s="327" t="s">
        <v>127</v>
      </c>
      <c r="C67" s="328"/>
      <c r="D67" s="328"/>
      <c r="E67" s="328"/>
      <c r="F67" s="328"/>
      <c r="G67" s="328"/>
      <c r="H67" s="329"/>
      <c r="I67" s="32">
        <f>ROUND(SUM(I54:I66),2)</f>
        <v>52.33</v>
      </c>
      <c r="J67" s="180" t="s">
        <v>420</v>
      </c>
    </row>
    <row r="68" spans="1:12" s="98" customFormat="1" x14ac:dyDescent="0.45">
      <c r="A68" s="170"/>
      <c r="B68" s="317">
        <v>3</v>
      </c>
      <c r="C68" s="317"/>
      <c r="D68" s="317"/>
      <c r="E68" s="317"/>
      <c r="F68" s="317"/>
      <c r="G68" s="317"/>
      <c r="H68" s="317"/>
      <c r="I68" s="317"/>
      <c r="J68" s="317"/>
    </row>
    <row r="69" spans="1:12" s="88" customFormat="1" ht="15" customHeight="1" x14ac:dyDescent="0.4">
      <c r="A69" s="344">
        <v>1.1399999999999999</v>
      </c>
      <c r="B69" s="347" t="s">
        <v>77</v>
      </c>
      <c r="C69" s="348"/>
      <c r="D69" s="348"/>
      <c r="E69" s="348"/>
      <c r="F69" s="348"/>
      <c r="G69" s="348"/>
      <c r="H69" s="348"/>
      <c r="I69" s="349"/>
      <c r="J69" s="90"/>
    </row>
    <row r="70" spans="1:12" s="178" customFormat="1" ht="15.6" customHeight="1" x14ac:dyDescent="0.4">
      <c r="A70" s="345"/>
      <c r="B70" s="179" t="s">
        <v>128</v>
      </c>
      <c r="C70" s="89"/>
      <c r="D70" s="176"/>
      <c r="E70" s="89"/>
      <c r="F70" s="34"/>
      <c r="G70" s="34"/>
      <c r="H70" s="34"/>
      <c r="I70" s="34"/>
      <c r="J70" s="177"/>
    </row>
    <row r="71" spans="1:12" s="88" customFormat="1" x14ac:dyDescent="0.4">
      <c r="A71" s="345"/>
      <c r="B71" s="103" t="s">
        <v>237</v>
      </c>
      <c r="C71" s="89"/>
      <c r="D71" s="90"/>
      <c r="E71" s="89"/>
      <c r="F71" s="105"/>
      <c r="G71" s="105"/>
      <c r="H71" s="102"/>
      <c r="I71" s="102">
        <f>PRODUCT(C71:H71)</f>
        <v>0</v>
      </c>
      <c r="J71" s="90"/>
    </row>
    <row r="72" spans="1:12" s="178" customFormat="1" ht="15.6" customHeight="1" x14ac:dyDescent="0.4">
      <c r="A72" s="345"/>
      <c r="B72" s="179" t="s">
        <v>379</v>
      </c>
      <c r="C72" s="89"/>
      <c r="D72" s="176"/>
      <c r="E72" s="89"/>
      <c r="F72" s="34"/>
      <c r="G72" s="34"/>
      <c r="H72" s="34"/>
      <c r="I72" s="34"/>
      <c r="J72" s="177"/>
    </row>
    <row r="73" spans="1:12" s="88" customFormat="1" x14ac:dyDescent="0.4">
      <c r="A73" s="345"/>
      <c r="B73" s="103" t="s">
        <v>237</v>
      </c>
      <c r="C73" s="89"/>
      <c r="D73" s="90"/>
      <c r="E73" s="89"/>
      <c r="F73" s="105"/>
      <c r="G73" s="105"/>
      <c r="H73" s="102"/>
      <c r="I73" s="102">
        <f>PRODUCT(C73:H73)</f>
        <v>0</v>
      </c>
      <c r="J73" s="90"/>
    </row>
    <row r="74" spans="1:12" s="88" customFormat="1" x14ac:dyDescent="0.4">
      <c r="A74" s="346"/>
      <c r="B74" s="350" t="s">
        <v>127</v>
      </c>
      <c r="C74" s="351"/>
      <c r="D74" s="351"/>
      <c r="E74" s="351"/>
      <c r="F74" s="351"/>
      <c r="G74" s="351"/>
      <c r="H74" s="352"/>
      <c r="I74" s="106">
        <f>SUM(I71:I71)</f>
        <v>0</v>
      </c>
      <c r="J74" s="90" t="s">
        <v>22</v>
      </c>
    </row>
    <row r="75" spans="1:12" x14ac:dyDescent="0.4">
      <c r="A75" s="335">
        <v>1.1299999999999999</v>
      </c>
      <c r="B75" s="338" t="s">
        <v>143</v>
      </c>
      <c r="C75" s="339"/>
      <c r="D75" s="339"/>
      <c r="E75" s="339"/>
      <c r="F75" s="339"/>
      <c r="G75" s="339"/>
      <c r="H75" s="339"/>
      <c r="I75" s="340"/>
    </row>
    <row r="76" spans="1:12" s="178" customFormat="1" ht="15.6" customHeight="1" x14ac:dyDescent="0.4">
      <c r="A76" s="336"/>
      <c r="B76" s="179" t="s">
        <v>128</v>
      </c>
      <c r="C76" s="89"/>
      <c r="D76" s="176"/>
      <c r="E76" s="89"/>
      <c r="F76" s="34"/>
      <c r="G76" s="34"/>
      <c r="H76" s="34"/>
      <c r="I76" s="34"/>
      <c r="J76" s="177"/>
    </row>
    <row r="77" spans="1:12" s="178" customFormat="1" ht="15.6" customHeight="1" x14ac:dyDescent="0.4">
      <c r="A77" s="336"/>
      <c r="B77" s="175" t="s">
        <v>238</v>
      </c>
      <c r="C77" s="89"/>
      <c r="D77" s="176"/>
      <c r="E77" s="89"/>
      <c r="F77" s="34"/>
      <c r="G77" s="34"/>
      <c r="H77" s="34"/>
      <c r="I77" s="34"/>
      <c r="J77" s="177"/>
    </row>
    <row r="78" spans="1:12" s="178" customFormat="1" ht="15.6" customHeight="1" x14ac:dyDescent="0.4">
      <c r="A78" s="336"/>
      <c r="B78" s="175" t="s">
        <v>239</v>
      </c>
      <c r="C78" s="89">
        <v>2</v>
      </c>
      <c r="D78" s="176" t="s">
        <v>20</v>
      </c>
      <c r="E78" s="89">
        <v>10</v>
      </c>
      <c r="F78" s="34">
        <v>1.5</v>
      </c>
      <c r="G78" s="34" t="s">
        <v>21</v>
      </c>
      <c r="H78" s="34">
        <v>5.6</v>
      </c>
      <c r="I78" s="102">
        <f t="shared" ref="I78:I79" si="9">ROUND(PRODUCT(C78:H78),2)</f>
        <v>168</v>
      </c>
      <c r="J78" s="177"/>
    </row>
    <row r="79" spans="1:12" s="178" customFormat="1" ht="15.6" customHeight="1" x14ac:dyDescent="0.4">
      <c r="A79" s="336"/>
      <c r="B79" s="175" t="s">
        <v>162</v>
      </c>
      <c r="C79" s="89">
        <v>2</v>
      </c>
      <c r="D79" s="176" t="s">
        <v>20</v>
      </c>
      <c r="E79" s="89">
        <v>2</v>
      </c>
      <c r="F79" s="34">
        <v>1.36</v>
      </c>
      <c r="G79" s="34" t="s">
        <v>21</v>
      </c>
      <c r="H79" s="34">
        <f>H78+1.2</f>
        <v>6.8</v>
      </c>
      <c r="I79" s="102">
        <f t="shared" si="9"/>
        <v>36.99</v>
      </c>
      <c r="J79" s="177"/>
      <c r="L79" s="191"/>
    </row>
    <row r="80" spans="1:12" s="178" customFormat="1" ht="15.6" customHeight="1" x14ac:dyDescent="0.4">
      <c r="A80" s="336"/>
      <c r="B80" s="179" t="s">
        <v>379</v>
      </c>
      <c r="C80" s="89"/>
      <c r="D80" s="176"/>
      <c r="E80" s="89"/>
      <c r="F80" s="34"/>
      <c r="G80" s="34"/>
      <c r="H80" s="34"/>
      <c r="I80" s="34"/>
      <c r="J80" s="177"/>
    </row>
    <row r="81" spans="1:12" s="178" customFormat="1" ht="15.6" customHeight="1" x14ac:dyDescent="0.4">
      <c r="A81" s="336"/>
      <c r="B81" s="175" t="s">
        <v>238</v>
      </c>
      <c r="C81" s="89"/>
      <c r="D81" s="176"/>
      <c r="E81" s="89"/>
      <c r="F81" s="34"/>
      <c r="G81" s="34"/>
      <c r="H81" s="34"/>
      <c r="I81" s="34"/>
      <c r="J81" s="177"/>
    </row>
    <row r="82" spans="1:12" s="178" customFormat="1" ht="15.6" customHeight="1" x14ac:dyDescent="0.4">
      <c r="A82" s="336"/>
      <c r="B82" s="175" t="s">
        <v>239</v>
      </c>
      <c r="C82" s="89">
        <v>2</v>
      </c>
      <c r="D82" s="176" t="s">
        <v>20</v>
      </c>
      <c r="E82" s="89">
        <v>8</v>
      </c>
      <c r="F82" s="34">
        <v>1.5</v>
      </c>
      <c r="G82" s="34" t="s">
        <v>21</v>
      </c>
      <c r="H82" s="34">
        <v>5.6</v>
      </c>
      <c r="I82" s="102">
        <f t="shared" ref="I82:I84" si="10">ROUND(PRODUCT(C82:H82),2)</f>
        <v>134.4</v>
      </c>
      <c r="J82" s="177"/>
    </row>
    <row r="83" spans="1:12" s="178" customFormat="1" ht="15.6" customHeight="1" x14ac:dyDescent="0.4">
      <c r="A83" s="336"/>
      <c r="B83" s="175" t="s">
        <v>239</v>
      </c>
      <c r="C83" s="89">
        <v>2</v>
      </c>
      <c r="D83" s="176" t="s">
        <v>20</v>
      </c>
      <c r="E83" s="89">
        <v>7</v>
      </c>
      <c r="F83" s="34">
        <v>1.5</v>
      </c>
      <c r="G83" s="34" t="s">
        <v>21</v>
      </c>
      <c r="H83" s="34">
        <v>6.6</v>
      </c>
      <c r="I83" s="102">
        <f t="shared" ref="I83" si="11">ROUND(PRODUCT(C83:H83),2)</f>
        <v>138.6</v>
      </c>
      <c r="J83" s="177"/>
    </row>
    <row r="84" spans="1:12" s="178" customFormat="1" ht="15.6" customHeight="1" x14ac:dyDescent="0.4">
      <c r="A84" s="336"/>
      <c r="B84" s="175" t="s">
        <v>162</v>
      </c>
      <c r="C84" s="89">
        <v>1</v>
      </c>
      <c r="D84" s="176" t="s">
        <v>20</v>
      </c>
      <c r="E84" s="89">
        <v>2</v>
      </c>
      <c r="F84" s="34">
        <v>1.36</v>
      </c>
      <c r="G84" s="34" t="s">
        <v>21</v>
      </c>
      <c r="H84" s="34">
        <f>H82+1.2</f>
        <v>6.8</v>
      </c>
      <c r="I84" s="102">
        <f t="shared" si="10"/>
        <v>18.5</v>
      </c>
      <c r="J84" s="177"/>
      <c r="L84" s="191"/>
    </row>
    <row r="85" spans="1:12" s="178" customFormat="1" ht="15.6" customHeight="1" x14ac:dyDescent="0.4">
      <c r="A85" s="336"/>
      <c r="B85" s="175" t="s">
        <v>162</v>
      </c>
      <c r="C85" s="89">
        <v>1</v>
      </c>
      <c r="D85" s="176" t="s">
        <v>20</v>
      </c>
      <c r="E85" s="89">
        <v>2</v>
      </c>
      <c r="F85" s="34">
        <v>1.36</v>
      </c>
      <c r="G85" s="34" t="s">
        <v>21</v>
      </c>
      <c r="H85" s="34">
        <f>H83+1.2</f>
        <v>7.8</v>
      </c>
      <c r="I85" s="102">
        <f t="shared" ref="I85" si="12">ROUND(PRODUCT(C85:H85),2)</f>
        <v>21.22</v>
      </c>
      <c r="J85" s="177"/>
      <c r="L85" s="191"/>
    </row>
    <row r="86" spans="1:12" s="178" customFormat="1" ht="15.6" customHeight="1" x14ac:dyDescent="0.4">
      <c r="A86" s="337"/>
      <c r="B86" s="327" t="s">
        <v>127</v>
      </c>
      <c r="C86" s="328"/>
      <c r="D86" s="328"/>
      <c r="E86" s="328"/>
      <c r="F86" s="328"/>
      <c r="G86" s="328"/>
      <c r="H86" s="329"/>
      <c r="I86" s="32">
        <f>ROUND(SUM(I78:I85),2)</f>
        <v>517.71</v>
      </c>
      <c r="J86" s="180" t="s">
        <v>420</v>
      </c>
    </row>
    <row r="87" spans="1:12" x14ac:dyDescent="0.4">
      <c r="A87" s="335">
        <v>1.31</v>
      </c>
      <c r="B87" s="338" t="s">
        <v>235</v>
      </c>
      <c r="C87" s="339"/>
      <c r="D87" s="339"/>
      <c r="E87" s="339"/>
      <c r="F87" s="339"/>
      <c r="G87" s="339"/>
      <c r="H87" s="339"/>
      <c r="I87" s="340"/>
    </row>
    <row r="88" spans="1:12" s="178" customFormat="1" ht="15.6" customHeight="1" x14ac:dyDescent="0.4">
      <c r="A88" s="336"/>
      <c r="B88" s="179" t="s">
        <v>128</v>
      </c>
      <c r="C88" s="89"/>
      <c r="D88" s="176"/>
      <c r="E88" s="89"/>
      <c r="F88" s="34"/>
      <c r="G88" s="34"/>
      <c r="H88" s="34"/>
      <c r="I88" s="34"/>
      <c r="J88" s="177"/>
    </row>
    <row r="89" spans="1:12" s="178" customFormat="1" ht="15.6" customHeight="1" x14ac:dyDescent="0.4">
      <c r="A89" s="336"/>
      <c r="B89" s="175" t="s">
        <v>178</v>
      </c>
      <c r="C89" s="89">
        <v>2</v>
      </c>
      <c r="D89" s="176" t="s">
        <v>20</v>
      </c>
      <c r="E89" s="89">
        <v>10</v>
      </c>
      <c r="F89" s="34">
        <v>0.3</v>
      </c>
      <c r="G89" s="34">
        <v>0.45</v>
      </c>
      <c r="H89" s="34">
        <v>4.5</v>
      </c>
      <c r="I89" s="102">
        <f t="shared" ref="I89:I90" si="13">ROUND(PRODUCT(C89:H89),2)</f>
        <v>12.15</v>
      </c>
      <c r="J89" s="177"/>
    </row>
    <row r="90" spans="1:12" s="178" customFormat="1" ht="15.6" customHeight="1" x14ac:dyDescent="0.4">
      <c r="A90" s="336"/>
      <c r="B90" s="175" t="s">
        <v>162</v>
      </c>
      <c r="C90" s="89">
        <v>2</v>
      </c>
      <c r="D90" s="176" t="s">
        <v>20</v>
      </c>
      <c r="E90" s="89">
        <v>2</v>
      </c>
      <c r="F90" s="34">
        <v>0.34</v>
      </c>
      <c r="G90" s="34">
        <v>0.45</v>
      </c>
      <c r="H90" s="34">
        <v>4.5</v>
      </c>
      <c r="I90" s="102">
        <f t="shared" si="13"/>
        <v>2.75</v>
      </c>
      <c r="J90" s="177"/>
    </row>
    <row r="91" spans="1:12" s="178" customFormat="1" ht="15.6" customHeight="1" x14ac:dyDescent="0.4">
      <c r="A91" s="336"/>
      <c r="B91" s="179" t="s">
        <v>379</v>
      </c>
      <c r="C91" s="89"/>
      <c r="D91" s="176"/>
      <c r="E91" s="89"/>
      <c r="F91" s="34"/>
      <c r="G91" s="34"/>
      <c r="H91" s="34"/>
      <c r="I91" s="34"/>
      <c r="J91" s="177"/>
    </row>
    <row r="92" spans="1:12" s="178" customFormat="1" ht="15.6" customHeight="1" x14ac:dyDescent="0.4">
      <c r="A92" s="336"/>
      <c r="B92" s="175" t="s">
        <v>178</v>
      </c>
      <c r="C92" s="89">
        <v>2</v>
      </c>
      <c r="D92" s="176" t="s">
        <v>20</v>
      </c>
      <c r="E92" s="89">
        <v>8</v>
      </c>
      <c r="F92" s="34">
        <v>0.3</v>
      </c>
      <c r="G92" s="34">
        <v>0.45</v>
      </c>
      <c r="H92" s="34">
        <v>4.5</v>
      </c>
      <c r="I92" s="102">
        <f t="shared" ref="I92:I94" si="14">ROUND(PRODUCT(C92:H92),2)</f>
        <v>9.7200000000000006</v>
      </c>
      <c r="J92" s="177"/>
    </row>
    <row r="93" spans="1:12" s="178" customFormat="1" ht="15.6" customHeight="1" x14ac:dyDescent="0.4">
      <c r="A93" s="336"/>
      <c r="B93" s="175" t="s">
        <v>178</v>
      </c>
      <c r="C93" s="89">
        <v>2</v>
      </c>
      <c r="D93" s="176" t="s">
        <v>20</v>
      </c>
      <c r="E93" s="89">
        <v>7</v>
      </c>
      <c r="F93" s="34">
        <v>0.3</v>
      </c>
      <c r="G93" s="34">
        <v>0.45</v>
      </c>
      <c r="H93" s="34">
        <v>4.5</v>
      </c>
      <c r="I93" s="102">
        <f t="shared" ref="I93" si="15">ROUND(PRODUCT(C93:H93),2)</f>
        <v>8.51</v>
      </c>
      <c r="J93" s="177"/>
    </row>
    <row r="94" spans="1:12" s="178" customFormat="1" ht="15.6" customHeight="1" x14ac:dyDescent="0.4">
      <c r="A94" s="336"/>
      <c r="B94" s="175" t="s">
        <v>162</v>
      </c>
      <c r="C94" s="89">
        <v>1</v>
      </c>
      <c r="D94" s="176" t="s">
        <v>20</v>
      </c>
      <c r="E94" s="89">
        <v>2</v>
      </c>
      <c r="F94" s="34">
        <v>0.34</v>
      </c>
      <c r="G94" s="34">
        <v>0.45</v>
      </c>
      <c r="H94" s="34">
        <v>4.5</v>
      </c>
      <c r="I94" s="102">
        <f t="shared" si="14"/>
        <v>1.38</v>
      </c>
      <c r="J94" s="177"/>
    </row>
    <row r="95" spans="1:12" s="178" customFormat="1" ht="15.6" customHeight="1" x14ac:dyDescent="0.4">
      <c r="A95" s="336"/>
      <c r="B95" s="175" t="s">
        <v>162</v>
      </c>
      <c r="C95" s="89">
        <v>1</v>
      </c>
      <c r="D95" s="176" t="s">
        <v>20</v>
      </c>
      <c r="E95" s="89">
        <v>2</v>
      </c>
      <c r="F95" s="34">
        <v>0.34</v>
      </c>
      <c r="G95" s="34">
        <v>0.45</v>
      </c>
      <c r="H95" s="34">
        <v>4.5</v>
      </c>
      <c r="I95" s="102">
        <f t="shared" ref="I95" si="16">ROUND(PRODUCT(C95:H95),2)</f>
        <v>1.38</v>
      </c>
      <c r="J95" s="177"/>
    </row>
    <row r="96" spans="1:12" s="178" customFormat="1" ht="15.6" customHeight="1" x14ac:dyDescent="0.4">
      <c r="A96" s="337"/>
      <c r="B96" s="327" t="s">
        <v>127</v>
      </c>
      <c r="C96" s="328"/>
      <c r="D96" s="328"/>
      <c r="E96" s="328"/>
      <c r="F96" s="328"/>
      <c r="G96" s="328"/>
      <c r="H96" s="329"/>
      <c r="I96" s="32">
        <f>ROUND(SUM(I89:I95),2)</f>
        <v>35.89</v>
      </c>
      <c r="J96" s="180" t="s">
        <v>420</v>
      </c>
    </row>
    <row r="97" spans="1:10" x14ac:dyDescent="0.4">
      <c r="A97" s="335">
        <v>1.32</v>
      </c>
      <c r="B97" s="338" t="s">
        <v>235</v>
      </c>
      <c r="C97" s="339"/>
      <c r="D97" s="339"/>
      <c r="E97" s="339"/>
      <c r="F97" s="339"/>
      <c r="G97" s="339"/>
      <c r="H97" s="339"/>
      <c r="I97" s="340"/>
    </row>
    <row r="98" spans="1:10" s="178" customFormat="1" ht="15.6" customHeight="1" x14ac:dyDescent="0.4">
      <c r="A98" s="336"/>
      <c r="B98" s="179" t="s">
        <v>128</v>
      </c>
      <c r="C98" s="89"/>
      <c r="D98" s="176"/>
      <c r="E98" s="89"/>
      <c r="F98" s="34"/>
      <c r="G98" s="34"/>
      <c r="H98" s="34"/>
      <c r="I98" s="34"/>
      <c r="J98" s="177"/>
    </row>
    <row r="99" spans="1:10" s="178" customFormat="1" ht="15.6" customHeight="1" x14ac:dyDescent="0.4">
      <c r="A99" s="336"/>
      <c r="B99" s="175" t="s">
        <v>178</v>
      </c>
      <c r="C99" s="89">
        <v>2</v>
      </c>
      <c r="D99" s="176" t="s">
        <v>20</v>
      </c>
      <c r="E99" s="89">
        <v>10</v>
      </c>
      <c r="F99" s="34">
        <v>0.3</v>
      </c>
      <c r="G99" s="34">
        <v>0.45</v>
      </c>
      <c r="H99" s="34">
        <v>1.1000000000000001</v>
      </c>
      <c r="I99" s="102">
        <f t="shared" ref="I99:I100" si="17">ROUND(PRODUCT(C99:H99),2)</f>
        <v>2.97</v>
      </c>
      <c r="J99" s="177"/>
    </row>
    <row r="100" spans="1:10" s="178" customFormat="1" ht="15.6" customHeight="1" x14ac:dyDescent="0.4">
      <c r="A100" s="336"/>
      <c r="B100" s="175" t="s">
        <v>162</v>
      </c>
      <c r="C100" s="89">
        <v>2</v>
      </c>
      <c r="D100" s="176" t="s">
        <v>20</v>
      </c>
      <c r="E100" s="89">
        <v>2</v>
      </c>
      <c r="F100" s="34">
        <v>0.34</v>
      </c>
      <c r="G100" s="34">
        <v>0.45</v>
      </c>
      <c r="H100" s="34">
        <f>H99+1.2</f>
        <v>2.2999999999999998</v>
      </c>
      <c r="I100" s="102">
        <f t="shared" si="17"/>
        <v>1.41</v>
      </c>
      <c r="J100" s="177"/>
    </row>
    <row r="101" spans="1:10" s="178" customFormat="1" ht="15.6" customHeight="1" x14ac:dyDescent="0.4">
      <c r="A101" s="336"/>
      <c r="B101" s="179" t="s">
        <v>379</v>
      </c>
      <c r="C101" s="89"/>
      <c r="D101" s="176"/>
      <c r="E101" s="89"/>
      <c r="F101" s="34"/>
      <c r="G101" s="34"/>
      <c r="H101" s="34"/>
      <c r="I101" s="34"/>
      <c r="J101" s="177"/>
    </row>
    <row r="102" spans="1:10" s="178" customFormat="1" ht="15.6" customHeight="1" x14ac:dyDescent="0.4">
      <c r="A102" s="336"/>
      <c r="B102" s="175" t="s">
        <v>178</v>
      </c>
      <c r="C102" s="89">
        <v>2</v>
      </c>
      <c r="D102" s="176" t="s">
        <v>20</v>
      </c>
      <c r="E102" s="89">
        <v>8</v>
      </c>
      <c r="F102" s="34">
        <v>0.3</v>
      </c>
      <c r="G102" s="34">
        <v>0.45</v>
      </c>
      <c r="H102" s="34">
        <v>1.1000000000000001</v>
      </c>
      <c r="I102" s="102">
        <f t="shared" ref="I102:I105" si="18">ROUND(PRODUCT(C102:H102),2)</f>
        <v>2.38</v>
      </c>
      <c r="J102" s="177"/>
    </row>
    <row r="103" spans="1:10" s="178" customFormat="1" ht="15.6" customHeight="1" x14ac:dyDescent="0.4">
      <c r="A103" s="336"/>
      <c r="B103" s="175" t="s">
        <v>178</v>
      </c>
      <c r="C103" s="89">
        <v>2</v>
      </c>
      <c r="D103" s="176" t="s">
        <v>20</v>
      </c>
      <c r="E103" s="89">
        <v>7</v>
      </c>
      <c r="F103" s="34">
        <v>0.3</v>
      </c>
      <c r="G103" s="34">
        <v>0.45</v>
      </c>
      <c r="H103" s="34">
        <v>2.1</v>
      </c>
      <c r="I103" s="102">
        <f t="shared" si="18"/>
        <v>3.97</v>
      </c>
      <c r="J103" s="177"/>
    </row>
    <row r="104" spans="1:10" s="178" customFormat="1" ht="15.6" customHeight="1" x14ac:dyDescent="0.4">
      <c r="A104" s="336"/>
      <c r="B104" s="175" t="s">
        <v>162</v>
      </c>
      <c r="C104" s="89">
        <v>1</v>
      </c>
      <c r="D104" s="176" t="s">
        <v>20</v>
      </c>
      <c r="E104" s="89">
        <v>2</v>
      </c>
      <c r="F104" s="34">
        <v>0.34</v>
      </c>
      <c r="G104" s="34">
        <v>0.45</v>
      </c>
      <c r="H104" s="34">
        <v>2.2999999999999998</v>
      </c>
      <c r="I104" s="102">
        <f t="shared" si="18"/>
        <v>0.7</v>
      </c>
      <c r="J104" s="177"/>
    </row>
    <row r="105" spans="1:10" s="178" customFormat="1" ht="15.6" customHeight="1" x14ac:dyDescent="0.4">
      <c r="A105" s="336"/>
      <c r="B105" s="175" t="s">
        <v>162</v>
      </c>
      <c r="C105" s="89">
        <v>1</v>
      </c>
      <c r="D105" s="176" t="s">
        <v>20</v>
      </c>
      <c r="E105" s="89">
        <v>2</v>
      </c>
      <c r="F105" s="34">
        <v>0.34</v>
      </c>
      <c r="G105" s="34">
        <v>0.45</v>
      </c>
      <c r="H105" s="34">
        <v>3.3</v>
      </c>
      <c r="I105" s="102">
        <f t="shared" si="18"/>
        <v>1.01</v>
      </c>
      <c r="J105" s="177"/>
    </row>
    <row r="106" spans="1:10" s="178" customFormat="1" ht="15.6" customHeight="1" x14ac:dyDescent="0.4">
      <c r="A106" s="337"/>
      <c r="B106" s="327" t="s">
        <v>127</v>
      </c>
      <c r="C106" s="328"/>
      <c r="D106" s="328"/>
      <c r="E106" s="328"/>
      <c r="F106" s="328"/>
      <c r="G106" s="328"/>
      <c r="H106" s="329"/>
      <c r="I106" s="32">
        <f>ROUND(SUM(I99:I105),2)</f>
        <v>12.44</v>
      </c>
      <c r="J106" s="180" t="s">
        <v>420</v>
      </c>
    </row>
    <row r="107" spans="1:10" s="98" customFormat="1" x14ac:dyDescent="0.45">
      <c r="A107" s="170"/>
      <c r="B107" s="317">
        <v>4</v>
      </c>
      <c r="C107" s="317"/>
      <c r="D107" s="317"/>
      <c r="E107" s="317"/>
      <c r="F107" s="317"/>
      <c r="G107" s="317"/>
      <c r="H107" s="317"/>
      <c r="I107" s="317"/>
      <c r="J107" s="317"/>
    </row>
    <row r="108" spans="1:10" x14ac:dyDescent="0.4">
      <c r="A108" s="335">
        <v>1.0900000000000001</v>
      </c>
      <c r="B108" s="338" t="s">
        <v>240</v>
      </c>
      <c r="C108" s="339"/>
      <c r="D108" s="339"/>
      <c r="E108" s="339"/>
      <c r="F108" s="339"/>
      <c r="G108" s="339"/>
      <c r="H108" s="339"/>
      <c r="I108" s="340"/>
    </row>
    <row r="109" spans="1:10" s="178" customFormat="1" ht="15.6" customHeight="1" x14ac:dyDescent="0.4">
      <c r="A109" s="336"/>
      <c r="B109" s="179" t="s">
        <v>128</v>
      </c>
      <c r="C109" s="89"/>
      <c r="D109" s="176"/>
      <c r="E109" s="89"/>
      <c r="F109" s="34"/>
      <c r="G109" s="34"/>
      <c r="H109" s="34"/>
      <c r="I109" s="34"/>
      <c r="J109" s="177"/>
    </row>
    <row r="110" spans="1:10" s="178" customFormat="1" ht="15.6" customHeight="1" x14ac:dyDescent="0.4">
      <c r="A110" s="336"/>
      <c r="B110" s="175" t="s">
        <v>130</v>
      </c>
      <c r="C110" s="89">
        <v>2</v>
      </c>
      <c r="D110" s="176" t="s">
        <v>20</v>
      </c>
      <c r="E110" s="89">
        <v>9</v>
      </c>
      <c r="F110" s="34">
        <v>4.25</v>
      </c>
      <c r="G110" s="34">
        <v>0.34</v>
      </c>
      <c r="H110" s="34">
        <v>4.5</v>
      </c>
      <c r="I110" s="102">
        <f t="shared" ref="I110:I135" si="19">ROUND(PRODUCT(C110:H110),2)</f>
        <v>117.05</v>
      </c>
      <c r="J110" s="177"/>
    </row>
    <row r="111" spans="1:10" s="178" customFormat="1" ht="15.6" customHeight="1" x14ac:dyDescent="0.4">
      <c r="A111" s="336"/>
      <c r="B111" s="175" t="s">
        <v>131</v>
      </c>
      <c r="C111" s="89">
        <v>-2</v>
      </c>
      <c r="D111" s="176" t="s">
        <v>20</v>
      </c>
      <c r="E111" s="89">
        <v>3</v>
      </c>
      <c r="F111" s="34">
        <v>1.8</v>
      </c>
      <c r="G111" s="34">
        <v>0.34</v>
      </c>
      <c r="H111" s="34">
        <v>2.6</v>
      </c>
      <c r="I111" s="102">
        <f t="shared" si="19"/>
        <v>-9.5500000000000007</v>
      </c>
      <c r="J111" s="177"/>
    </row>
    <row r="112" spans="1:10" s="178" customFormat="1" ht="15.6" customHeight="1" x14ac:dyDescent="0.4">
      <c r="A112" s="336"/>
      <c r="B112" s="175" t="s">
        <v>132</v>
      </c>
      <c r="C112" s="89">
        <v>-2</v>
      </c>
      <c r="D112" s="176" t="s">
        <v>20</v>
      </c>
      <c r="E112" s="89">
        <v>3</v>
      </c>
      <c r="F112" s="34">
        <v>2.1</v>
      </c>
      <c r="G112" s="34">
        <v>0.34</v>
      </c>
      <c r="H112" s="34">
        <v>0.45</v>
      </c>
      <c r="I112" s="102">
        <f t="shared" si="19"/>
        <v>-1.93</v>
      </c>
      <c r="J112" s="177"/>
    </row>
    <row r="113" spans="1:10" s="178" customFormat="1" ht="15.6" customHeight="1" x14ac:dyDescent="0.4">
      <c r="A113" s="336"/>
      <c r="B113" s="175" t="s">
        <v>133</v>
      </c>
      <c r="C113" s="89">
        <v>-2</v>
      </c>
      <c r="D113" s="176" t="s">
        <v>20</v>
      </c>
      <c r="E113" s="89">
        <v>7</v>
      </c>
      <c r="F113" s="34">
        <v>0.6</v>
      </c>
      <c r="G113" s="34">
        <v>0.34</v>
      </c>
      <c r="H113" s="34">
        <v>0.6</v>
      </c>
      <c r="I113" s="102">
        <f t="shared" si="19"/>
        <v>-1.71</v>
      </c>
      <c r="J113" s="177"/>
    </row>
    <row r="114" spans="1:10" s="178" customFormat="1" ht="15.6" customHeight="1" x14ac:dyDescent="0.4">
      <c r="A114" s="336"/>
      <c r="B114" s="175" t="s">
        <v>134</v>
      </c>
      <c r="C114" s="89">
        <v>-2</v>
      </c>
      <c r="D114" s="176" t="s">
        <v>20</v>
      </c>
      <c r="E114" s="89">
        <v>7</v>
      </c>
      <c r="F114" s="34">
        <v>1.2</v>
      </c>
      <c r="G114" s="34">
        <v>0.34</v>
      </c>
      <c r="H114" s="34">
        <v>0.2</v>
      </c>
      <c r="I114" s="102">
        <f t="shared" si="19"/>
        <v>-1.1399999999999999</v>
      </c>
      <c r="J114" s="177"/>
    </row>
    <row r="115" spans="1:10" s="178" customFormat="1" ht="15.6" customHeight="1" x14ac:dyDescent="0.4">
      <c r="A115" s="336"/>
      <c r="B115" s="175" t="s">
        <v>135</v>
      </c>
      <c r="C115" s="89">
        <v>6</v>
      </c>
      <c r="D115" s="176" t="s">
        <v>20</v>
      </c>
      <c r="E115" s="89">
        <v>1</v>
      </c>
      <c r="F115" s="34">
        <v>0.11</v>
      </c>
      <c r="G115" s="34">
        <v>0.34</v>
      </c>
      <c r="H115" s="34">
        <f>2.6+2.6+2</f>
        <v>7.2</v>
      </c>
      <c r="I115" s="102">
        <f t="shared" si="19"/>
        <v>1.62</v>
      </c>
      <c r="J115" s="177"/>
    </row>
    <row r="116" spans="1:10" s="178" customFormat="1" ht="15.6" customHeight="1" x14ac:dyDescent="0.4">
      <c r="A116" s="336"/>
      <c r="B116" s="187" t="s">
        <v>136</v>
      </c>
      <c r="C116" s="89">
        <v>2</v>
      </c>
      <c r="D116" s="176" t="s">
        <v>20</v>
      </c>
      <c r="E116" s="89">
        <v>3</v>
      </c>
      <c r="F116" s="34">
        <v>4.45</v>
      </c>
      <c r="G116" s="34">
        <v>0.34</v>
      </c>
      <c r="H116" s="34">
        <v>4.5</v>
      </c>
      <c r="I116" s="102">
        <f t="shared" si="19"/>
        <v>40.85</v>
      </c>
      <c r="J116" s="177"/>
    </row>
    <row r="117" spans="1:10" s="178" customFormat="1" ht="15.6" customHeight="1" x14ac:dyDescent="0.4">
      <c r="A117" s="336"/>
      <c r="B117" s="175" t="s">
        <v>137</v>
      </c>
      <c r="C117" s="89">
        <v>-1</v>
      </c>
      <c r="D117" s="176" t="s">
        <v>20</v>
      </c>
      <c r="E117" s="89">
        <v>1</v>
      </c>
      <c r="F117" s="34">
        <v>113.42</v>
      </c>
      <c r="G117" s="34">
        <v>0.34</v>
      </c>
      <c r="H117" s="34">
        <v>0.45</v>
      </c>
      <c r="I117" s="102">
        <f t="shared" si="19"/>
        <v>-17.350000000000001</v>
      </c>
      <c r="J117" s="177"/>
    </row>
    <row r="118" spans="1:10" s="178" customFormat="1" ht="15.6" customHeight="1" x14ac:dyDescent="0.4">
      <c r="A118" s="336"/>
      <c r="B118" s="175" t="s">
        <v>275</v>
      </c>
      <c r="C118" s="89">
        <v>2</v>
      </c>
      <c r="D118" s="176" t="s">
        <v>20</v>
      </c>
      <c r="E118" s="89">
        <v>7</v>
      </c>
      <c r="F118" s="34">
        <v>2.145</v>
      </c>
      <c r="G118" s="34">
        <v>0.115</v>
      </c>
      <c r="H118" s="34">
        <v>0.1</v>
      </c>
      <c r="I118" s="102">
        <f t="shared" si="19"/>
        <v>0.35</v>
      </c>
      <c r="J118" s="177"/>
    </row>
    <row r="119" spans="1:10" s="178" customFormat="1" ht="15.6" customHeight="1" x14ac:dyDescent="0.4">
      <c r="A119" s="336"/>
      <c r="B119" s="179" t="s">
        <v>379</v>
      </c>
      <c r="C119" s="89"/>
      <c r="D119" s="176"/>
      <c r="E119" s="89"/>
      <c r="F119" s="34"/>
      <c r="G119" s="34"/>
      <c r="H119" s="34"/>
      <c r="I119" s="34"/>
      <c r="J119" s="177"/>
    </row>
    <row r="120" spans="1:10" s="178" customFormat="1" ht="15.95" customHeight="1" x14ac:dyDescent="0.4">
      <c r="A120" s="336"/>
      <c r="B120" s="187" t="s">
        <v>391</v>
      </c>
      <c r="C120" s="89">
        <v>1</v>
      </c>
      <c r="D120" s="176" t="s">
        <v>20</v>
      </c>
      <c r="E120" s="89">
        <v>9</v>
      </c>
      <c r="F120" s="213">
        <v>4.25</v>
      </c>
      <c r="G120" s="213">
        <v>0.23</v>
      </c>
      <c r="H120" s="213">
        <v>4.5</v>
      </c>
      <c r="I120" s="102">
        <f t="shared" si="19"/>
        <v>39.590000000000003</v>
      </c>
      <c r="J120" s="187"/>
    </row>
    <row r="121" spans="1:10" s="178" customFormat="1" ht="15.95" customHeight="1" x14ac:dyDescent="0.4">
      <c r="A121" s="336"/>
      <c r="B121" s="187" t="s">
        <v>391</v>
      </c>
      <c r="C121" s="89">
        <v>1</v>
      </c>
      <c r="D121" s="176" t="s">
        <v>20</v>
      </c>
      <c r="E121" s="89">
        <v>6</v>
      </c>
      <c r="F121" s="213">
        <v>4.25</v>
      </c>
      <c r="G121" s="213">
        <v>0.23</v>
      </c>
      <c r="H121" s="213">
        <v>5.5</v>
      </c>
      <c r="I121" s="102">
        <f t="shared" ref="I121" si="20">ROUND(PRODUCT(C121:H121),2)</f>
        <v>32.26</v>
      </c>
      <c r="J121" s="187"/>
    </row>
    <row r="122" spans="1:10" s="178" customFormat="1" ht="15.95" customHeight="1" x14ac:dyDescent="0.4">
      <c r="A122" s="336"/>
      <c r="B122" s="187" t="s">
        <v>391</v>
      </c>
      <c r="C122" s="89">
        <v>1</v>
      </c>
      <c r="D122" s="176" t="s">
        <v>20</v>
      </c>
      <c r="E122" s="89">
        <v>2</v>
      </c>
      <c r="F122" s="213">
        <v>4.25</v>
      </c>
      <c r="G122" s="213">
        <v>0.34</v>
      </c>
      <c r="H122" s="213">
        <v>3</v>
      </c>
      <c r="I122" s="102">
        <f t="shared" ref="I122" si="21">ROUND(PRODUCT(C122:H122),2)</f>
        <v>8.67</v>
      </c>
      <c r="J122" s="187"/>
    </row>
    <row r="123" spans="1:10" s="178" customFormat="1" ht="15.95" customHeight="1" x14ac:dyDescent="0.4">
      <c r="A123" s="336"/>
      <c r="B123" s="187" t="s">
        <v>391</v>
      </c>
      <c r="C123" s="89">
        <v>1</v>
      </c>
      <c r="D123" s="176" t="s">
        <v>20</v>
      </c>
      <c r="E123" s="89">
        <v>4</v>
      </c>
      <c r="F123" s="213">
        <v>4.25</v>
      </c>
      <c r="G123" s="213">
        <v>0.34</v>
      </c>
      <c r="H123" s="213">
        <v>3</v>
      </c>
      <c r="I123" s="102">
        <f t="shared" ref="I123:I124" si="22">ROUND(PRODUCT(C123:H123),2)</f>
        <v>17.34</v>
      </c>
      <c r="J123" s="187"/>
    </row>
    <row r="124" spans="1:10" s="178" customFormat="1" ht="15.95" customHeight="1" x14ac:dyDescent="0.4">
      <c r="A124" s="336"/>
      <c r="B124" s="187" t="s">
        <v>423</v>
      </c>
      <c r="C124" s="89">
        <v>1</v>
      </c>
      <c r="D124" s="176" t="s">
        <v>20</v>
      </c>
      <c r="E124" s="89">
        <v>2</v>
      </c>
      <c r="F124" s="213">
        <v>4.25</v>
      </c>
      <c r="G124" s="213">
        <v>0.23</v>
      </c>
      <c r="H124" s="213">
        <v>1.5</v>
      </c>
      <c r="I124" s="102">
        <f t="shared" si="22"/>
        <v>2.93</v>
      </c>
      <c r="J124" s="187"/>
    </row>
    <row r="125" spans="1:10" s="178" customFormat="1" ht="15.95" customHeight="1" x14ac:dyDescent="0.4">
      <c r="A125" s="336"/>
      <c r="B125" s="187" t="s">
        <v>423</v>
      </c>
      <c r="C125" s="89">
        <v>1</v>
      </c>
      <c r="D125" s="176" t="s">
        <v>20</v>
      </c>
      <c r="E125" s="89">
        <v>4</v>
      </c>
      <c r="F125" s="213">
        <v>4.25</v>
      </c>
      <c r="G125" s="213">
        <v>0.23</v>
      </c>
      <c r="H125" s="213">
        <v>2.5</v>
      </c>
      <c r="I125" s="102">
        <f t="shared" ref="I125" si="23">ROUND(PRODUCT(C125:H125),2)</f>
        <v>9.7799999999999994</v>
      </c>
      <c r="J125" s="187"/>
    </row>
    <row r="126" spans="1:10" s="178" customFormat="1" ht="15.95" customHeight="1" x14ac:dyDescent="0.4">
      <c r="A126" s="336"/>
      <c r="B126" s="187" t="s">
        <v>392</v>
      </c>
      <c r="C126" s="89">
        <v>2</v>
      </c>
      <c r="D126" s="176" t="s">
        <v>20</v>
      </c>
      <c r="E126" s="89">
        <v>2</v>
      </c>
      <c r="F126" s="213">
        <v>4.05</v>
      </c>
      <c r="G126" s="213">
        <v>0.23</v>
      </c>
      <c r="H126" s="213">
        <v>4.5</v>
      </c>
      <c r="I126" s="102">
        <f t="shared" si="19"/>
        <v>16.77</v>
      </c>
      <c r="J126" s="187"/>
    </row>
    <row r="127" spans="1:10" s="178" customFormat="1" ht="15.95" customHeight="1" x14ac:dyDescent="0.4">
      <c r="A127" s="336"/>
      <c r="B127" s="187" t="s">
        <v>393</v>
      </c>
      <c r="C127" s="89">
        <v>-1</v>
      </c>
      <c r="D127" s="176" t="s">
        <v>20</v>
      </c>
      <c r="E127" s="89">
        <v>1</v>
      </c>
      <c r="F127" s="213">
        <v>155.41999999999999</v>
      </c>
      <c r="G127" s="213">
        <v>0.23</v>
      </c>
      <c r="H127" s="213">
        <v>0.45</v>
      </c>
      <c r="I127" s="102">
        <f t="shared" si="19"/>
        <v>-16.09</v>
      </c>
      <c r="J127" s="187"/>
    </row>
    <row r="128" spans="1:10" s="178" customFormat="1" ht="15.95" customHeight="1" x14ac:dyDescent="0.4">
      <c r="A128" s="336"/>
      <c r="B128" s="187" t="s">
        <v>131</v>
      </c>
      <c r="C128" s="89">
        <v>-2</v>
      </c>
      <c r="D128" s="176" t="s">
        <v>20</v>
      </c>
      <c r="E128" s="89">
        <v>3</v>
      </c>
      <c r="F128" s="213">
        <v>1.8</v>
      </c>
      <c r="G128" s="213">
        <v>0.34</v>
      </c>
      <c r="H128" s="213">
        <v>2.6</v>
      </c>
      <c r="I128" s="102">
        <f t="shared" si="19"/>
        <v>-9.5500000000000007</v>
      </c>
      <c r="J128" s="187"/>
    </row>
    <row r="129" spans="1:10" s="178" customFormat="1" ht="15.95" customHeight="1" x14ac:dyDescent="0.4">
      <c r="A129" s="336"/>
      <c r="B129" s="187" t="s">
        <v>132</v>
      </c>
      <c r="C129" s="89">
        <v>-2</v>
      </c>
      <c r="D129" s="176" t="s">
        <v>20</v>
      </c>
      <c r="E129" s="89">
        <v>3</v>
      </c>
      <c r="F129" s="213">
        <v>2.1</v>
      </c>
      <c r="G129" s="213">
        <v>0.23</v>
      </c>
      <c r="H129" s="213">
        <v>0.45</v>
      </c>
      <c r="I129" s="102">
        <f t="shared" si="19"/>
        <v>-1.3</v>
      </c>
      <c r="J129" s="187"/>
    </row>
    <row r="130" spans="1:10" s="178" customFormat="1" ht="15.95" customHeight="1" x14ac:dyDescent="0.4">
      <c r="A130" s="336"/>
      <c r="B130" s="187" t="s">
        <v>133</v>
      </c>
      <c r="C130" s="89">
        <v>-2</v>
      </c>
      <c r="D130" s="176" t="s">
        <v>20</v>
      </c>
      <c r="E130" s="89">
        <v>11</v>
      </c>
      <c r="F130" s="213">
        <v>0.6</v>
      </c>
      <c r="G130" s="213">
        <v>0.23</v>
      </c>
      <c r="H130" s="213">
        <v>0.6</v>
      </c>
      <c r="I130" s="102">
        <f t="shared" si="19"/>
        <v>-1.82</v>
      </c>
      <c r="J130" s="187"/>
    </row>
    <row r="131" spans="1:10" s="178" customFormat="1" ht="15.95" customHeight="1" x14ac:dyDescent="0.4">
      <c r="A131" s="336"/>
      <c r="B131" s="187" t="s">
        <v>134</v>
      </c>
      <c r="C131" s="89">
        <v>-2</v>
      </c>
      <c r="D131" s="176" t="s">
        <v>20</v>
      </c>
      <c r="E131" s="89">
        <v>11</v>
      </c>
      <c r="F131" s="213">
        <v>1.2</v>
      </c>
      <c r="G131" s="213">
        <v>0.23</v>
      </c>
      <c r="H131" s="213">
        <v>0.2</v>
      </c>
      <c r="I131" s="102">
        <f t="shared" si="19"/>
        <v>-1.21</v>
      </c>
      <c r="J131" s="187"/>
    </row>
    <row r="132" spans="1:10" s="178" customFormat="1" ht="15.95" customHeight="1" x14ac:dyDescent="0.4">
      <c r="A132" s="336"/>
      <c r="B132" s="187" t="s">
        <v>135</v>
      </c>
      <c r="C132" s="89">
        <v>4</v>
      </c>
      <c r="D132" s="176" t="s">
        <v>20</v>
      </c>
      <c r="E132" s="89">
        <v>3</v>
      </c>
      <c r="F132" s="213">
        <v>0.11</v>
      </c>
      <c r="G132" s="213">
        <v>0.23</v>
      </c>
      <c r="H132" s="213">
        <v>2.6</v>
      </c>
      <c r="I132" s="102">
        <f t="shared" si="19"/>
        <v>0.79</v>
      </c>
      <c r="J132" s="187"/>
    </row>
    <row r="133" spans="1:10" s="178" customFormat="1" ht="15.95" customHeight="1" x14ac:dyDescent="0.4">
      <c r="A133" s="336"/>
      <c r="B133" s="187" t="s">
        <v>394</v>
      </c>
      <c r="C133" s="89">
        <v>2</v>
      </c>
      <c r="D133" s="176" t="s">
        <v>20</v>
      </c>
      <c r="E133" s="89">
        <v>3</v>
      </c>
      <c r="F133" s="213">
        <v>4.45</v>
      </c>
      <c r="G133" s="213">
        <v>0.23</v>
      </c>
      <c r="H133" s="213">
        <v>4.5</v>
      </c>
      <c r="I133" s="102">
        <f t="shared" si="19"/>
        <v>27.63</v>
      </c>
      <c r="J133" s="187"/>
    </row>
    <row r="134" spans="1:10" s="178" customFormat="1" ht="15.95" customHeight="1" x14ac:dyDescent="0.4">
      <c r="A134" s="336"/>
      <c r="B134" s="187" t="s">
        <v>137</v>
      </c>
      <c r="C134" s="89">
        <v>-1</v>
      </c>
      <c r="D134" s="176" t="s">
        <v>20</v>
      </c>
      <c r="E134" s="89">
        <v>1</v>
      </c>
      <c r="F134" s="213">
        <v>155.88</v>
      </c>
      <c r="G134" s="213">
        <v>0.23</v>
      </c>
      <c r="H134" s="213">
        <v>0.2</v>
      </c>
      <c r="I134" s="102">
        <f t="shared" si="19"/>
        <v>-7.17</v>
      </c>
      <c r="J134" s="187"/>
    </row>
    <row r="135" spans="1:10" s="178" customFormat="1" ht="15.95" customHeight="1" x14ac:dyDescent="0.4">
      <c r="A135" s="336"/>
      <c r="B135" s="175" t="s">
        <v>275</v>
      </c>
      <c r="C135" s="89">
        <v>2</v>
      </c>
      <c r="D135" s="176" t="s">
        <v>20</v>
      </c>
      <c r="E135" s="89">
        <v>11</v>
      </c>
      <c r="F135" s="213">
        <v>2.145</v>
      </c>
      <c r="G135" s="213">
        <v>0.115</v>
      </c>
      <c r="H135" s="213">
        <v>0.1</v>
      </c>
      <c r="I135" s="102">
        <f t="shared" si="19"/>
        <v>0.54</v>
      </c>
      <c r="J135" s="187"/>
    </row>
    <row r="136" spans="1:10" s="178" customFormat="1" ht="15.6" customHeight="1" x14ac:dyDescent="0.4">
      <c r="A136" s="337"/>
      <c r="B136" s="327" t="s">
        <v>127</v>
      </c>
      <c r="C136" s="328"/>
      <c r="D136" s="328"/>
      <c r="E136" s="328"/>
      <c r="F136" s="328"/>
      <c r="G136" s="328"/>
      <c r="H136" s="329"/>
      <c r="I136" s="32">
        <f>ROUND(SUM(I110:I135),2)</f>
        <v>247.35</v>
      </c>
      <c r="J136" s="192" t="s">
        <v>421</v>
      </c>
    </row>
    <row r="137" spans="1:10" x14ac:dyDescent="0.4">
      <c r="A137" s="335">
        <v>1.1200000000000001</v>
      </c>
      <c r="B137" s="338" t="s">
        <v>143</v>
      </c>
      <c r="C137" s="339"/>
      <c r="D137" s="339"/>
      <c r="E137" s="339"/>
      <c r="F137" s="339"/>
      <c r="G137" s="339"/>
      <c r="H137" s="339"/>
      <c r="I137" s="340"/>
    </row>
    <row r="138" spans="1:10" s="178" customFormat="1" ht="15.6" customHeight="1" x14ac:dyDescent="0.4">
      <c r="A138" s="336"/>
      <c r="B138" s="179" t="s">
        <v>128</v>
      </c>
      <c r="C138" s="89"/>
      <c r="D138" s="176"/>
      <c r="E138" s="89"/>
      <c r="F138" s="34"/>
      <c r="G138" s="34"/>
      <c r="H138" s="34"/>
      <c r="I138" s="34"/>
      <c r="J138" s="177"/>
    </row>
    <row r="139" spans="1:10" s="178" customFormat="1" ht="15.6" customHeight="1" x14ac:dyDescent="0.4">
      <c r="A139" s="336"/>
      <c r="B139" s="341" t="s">
        <v>145</v>
      </c>
      <c r="C139" s="342"/>
      <c r="D139" s="342"/>
      <c r="E139" s="342"/>
      <c r="F139" s="342"/>
      <c r="G139" s="342"/>
      <c r="H139" s="342"/>
      <c r="I139" s="343"/>
      <c r="J139" s="177"/>
    </row>
    <row r="140" spans="1:10" s="178" customFormat="1" ht="15.6" customHeight="1" x14ac:dyDescent="0.4">
      <c r="A140" s="336"/>
      <c r="B140" s="187" t="s">
        <v>146</v>
      </c>
      <c r="C140" s="89">
        <v>2</v>
      </c>
      <c r="D140" s="176" t="s">
        <v>20</v>
      </c>
      <c r="E140" s="89">
        <v>7</v>
      </c>
      <c r="F140" s="34">
        <v>0.6</v>
      </c>
      <c r="G140" s="34">
        <v>0.34</v>
      </c>
      <c r="H140" s="34" t="s">
        <v>21</v>
      </c>
      <c r="I140" s="102">
        <f t="shared" ref="I140:I142" si="24">ROUND(PRODUCT(C140:H140),2)</f>
        <v>2.86</v>
      </c>
      <c r="J140" s="177"/>
    </row>
    <row r="141" spans="1:10" s="178" customFormat="1" ht="15.6" customHeight="1" x14ac:dyDescent="0.4">
      <c r="A141" s="336"/>
      <c r="B141" s="175" t="s">
        <v>147</v>
      </c>
      <c r="C141" s="89">
        <v>2</v>
      </c>
      <c r="D141" s="176" t="s">
        <v>20</v>
      </c>
      <c r="E141" s="89">
        <v>14</v>
      </c>
      <c r="F141" s="34">
        <v>1.2</v>
      </c>
      <c r="G141" s="34" t="s">
        <v>21</v>
      </c>
      <c r="H141" s="34">
        <v>0.2</v>
      </c>
      <c r="I141" s="102">
        <f t="shared" si="24"/>
        <v>6.72</v>
      </c>
      <c r="J141" s="177"/>
    </row>
    <row r="142" spans="1:10" s="178" customFormat="1" ht="15.6" customHeight="1" x14ac:dyDescent="0.4">
      <c r="A142" s="336"/>
      <c r="B142" s="175" t="s">
        <v>148</v>
      </c>
      <c r="C142" s="89">
        <v>2</v>
      </c>
      <c r="D142" s="176" t="s">
        <v>20</v>
      </c>
      <c r="E142" s="89">
        <v>14</v>
      </c>
      <c r="F142" s="34">
        <v>0.34</v>
      </c>
      <c r="G142" s="34" t="s">
        <v>21</v>
      </c>
      <c r="H142" s="34">
        <v>0.2</v>
      </c>
      <c r="I142" s="102">
        <f t="shared" si="24"/>
        <v>1.9</v>
      </c>
      <c r="J142" s="177"/>
    </row>
    <row r="143" spans="1:10" s="178" customFormat="1" ht="15.6" customHeight="1" x14ac:dyDescent="0.4">
      <c r="A143" s="336"/>
      <c r="B143" s="181" t="s">
        <v>149</v>
      </c>
      <c r="C143" s="182"/>
      <c r="D143" s="182"/>
      <c r="E143" s="182"/>
      <c r="F143" s="183"/>
      <c r="G143" s="183"/>
      <c r="H143" s="183"/>
      <c r="I143" s="221"/>
      <c r="J143" s="193"/>
    </row>
    <row r="144" spans="1:10" s="178" customFormat="1" ht="15.6" customHeight="1" x14ac:dyDescent="0.4">
      <c r="A144" s="336"/>
      <c r="B144" s="175" t="s">
        <v>150</v>
      </c>
      <c r="C144" s="89">
        <v>1</v>
      </c>
      <c r="D144" s="176" t="s">
        <v>20</v>
      </c>
      <c r="E144" s="89">
        <v>4</v>
      </c>
      <c r="F144" s="34">
        <v>1.8</v>
      </c>
      <c r="G144" s="34">
        <v>0.19</v>
      </c>
      <c r="H144" s="34" t="s">
        <v>21</v>
      </c>
      <c r="I144" s="102">
        <f t="shared" ref="I144:I145" si="25">ROUND(PRODUCT(C144:H144),2)</f>
        <v>1.37</v>
      </c>
      <c r="J144" s="177"/>
    </row>
    <row r="145" spans="1:13" s="178" customFormat="1" ht="15.6" customHeight="1" x14ac:dyDescent="0.4">
      <c r="A145" s="336"/>
      <c r="B145" s="175" t="s">
        <v>151</v>
      </c>
      <c r="C145" s="89">
        <v>1</v>
      </c>
      <c r="D145" s="176" t="s">
        <v>20</v>
      </c>
      <c r="E145" s="89">
        <v>4</v>
      </c>
      <c r="F145" s="34">
        <v>2.1</v>
      </c>
      <c r="G145" s="34">
        <v>0.34</v>
      </c>
      <c r="H145" s="34" t="s">
        <v>21</v>
      </c>
      <c r="I145" s="102">
        <f t="shared" si="25"/>
        <v>2.86</v>
      </c>
      <c r="J145" s="177"/>
    </row>
    <row r="146" spans="1:13" s="178" customFormat="1" ht="15.6" customHeight="1" x14ac:dyDescent="0.4">
      <c r="A146" s="336"/>
      <c r="B146" s="175" t="s">
        <v>424</v>
      </c>
      <c r="C146" s="89"/>
      <c r="D146" s="176"/>
      <c r="E146" s="89"/>
      <c r="F146" s="34"/>
      <c r="G146" s="34"/>
      <c r="H146" s="34"/>
      <c r="I146" s="34"/>
      <c r="J146" s="193"/>
    </row>
    <row r="147" spans="1:13" s="178" customFormat="1" ht="15.6" customHeight="1" x14ac:dyDescent="0.4">
      <c r="A147" s="336"/>
      <c r="B147" s="175" t="s">
        <v>426</v>
      </c>
      <c r="C147" s="89">
        <v>2</v>
      </c>
      <c r="D147" s="176" t="s">
        <v>20</v>
      </c>
      <c r="E147" s="89">
        <v>2</v>
      </c>
      <c r="F147" s="34">
        <v>42.46</v>
      </c>
      <c r="G147" s="34" t="s">
        <v>21</v>
      </c>
      <c r="H147" s="34">
        <v>0.45</v>
      </c>
      <c r="I147" s="102">
        <f>ROUND(PRODUCT(C147:H147),2)</f>
        <v>76.430000000000007</v>
      </c>
      <c r="J147" s="177"/>
      <c r="L147" s="223"/>
      <c r="M147" s="223"/>
    </row>
    <row r="148" spans="1:13" s="178" customFormat="1" ht="15.6" customHeight="1" x14ac:dyDescent="0.4">
      <c r="A148" s="336"/>
      <c r="B148" s="175" t="s">
        <v>425</v>
      </c>
      <c r="C148" s="89">
        <v>2</v>
      </c>
      <c r="D148" s="176" t="s">
        <v>20</v>
      </c>
      <c r="E148" s="89">
        <v>2</v>
      </c>
      <c r="F148" s="34">
        <v>15.15</v>
      </c>
      <c r="G148" s="34" t="s">
        <v>21</v>
      </c>
      <c r="H148" s="34">
        <v>0.45</v>
      </c>
      <c r="I148" s="102">
        <f>ROUND(PRODUCT(C148:H148),2)</f>
        <v>27.27</v>
      </c>
      <c r="J148" s="177"/>
      <c r="M148" s="223"/>
    </row>
    <row r="149" spans="1:13" s="178" customFormat="1" ht="15.6" customHeight="1" x14ac:dyDescent="0.4">
      <c r="A149" s="336"/>
      <c r="B149" s="175" t="s">
        <v>152</v>
      </c>
      <c r="C149" s="89">
        <v>2</v>
      </c>
      <c r="D149" s="176" t="s">
        <v>20</v>
      </c>
      <c r="E149" s="89">
        <v>4</v>
      </c>
      <c r="F149" s="34">
        <v>2.0299999999999998</v>
      </c>
      <c r="G149" s="34" t="s">
        <v>21</v>
      </c>
      <c r="H149" s="34">
        <v>0.1</v>
      </c>
      <c r="I149" s="102">
        <f t="shared" ref="I149:I150" si="26">ROUND(PRODUCT(C149:H149),2)</f>
        <v>1.62</v>
      </c>
      <c r="J149" s="177"/>
    </row>
    <row r="150" spans="1:13" s="178" customFormat="1" ht="15.6" customHeight="1" x14ac:dyDescent="0.4">
      <c r="A150" s="336"/>
      <c r="B150" s="175" t="s">
        <v>153</v>
      </c>
      <c r="C150" s="89">
        <v>4</v>
      </c>
      <c r="D150" s="176" t="s">
        <v>20</v>
      </c>
      <c r="E150" s="89">
        <v>4</v>
      </c>
      <c r="F150" s="34">
        <v>0.11</v>
      </c>
      <c r="G150" s="34" t="s">
        <v>21</v>
      </c>
      <c r="H150" s="34">
        <v>0.1</v>
      </c>
      <c r="I150" s="102">
        <f t="shared" si="26"/>
        <v>0.18</v>
      </c>
      <c r="J150" s="177"/>
    </row>
    <row r="151" spans="1:13" s="178" customFormat="1" ht="15.6" customHeight="1" x14ac:dyDescent="0.4">
      <c r="A151" s="336"/>
      <c r="B151" s="179" t="s">
        <v>379</v>
      </c>
      <c r="C151" s="89"/>
      <c r="D151" s="176"/>
      <c r="E151" s="89"/>
      <c r="F151" s="34"/>
      <c r="G151" s="34"/>
      <c r="H151" s="34"/>
      <c r="I151" s="34"/>
      <c r="J151" s="177"/>
    </row>
    <row r="152" spans="1:13" s="178" customFormat="1" ht="15.95" customHeight="1" x14ac:dyDescent="0.4">
      <c r="A152" s="336"/>
      <c r="B152" s="187" t="s">
        <v>395</v>
      </c>
      <c r="C152" s="89"/>
      <c r="D152" s="176"/>
      <c r="E152" s="89"/>
      <c r="F152" s="213"/>
      <c r="G152" s="214"/>
      <c r="H152" s="213"/>
      <c r="I152" s="213"/>
      <c r="J152" s="187"/>
    </row>
    <row r="153" spans="1:13" s="178" customFormat="1" ht="15.95" customHeight="1" x14ac:dyDescent="0.4">
      <c r="A153" s="336"/>
      <c r="B153" s="187" t="s">
        <v>396</v>
      </c>
      <c r="C153" s="89">
        <v>2</v>
      </c>
      <c r="D153" s="176" t="s">
        <v>20</v>
      </c>
      <c r="E153" s="89">
        <v>11</v>
      </c>
      <c r="F153" s="213">
        <v>0.6</v>
      </c>
      <c r="G153" s="214">
        <v>0.23</v>
      </c>
      <c r="H153" s="214" t="s">
        <v>21</v>
      </c>
      <c r="I153" s="102">
        <f t="shared" ref="I153:I155" si="27">ROUND(PRODUCT(C153:H153),2)</f>
        <v>3.04</v>
      </c>
      <c r="J153" s="187"/>
    </row>
    <row r="154" spans="1:13" s="178" customFormat="1" ht="15.95" customHeight="1" x14ac:dyDescent="0.4">
      <c r="A154" s="336"/>
      <c r="B154" s="187" t="s">
        <v>147</v>
      </c>
      <c r="C154" s="89">
        <v>2</v>
      </c>
      <c r="D154" s="176" t="s">
        <v>20</v>
      </c>
      <c r="E154" s="89">
        <v>22</v>
      </c>
      <c r="F154" s="213">
        <v>1.2</v>
      </c>
      <c r="G154" s="214" t="s">
        <v>21</v>
      </c>
      <c r="H154" s="213">
        <v>0.2</v>
      </c>
      <c r="I154" s="102">
        <f t="shared" si="27"/>
        <v>10.56</v>
      </c>
      <c r="J154" s="187"/>
    </row>
    <row r="155" spans="1:13" s="178" customFormat="1" ht="15.95" customHeight="1" x14ac:dyDescent="0.4">
      <c r="A155" s="336"/>
      <c r="B155" s="187" t="s">
        <v>148</v>
      </c>
      <c r="C155" s="89">
        <v>2</v>
      </c>
      <c r="D155" s="176" t="s">
        <v>20</v>
      </c>
      <c r="E155" s="89">
        <v>22</v>
      </c>
      <c r="F155" s="213">
        <v>0.23</v>
      </c>
      <c r="G155" s="214" t="s">
        <v>21</v>
      </c>
      <c r="H155" s="213">
        <v>0.2</v>
      </c>
      <c r="I155" s="102">
        <f t="shared" si="27"/>
        <v>2.02</v>
      </c>
      <c r="J155" s="187"/>
    </row>
    <row r="156" spans="1:13" s="178" customFormat="1" ht="15.95" customHeight="1" x14ac:dyDescent="0.4">
      <c r="A156" s="336"/>
      <c r="B156" s="187" t="s">
        <v>149</v>
      </c>
      <c r="C156" s="89"/>
      <c r="D156" s="176"/>
      <c r="E156" s="89"/>
      <c r="F156" s="213"/>
      <c r="G156" s="214"/>
      <c r="H156" s="213"/>
      <c r="I156" s="213"/>
      <c r="J156" s="187"/>
    </row>
    <row r="157" spans="1:13" s="178" customFormat="1" ht="15.95" customHeight="1" x14ac:dyDescent="0.4">
      <c r="A157" s="336"/>
      <c r="B157" s="187" t="s">
        <v>150</v>
      </c>
      <c r="C157" s="89">
        <v>2</v>
      </c>
      <c r="D157" s="176" t="s">
        <v>20</v>
      </c>
      <c r="E157" s="89">
        <v>4</v>
      </c>
      <c r="F157" s="213">
        <v>1.8</v>
      </c>
      <c r="G157" s="214">
        <v>0.19</v>
      </c>
      <c r="H157" s="214" t="s">
        <v>21</v>
      </c>
      <c r="I157" s="102">
        <f t="shared" ref="I157:I158" si="28">ROUND(PRODUCT(C157:H157),2)</f>
        <v>2.74</v>
      </c>
      <c r="J157" s="187"/>
    </row>
    <row r="158" spans="1:13" s="178" customFormat="1" ht="15.95" customHeight="1" x14ac:dyDescent="0.4">
      <c r="A158" s="336"/>
      <c r="B158" s="187" t="s">
        <v>151</v>
      </c>
      <c r="C158" s="89">
        <v>2</v>
      </c>
      <c r="D158" s="176" t="s">
        <v>20</v>
      </c>
      <c r="E158" s="89">
        <v>4</v>
      </c>
      <c r="F158" s="213">
        <v>2.1</v>
      </c>
      <c r="G158" s="214">
        <v>0.23</v>
      </c>
      <c r="H158" s="214" t="s">
        <v>21</v>
      </c>
      <c r="I158" s="102">
        <f t="shared" si="28"/>
        <v>3.86</v>
      </c>
      <c r="J158" s="187"/>
    </row>
    <row r="159" spans="1:13" s="178" customFormat="1" ht="15.95" customHeight="1" x14ac:dyDescent="0.4">
      <c r="A159" s="336"/>
      <c r="B159" s="187" t="s">
        <v>424</v>
      </c>
      <c r="C159" s="89"/>
      <c r="D159" s="176"/>
      <c r="E159" s="89"/>
      <c r="F159" s="213"/>
      <c r="G159" s="214"/>
      <c r="H159" s="214"/>
      <c r="I159" s="213"/>
      <c r="J159" s="187"/>
    </row>
    <row r="160" spans="1:13" s="178" customFormat="1" ht="15.6" customHeight="1" x14ac:dyDescent="0.4">
      <c r="A160" s="336"/>
      <c r="B160" s="175" t="s">
        <v>426</v>
      </c>
      <c r="C160" s="89">
        <v>2</v>
      </c>
      <c r="D160" s="176" t="s">
        <v>20</v>
      </c>
      <c r="E160" s="89">
        <v>2</v>
      </c>
      <c r="F160" s="34">
        <v>64.150000000000006</v>
      </c>
      <c r="G160" s="34" t="s">
        <v>21</v>
      </c>
      <c r="H160" s="34">
        <v>0.45</v>
      </c>
      <c r="I160" s="102">
        <f>ROUND(PRODUCT(C160:H160),2)</f>
        <v>115.47</v>
      </c>
      <c r="J160" s="177"/>
      <c r="L160" s="223"/>
      <c r="M160" s="223"/>
    </row>
    <row r="161" spans="1:13" s="178" customFormat="1" ht="15.6" customHeight="1" x14ac:dyDescent="0.4">
      <c r="A161" s="336"/>
      <c r="B161" s="175" t="s">
        <v>425</v>
      </c>
      <c r="C161" s="89">
        <v>2</v>
      </c>
      <c r="D161" s="176" t="s">
        <v>20</v>
      </c>
      <c r="E161" s="89">
        <v>2</v>
      </c>
      <c r="F161" s="34">
        <v>15.15</v>
      </c>
      <c r="G161" s="34" t="s">
        <v>21</v>
      </c>
      <c r="H161" s="34">
        <v>0.45</v>
      </c>
      <c r="I161" s="102">
        <f>ROUND(PRODUCT(C161:H161),2)</f>
        <v>27.27</v>
      </c>
      <c r="J161" s="177"/>
      <c r="M161" s="223"/>
    </row>
    <row r="162" spans="1:13" s="178" customFormat="1" ht="15.95" customHeight="1" x14ac:dyDescent="0.4">
      <c r="A162" s="336"/>
      <c r="B162" s="187" t="s">
        <v>152</v>
      </c>
      <c r="C162" s="89">
        <v>2</v>
      </c>
      <c r="D162" s="176" t="s">
        <v>20</v>
      </c>
      <c r="E162" s="89">
        <v>3</v>
      </c>
      <c r="F162" s="213">
        <v>2.0299999999999998</v>
      </c>
      <c r="G162" s="214" t="s">
        <v>21</v>
      </c>
      <c r="H162" s="214">
        <v>0.1</v>
      </c>
      <c r="I162" s="102">
        <f t="shared" ref="I162:I163" si="29">ROUND(PRODUCT(C162:H162),2)</f>
        <v>1.22</v>
      </c>
      <c r="J162" s="187"/>
    </row>
    <row r="163" spans="1:13" s="178" customFormat="1" ht="15.95" customHeight="1" x14ac:dyDescent="0.4">
      <c r="A163" s="336"/>
      <c r="B163" s="187" t="s">
        <v>153</v>
      </c>
      <c r="C163" s="89">
        <v>4</v>
      </c>
      <c r="D163" s="176" t="s">
        <v>20</v>
      </c>
      <c r="E163" s="89">
        <v>3</v>
      </c>
      <c r="F163" s="213">
        <v>0.11</v>
      </c>
      <c r="G163" s="214" t="s">
        <v>21</v>
      </c>
      <c r="H163" s="214">
        <v>0.1</v>
      </c>
      <c r="I163" s="102">
        <f t="shared" si="29"/>
        <v>0.13</v>
      </c>
      <c r="J163" s="187"/>
    </row>
    <row r="164" spans="1:13" s="178" customFormat="1" ht="15.6" customHeight="1" x14ac:dyDescent="0.4">
      <c r="A164" s="337"/>
      <c r="B164" s="327" t="s">
        <v>127</v>
      </c>
      <c r="C164" s="328"/>
      <c r="D164" s="328"/>
      <c r="E164" s="328"/>
      <c r="F164" s="328"/>
      <c r="G164" s="328"/>
      <c r="H164" s="329"/>
      <c r="I164" s="32">
        <f>ROUND(SUM(I140:I163),2)</f>
        <v>287.52</v>
      </c>
      <c r="J164" s="180" t="s">
        <v>420</v>
      </c>
    </row>
    <row r="165" spans="1:13" s="98" customFormat="1" x14ac:dyDescent="0.45">
      <c r="A165" s="170"/>
      <c r="B165" s="317">
        <v>5</v>
      </c>
      <c r="C165" s="317"/>
      <c r="D165" s="317"/>
      <c r="E165" s="317"/>
      <c r="F165" s="317"/>
      <c r="G165" s="317"/>
      <c r="H165" s="317"/>
      <c r="I165" s="317"/>
      <c r="J165" s="317"/>
    </row>
    <row r="166" spans="1:13" s="88" customFormat="1" ht="15" customHeight="1" x14ac:dyDescent="0.4">
      <c r="A166" s="344">
        <v>1.1399999999999999</v>
      </c>
      <c r="B166" s="347" t="s">
        <v>77</v>
      </c>
      <c r="C166" s="348"/>
      <c r="D166" s="348"/>
      <c r="E166" s="348"/>
      <c r="F166" s="348"/>
      <c r="G166" s="348"/>
      <c r="H166" s="348"/>
      <c r="I166" s="349"/>
      <c r="J166" s="90"/>
    </row>
    <row r="167" spans="1:13" s="178" customFormat="1" ht="15.6" customHeight="1" x14ac:dyDescent="0.4">
      <c r="A167" s="345"/>
      <c r="B167" s="179" t="s">
        <v>128</v>
      </c>
      <c r="C167" s="89"/>
      <c r="D167" s="176"/>
      <c r="E167" s="89"/>
      <c r="F167" s="34"/>
      <c r="G167" s="34"/>
      <c r="H167" s="34"/>
      <c r="I167" s="34"/>
      <c r="J167" s="177"/>
    </row>
    <row r="168" spans="1:13" s="88" customFormat="1" x14ac:dyDescent="0.4">
      <c r="A168" s="345"/>
      <c r="B168" s="103" t="s">
        <v>243</v>
      </c>
      <c r="C168" s="89"/>
      <c r="D168" s="90"/>
      <c r="E168" s="89"/>
      <c r="F168" s="105"/>
      <c r="G168" s="105"/>
      <c r="H168" s="102"/>
      <c r="I168" s="102">
        <f>PRODUCT(C168:H168)</f>
        <v>0</v>
      </c>
      <c r="J168" s="90"/>
    </row>
    <row r="169" spans="1:13" s="178" customFormat="1" ht="15.6" customHeight="1" x14ac:dyDescent="0.4">
      <c r="A169" s="345"/>
      <c r="B169" s="179" t="s">
        <v>379</v>
      </c>
      <c r="C169" s="89"/>
      <c r="D169" s="176"/>
      <c r="E169" s="89"/>
      <c r="F169" s="34"/>
      <c r="G169" s="34"/>
      <c r="H169" s="34"/>
      <c r="I169" s="34"/>
      <c r="J169" s="177"/>
    </row>
    <row r="170" spans="1:13" s="88" customFormat="1" x14ac:dyDescent="0.4">
      <c r="A170" s="345"/>
      <c r="B170" s="103" t="s">
        <v>243</v>
      </c>
      <c r="C170" s="89"/>
      <c r="D170" s="90"/>
      <c r="E170" s="89"/>
      <c r="F170" s="105"/>
      <c r="G170" s="105"/>
      <c r="H170" s="102"/>
      <c r="I170" s="102">
        <f>PRODUCT(C170:H170)</f>
        <v>0</v>
      </c>
      <c r="J170" s="90"/>
    </row>
    <row r="171" spans="1:13" s="88" customFormat="1" x14ac:dyDescent="0.4">
      <c r="A171" s="346"/>
      <c r="B171" s="350" t="s">
        <v>127</v>
      </c>
      <c r="C171" s="351"/>
      <c r="D171" s="351"/>
      <c r="E171" s="351"/>
      <c r="F171" s="351"/>
      <c r="G171" s="351"/>
      <c r="H171" s="352"/>
      <c r="I171" s="106">
        <f>SUM(I168:I168)</f>
        <v>0</v>
      </c>
      <c r="J171" s="90" t="s">
        <v>22</v>
      </c>
    </row>
    <row r="172" spans="1:13" x14ac:dyDescent="0.4">
      <c r="A172" s="335">
        <v>1.31</v>
      </c>
      <c r="B172" s="338" t="s">
        <v>235</v>
      </c>
      <c r="C172" s="339"/>
      <c r="D172" s="339"/>
      <c r="E172" s="339"/>
      <c r="F172" s="339"/>
      <c r="G172" s="339"/>
      <c r="H172" s="339"/>
      <c r="I172" s="340"/>
    </row>
    <row r="173" spans="1:13" s="178" customFormat="1" ht="15.6" customHeight="1" x14ac:dyDescent="0.4">
      <c r="A173" s="336"/>
      <c r="B173" s="179" t="s">
        <v>128</v>
      </c>
      <c r="C173" s="89"/>
      <c r="D173" s="176"/>
      <c r="E173" s="89"/>
      <c r="F173" s="34"/>
      <c r="G173" s="34"/>
      <c r="H173" s="34"/>
      <c r="I173" s="34"/>
      <c r="J173" s="177"/>
    </row>
    <row r="174" spans="1:13" s="178" customFormat="1" ht="15.6" customHeight="1" x14ac:dyDescent="0.4">
      <c r="A174" s="336"/>
      <c r="B174" s="175" t="s">
        <v>424</v>
      </c>
      <c r="C174" s="89"/>
      <c r="D174" s="176"/>
      <c r="E174" s="89"/>
      <c r="F174" s="34"/>
      <c r="G174" s="34"/>
      <c r="H174" s="34"/>
      <c r="I174" s="102"/>
      <c r="J174" s="177"/>
    </row>
    <row r="175" spans="1:13" s="178" customFormat="1" ht="15.6" customHeight="1" x14ac:dyDescent="0.4">
      <c r="A175" s="336"/>
      <c r="B175" s="175" t="s">
        <v>426</v>
      </c>
      <c r="C175" s="89">
        <v>1</v>
      </c>
      <c r="D175" s="176" t="s">
        <v>20</v>
      </c>
      <c r="E175" s="89">
        <v>2</v>
      </c>
      <c r="F175" s="34">
        <v>42.46</v>
      </c>
      <c r="G175" s="34">
        <v>0.34</v>
      </c>
      <c r="H175" s="34">
        <v>0.45</v>
      </c>
      <c r="I175" s="102">
        <f>ROUND(PRODUCT(C175:H175),2)</f>
        <v>12.99</v>
      </c>
      <c r="J175" s="177"/>
      <c r="L175" s="223"/>
      <c r="M175" s="223"/>
    </row>
    <row r="176" spans="1:13" s="178" customFormat="1" ht="15.6" customHeight="1" x14ac:dyDescent="0.4">
      <c r="A176" s="336"/>
      <c r="B176" s="175" t="s">
        <v>425</v>
      </c>
      <c r="C176" s="89">
        <v>1</v>
      </c>
      <c r="D176" s="176" t="s">
        <v>20</v>
      </c>
      <c r="E176" s="89">
        <v>2</v>
      </c>
      <c r="F176" s="34">
        <v>15.15</v>
      </c>
      <c r="G176" s="34">
        <v>0.34</v>
      </c>
      <c r="H176" s="34">
        <v>0.45</v>
      </c>
      <c r="I176" s="102">
        <f>ROUND(PRODUCT(C176:H176),2)</f>
        <v>4.6399999999999997</v>
      </c>
      <c r="J176" s="177"/>
      <c r="M176" s="223"/>
    </row>
    <row r="177" spans="1:13" s="178" customFormat="1" ht="15.6" customHeight="1" x14ac:dyDescent="0.4">
      <c r="A177" s="336"/>
      <c r="B177" s="175" t="s">
        <v>179</v>
      </c>
      <c r="C177" s="89">
        <v>2</v>
      </c>
      <c r="D177" s="176" t="s">
        <v>20</v>
      </c>
      <c r="E177" s="89">
        <v>7</v>
      </c>
      <c r="F177" s="34">
        <v>1.2</v>
      </c>
      <c r="G177" s="34">
        <v>0.34</v>
      </c>
      <c r="H177" s="34">
        <v>0.2</v>
      </c>
      <c r="I177" s="102">
        <f t="shared" ref="I177:I186" si="30">ROUND(PRODUCT(C177:H177),2)</f>
        <v>1.1399999999999999</v>
      </c>
      <c r="J177" s="177"/>
    </row>
    <row r="178" spans="1:13" s="178" customFormat="1" ht="15.6" customHeight="1" x14ac:dyDescent="0.4">
      <c r="A178" s="336"/>
      <c r="B178" s="175" t="s">
        <v>180</v>
      </c>
      <c r="C178" s="89">
        <v>1</v>
      </c>
      <c r="D178" s="176" t="s">
        <v>20</v>
      </c>
      <c r="E178" s="89">
        <v>6</v>
      </c>
      <c r="F178" s="34">
        <v>2.1</v>
      </c>
      <c r="G178" s="34">
        <v>0.08</v>
      </c>
      <c r="H178" s="34">
        <v>0.45</v>
      </c>
      <c r="I178" s="102">
        <f t="shared" si="30"/>
        <v>0.45</v>
      </c>
      <c r="J178" s="177"/>
    </row>
    <row r="179" spans="1:13" s="178" customFormat="1" ht="15.6" customHeight="1" x14ac:dyDescent="0.4">
      <c r="A179" s="336"/>
      <c r="B179" s="175" t="s">
        <v>181</v>
      </c>
      <c r="C179" s="89">
        <v>1</v>
      </c>
      <c r="D179" s="176" t="s">
        <v>20</v>
      </c>
      <c r="E179" s="89">
        <v>6</v>
      </c>
      <c r="F179" s="34">
        <v>2.0299999999999998</v>
      </c>
      <c r="G179" s="34">
        <v>0.11</v>
      </c>
      <c r="H179" s="34">
        <v>0.1</v>
      </c>
      <c r="I179" s="102">
        <f t="shared" si="30"/>
        <v>0.13</v>
      </c>
      <c r="J179" s="177"/>
    </row>
    <row r="180" spans="1:13" s="178" customFormat="1" ht="15.6" customHeight="1" x14ac:dyDescent="0.4">
      <c r="A180" s="336"/>
      <c r="B180" s="179" t="s">
        <v>379</v>
      </c>
      <c r="C180" s="89"/>
      <c r="D180" s="176"/>
      <c r="E180" s="89"/>
      <c r="F180" s="34"/>
      <c r="G180" s="34"/>
      <c r="H180" s="34"/>
      <c r="I180" s="34"/>
      <c r="J180" s="177"/>
    </row>
    <row r="181" spans="1:13" s="178" customFormat="1" ht="15.95" customHeight="1" x14ac:dyDescent="0.4">
      <c r="A181" s="336"/>
      <c r="B181" s="187" t="s">
        <v>424</v>
      </c>
      <c r="C181" s="89"/>
      <c r="D181" s="176"/>
      <c r="E181" s="89"/>
      <c r="F181" s="213"/>
      <c r="G181" s="213"/>
      <c r="H181" s="213"/>
      <c r="I181" s="102"/>
      <c r="J181" s="187"/>
    </row>
    <row r="182" spans="1:13" s="178" customFormat="1" ht="15.6" customHeight="1" x14ac:dyDescent="0.4">
      <c r="A182" s="336"/>
      <c r="B182" s="175" t="s">
        <v>426</v>
      </c>
      <c r="C182" s="89">
        <v>1</v>
      </c>
      <c r="D182" s="176" t="s">
        <v>20</v>
      </c>
      <c r="E182" s="89">
        <v>2</v>
      </c>
      <c r="F182" s="34">
        <v>63.46</v>
      </c>
      <c r="G182" s="34">
        <v>0.34</v>
      </c>
      <c r="H182" s="34">
        <v>0.45</v>
      </c>
      <c r="I182" s="102">
        <f>ROUND(PRODUCT(C182:H182),2)</f>
        <v>19.420000000000002</v>
      </c>
      <c r="J182" s="177"/>
      <c r="L182" s="223"/>
      <c r="M182" s="223"/>
    </row>
    <row r="183" spans="1:13" s="178" customFormat="1" ht="15.6" customHeight="1" x14ac:dyDescent="0.4">
      <c r="A183" s="336"/>
      <c r="B183" s="175" t="s">
        <v>425</v>
      </c>
      <c r="C183" s="89">
        <v>1</v>
      </c>
      <c r="D183" s="176" t="s">
        <v>20</v>
      </c>
      <c r="E183" s="89">
        <v>2</v>
      </c>
      <c r="F183" s="34">
        <v>15.15</v>
      </c>
      <c r="G183" s="34">
        <v>0.34</v>
      </c>
      <c r="H183" s="34">
        <v>0.45</v>
      </c>
      <c r="I183" s="102">
        <f>ROUND(PRODUCT(C183:H183),2)</f>
        <v>4.6399999999999997</v>
      </c>
      <c r="J183" s="177"/>
      <c r="M183" s="223"/>
    </row>
    <row r="184" spans="1:13" s="178" customFormat="1" ht="15.95" customHeight="1" x14ac:dyDescent="0.4">
      <c r="A184" s="336"/>
      <c r="B184" s="175" t="s">
        <v>179</v>
      </c>
      <c r="C184" s="89">
        <v>2</v>
      </c>
      <c r="D184" s="176" t="s">
        <v>20</v>
      </c>
      <c r="E184" s="89">
        <v>11</v>
      </c>
      <c r="F184" s="213">
        <v>1.2</v>
      </c>
      <c r="G184" s="213">
        <v>0.34</v>
      </c>
      <c r="H184" s="213">
        <v>0.2</v>
      </c>
      <c r="I184" s="102">
        <f t="shared" si="30"/>
        <v>1.8</v>
      </c>
      <c r="J184" s="187"/>
    </row>
    <row r="185" spans="1:13" s="178" customFormat="1" ht="15.95" customHeight="1" x14ac:dyDescent="0.4">
      <c r="A185" s="336"/>
      <c r="B185" s="187" t="s">
        <v>180</v>
      </c>
      <c r="C185" s="89">
        <v>2</v>
      </c>
      <c r="D185" s="176" t="s">
        <v>20</v>
      </c>
      <c r="E185" s="89">
        <v>4</v>
      </c>
      <c r="F185" s="213">
        <v>2.1</v>
      </c>
      <c r="G185" s="213">
        <v>0.08</v>
      </c>
      <c r="H185" s="213">
        <v>0.45</v>
      </c>
      <c r="I185" s="102">
        <f t="shared" si="30"/>
        <v>0.6</v>
      </c>
      <c r="J185" s="187"/>
    </row>
    <row r="186" spans="1:13" s="178" customFormat="1" ht="15.95" customHeight="1" x14ac:dyDescent="0.4">
      <c r="A186" s="336"/>
      <c r="B186" s="187" t="s">
        <v>181</v>
      </c>
      <c r="C186" s="89">
        <v>2</v>
      </c>
      <c r="D186" s="176" t="s">
        <v>20</v>
      </c>
      <c r="E186" s="89">
        <v>4</v>
      </c>
      <c r="F186" s="213">
        <v>2.0299999999999998</v>
      </c>
      <c r="G186" s="213">
        <v>0.11</v>
      </c>
      <c r="H186" s="213">
        <v>0.1</v>
      </c>
      <c r="I186" s="102">
        <f t="shared" si="30"/>
        <v>0.18</v>
      </c>
      <c r="J186" s="187"/>
    </row>
    <row r="187" spans="1:13" s="178" customFormat="1" ht="15.6" customHeight="1" x14ac:dyDescent="0.4">
      <c r="A187" s="337"/>
      <c r="B187" s="327" t="s">
        <v>127</v>
      </c>
      <c r="C187" s="328"/>
      <c r="D187" s="328"/>
      <c r="E187" s="328"/>
      <c r="F187" s="328"/>
      <c r="G187" s="328"/>
      <c r="H187" s="329"/>
      <c r="I187" s="32">
        <f>ROUND(SUM(I174:I186),2)</f>
        <v>45.99</v>
      </c>
      <c r="J187" s="180" t="s">
        <v>420</v>
      </c>
    </row>
    <row r="188" spans="1:13" s="98" customFormat="1" x14ac:dyDescent="0.45">
      <c r="A188" s="170"/>
      <c r="B188" s="317">
        <v>6</v>
      </c>
      <c r="C188" s="317"/>
      <c r="D188" s="317"/>
      <c r="E188" s="317"/>
      <c r="F188" s="317"/>
      <c r="G188" s="317"/>
      <c r="H188" s="317"/>
      <c r="I188" s="317"/>
      <c r="J188" s="317"/>
    </row>
    <row r="189" spans="1:13" x14ac:dyDescent="0.4">
      <c r="A189" s="335">
        <v>1.1000000000000001</v>
      </c>
      <c r="B189" s="338" t="s">
        <v>241</v>
      </c>
      <c r="C189" s="339"/>
      <c r="D189" s="339"/>
      <c r="E189" s="339"/>
      <c r="F189" s="339"/>
      <c r="G189" s="339"/>
      <c r="H189" s="339"/>
      <c r="I189" s="340"/>
    </row>
    <row r="190" spans="1:13" s="178" customFormat="1" ht="15.6" customHeight="1" x14ac:dyDescent="0.4">
      <c r="A190" s="336"/>
      <c r="B190" s="179" t="s">
        <v>128</v>
      </c>
      <c r="C190" s="89"/>
      <c r="D190" s="176"/>
      <c r="E190" s="89"/>
      <c r="F190" s="34"/>
      <c r="G190" s="34"/>
      <c r="H190" s="34"/>
      <c r="I190" s="34"/>
      <c r="J190" s="177"/>
    </row>
    <row r="191" spans="1:13" s="178" customFormat="1" ht="15.6" customHeight="1" x14ac:dyDescent="0.4">
      <c r="A191" s="336"/>
      <c r="B191" s="175" t="s">
        <v>129</v>
      </c>
      <c r="C191" s="89">
        <v>2</v>
      </c>
      <c r="D191" s="176" t="s">
        <v>20</v>
      </c>
      <c r="E191" s="89">
        <v>9</v>
      </c>
      <c r="F191" s="34">
        <v>4.25</v>
      </c>
      <c r="G191" s="34">
        <v>0.34</v>
      </c>
      <c r="H191" s="34">
        <v>0.6</v>
      </c>
      <c r="I191" s="102">
        <f t="shared" ref="I191:I192" si="31">ROUND(PRODUCT(C191:H191),2)</f>
        <v>15.61</v>
      </c>
      <c r="J191" s="177"/>
    </row>
    <row r="192" spans="1:13" s="178" customFormat="1" ht="15.6" customHeight="1" x14ac:dyDescent="0.4">
      <c r="A192" s="336"/>
      <c r="B192" s="175" t="s">
        <v>242</v>
      </c>
      <c r="C192" s="89">
        <v>2</v>
      </c>
      <c r="D192" s="176" t="s">
        <v>20</v>
      </c>
      <c r="E192" s="89">
        <v>3</v>
      </c>
      <c r="F192" s="34">
        <v>4.45</v>
      </c>
      <c r="G192" s="34">
        <v>0.34</v>
      </c>
      <c r="H192" s="34">
        <v>0.6</v>
      </c>
      <c r="I192" s="102">
        <f t="shared" si="31"/>
        <v>5.45</v>
      </c>
      <c r="J192" s="177"/>
    </row>
    <row r="193" spans="1:10" s="178" customFormat="1" ht="15.6" customHeight="1" x14ac:dyDescent="0.4">
      <c r="A193" s="336"/>
      <c r="B193" s="175" t="s">
        <v>138</v>
      </c>
      <c r="C193" s="359" t="s">
        <v>139</v>
      </c>
      <c r="D193" s="359"/>
      <c r="E193" s="359"/>
      <c r="F193" s="34">
        <v>15.15</v>
      </c>
      <c r="G193" s="34">
        <v>0.34</v>
      </c>
      <c r="H193" s="34">
        <v>2.4</v>
      </c>
      <c r="I193" s="102">
        <f>ROUND(PRODUCT(C193:H193),2)*2</f>
        <v>24.72</v>
      </c>
      <c r="J193" s="177"/>
    </row>
    <row r="194" spans="1:10" s="178" customFormat="1" ht="15.6" customHeight="1" x14ac:dyDescent="0.4">
      <c r="A194" s="336"/>
      <c r="B194" s="175" t="s">
        <v>140</v>
      </c>
      <c r="C194" s="89">
        <v>-1</v>
      </c>
      <c r="D194" s="176" t="s">
        <v>20</v>
      </c>
      <c r="E194" s="89">
        <v>1</v>
      </c>
      <c r="F194" s="34">
        <v>113.42</v>
      </c>
      <c r="G194" s="34">
        <v>0.34</v>
      </c>
      <c r="H194" s="34">
        <v>0.3</v>
      </c>
      <c r="I194" s="102">
        <f t="shared" ref="I194:I205" si="32">ROUND(PRODUCT(C194:H194),2)</f>
        <v>-11.57</v>
      </c>
      <c r="J194" s="177"/>
    </row>
    <row r="195" spans="1:10" s="178" customFormat="1" ht="15.6" customHeight="1" x14ac:dyDescent="0.4">
      <c r="A195" s="336"/>
      <c r="B195" s="175" t="s">
        <v>141</v>
      </c>
      <c r="C195" s="89">
        <v>-2</v>
      </c>
      <c r="D195" s="176" t="s">
        <v>20</v>
      </c>
      <c r="E195" s="89">
        <v>18</v>
      </c>
      <c r="F195" s="34">
        <v>1.2</v>
      </c>
      <c r="G195" s="34">
        <v>0.34</v>
      </c>
      <c r="H195" s="34">
        <v>0.6</v>
      </c>
      <c r="I195" s="102">
        <f t="shared" si="32"/>
        <v>-8.81</v>
      </c>
      <c r="J195" s="177"/>
    </row>
    <row r="196" spans="1:10" s="178" customFormat="1" ht="15.6" customHeight="1" x14ac:dyDescent="0.4">
      <c r="A196" s="336"/>
      <c r="B196" s="175" t="s">
        <v>142</v>
      </c>
      <c r="C196" s="89">
        <v>1</v>
      </c>
      <c r="D196" s="176" t="s">
        <v>20</v>
      </c>
      <c r="E196" s="89">
        <v>2</v>
      </c>
      <c r="F196" s="34">
        <v>42</v>
      </c>
      <c r="G196" s="34">
        <v>0.34</v>
      </c>
      <c r="H196" s="34">
        <v>0.45</v>
      </c>
      <c r="I196" s="102">
        <f t="shared" si="32"/>
        <v>12.85</v>
      </c>
      <c r="J196" s="177"/>
    </row>
    <row r="197" spans="1:10" s="178" customFormat="1" ht="15.6" customHeight="1" x14ac:dyDescent="0.4">
      <c r="A197" s="336"/>
      <c r="B197" s="179" t="s">
        <v>379</v>
      </c>
      <c r="C197" s="89"/>
      <c r="D197" s="176"/>
      <c r="E197" s="89"/>
      <c r="F197" s="34"/>
      <c r="G197" s="34"/>
      <c r="H197" s="34"/>
      <c r="I197" s="34"/>
      <c r="J197" s="177"/>
    </row>
    <row r="198" spans="1:10" s="178" customFormat="1" ht="15.95" customHeight="1" x14ac:dyDescent="0.4">
      <c r="A198" s="336"/>
      <c r="B198" s="187" t="s">
        <v>397</v>
      </c>
      <c r="C198" s="89">
        <v>1</v>
      </c>
      <c r="D198" s="176" t="s">
        <v>20</v>
      </c>
      <c r="E198" s="89">
        <v>9</v>
      </c>
      <c r="F198" s="213">
        <v>4.25</v>
      </c>
      <c r="G198" s="213">
        <v>0.23</v>
      </c>
      <c r="H198" s="213">
        <v>0.6</v>
      </c>
      <c r="I198" s="102">
        <f t="shared" si="32"/>
        <v>5.28</v>
      </c>
      <c r="J198" s="187"/>
    </row>
    <row r="199" spans="1:10" s="178" customFormat="1" ht="15.95" customHeight="1" x14ac:dyDescent="0.4">
      <c r="A199" s="336"/>
      <c r="B199" s="187" t="s">
        <v>397</v>
      </c>
      <c r="C199" s="89">
        <v>1</v>
      </c>
      <c r="D199" s="176" t="s">
        <v>20</v>
      </c>
      <c r="E199" s="89">
        <v>12</v>
      </c>
      <c r="F199" s="213">
        <v>4.25</v>
      </c>
      <c r="G199" s="213">
        <v>0.23</v>
      </c>
      <c r="H199" s="213">
        <v>1.6</v>
      </c>
      <c r="I199" s="102">
        <f t="shared" ref="I199" si="33">ROUND(PRODUCT(C199:H199),2)</f>
        <v>18.77</v>
      </c>
      <c r="J199" s="187"/>
    </row>
    <row r="200" spans="1:10" s="178" customFormat="1" ht="15.95" customHeight="1" x14ac:dyDescent="0.4">
      <c r="A200" s="336"/>
      <c r="B200" s="187" t="s">
        <v>398</v>
      </c>
      <c r="C200" s="89">
        <v>2</v>
      </c>
      <c r="D200" s="176" t="s">
        <v>20</v>
      </c>
      <c r="E200" s="89">
        <v>2</v>
      </c>
      <c r="F200" s="213">
        <v>4.05</v>
      </c>
      <c r="G200" s="213">
        <v>0.23</v>
      </c>
      <c r="H200" s="213">
        <v>0.6</v>
      </c>
      <c r="I200" s="102">
        <f t="shared" si="32"/>
        <v>2.2400000000000002</v>
      </c>
      <c r="J200" s="187"/>
    </row>
    <row r="201" spans="1:10" s="178" customFormat="1" ht="15.95" customHeight="1" x14ac:dyDescent="0.4">
      <c r="A201" s="336"/>
      <c r="B201" s="187" t="s">
        <v>400</v>
      </c>
      <c r="C201" s="89">
        <v>2</v>
      </c>
      <c r="D201" s="176" t="s">
        <v>20</v>
      </c>
      <c r="E201" s="89">
        <v>3</v>
      </c>
      <c r="F201" s="213">
        <v>4.45</v>
      </c>
      <c r="G201" s="213">
        <v>0.23</v>
      </c>
      <c r="H201" s="213">
        <v>2</v>
      </c>
      <c r="I201" s="102">
        <f t="shared" si="32"/>
        <v>12.28</v>
      </c>
      <c r="J201" s="187"/>
    </row>
    <row r="202" spans="1:10" s="178" customFormat="1" ht="15.95" customHeight="1" x14ac:dyDescent="0.4">
      <c r="A202" s="336"/>
      <c r="B202" s="187" t="s">
        <v>138</v>
      </c>
      <c r="C202" s="359" t="s">
        <v>139</v>
      </c>
      <c r="D202" s="359"/>
      <c r="E202" s="359"/>
      <c r="F202" s="213">
        <v>15.15</v>
      </c>
      <c r="G202" s="213">
        <v>0.23</v>
      </c>
      <c r="H202" s="213">
        <v>2.4</v>
      </c>
      <c r="I202" s="102">
        <f>ROUND(PRODUCT(C202:H202),2)*2</f>
        <v>16.72</v>
      </c>
      <c r="J202" s="187"/>
    </row>
    <row r="203" spans="1:10" s="178" customFormat="1" ht="15.95" customHeight="1" x14ac:dyDescent="0.4">
      <c r="A203" s="336"/>
      <c r="B203" s="187" t="s">
        <v>140</v>
      </c>
      <c r="C203" s="89">
        <v>-1</v>
      </c>
      <c r="D203" s="176" t="s">
        <v>20</v>
      </c>
      <c r="E203" s="89">
        <v>1</v>
      </c>
      <c r="F203" s="213">
        <v>155.88</v>
      </c>
      <c r="G203" s="213">
        <v>0.23</v>
      </c>
      <c r="H203" s="213">
        <v>0.45</v>
      </c>
      <c r="I203" s="102">
        <f t="shared" si="32"/>
        <v>-16.13</v>
      </c>
      <c r="J203" s="187"/>
    </row>
    <row r="204" spans="1:10" s="178" customFormat="1" ht="15.95" customHeight="1" x14ac:dyDescent="0.4">
      <c r="A204" s="336"/>
      <c r="B204" s="187" t="s">
        <v>141</v>
      </c>
      <c r="C204" s="89">
        <v>-2</v>
      </c>
      <c r="D204" s="176" t="s">
        <v>20</v>
      </c>
      <c r="E204" s="89">
        <v>28</v>
      </c>
      <c r="F204" s="213">
        <v>1.2</v>
      </c>
      <c r="G204" s="213">
        <v>0.23</v>
      </c>
      <c r="H204" s="213">
        <v>0.6</v>
      </c>
      <c r="I204" s="102">
        <f t="shared" si="32"/>
        <v>-9.27</v>
      </c>
      <c r="J204" s="187"/>
    </row>
    <row r="205" spans="1:10" s="178" customFormat="1" ht="15.95" customHeight="1" x14ac:dyDescent="0.4">
      <c r="A205" s="336"/>
      <c r="B205" s="187" t="s">
        <v>399</v>
      </c>
      <c r="C205" s="89">
        <v>2</v>
      </c>
      <c r="D205" s="176" t="s">
        <v>20</v>
      </c>
      <c r="E205" s="89">
        <v>1</v>
      </c>
      <c r="F205" s="213">
        <v>63</v>
      </c>
      <c r="G205" s="213">
        <v>0.23</v>
      </c>
      <c r="H205" s="213">
        <v>0.45</v>
      </c>
      <c r="I205" s="102">
        <f t="shared" si="32"/>
        <v>13.04</v>
      </c>
      <c r="J205" s="187"/>
    </row>
    <row r="206" spans="1:10" s="178" customFormat="1" ht="15.6" customHeight="1" x14ac:dyDescent="0.4">
      <c r="A206" s="337"/>
      <c r="B206" s="327" t="s">
        <v>127</v>
      </c>
      <c r="C206" s="328"/>
      <c r="D206" s="328"/>
      <c r="E206" s="328"/>
      <c r="F206" s="328"/>
      <c r="G206" s="328"/>
      <c r="H206" s="329"/>
      <c r="I206" s="32">
        <f>ROUND(SUM(I190:I205),2)</f>
        <v>81.180000000000007</v>
      </c>
      <c r="J206" s="192" t="s">
        <v>421</v>
      </c>
    </row>
    <row r="207" spans="1:10" x14ac:dyDescent="0.4">
      <c r="A207" s="335">
        <v>1.1200000000000001</v>
      </c>
      <c r="B207" s="338" t="s">
        <v>143</v>
      </c>
      <c r="C207" s="339"/>
      <c r="D207" s="339"/>
      <c r="E207" s="339"/>
      <c r="F207" s="339"/>
      <c r="G207" s="339"/>
      <c r="H207" s="339"/>
      <c r="I207" s="340"/>
    </row>
    <row r="208" spans="1:10" s="178" customFormat="1" ht="15.6" customHeight="1" x14ac:dyDescent="0.4">
      <c r="A208" s="336"/>
      <c r="B208" s="179" t="s">
        <v>128</v>
      </c>
      <c r="C208" s="89"/>
      <c r="D208" s="176"/>
      <c r="E208" s="89"/>
      <c r="F208" s="34"/>
      <c r="G208" s="34"/>
      <c r="H208" s="34"/>
      <c r="I208" s="34"/>
      <c r="J208" s="177"/>
    </row>
    <row r="209" spans="1:13" s="178" customFormat="1" ht="15.6" customHeight="1" x14ac:dyDescent="0.4">
      <c r="A209" s="336"/>
      <c r="B209" s="341" t="s">
        <v>154</v>
      </c>
      <c r="C209" s="342"/>
      <c r="D209" s="342"/>
      <c r="E209" s="342"/>
      <c r="F209" s="342"/>
      <c r="G209" s="342"/>
      <c r="H209" s="342"/>
      <c r="I209" s="343"/>
      <c r="J209" s="177"/>
    </row>
    <row r="210" spans="1:13" s="178" customFormat="1" ht="15.6" customHeight="1" x14ac:dyDescent="0.4">
      <c r="A210" s="336"/>
      <c r="B210" s="175" t="s">
        <v>426</v>
      </c>
      <c r="C210" s="89">
        <v>2</v>
      </c>
      <c r="D210" s="176" t="s">
        <v>20</v>
      </c>
      <c r="E210" s="89">
        <v>2</v>
      </c>
      <c r="F210" s="34">
        <v>42.46</v>
      </c>
      <c r="G210" s="34" t="s">
        <v>21</v>
      </c>
      <c r="H210" s="34">
        <v>0.45</v>
      </c>
      <c r="I210" s="102">
        <f>ROUND(PRODUCT(C210:H210),2)</f>
        <v>76.430000000000007</v>
      </c>
      <c r="J210" s="177"/>
      <c r="L210" s="223"/>
      <c r="M210" s="223"/>
    </row>
    <row r="211" spans="1:13" s="178" customFormat="1" ht="15.6" customHeight="1" x14ac:dyDescent="0.4">
      <c r="A211" s="336"/>
      <c r="B211" s="175" t="s">
        <v>425</v>
      </c>
      <c r="C211" s="89">
        <v>2</v>
      </c>
      <c r="D211" s="176" t="s">
        <v>20</v>
      </c>
      <c r="E211" s="89">
        <v>2</v>
      </c>
      <c r="F211" s="34">
        <v>15.15</v>
      </c>
      <c r="G211" s="34" t="s">
        <v>21</v>
      </c>
      <c r="H211" s="34">
        <v>0.45</v>
      </c>
      <c r="I211" s="102">
        <f>ROUND(PRODUCT(C211:H211),2)</f>
        <v>27.27</v>
      </c>
      <c r="J211" s="177"/>
      <c r="M211" s="223"/>
    </row>
    <row r="212" spans="1:13" s="178" customFormat="1" ht="15.6" customHeight="1" x14ac:dyDescent="0.4">
      <c r="A212" s="336"/>
      <c r="B212" s="175" t="s">
        <v>155</v>
      </c>
      <c r="C212" s="89">
        <v>1</v>
      </c>
      <c r="D212" s="176" t="s">
        <v>20</v>
      </c>
      <c r="E212" s="89">
        <v>36</v>
      </c>
      <c r="F212" s="34">
        <v>1.2</v>
      </c>
      <c r="G212" s="34">
        <v>0.23</v>
      </c>
      <c r="H212" s="34" t="s">
        <v>21</v>
      </c>
      <c r="I212" s="102">
        <f t="shared" ref="I212:I214" si="34">ROUND(PRODUCT(C212:H212),2)</f>
        <v>9.94</v>
      </c>
      <c r="J212" s="177"/>
    </row>
    <row r="213" spans="1:13" s="178" customFormat="1" ht="15.6" customHeight="1" x14ac:dyDescent="0.4">
      <c r="A213" s="336"/>
      <c r="B213" s="175" t="s">
        <v>156</v>
      </c>
      <c r="C213" s="89">
        <v>1</v>
      </c>
      <c r="D213" s="176" t="s">
        <v>20</v>
      </c>
      <c r="E213" s="89">
        <v>24</v>
      </c>
      <c r="F213" s="34">
        <v>1.2</v>
      </c>
      <c r="G213" s="34">
        <v>0.74</v>
      </c>
      <c r="H213" s="34" t="s">
        <v>21</v>
      </c>
      <c r="I213" s="102">
        <f t="shared" si="34"/>
        <v>21.31</v>
      </c>
      <c r="J213" s="177"/>
    </row>
    <row r="214" spans="1:13" s="178" customFormat="1" ht="15.6" customHeight="1" x14ac:dyDescent="0.4">
      <c r="A214" s="336"/>
      <c r="B214" s="175" t="s">
        <v>157</v>
      </c>
      <c r="C214" s="89">
        <v>2</v>
      </c>
      <c r="D214" s="176" t="s">
        <v>20</v>
      </c>
      <c r="E214" s="89">
        <v>2</v>
      </c>
      <c r="F214" s="34">
        <v>0.34</v>
      </c>
      <c r="G214" s="34" t="s">
        <v>21</v>
      </c>
      <c r="H214" s="34">
        <v>0.2</v>
      </c>
      <c r="I214" s="102">
        <f t="shared" si="34"/>
        <v>0.27</v>
      </c>
      <c r="J214" s="177"/>
    </row>
    <row r="215" spans="1:13" s="178" customFormat="1" ht="15.6" customHeight="1" x14ac:dyDescent="0.4">
      <c r="A215" s="336"/>
      <c r="B215" s="175" t="s">
        <v>158</v>
      </c>
      <c r="C215" s="89"/>
      <c r="D215" s="176"/>
      <c r="E215" s="89"/>
      <c r="F215" s="34"/>
      <c r="G215" s="34"/>
      <c r="H215" s="34"/>
      <c r="I215" s="34"/>
      <c r="J215" s="177"/>
    </row>
    <row r="216" spans="1:13" s="178" customFormat="1" ht="15.6" customHeight="1" x14ac:dyDescent="0.4">
      <c r="A216" s="336"/>
      <c r="B216" s="175" t="s">
        <v>159</v>
      </c>
      <c r="C216" s="89">
        <v>2</v>
      </c>
      <c r="D216" s="176" t="s">
        <v>20</v>
      </c>
      <c r="E216" s="89">
        <v>4</v>
      </c>
      <c r="F216" s="34">
        <v>7.8</v>
      </c>
      <c r="G216" s="34" t="s">
        <v>21</v>
      </c>
      <c r="H216" s="34">
        <v>0.34</v>
      </c>
      <c r="I216" s="102">
        <f t="shared" ref="I216:I219" si="35">ROUND(PRODUCT(C216:H216),2)</f>
        <v>21.22</v>
      </c>
      <c r="J216" s="177"/>
    </row>
    <row r="217" spans="1:13" s="178" customFormat="1" ht="15.6" customHeight="1" x14ac:dyDescent="0.4">
      <c r="A217" s="336"/>
      <c r="B217" s="175" t="s">
        <v>160</v>
      </c>
      <c r="C217" s="89">
        <v>2</v>
      </c>
      <c r="D217" s="176" t="s">
        <v>20</v>
      </c>
      <c r="E217" s="89">
        <v>2</v>
      </c>
      <c r="F217" s="34">
        <v>0.34</v>
      </c>
      <c r="G217" s="34" t="s">
        <v>21</v>
      </c>
      <c r="H217" s="34">
        <v>0.34</v>
      </c>
      <c r="I217" s="102">
        <f t="shared" si="35"/>
        <v>0.46</v>
      </c>
      <c r="J217" s="177"/>
    </row>
    <row r="218" spans="1:13" s="178" customFormat="1" ht="15.6" customHeight="1" x14ac:dyDescent="0.4">
      <c r="A218" s="336"/>
      <c r="B218" s="175" t="s">
        <v>161</v>
      </c>
      <c r="C218" s="89">
        <v>2</v>
      </c>
      <c r="D218" s="176" t="s">
        <v>20</v>
      </c>
      <c r="E218" s="89">
        <v>4</v>
      </c>
      <c r="F218" s="34">
        <v>7.8</v>
      </c>
      <c r="G218" s="34" t="s">
        <v>21</v>
      </c>
      <c r="H218" s="34">
        <v>0.23</v>
      </c>
      <c r="I218" s="102">
        <f t="shared" si="35"/>
        <v>14.35</v>
      </c>
      <c r="J218" s="177"/>
    </row>
    <row r="219" spans="1:13" s="178" customFormat="1" ht="15.6" customHeight="1" x14ac:dyDescent="0.4">
      <c r="A219" s="336"/>
      <c r="B219" s="175" t="s">
        <v>160</v>
      </c>
      <c r="C219" s="89">
        <v>2</v>
      </c>
      <c r="D219" s="176" t="s">
        <v>20</v>
      </c>
      <c r="E219" s="89">
        <v>2</v>
      </c>
      <c r="F219" s="34">
        <v>0.34</v>
      </c>
      <c r="G219" s="34" t="s">
        <v>21</v>
      </c>
      <c r="H219" s="34">
        <v>0.3</v>
      </c>
      <c r="I219" s="102">
        <f t="shared" si="35"/>
        <v>0.41</v>
      </c>
      <c r="J219" s="177"/>
    </row>
    <row r="220" spans="1:13" s="178" customFormat="1" ht="15.6" customHeight="1" x14ac:dyDescent="0.4">
      <c r="A220" s="336"/>
      <c r="B220" s="179" t="s">
        <v>379</v>
      </c>
      <c r="C220" s="89"/>
      <c r="D220" s="176"/>
      <c r="E220" s="89"/>
      <c r="F220" s="34"/>
      <c r="G220" s="34"/>
      <c r="H220" s="34"/>
      <c r="I220" s="34"/>
      <c r="J220" s="177"/>
    </row>
    <row r="221" spans="1:13" s="178" customFormat="1" ht="15.95" customHeight="1" x14ac:dyDescent="0.4">
      <c r="A221" s="336"/>
      <c r="B221" s="187" t="s">
        <v>154</v>
      </c>
      <c r="C221" s="89"/>
      <c r="D221" s="176"/>
      <c r="E221" s="89"/>
      <c r="F221" s="213"/>
      <c r="G221" s="213"/>
      <c r="H221" s="213"/>
      <c r="I221" s="213"/>
      <c r="J221" s="187"/>
    </row>
    <row r="222" spans="1:13" s="178" customFormat="1" ht="15.6" customHeight="1" x14ac:dyDescent="0.4">
      <c r="A222" s="336"/>
      <c r="B222" s="175" t="s">
        <v>426</v>
      </c>
      <c r="C222" s="89">
        <v>2</v>
      </c>
      <c r="D222" s="176" t="s">
        <v>20</v>
      </c>
      <c r="E222" s="89">
        <v>2</v>
      </c>
      <c r="F222" s="34">
        <v>63.46</v>
      </c>
      <c r="G222" s="34" t="s">
        <v>21</v>
      </c>
      <c r="H222" s="34">
        <v>0.45</v>
      </c>
      <c r="I222" s="102">
        <f>ROUND(PRODUCT(C222:H222),2)</f>
        <v>114.23</v>
      </c>
      <c r="J222" s="177"/>
      <c r="L222" s="223"/>
      <c r="M222" s="223"/>
    </row>
    <row r="223" spans="1:13" s="178" customFormat="1" ht="15.6" customHeight="1" x14ac:dyDescent="0.4">
      <c r="A223" s="336"/>
      <c r="B223" s="175" t="s">
        <v>425</v>
      </c>
      <c r="C223" s="89">
        <v>2</v>
      </c>
      <c r="D223" s="176" t="s">
        <v>20</v>
      </c>
      <c r="E223" s="89">
        <v>2</v>
      </c>
      <c r="F223" s="34">
        <v>15.15</v>
      </c>
      <c r="G223" s="34" t="s">
        <v>21</v>
      </c>
      <c r="H223" s="34">
        <v>0.45</v>
      </c>
      <c r="I223" s="102">
        <f>ROUND(PRODUCT(C223:H223),2)</f>
        <v>27.27</v>
      </c>
      <c r="J223" s="177"/>
      <c r="M223" s="223"/>
    </row>
    <row r="224" spans="1:13" s="178" customFormat="1" ht="15.95" customHeight="1" x14ac:dyDescent="0.4">
      <c r="A224" s="336"/>
      <c r="B224" s="187" t="s">
        <v>155</v>
      </c>
      <c r="C224" s="89">
        <v>4</v>
      </c>
      <c r="D224" s="176" t="s">
        <v>20</v>
      </c>
      <c r="E224" s="89">
        <v>14</v>
      </c>
      <c r="F224" s="213">
        <v>1.2</v>
      </c>
      <c r="G224" s="213">
        <v>0.23</v>
      </c>
      <c r="H224" s="214" t="s">
        <v>21</v>
      </c>
      <c r="I224" s="102">
        <f t="shared" ref="I224:I230" si="36">ROUND(PRODUCT(C224:H224),2)</f>
        <v>15.46</v>
      </c>
      <c r="J224" s="187"/>
    </row>
    <row r="225" spans="1:10" s="178" customFormat="1" ht="15.95" customHeight="1" x14ac:dyDescent="0.4">
      <c r="A225" s="336"/>
      <c r="B225" s="187" t="s">
        <v>401</v>
      </c>
      <c r="C225" s="89">
        <v>1</v>
      </c>
      <c r="D225" s="176" t="s">
        <v>20</v>
      </c>
      <c r="E225" s="89">
        <v>34</v>
      </c>
      <c r="F225" s="213">
        <v>0.74</v>
      </c>
      <c r="G225" s="214" t="s">
        <v>21</v>
      </c>
      <c r="H225" s="213">
        <v>0.45</v>
      </c>
      <c r="I225" s="102">
        <f t="shared" si="36"/>
        <v>11.32</v>
      </c>
      <c r="J225" s="187"/>
    </row>
    <row r="226" spans="1:10" s="178" customFormat="1" ht="15.95" customHeight="1" x14ac:dyDescent="0.4">
      <c r="A226" s="336"/>
      <c r="B226" s="187" t="s">
        <v>158</v>
      </c>
      <c r="C226" s="89"/>
      <c r="D226" s="176"/>
      <c r="E226" s="89"/>
      <c r="F226" s="213"/>
      <c r="G226" s="214"/>
      <c r="H226" s="213"/>
      <c r="I226" s="102">
        <f t="shared" si="36"/>
        <v>0</v>
      </c>
      <c r="J226" s="187"/>
    </row>
    <row r="227" spans="1:10" s="178" customFormat="1" ht="15.95" customHeight="1" x14ac:dyDescent="0.4">
      <c r="A227" s="336"/>
      <c r="B227" s="187" t="s">
        <v>159</v>
      </c>
      <c r="C227" s="89">
        <v>2</v>
      </c>
      <c r="D227" s="176" t="s">
        <v>20</v>
      </c>
      <c r="E227" s="89">
        <v>4</v>
      </c>
      <c r="F227" s="213">
        <v>7.8</v>
      </c>
      <c r="G227" s="214" t="s">
        <v>21</v>
      </c>
      <c r="H227" s="213">
        <v>0.23</v>
      </c>
      <c r="I227" s="102">
        <f t="shared" si="36"/>
        <v>14.35</v>
      </c>
      <c r="J227" s="187"/>
    </row>
    <row r="228" spans="1:10" s="178" customFormat="1" ht="15.95" customHeight="1" x14ac:dyDescent="0.4">
      <c r="A228" s="336"/>
      <c r="B228" s="187" t="s">
        <v>160</v>
      </c>
      <c r="C228" s="89">
        <v>2</v>
      </c>
      <c r="D228" s="176" t="s">
        <v>20</v>
      </c>
      <c r="E228" s="89">
        <v>2</v>
      </c>
      <c r="F228" s="213">
        <v>0.23</v>
      </c>
      <c r="G228" s="214" t="s">
        <v>21</v>
      </c>
      <c r="H228" s="213">
        <v>0.23</v>
      </c>
      <c r="I228" s="102">
        <f t="shared" si="36"/>
        <v>0.21</v>
      </c>
      <c r="J228" s="187"/>
    </row>
    <row r="229" spans="1:10" s="178" customFormat="1" ht="15.95" customHeight="1" x14ac:dyDescent="0.4">
      <c r="A229" s="336"/>
      <c r="B229" s="187" t="s">
        <v>161</v>
      </c>
      <c r="C229" s="89">
        <v>2</v>
      </c>
      <c r="D229" s="176" t="s">
        <v>20</v>
      </c>
      <c r="E229" s="89">
        <v>4</v>
      </c>
      <c r="F229" s="213">
        <v>7.8</v>
      </c>
      <c r="G229" s="214" t="s">
        <v>21</v>
      </c>
      <c r="H229" s="213">
        <v>0.3</v>
      </c>
      <c r="I229" s="102">
        <f t="shared" si="36"/>
        <v>18.72</v>
      </c>
      <c r="J229" s="187"/>
    </row>
    <row r="230" spans="1:10" s="178" customFormat="1" ht="15.95" customHeight="1" x14ac:dyDescent="0.4">
      <c r="A230" s="336"/>
      <c r="B230" s="187" t="s">
        <v>160</v>
      </c>
      <c r="C230" s="89">
        <v>2</v>
      </c>
      <c r="D230" s="176" t="s">
        <v>20</v>
      </c>
      <c r="E230" s="89">
        <v>2</v>
      </c>
      <c r="F230" s="213">
        <v>0.23</v>
      </c>
      <c r="G230" s="214" t="s">
        <v>21</v>
      </c>
      <c r="H230" s="213">
        <v>0.3</v>
      </c>
      <c r="I230" s="102">
        <f t="shared" si="36"/>
        <v>0.28000000000000003</v>
      </c>
      <c r="J230" s="187"/>
    </row>
    <row r="231" spans="1:10" s="178" customFormat="1" ht="15.6" customHeight="1" x14ac:dyDescent="0.4">
      <c r="A231" s="337"/>
      <c r="B231" s="327" t="s">
        <v>127</v>
      </c>
      <c r="C231" s="328"/>
      <c r="D231" s="328"/>
      <c r="E231" s="328"/>
      <c r="F231" s="328"/>
      <c r="G231" s="328"/>
      <c r="H231" s="329"/>
      <c r="I231" s="32">
        <f>ROUND(SUM(I210:I230),2)</f>
        <v>373.5</v>
      </c>
      <c r="J231" s="192" t="s">
        <v>8</v>
      </c>
    </row>
    <row r="232" spans="1:10" s="98" customFormat="1" x14ac:dyDescent="0.45">
      <c r="A232" s="170"/>
      <c r="B232" s="317">
        <v>7</v>
      </c>
      <c r="C232" s="317"/>
      <c r="D232" s="317"/>
      <c r="E232" s="317"/>
      <c r="F232" s="317"/>
      <c r="G232" s="317"/>
      <c r="H232" s="317"/>
      <c r="I232" s="317"/>
      <c r="J232" s="317"/>
    </row>
    <row r="233" spans="1:10" s="88" customFormat="1" ht="15" customHeight="1" x14ac:dyDescent="0.4">
      <c r="A233" s="344">
        <v>1.1399999999999999</v>
      </c>
      <c r="B233" s="347" t="s">
        <v>77</v>
      </c>
      <c r="C233" s="348"/>
      <c r="D233" s="348"/>
      <c r="E233" s="348"/>
      <c r="F233" s="348"/>
      <c r="G233" s="348"/>
      <c r="H233" s="348"/>
      <c r="I233" s="349"/>
      <c r="J233" s="90"/>
    </row>
    <row r="234" spans="1:10" s="178" customFormat="1" ht="15.6" customHeight="1" x14ac:dyDescent="0.4">
      <c r="A234" s="345"/>
      <c r="B234" s="179" t="s">
        <v>128</v>
      </c>
      <c r="C234" s="89"/>
      <c r="D234" s="176"/>
      <c r="E234" s="89"/>
      <c r="F234" s="34"/>
      <c r="G234" s="34"/>
      <c r="H234" s="34"/>
      <c r="I234" s="34"/>
      <c r="J234" s="177"/>
    </row>
    <row r="235" spans="1:10" s="88" customFormat="1" x14ac:dyDescent="0.4">
      <c r="A235" s="345"/>
      <c r="B235" s="103" t="s">
        <v>244</v>
      </c>
      <c r="C235" s="89"/>
      <c r="D235" s="90"/>
      <c r="E235" s="89"/>
      <c r="F235" s="105"/>
      <c r="G235" s="105"/>
      <c r="H235" s="102"/>
      <c r="I235" s="102">
        <f>PRODUCT(C235:H235)</f>
        <v>0</v>
      </c>
      <c r="J235" s="90"/>
    </row>
    <row r="236" spans="1:10" s="178" customFormat="1" ht="15.6" customHeight="1" x14ac:dyDescent="0.4">
      <c r="A236" s="345"/>
      <c r="B236" s="179" t="s">
        <v>379</v>
      </c>
      <c r="C236" s="89"/>
      <c r="D236" s="176"/>
      <c r="E236" s="89"/>
      <c r="F236" s="34"/>
      <c r="G236" s="34"/>
      <c r="H236" s="34"/>
      <c r="I236" s="34"/>
      <c r="J236" s="177"/>
    </row>
    <row r="237" spans="1:10" s="88" customFormat="1" x14ac:dyDescent="0.4">
      <c r="A237" s="345"/>
      <c r="B237" s="103" t="s">
        <v>244</v>
      </c>
      <c r="C237" s="89"/>
      <c r="D237" s="90"/>
      <c r="E237" s="89"/>
      <c r="F237" s="105"/>
      <c r="G237" s="105"/>
      <c r="H237" s="102"/>
      <c r="I237" s="102">
        <f>PRODUCT(C237:H237)</f>
        <v>0</v>
      </c>
      <c r="J237" s="90"/>
    </row>
    <row r="238" spans="1:10" s="88" customFormat="1" x14ac:dyDescent="0.4">
      <c r="A238" s="346"/>
      <c r="B238" s="350" t="s">
        <v>127</v>
      </c>
      <c r="C238" s="351"/>
      <c r="D238" s="351"/>
      <c r="E238" s="351"/>
      <c r="F238" s="351"/>
      <c r="G238" s="351"/>
      <c r="H238" s="352"/>
      <c r="I238" s="106">
        <f>SUM(I235:I235)</f>
        <v>0</v>
      </c>
      <c r="J238" s="90" t="s">
        <v>22</v>
      </c>
    </row>
    <row r="239" spans="1:10" x14ac:dyDescent="0.4">
      <c r="A239" s="335">
        <v>1.32</v>
      </c>
      <c r="B239" s="338" t="s">
        <v>235</v>
      </c>
      <c r="C239" s="339"/>
      <c r="D239" s="339"/>
      <c r="E239" s="339"/>
      <c r="F239" s="339"/>
      <c r="G239" s="339"/>
      <c r="H239" s="339"/>
      <c r="I239" s="340"/>
    </row>
    <row r="240" spans="1:10" s="178" customFormat="1" ht="15.6" customHeight="1" x14ac:dyDescent="0.4">
      <c r="A240" s="336"/>
      <c r="B240" s="179" t="s">
        <v>128</v>
      </c>
      <c r="C240" s="89"/>
      <c r="D240" s="176"/>
      <c r="E240" s="89"/>
      <c r="F240" s="34"/>
      <c r="G240" s="34"/>
      <c r="H240" s="34"/>
      <c r="I240" s="34"/>
      <c r="J240" s="177"/>
    </row>
    <row r="241" spans="1:13" s="178" customFormat="1" ht="15.6" customHeight="1" x14ac:dyDescent="0.4">
      <c r="A241" s="336"/>
      <c r="B241" s="175" t="s">
        <v>182</v>
      </c>
      <c r="C241" s="89"/>
      <c r="D241" s="176"/>
      <c r="E241" s="89"/>
      <c r="F241" s="34"/>
      <c r="G241" s="34"/>
      <c r="H241" s="34"/>
      <c r="I241" s="102"/>
      <c r="J241" s="177"/>
    </row>
    <row r="242" spans="1:13" s="178" customFormat="1" ht="15.6" customHeight="1" x14ac:dyDescent="0.4">
      <c r="A242" s="336"/>
      <c r="B242" s="175" t="s">
        <v>426</v>
      </c>
      <c r="C242" s="89">
        <v>1</v>
      </c>
      <c r="D242" s="176" t="s">
        <v>20</v>
      </c>
      <c r="E242" s="89">
        <v>2</v>
      </c>
      <c r="F242" s="34">
        <v>42.46</v>
      </c>
      <c r="G242" s="34">
        <v>0.34</v>
      </c>
      <c r="H242" s="34">
        <v>0.45</v>
      </c>
      <c r="I242" s="102">
        <f>ROUND(PRODUCT(C242:H242),2)</f>
        <v>12.99</v>
      </c>
      <c r="J242" s="177"/>
      <c r="L242" s="223"/>
      <c r="M242" s="223"/>
    </row>
    <row r="243" spans="1:13" s="178" customFormat="1" ht="15.6" customHeight="1" x14ac:dyDescent="0.4">
      <c r="A243" s="336"/>
      <c r="B243" s="175" t="s">
        <v>425</v>
      </c>
      <c r="C243" s="89">
        <v>1</v>
      </c>
      <c r="D243" s="176" t="s">
        <v>20</v>
      </c>
      <c r="E243" s="89">
        <v>2</v>
      </c>
      <c r="F243" s="34">
        <v>15.15</v>
      </c>
      <c r="G243" s="34">
        <v>0.34</v>
      </c>
      <c r="H243" s="34">
        <v>0.45</v>
      </c>
      <c r="I243" s="102">
        <f>ROUND(PRODUCT(C243:H243),2)</f>
        <v>4.6399999999999997</v>
      </c>
      <c r="J243" s="177"/>
      <c r="M243" s="223"/>
    </row>
    <row r="244" spans="1:13" s="178" customFormat="1" ht="15.6" customHeight="1" x14ac:dyDescent="0.4">
      <c r="A244" s="336"/>
      <c r="B244" s="175" t="s">
        <v>183</v>
      </c>
      <c r="C244" s="89">
        <v>2</v>
      </c>
      <c r="D244" s="176" t="s">
        <v>20</v>
      </c>
      <c r="E244" s="89">
        <v>2</v>
      </c>
      <c r="F244" s="34">
        <v>0.45</v>
      </c>
      <c r="G244" s="34">
        <v>0.34</v>
      </c>
      <c r="H244" s="34">
        <v>1.2</v>
      </c>
      <c r="I244" s="102">
        <f t="shared" ref="I244:I253" si="37">ROUND(PRODUCT(C244:H244),2)</f>
        <v>0.73</v>
      </c>
      <c r="J244" s="177"/>
    </row>
    <row r="245" spans="1:13" s="178" customFormat="1" ht="15.6" customHeight="1" x14ac:dyDescent="0.4">
      <c r="A245" s="336"/>
      <c r="B245" s="175" t="s">
        <v>184</v>
      </c>
      <c r="C245" s="89">
        <v>2</v>
      </c>
      <c r="D245" s="176" t="s">
        <v>20</v>
      </c>
      <c r="E245" s="89">
        <v>2</v>
      </c>
      <c r="F245" s="34">
        <v>7.8</v>
      </c>
      <c r="G245" s="34">
        <v>0.34</v>
      </c>
      <c r="H245" s="34">
        <v>0.2</v>
      </c>
      <c r="I245" s="102">
        <f t="shared" si="37"/>
        <v>2.12</v>
      </c>
      <c r="J245" s="177"/>
    </row>
    <row r="246" spans="1:13" s="178" customFormat="1" ht="15.6" customHeight="1" x14ac:dyDescent="0.4">
      <c r="A246" s="336"/>
      <c r="B246" s="175" t="s">
        <v>185</v>
      </c>
      <c r="C246" s="89">
        <v>2</v>
      </c>
      <c r="D246" s="176" t="s">
        <v>20</v>
      </c>
      <c r="E246" s="89">
        <v>2</v>
      </c>
      <c r="F246" s="34">
        <v>7.8</v>
      </c>
      <c r="G246" s="34">
        <v>0.34</v>
      </c>
      <c r="H246" s="34">
        <v>0.22500000000000001</v>
      </c>
      <c r="I246" s="102">
        <f t="shared" si="37"/>
        <v>2.39</v>
      </c>
      <c r="J246" s="177"/>
    </row>
    <row r="247" spans="1:13" s="178" customFormat="1" ht="15.6" customHeight="1" x14ac:dyDescent="0.4">
      <c r="A247" s="336"/>
      <c r="B247" s="179" t="s">
        <v>379</v>
      </c>
      <c r="C247" s="89"/>
      <c r="D247" s="176"/>
      <c r="E247" s="89"/>
      <c r="F247" s="34"/>
      <c r="G247" s="34"/>
      <c r="H247" s="34"/>
      <c r="I247" s="34"/>
      <c r="J247" s="177"/>
    </row>
    <row r="248" spans="1:13" s="178" customFormat="1" ht="15.95" customHeight="1" x14ac:dyDescent="0.4">
      <c r="A248" s="336"/>
      <c r="B248" s="187" t="s">
        <v>182</v>
      </c>
      <c r="C248" s="89"/>
      <c r="D248" s="176"/>
      <c r="E248" s="89"/>
      <c r="F248" s="213"/>
      <c r="G248" s="213"/>
      <c r="H248" s="213"/>
      <c r="I248" s="102"/>
      <c r="J248" s="187"/>
    </row>
    <row r="249" spans="1:13" s="178" customFormat="1" ht="15.6" customHeight="1" x14ac:dyDescent="0.4">
      <c r="A249" s="336"/>
      <c r="B249" s="175" t="s">
        <v>426</v>
      </c>
      <c r="C249" s="89">
        <v>1</v>
      </c>
      <c r="D249" s="176" t="s">
        <v>20</v>
      </c>
      <c r="E249" s="89">
        <v>2</v>
      </c>
      <c r="F249" s="34">
        <v>63.46</v>
      </c>
      <c r="G249" s="34">
        <v>0.34</v>
      </c>
      <c r="H249" s="34">
        <v>0.45</v>
      </c>
      <c r="I249" s="102">
        <f>ROUND(PRODUCT(C249:H249),2)</f>
        <v>19.420000000000002</v>
      </c>
      <c r="J249" s="177"/>
      <c r="L249" s="223"/>
      <c r="M249" s="223"/>
    </row>
    <row r="250" spans="1:13" s="178" customFormat="1" ht="15.6" customHeight="1" x14ac:dyDescent="0.4">
      <c r="A250" s="336"/>
      <c r="B250" s="175" t="s">
        <v>425</v>
      </c>
      <c r="C250" s="89">
        <v>1</v>
      </c>
      <c r="D250" s="176" t="s">
        <v>20</v>
      </c>
      <c r="E250" s="89">
        <v>2</v>
      </c>
      <c r="F250" s="34">
        <v>15.15</v>
      </c>
      <c r="G250" s="34">
        <v>0.34</v>
      </c>
      <c r="H250" s="34">
        <v>0.45</v>
      </c>
      <c r="I250" s="102">
        <f>ROUND(PRODUCT(C250:H250),2)</f>
        <v>4.6399999999999997</v>
      </c>
      <c r="J250" s="177"/>
      <c r="M250" s="223"/>
    </row>
    <row r="251" spans="1:13" s="178" customFormat="1" ht="15.95" customHeight="1" x14ac:dyDescent="0.4">
      <c r="A251" s="336"/>
      <c r="B251" s="187" t="s">
        <v>183</v>
      </c>
      <c r="C251" s="89">
        <v>2</v>
      </c>
      <c r="D251" s="176" t="s">
        <v>20</v>
      </c>
      <c r="E251" s="89">
        <v>2</v>
      </c>
      <c r="F251" s="213">
        <v>0.34</v>
      </c>
      <c r="G251" s="213">
        <v>0.45</v>
      </c>
      <c r="H251" s="213">
        <v>1.2</v>
      </c>
      <c r="I251" s="102">
        <f t="shared" si="37"/>
        <v>0.73</v>
      </c>
      <c r="J251" s="187"/>
    </row>
    <row r="252" spans="1:13" s="178" customFormat="1" ht="15.95" customHeight="1" x14ac:dyDescent="0.4">
      <c r="A252" s="336"/>
      <c r="B252" s="187" t="s">
        <v>184</v>
      </c>
      <c r="C252" s="89">
        <v>2</v>
      </c>
      <c r="D252" s="176" t="s">
        <v>20</v>
      </c>
      <c r="E252" s="89">
        <v>2</v>
      </c>
      <c r="F252" s="213">
        <v>7.8</v>
      </c>
      <c r="G252" s="213">
        <v>0.23</v>
      </c>
      <c r="H252" s="213">
        <v>0.23</v>
      </c>
      <c r="I252" s="102">
        <f t="shared" si="37"/>
        <v>1.65</v>
      </c>
      <c r="J252" s="187"/>
    </row>
    <row r="253" spans="1:13" s="178" customFormat="1" ht="15.95" customHeight="1" x14ac:dyDescent="0.4">
      <c r="A253" s="336"/>
      <c r="B253" s="187" t="s">
        <v>185</v>
      </c>
      <c r="C253" s="89">
        <v>2</v>
      </c>
      <c r="D253" s="176" t="s">
        <v>20</v>
      </c>
      <c r="E253" s="89">
        <v>2</v>
      </c>
      <c r="F253" s="213">
        <v>7.8</v>
      </c>
      <c r="G253" s="213">
        <v>0.23</v>
      </c>
      <c r="H253" s="213">
        <v>0.34</v>
      </c>
      <c r="I253" s="102">
        <f t="shared" si="37"/>
        <v>2.44</v>
      </c>
      <c r="J253" s="187"/>
    </row>
    <row r="254" spans="1:13" s="178" customFormat="1" ht="15.6" customHeight="1" x14ac:dyDescent="0.4">
      <c r="A254" s="337"/>
      <c r="B254" s="327" t="s">
        <v>127</v>
      </c>
      <c r="C254" s="328"/>
      <c r="D254" s="328"/>
      <c r="E254" s="328"/>
      <c r="F254" s="328"/>
      <c r="G254" s="328"/>
      <c r="H254" s="329"/>
      <c r="I254" s="32">
        <f>ROUND(SUM(I241:I253),2)</f>
        <v>51.75</v>
      </c>
      <c r="J254" s="180" t="s">
        <v>420</v>
      </c>
    </row>
    <row r="255" spans="1:13" s="98" customFormat="1" x14ac:dyDescent="0.45">
      <c r="A255" s="170"/>
      <c r="B255" s="317">
        <v>8</v>
      </c>
      <c r="C255" s="317"/>
      <c r="D255" s="317"/>
      <c r="E255" s="317"/>
      <c r="F255" s="317"/>
      <c r="G255" s="317"/>
      <c r="H255" s="317"/>
      <c r="I255" s="317"/>
      <c r="J255" s="317"/>
    </row>
    <row r="256" spans="1:13" s="178" customFormat="1" ht="15.6" customHeight="1" x14ac:dyDescent="0.4">
      <c r="A256" s="356">
        <v>1.06</v>
      </c>
      <c r="B256" s="324" t="s">
        <v>422</v>
      </c>
      <c r="C256" s="324"/>
      <c r="D256" s="324"/>
      <c r="E256" s="324"/>
      <c r="F256" s="324"/>
      <c r="G256" s="324"/>
      <c r="H256" s="324"/>
      <c r="I256" s="324"/>
      <c r="J256" s="324"/>
    </row>
    <row r="257" spans="1:10" s="178" customFormat="1" ht="15.6" customHeight="1" x14ac:dyDescent="0.4">
      <c r="A257" s="357"/>
      <c r="B257" s="321" t="s">
        <v>273</v>
      </c>
      <c r="C257" s="322"/>
      <c r="D257" s="322"/>
      <c r="E257" s="322"/>
      <c r="F257" s="322"/>
      <c r="G257" s="322"/>
      <c r="H257" s="322"/>
      <c r="I257" s="323"/>
      <c r="J257" s="188"/>
    </row>
    <row r="258" spans="1:10" s="178" customFormat="1" ht="15.6" customHeight="1" x14ac:dyDescent="0.4">
      <c r="A258" s="357"/>
      <c r="B258" s="187" t="s">
        <v>276</v>
      </c>
      <c r="C258" s="89">
        <v>1</v>
      </c>
      <c r="D258" s="176" t="s">
        <v>20</v>
      </c>
      <c r="E258" s="89">
        <v>1</v>
      </c>
      <c r="F258" s="34">
        <v>42</v>
      </c>
      <c r="G258" s="34">
        <v>14.25</v>
      </c>
      <c r="H258" s="34">
        <v>0.2</v>
      </c>
      <c r="I258" s="102">
        <f t="shared" ref="I258:I260" si="38">ROUND(PRODUCT(C258:H258),2)</f>
        <v>119.7</v>
      </c>
      <c r="J258" s="188"/>
    </row>
    <row r="259" spans="1:10" s="178" customFormat="1" ht="15.6" customHeight="1" x14ac:dyDescent="0.4">
      <c r="A259" s="357"/>
      <c r="B259" s="179" t="s">
        <v>379</v>
      </c>
      <c r="C259" s="89"/>
      <c r="D259" s="176"/>
      <c r="E259" s="89"/>
      <c r="F259" s="34"/>
      <c r="G259" s="34"/>
      <c r="H259" s="34"/>
      <c r="I259" s="34"/>
      <c r="J259" s="177"/>
    </row>
    <row r="260" spans="1:10" s="178" customFormat="1" ht="15.95" customHeight="1" x14ac:dyDescent="0.4">
      <c r="A260" s="357"/>
      <c r="B260" s="187" t="s">
        <v>276</v>
      </c>
      <c r="C260" s="89">
        <v>1</v>
      </c>
      <c r="D260" s="176" t="s">
        <v>20</v>
      </c>
      <c r="E260" s="89">
        <v>1</v>
      </c>
      <c r="F260" s="213">
        <v>31.5</v>
      </c>
      <c r="G260" s="213">
        <v>14.25</v>
      </c>
      <c r="H260" s="213">
        <v>0.2</v>
      </c>
      <c r="I260" s="102">
        <f t="shared" si="38"/>
        <v>89.78</v>
      </c>
      <c r="J260" s="187"/>
    </row>
    <row r="261" spans="1:10" s="178" customFormat="1" ht="15.6" customHeight="1" x14ac:dyDescent="0.4">
      <c r="A261" s="358"/>
      <c r="B261" s="327" t="s">
        <v>127</v>
      </c>
      <c r="C261" s="328"/>
      <c r="D261" s="328"/>
      <c r="E261" s="328"/>
      <c r="F261" s="328"/>
      <c r="G261" s="328"/>
      <c r="H261" s="329"/>
      <c r="I261" s="32">
        <f>ROUND(SUM(I257:I260),2)</f>
        <v>209.48</v>
      </c>
      <c r="J261" s="180" t="s">
        <v>421</v>
      </c>
    </row>
    <row r="262" spans="1:10" s="178" customFormat="1" ht="15.6" customHeight="1" x14ac:dyDescent="0.4">
      <c r="A262" s="318">
        <v>1.1499999999999999</v>
      </c>
      <c r="B262" s="324" t="s">
        <v>279</v>
      </c>
      <c r="C262" s="324"/>
      <c r="D262" s="324"/>
      <c r="E262" s="324"/>
      <c r="F262" s="324"/>
      <c r="G262" s="324"/>
      <c r="H262" s="324"/>
      <c r="I262" s="324"/>
      <c r="J262" s="324"/>
    </row>
    <row r="263" spans="1:10" s="178" customFormat="1" ht="15.6" customHeight="1" x14ac:dyDescent="0.4">
      <c r="A263" s="319"/>
      <c r="B263" s="321" t="s">
        <v>273</v>
      </c>
      <c r="C263" s="322"/>
      <c r="D263" s="322"/>
      <c r="E263" s="322"/>
      <c r="F263" s="322"/>
      <c r="G263" s="322"/>
      <c r="H263" s="322"/>
      <c r="I263" s="323"/>
      <c r="J263" s="325"/>
    </row>
    <row r="264" spans="1:10" s="178" customFormat="1" ht="15.6" customHeight="1" x14ac:dyDescent="0.4">
      <c r="A264" s="319"/>
      <c r="B264" s="187" t="s">
        <v>280</v>
      </c>
      <c r="C264" s="89">
        <v>1</v>
      </c>
      <c r="D264" s="176" t="s">
        <v>20</v>
      </c>
      <c r="E264" s="89">
        <v>4</v>
      </c>
      <c r="F264" s="34" t="s">
        <v>21</v>
      </c>
      <c r="G264" s="34" t="s">
        <v>21</v>
      </c>
      <c r="H264" s="34" t="s">
        <v>21</v>
      </c>
      <c r="I264" s="102">
        <f t="shared" ref="I264" si="39">ROUND(PRODUCT(C264:H264),2)</f>
        <v>4</v>
      </c>
      <c r="J264" s="360"/>
    </row>
    <row r="265" spans="1:10" s="178" customFormat="1" ht="15.6" customHeight="1" x14ac:dyDescent="0.4">
      <c r="A265" s="319"/>
      <c r="B265" s="179" t="s">
        <v>379</v>
      </c>
      <c r="C265" s="89"/>
      <c r="D265" s="176"/>
      <c r="E265" s="89"/>
      <c r="F265" s="34"/>
      <c r="G265" s="34"/>
      <c r="H265" s="34"/>
      <c r="I265" s="34"/>
      <c r="J265" s="177"/>
    </row>
    <row r="266" spans="1:10" s="178" customFormat="1" ht="15.6" customHeight="1" x14ac:dyDescent="0.4">
      <c r="A266" s="319"/>
      <c r="B266" s="187" t="s">
        <v>280</v>
      </c>
      <c r="C266" s="89">
        <v>1</v>
      </c>
      <c r="D266" s="176" t="s">
        <v>20</v>
      </c>
      <c r="E266" s="89">
        <v>8</v>
      </c>
      <c r="F266" s="34" t="s">
        <v>21</v>
      </c>
      <c r="G266" s="34" t="s">
        <v>21</v>
      </c>
      <c r="H266" s="34" t="s">
        <v>21</v>
      </c>
      <c r="I266" s="102">
        <f t="shared" ref="I266" si="40">ROUND(PRODUCT(C266:H266),2)</f>
        <v>8</v>
      </c>
      <c r="J266" s="177"/>
    </row>
    <row r="267" spans="1:10" s="178" customFormat="1" ht="15.6" customHeight="1" x14ac:dyDescent="0.4">
      <c r="A267" s="320"/>
      <c r="B267" s="327" t="s">
        <v>127</v>
      </c>
      <c r="C267" s="328"/>
      <c r="D267" s="328"/>
      <c r="E267" s="328"/>
      <c r="F267" s="328"/>
      <c r="G267" s="328"/>
      <c r="H267" s="329"/>
      <c r="I267" s="32">
        <f>ROUND(SUM(I263:I266),2)</f>
        <v>12</v>
      </c>
      <c r="J267" s="188" t="s">
        <v>281</v>
      </c>
    </row>
    <row r="268" spans="1:10" s="98" customFormat="1" x14ac:dyDescent="0.45">
      <c r="A268" s="170"/>
      <c r="B268" s="317">
        <v>9</v>
      </c>
      <c r="C268" s="317"/>
      <c r="D268" s="317"/>
      <c r="E268" s="317"/>
      <c r="F268" s="317"/>
      <c r="G268" s="317"/>
      <c r="H268" s="317"/>
      <c r="I268" s="317"/>
      <c r="J268" s="317"/>
    </row>
    <row r="269" spans="1:10" s="178" customFormat="1" ht="15.6" customHeight="1" x14ac:dyDescent="0.4">
      <c r="A269" s="318">
        <v>1.07</v>
      </c>
      <c r="B269" s="361" t="s">
        <v>277</v>
      </c>
      <c r="C269" s="361"/>
      <c r="D269" s="361"/>
      <c r="E269" s="361"/>
      <c r="F269" s="361"/>
      <c r="G269" s="361"/>
      <c r="H269" s="361"/>
      <c r="I269" s="361"/>
      <c r="J269" s="361"/>
    </row>
    <row r="270" spans="1:10" s="178" customFormat="1" ht="15.6" customHeight="1" x14ac:dyDescent="0.4">
      <c r="A270" s="319"/>
      <c r="B270" s="321" t="s">
        <v>273</v>
      </c>
      <c r="C270" s="322"/>
      <c r="D270" s="322"/>
      <c r="E270" s="322"/>
      <c r="F270" s="322"/>
      <c r="G270" s="322"/>
      <c r="H270" s="322"/>
      <c r="I270" s="323"/>
      <c r="J270" s="325"/>
    </row>
    <row r="271" spans="1:10" s="178" customFormat="1" ht="15.6" customHeight="1" x14ac:dyDescent="0.4">
      <c r="A271" s="319"/>
      <c r="B271" s="187" t="s">
        <v>278</v>
      </c>
      <c r="C271" s="89">
        <v>1</v>
      </c>
      <c r="D271" s="176" t="s">
        <v>20</v>
      </c>
      <c r="E271" s="89">
        <v>1</v>
      </c>
      <c r="F271" s="34">
        <v>42</v>
      </c>
      <c r="G271" s="34">
        <v>14.25</v>
      </c>
      <c r="H271" s="34">
        <v>0.15</v>
      </c>
      <c r="I271" s="102">
        <f t="shared" ref="I271" si="41">ROUND(PRODUCT(C271:H271),2)</f>
        <v>89.78</v>
      </c>
      <c r="J271" s="326"/>
    </row>
    <row r="272" spans="1:10" s="178" customFormat="1" ht="15.6" customHeight="1" x14ac:dyDescent="0.4">
      <c r="A272" s="319"/>
      <c r="B272" s="179" t="s">
        <v>379</v>
      </c>
      <c r="C272" s="89"/>
      <c r="D272" s="176"/>
      <c r="E272" s="89"/>
      <c r="F272" s="34"/>
      <c r="G272" s="34"/>
      <c r="H272" s="34"/>
      <c r="I272" s="34"/>
      <c r="J272" s="177"/>
    </row>
    <row r="273" spans="1:10" s="178" customFormat="1" ht="15.6" customHeight="1" x14ac:dyDescent="0.4">
      <c r="A273" s="319"/>
      <c r="B273" s="187" t="s">
        <v>278</v>
      </c>
      <c r="C273" s="89">
        <v>1</v>
      </c>
      <c r="D273" s="176" t="s">
        <v>20</v>
      </c>
      <c r="E273" s="89">
        <v>1</v>
      </c>
      <c r="F273" s="34">
        <v>31.5</v>
      </c>
      <c r="G273" s="34">
        <v>14.25</v>
      </c>
      <c r="H273" s="34">
        <v>0.15</v>
      </c>
      <c r="I273" s="102">
        <f t="shared" ref="I273" si="42">ROUND(PRODUCT(C273:H273),2)</f>
        <v>67.33</v>
      </c>
      <c r="J273" s="177"/>
    </row>
    <row r="274" spans="1:10" s="178" customFormat="1" ht="15.6" customHeight="1" x14ac:dyDescent="0.4">
      <c r="A274" s="320"/>
      <c r="B274" s="327" t="s">
        <v>127</v>
      </c>
      <c r="C274" s="328"/>
      <c r="D274" s="328"/>
      <c r="E274" s="328"/>
      <c r="F274" s="328"/>
      <c r="G274" s="328"/>
      <c r="H274" s="329"/>
      <c r="I274" s="32">
        <f>ROUND(SUM(I270:I273),2)</f>
        <v>157.11000000000001</v>
      </c>
      <c r="J274" s="180" t="s">
        <v>421</v>
      </c>
    </row>
    <row r="275" spans="1:10" s="178" customFormat="1" ht="15.6" customHeight="1" x14ac:dyDescent="0.4">
      <c r="A275" s="318">
        <v>1.1599999999999999</v>
      </c>
      <c r="B275" s="324" t="s">
        <v>282</v>
      </c>
      <c r="C275" s="324"/>
      <c r="D275" s="324"/>
      <c r="E275" s="324"/>
      <c r="F275" s="324"/>
      <c r="G275" s="324"/>
      <c r="H275" s="324"/>
      <c r="I275" s="324"/>
      <c r="J275" s="324"/>
    </row>
    <row r="276" spans="1:10" s="178" customFormat="1" ht="15.6" customHeight="1" x14ac:dyDescent="0.4">
      <c r="A276" s="319"/>
      <c r="B276" s="188" t="s">
        <v>273</v>
      </c>
      <c r="C276" s="89"/>
      <c r="D276" s="176"/>
      <c r="E276" s="89"/>
      <c r="F276" s="34"/>
      <c r="G276" s="34"/>
      <c r="H276" s="34"/>
      <c r="I276" s="34"/>
      <c r="J276" s="188"/>
    </row>
    <row r="277" spans="1:10" s="178" customFormat="1" ht="15.6" customHeight="1" x14ac:dyDescent="0.4">
      <c r="A277" s="319"/>
      <c r="B277" s="187" t="s">
        <v>283</v>
      </c>
      <c r="C277" s="89">
        <v>2</v>
      </c>
      <c r="D277" s="176" t="s">
        <v>20</v>
      </c>
      <c r="E277" s="89">
        <v>7</v>
      </c>
      <c r="F277" s="34" t="s">
        <v>21</v>
      </c>
      <c r="G277" s="34" t="s">
        <v>21</v>
      </c>
      <c r="H277" s="34" t="s">
        <v>21</v>
      </c>
      <c r="I277" s="102">
        <f t="shared" ref="I277" si="43">ROUND(PRODUCT(C277:H277),2)</f>
        <v>14</v>
      </c>
      <c r="J277" s="188"/>
    </row>
    <row r="278" spans="1:10" s="178" customFormat="1" ht="15.6" customHeight="1" x14ac:dyDescent="0.4">
      <c r="A278" s="319"/>
      <c r="B278" s="179" t="s">
        <v>379</v>
      </c>
      <c r="C278" s="89"/>
      <c r="D278" s="176"/>
      <c r="E278" s="89"/>
      <c r="F278" s="34"/>
      <c r="G278" s="34"/>
      <c r="H278" s="34"/>
      <c r="I278" s="34"/>
      <c r="J278" s="177"/>
    </row>
    <row r="279" spans="1:10" s="178" customFormat="1" ht="15.6" customHeight="1" x14ac:dyDescent="0.4">
      <c r="A279" s="319"/>
      <c r="B279" s="187" t="s">
        <v>283</v>
      </c>
      <c r="C279" s="89">
        <v>2</v>
      </c>
      <c r="D279" s="176" t="s">
        <v>20</v>
      </c>
      <c r="E279" s="89">
        <v>10</v>
      </c>
      <c r="F279" s="34" t="s">
        <v>21</v>
      </c>
      <c r="G279" s="34" t="s">
        <v>21</v>
      </c>
      <c r="H279" s="34" t="s">
        <v>21</v>
      </c>
      <c r="I279" s="102">
        <f t="shared" ref="I279" si="44">ROUND(PRODUCT(C279:H279),2)</f>
        <v>20</v>
      </c>
      <c r="J279" s="188"/>
    </row>
    <row r="280" spans="1:10" s="178" customFormat="1" ht="15.6" customHeight="1" x14ac:dyDescent="0.4">
      <c r="A280" s="320"/>
      <c r="B280" s="187"/>
      <c r="C280" s="89"/>
      <c r="D280" s="176"/>
      <c r="E280" s="89"/>
      <c r="F280" s="34"/>
      <c r="G280" s="34"/>
      <c r="H280" s="34"/>
      <c r="I280" s="32">
        <f>ROUND(SUM(I276:I279),2)</f>
        <v>34</v>
      </c>
      <c r="J280" s="188" t="s">
        <v>281</v>
      </c>
    </row>
    <row r="281" spans="1:10" s="178" customFormat="1" ht="15.6" customHeight="1" x14ac:dyDescent="0.4">
      <c r="A281" s="318">
        <v>1.17</v>
      </c>
      <c r="B281" s="324" t="s">
        <v>284</v>
      </c>
      <c r="C281" s="324"/>
      <c r="D281" s="324"/>
      <c r="E281" s="324"/>
      <c r="F281" s="324"/>
      <c r="G281" s="324"/>
      <c r="H281" s="324"/>
      <c r="I281" s="324"/>
      <c r="J281" s="324"/>
    </row>
    <row r="282" spans="1:10" s="178" customFormat="1" ht="15.6" customHeight="1" x14ac:dyDescent="0.4">
      <c r="A282" s="319"/>
      <c r="B282" s="321" t="s">
        <v>273</v>
      </c>
      <c r="C282" s="322"/>
      <c r="D282" s="322"/>
      <c r="E282" s="322"/>
      <c r="F282" s="322"/>
      <c r="G282" s="322"/>
      <c r="H282" s="322"/>
      <c r="I282" s="323"/>
      <c r="J282" s="188"/>
    </row>
    <row r="283" spans="1:10" s="178" customFormat="1" ht="15.6" customHeight="1" x14ac:dyDescent="0.4">
      <c r="A283" s="319"/>
      <c r="B283" s="194" t="s">
        <v>402</v>
      </c>
      <c r="C283" s="89">
        <v>2</v>
      </c>
      <c r="D283" s="176" t="s">
        <v>20</v>
      </c>
      <c r="E283" s="89">
        <v>18</v>
      </c>
      <c r="F283" s="34" t="s">
        <v>21</v>
      </c>
      <c r="G283" s="34" t="s">
        <v>21</v>
      </c>
      <c r="H283" s="34" t="s">
        <v>21</v>
      </c>
      <c r="I283" s="102">
        <f t="shared" ref="I283" si="45">ROUND(PRODUCT(C283:H283),2)</f>
        <v>36</v>
      </c>
      <c r="J283" s="195"/>
    </row>
    <row r="284" spans="1:10" s="178" customFormat="1" ht="15.6" customHeight="1" x14ac:dyDescent="0.4">
      <c r="A284" s="319"/>
      <c r="B284" s="321" t="s">
        <v>389</v>
      </c>
      <c r="C284" s="322"/>
      <c r="D284" s="322"/>
      <c r="E284" s="322"/>
      <c r="F284" s="322"/>
      <c r="G284" s="322"/>
      <c r="H284" s="322"/>
      <c r="I284" s="323"/>
      <c r="J284" s="188"/>
    </row>
    <row r="285" spans="1:10" s="178" customFormat="1" ht="15.6" customHeight="1" x14ac:dyDescent="0.4">
      <c r="A285" s="319"/>
      <c r="B285" s="194" t="s">
        <v>402</v>
      </c>
      <c r="C285" s="89">
        <v>2</v>
      </c>
      <c r="D285" s="176" t="s">
        <v>20</v>
      </c>
      <c r="E285" s="89">
        <v>28</v>
      </c>
      <c r="F285" s="34" t="s">
        <v>21</v>
      </c>
      <c r="G285" s="34" t="s">
        <v>21</v>
      </c>
      <c r="H285" s="34" t="s">
        <v>21</v>
      </c>
      <c r="I285" s="102">
        <f t="shared" ref="I285" si="46">ROUND(PRODUCT(C285:H285),2)</f>
        <v>56</v>
      </c>
      <c r="J285" s="195"/>
    </row>
    <row r="286" spans="1:10" s="178" customFormat="1" ht="15.6" customHeight="1" x14ac:dyDescent="0.4">
      <c r="A286" s="320"/>
      <c r="B286" s="187" t="s">
        <v>186</v>
      </c>
      <c r="C286" s="89"/>
      <c r="D286" s="176"/>
      <c r="E286" s="89"/>
      <c r="F286" s="34"/>
      <c r="G286" s="34"/>
      <c r="H286" s="34"/>
      <c r="I286" s="32">
        <f>ROUND(SUM(I282:I285),2)</f>
        <v>92</v>
      </c>
      <c r="J286" s="188" t="s">
        <v>281</v>
      </c>
    </row>
    <row r="287" spans="1:10" s="98" customFormat="1" x14ac:dyDescent="0.45">
      <c r="A287" s="170"/>
      <c r="B287" s="317">
        <v>10</v>
      </c>
      <c r="C287" s="317"/>
      <c r="D287" s="317"/>
      <c r="E287" s="317"/>
      <c r="F287" s="317"/>
      <c r="G287" s="317"/>
      <c r="H287" s="317"/>
      <c r="I287" s="317"/>
      <c r="J287" s="317"/>
    </row>
    <row r="288" spans="1:10" s="178" customFormat="1" ht="15.6" customHeight="1" x14ac:dyDescent="0.4">
      <c r="A288" s="318">
        <v>1.29</v>
      </c>
      <c r="B288" s="330" t="s">
        <v>341</v>
      </c>
      <c r="C288" s="331"/>
      <c r="D288" s="331"/>
      <c r="E288" s="331"/>
      <c r="F288" s="331"/>
      <c r="G288" s="331"/>
      <c r="H288" s="331"/>
      <c r="I288" s="331"/>
      <c r="J288" s="332"/>
    </row>
    <row r="289" spans="1:10" s="178" customFormat="1" ht="15.6" customHeight="1" x14ac:dyDescent="0.4">
      <c r="A289" s="319"/>
      <c r="B289" s="321" t="s">
        <v>273</v>
      </c>
      <c r="C289" s="322"/>
      <c r="D289" s="322"/>
      <c r="E289" s="322"/>
      <c r="F289" s="322"/>
      <c r="G289" s="322"/>
      <c r="H289" s="322"/>
      <c r="I289" s="323"/>
      <c r="J289" s="197"/>
    </row>
    <row r="290" spans="1:10" s="202" customFormat="1" ht="15.6" customHeight="1" x14ac:dyDescent="0.4">
      <c r="A290" s="319"/>
      <c r="B290" s="198"/>
      <c r="C290" s="199"/>
      <c r="D290" s="199"/>
      <c r="E290" s="199"/>
      <c r="F290" s="200"/>
      <c r="G290" s="200"/>
      <c r="H290" s="33" t="s">
        <v>378</v>
      </c>
      <c r="I290" s="200"/>
      <c r="J290" s="201"/>
    </row>
    <row r="291" spans="1:10" s="202" customFormat="1" ht="15.6" customHeight="1" x14ac:dyDescent="0.4">
      <c r="A291" s="319"/>
      <c r="B291" s="203" t="s">
        <v>342</v>
      </c>
      <c r="C291" s="204">
        <v>2</v>
      </c>
      <c r="D291" s="204">
        <v>2</v>
      </c>
      <c r="E291" s="204">
        <v>8</v>
      </c>
      <c r="F291" s="34">
        <v>8.6</v>
      </c>
      <c r="G291" s="200">
        <f>PRODUCT(C291:F291)</f>
        <v>275.2</v>
      </c>
      <c r="H291" s="34">
        <v>5.8</v>
      </c>
      <c r="I291" s="102">
        <f>ROUND(PRODUCT(G291:H291),2)</f>
        <v>1596.16</v>
      </c>
      <c r="J291" s="364"/>
    </row>
    <row r="292" spans="1:10" s="202" customFormat="1" ht="15.6" customHeight="1" x14ac:dyDescent="0.4">
      <c r="A292" s="319"/>
      <c r="B292" s="205" t="s">
        <v>343</v>
      </c>
      <c r="C292" s="204">
        <v>1</v>
      </c>
      <c r="D292" s="204">
        <v>2</v>
      </c>
      <c r="E292" s="204">
        <v>8</v>
      </c>
      <c r="F292" s="34">
        <v>15.45</v>
      </c>
      <c r="G292" s="200">
        <f t="shared" ref="G292:G327" si="47">PRODUCT(C292:F292)</f>
        <v>247.2</v>
      </c>
      <c r="H292" s="34">
        <v>5.8</v>
      </c>
      <c r="I292" s="102">
        <f t="shared" ref="I292:I359" si="48">ROUND(PRODUCT(G292:H292),2)</f>
        <v>1433.76</v>
      </c>
      <c r="J292" s="365"/>
    </row>
    <row r="293" spans="1:10" s="202" customFormat="1" ht="15.6" customHeight="1" x14ac:dyDescent="0.4">
      <c r="A293" s="319"/>
      <c r="B293" s="205" t="s">
        <v>344</v>
      </c>
      <c r="C293" s="204">
        <v>1</v>
      </c>
      <c r="D293" s="204">
        <v>2</v>
      </c>
      <c r="E293" s="204">
        <v>8</v>
      </c>
      <c r="F293" s="34">
        <v>2.4</v>
      </c>
      <c r="G293" s="200">
        <f t="shared" si="47"/>
        <v>38.4</v>
      </c>
      <c r="H293" s="34">
        <v>4.5</v>
      </c>
      <c r="I293" s="102">
        <f t="shared" si="48"/>
        <v>172.8</v>
      </c>
      <c r="J293" s="365"/>
    </row>
    <row r="294" spans="1:10" s="202" customFormat="1" ht="15.6" customHeight="1" x14ac:dyDescent="0.4">
      <c r="A294" s="319"/>
      <c r="B294" s="205" t="s">
        <v>345</v>
      </c>
      <c r="C294" s="204">
        <v>1</v>
      </c>
      <c r="D294" s="204">
        <v>2</v>
      </c>
      <c r="E294" s="204">
        <v>8</v>
      </c>
      <c r="F294" s="34">
        <v>2.2999999999999998</v>
      </c>
      <c r="G294" s="200">
        <f t="shared" si="47"/>
        <v>36.799999999999997</v>
      </c>
      <c r="H294" s="34">
        <v>4.5</v>
      </c>
      <c r="I294" s="102">
        <f t="shared" si="48"/>
        <v>165.6</v>
      </c>
      <c r="J294" s="365"/>
    </row>
    <row r="295" spans="1:10" s="202" customFormat="1" ht="15.6" customHeight="1" x14ac:dyDescent="0.4">
      <c r="A295" s="319"/>
      <c r="B295" s="205" t="s">
        <v>346</v>
      </c>
      <c r="C295" s="204">
        <v>1</v>
      </c>
      <c r="D295" s="204">
        <v>2</v>
      </c>
      <c r="E295" s="204">
        <v>8</v>
      </c>
      <c r="F295" s="34">
        <v>2.08</v>
      </c>
      <c r="G295" s="200">
        <f t="shared" si="47"/>
        <v>33.28</v>
      </c>
      <c r="H295" s="34">
        <v>3.5</v>
      </c>
      <c r="I295" s="102">
        <f t="shared" si="48"/>
        <v>116.48</v>
      </c>
      <c r="J295" s="365"/>
    </row>
    <row r="296" spans="1:10" s="202" customFormat="1" ht="15.6" customHeight="1" x14ac:dyDescent="0.4">
      <c r="A296" s="319"/>
      <c r="B296" s="205" t="s">
        <v>347</v>
      </c>
      <c r="C296" s="204">
        <v>1</v>
      </c>
      <c r="D296" s="204">
        <v>2</v>
      </c>
      <c r="E296" s="204">
        <v>8</v>
      </c>
      <c r="F296" s="34">
        <v>2.02</v>
      </c>
      <c r="G296" s="200">
        <f t="shared" si="47"/>
        <v>32.32</v>
      </c>
      <c r="H296" s="34">
        <v>4.5</v>
      </c>
      <c r="I296" s="102">
        <f t="shared" si="48"/>
        <v>145.44</v>
      </c>
      <c r="J296" s="365"/>
    </row>
    <row r="297" spans="1:10" s="202" customFormat="1" ht="15.6" customHeight="1" x14ac:dyDescent="0.4">
      <c r="A297" s="319"/>
      <c r="B297" s="205" t="s">
        <v>348</v>
      </c>
      <c r="C297" s="204">
        <v>1</v>
      </c>
      <c r="D297" s="204">
        <v>2</v>
      </c>
      <c r="E297" s="204">
        <v>8</v>
      </c>
      <c r="F297" s="34">
        <v>1.75</v>
      </c>
      <c r="G297" s="200">
        <f t="shared" si="47"/>
        <v>28</v>
      </c>
      <c r="H297" s="34">
        <v>3.5</v>
      </c>
      <c r="I297" s="102">
        <f t="shared" si="48"/>
        <v>98</v>
      </c>
      <c r="J297" s="365"/>
    </row>
    <row r="298" spans="1:10" s="202" customFormat="1" ht="15.6" customHeight="1" x14ac:dyDescent="0.4">
      <c r="A298" s="319"/>
      <c r="B298" s="205" t="s">
        <v>349</v>
      </c>
      <c r="C298" s="204">
        <v>1</v>
      </c>
      <c r="D298" s="204">
        <v>2</v>
      </c>
      <c r="E298" s="204">
        <v>8</v>
      </c>
      <c r="F298" s="34">
        <v>1.45</v>
      </c>
      <c r="G298" s="200">
        <f t="shared" si="47"/>
        <v>23.2</v>
      </c>
      <c r="H298" s="34">
        <v>4.5</v>
      </c>
      <c r="I298" s="102">
        <f t="shared" si="48"/>
        <v>104.4</v>
      </c>
      <c r="J298" s="365"/>
    </row>
    <row r="299" spans="1:10" s="202" customFormat="1" ht="15.6" customHeight="1" x14ac:dyDescent="0.4">
      <c r="A299" s="319"/>
      <c r="B299" s="205" t="s">
        <v>350</v>
      </c>
      <c r="C299" s="204">
        <v>1</v>
      </c>
      <c r="D299" s="204">
        <v>2</v>
      </c>
      <c r="E299" s="204">
        <v>8</v>
      </c>
      <c r="F299" s="34">
        <v>1.75</v>
      </c>
      <c r="G299" s="200">
        <f t="shared" si="47"/>
        <v>28</v>
      </c>
      <c r="H299" s="34">
        <v>3.5</v>
      </c>
      <c r="I299" s="102">
        <f t="shared" si="48"/>
        <v>98</v>
      </c>
      <c r="J299" s="365"/>
    </row>
    <row r="300" spans="1:10" s="202" customFormat="1" ht="15.6" customHeight="1" x14ac:dyDescent="0.4">
      <c r="A300" s="319"/>
      <c r="B300" s="205" t="s">
        <v>351</v>
      </c>
      <c r="C300" s="204">
        <v>1</v>
      </c>
      <c r="D300" s="204">
        <v>2</v>
      </c>
      <c r="E300" s="204">
        <v>8</v>
      </c>
      <c r="F300" s="34">
        <v>1.1100000000000001</v>
      </c>
      <c r="G300" s="200">
        <f t="shared" si="47"/>
        <v>17.760000000000002</v>
      </c>
      <c r="H300" s="34">
        <v>4.5</v>
      </c>
      <c r="I300" s="102">
        <f t="shared" si="48"/>
        <v>79.92</v>
      </c>
      <c r="J300" s="365"/>
    </row>
    <row r="301" spans="1:10" s="202" customFormat="1" ht="15.6" customHeight="1" x14ac:dyDescent="0.4">
      <c r="A301" s="319"/>
      <c r="B301" s="205" t="s">
        <v>352</v>
      </c>
      <c r="C301" s="204">
        <v>1</v>
      </c>
      <c r="D301" s="204">
        <v>2</v>
      </c>
      <c r="E301" s="204">
        <v>8</v>
      </c>
      <c r="F301" s="34">
        <v>1.49</v>
      </c>
      <c r="G301" s="200">
        <f t="shared" si="47"/>
        <v>23.84</v>
      </c>
      <c r="H301" s="34">
        <v>3.5</v>
      </c>
      <c r="I301" s="102">
        <f t="shared" si="48"/>
        <v>83.44</v>
      </c>
      <c r="J301" s="365"/>
    </row>
    <row r="302" spans="1:10" s="202" customFormat="1" ht="15.6" customHeight="1" x14ac:dyDescent="0.4">
      <c r="A302" s="319"/>
      <c r="B302" s="205" t="s">
        <v>353</v>
      </c>
      <c r="C302" s="204">
        <v>1</v>
      </c>
      <c r="D302" s="204">
        <v>2</v>
      </c>
      <c r="E302" s="204">
        <v>8</v>
      </c>
      <c r="F302" s="34">
        <v>0.78</v>
      </c>
      <c r="G302" s="200">
        <f t="shared" si="47"/>
        <v>12.48</v>
      </c>
      <c r="H302" s="34">
        <v>4.5</v>
      </c>
      <c r="I302" s="102">
        <f t="shared" si="48"/>
        <v>56.16</v>
      </c>
      <c r="J302" s="365"/>
    </row>
    <row r="303" spans="1:10" s="202" customFormat="1" ht="15.6" customHeight="1" x14ac:dyDescent="0.4">
      <c r="A303" s="319"/>
      <c r="B303" s="205" t="s">
        <v>354</v>
      </c>
      <c r="C303" s="204">
        <v>1</v>
      </c>
      <c r="D303" s="204">
        <v>2</v>
      </c>
      <c r="E303" s="204">
        <v>8</v>
      </c>
      <c r="F303" s="34">
        <v>1.27</v>
      </c>
      <c r="G303" s="200">
        <f t="shared" si="47"/>
        <v>20.32</v>
      </c>
      <c r="H303" s="34">
        <v>3.5</v>
      </c>
      <c r="I303" s="102">
        <f t="shared" si="48"/>
        <v>71.12</v>
      </c>
      <c r="J303" s="365"/>
    </row>
    <row r="304" spans="1:10" s="202" customFormat="1" ht="15.6" customHeight="1" x14ac:dyDescent="0.4">
      <c r="A304" s="319"/>
      <c r="B304" s="205" t="s">
        <v>355</v>
      </c>
      <c r="C304" s="204">
        <v>1</v>
      </c>
      <c r="D304" s="204">
        <v>2</v>
      </c>
      <c r="E304" s="204">
        <v>8</v>
      </c>
      <c r="F304" s="34">
        <v>0.46</v>
      </c>
      <c r="G304" s="200">
        <f t="shared" si="47"/>
        <v>7.36</v>
      </c>
      <c r="H304" s="34">
        <v>4.5</v>
      </c>
      <c r="I304" s="102">
        <f t="shared" si="48"/>
        <v>33.119999999999997</v>
      </c>
      <c r="J304" s="365"/>
    </row>
    <row r="305" spans="1:12" s="202" customFormat="1" ht="15.6" customHeight="1" x14ac:dyDescent="0.4">
      <c r="A305" s="319"/>
      <c r="B305" s="205" t="s">
        <v>356</v>
      </c>
      <c r="C305" s="204">
        <v>1</v>
      </c>
      <c r="D305" s="204">
        <v>2</v>
      </c>
      <c r="E305" s="204">
        <v>8</v>
      </c>
      <c r="F305" s="34">
        <v>1.1000000000000001</v>
      </c>
      <c r="G305" s="200">
        <f t="shared" si="47"/>
        <v>17.600000000000001</v>
      </c>
      <c r="H305" s="34">
        <v>3.5</v>
      </c>
      <c r="I305" s="102">
        <f t="shared" si="48"/>
        <v>61.6</v>
      </c>
      <c r="J305" s="365"/>
    </row>
    <row r="306" spans="1:12" s="202" customFormat="1" ht="15.6" customHeight="1" x14ac:dyDescent="0.4">
      <c r="A306" s="319"/>
      <c r="B306" s="203" t="s">
        <v>413</v>
      </c>
      <c r="C306" s="204">
        <v>1</v>
      </c>
      <c r="D306" s="204">
        <v>1</v>
      </c>
      <c r="E306" s="204">
        <v>1</v>
      </c>
      <c r="F306" s="34">
        <v>42.5</v>
      </c>
      <c r="G306" s="200">
        <f t="shared" ref="G306" si="49">PRODUCT(C306:F306)</f>
        <v>42.5</v>
      </c>
      <c r="H306" s="34">
        <v>7.14</v>
      </c>
      <c r="I306" s="102">
        <f>ROUND(PRODUCT(G306:H306),2)</f>
        <v>303.45</v>
      </c>
      <c r="J306" s="365"/>
    </row>
    <row r="307" spans="1:12" s="202" customFormat="1" ht="15.6" customHeight="1" x14ac:dyDescent="0.4">
      <c r="A307" s="319"/>
      <c r="B307" s="366" t="s">
        <v>357</v>
      </c>
      <c r="C307" s="367"/>
      <c r="D307" s="367"/>
      <c r="E307" s="367"/>
      <c r="F307" s="367"/>
      <c r="G307" s="367"/>
      <c r="H307" s="367"/>
      <c r="I307" s="368"/>
      <c r="J307" s="365"/>
    </row>
    <row r="308" spans="1:12" s="202" customFormat="1" ht="15.6" customHeight="1" x14ac:dyDescent="0.4">
      <c r="A308" s="319"/>
      <c r="B308" s="203" t="s">
        <v>358</v>
      </c>
      <c r="C308" s="204">
        <v>1</v>
      </c>
      <c r="D308" s="204">
        <v>8</v>
      </c>
      <c r="E308" s="206">
        <v>0.4</v>
      </c>
      <c r="F308" s="34">
        <v>0.25</v>
      </c>
      <c r="G308" s="200">
        <f t="shared" si="47"/>
        <v>0.8</v>
      </c>
      <c r="H308" s="34">
        <v>62.8</v>
      </c>
      <c r="I308" s="102">
        <f t="shared" si="48"/>
        <v>50.24</v>
      </c>
      <c r="J308" s="365"/>
      <c r="L308" s="224"/>
    </row>
    <row r="309" spans="1:12" s="202" customFormat="1" ht="15.6" customHeight="1" x14ac:dyDescent="0.4">
      <c r="A309" s="319"/>
      <c r="B309" s="203" t="s">
        <v>359</v>
      </c>
      <c r="C309" s="204">
        <v>1</v>
      </c>
      <c r="D309" s="204">
        <v>13</v>
      </c>
      <c r="E309" s="206">
        <v>0.3</v>
      </c>
      <c r="F309" s="34">
        <v>0.25</v>
      </c>
      <c r="G309" s="200">
        <f t="shared" si="47"/>
        <v>0.97499999999999998</v>
      </c>
      <c r="H309" s="34">
        <v>62.8</v>
      </c>
      <c r="I309" s="102">
        <f t="shared" si="48"/>
        <v>61.23</v>
      </c>
      <c r="J309" s="365"/>
    </row>
    <row r="310" spans="1:12" s="202" customFormat="1" ht="15.6" customHeight="1" x14ac:dyDescent="0.4">
      <c r="A310" s="319"/>
      <c r="B310" s="203" t="s">
        <v>360</v>
      </c>
      <c r="C310" s="204" t="s">
        <v>361</v>
      </c>
      <c r="D310" s="204" t="s">
        <v>362</v>
      </c>
      <c r="E310" s="206">
        <v>0.25</v>
      </c>
      <c r="F310" s="34">
        <v>0.25</v>
      </c>
      <c r="G310" s="200">
        <f t="shared" si="47"/>
        <v>6.25E-2</v>
      </c>
      <c r="H310" s="34">
        <v>62.8</v>
      </c>
      <c r="I310" s="102">
        <f t="shared" si="48"/>
        <v>3.93</v>
      </c>
      <c r="J310" s="365"/>
    </row>
    <row r="311" spans="1:12" s="202" customFormat="1" ht="15.6" customHeight="1" x14ac:dyDescent="0.4">
      <c r="A311" s="319"/>
      <c r="B311" s="203" t="s">
        <v>363</v>
      </c>
      <c r="C311" s="204">
        <v>4</v>
      </c>
      <c r="D311" s="204">
        <v>8</v>
      </c>
      <c r="E311" s="207">
        <v>0.3</v>
      </c>
      <c r="F311" s="34">
        <v>0.4</v>
      </c>
      <c r="G311" s="200">
        <f t="shared" si="47"/>
        <v>3.84</v>
      </c>
      <c r="H311" s="34">
        <v>125.6</v>
      </c>
      <c r="I311" s="102">
        <f t="shared" si="48"/>
        <v>482.3</v>
      </c>
      <c r="J311" s="365"/>
    </row>
    <row r="312" spans="1:12" s="202" customFormat="1" ht="15.6" customHeight="1" x14ac:dyDescent="0.4">
      <c r="A312" s="319"/>
      <c r="B312" s="366" t="s">
        <v>364</v>
      </c>
      <c r="C312" s="367"/>
      <c r="D312" s="367"/>
      <c r="E312" s="367"/>
      <c r="F312" s="367"/>
      <c r="G312" s="367">
        <f t="shared" si="47"/>
        <v>0</v>
      </c>
      <c r="H312" s="367"/>
      <c r="I312" s="368"/>
      <c r="J312" s="365"/>
    </row>
    <row r="313" spans="1:12" s="202" customFormat="1" ht="15.6" customHeight="1" x14ac:dyDescent="0.4">
      <c r="A313" s="319"/>
      <c r="B313" s="205" t="s">
        <v>365</v>
      </c>
      <c r="C313" s="204">
        <v>12</v>
      </c>
      <c r="D313" s="204">
        <v>1</v>
      </c>
      <c r="E313" s="204">
        <v>8</v>
      </c>
      <c r="F313" s="34">
        <v>1</v>
      </c>
      <c r="G313" s="200">
        <f t="shared" si="47"/>
        <v>96</v>
      </c>
      <c r="H313" s="34">
        <v>2.4700000000000002</v>
      </c>
      <c r="I313" s="102">
        <f t="shared" si="48"/>
        <v>237.12</v>
      </c>
      <c r="J313" s="365"/>
    </row>
    <row r="314" spans="1:12" s="202" customFormat="1" ht="15.6" customHeight="1" x14ac:dyDescent="0.4">
      <c r="A314" s="319"/>
      <c r="B314" s="366" t="s">
        <v>366</v>
      </c>
      <c r="C314" s="367"/>
      <c r="D314" s="367"/>
      <c r="E314" s="367"/>
      <c r="F314" s="367"/>
      <c r="G314" s="367"/>
      <c r="H314" s="367"/>
      <c r="I314" s="368"/>
      <c r="J314" s="365"/>
    </row>
    <row r="315" spans="1:12" s="202" customFormat="1" ht="15.6" customHeight="1" x14ac:dyDescent="0.4">
      <c r="A315" s="319"/>
      <c r="B315" s="203" t="s">
        <v>367</v>
      </c>
      <c r="C315" s="204">
        <v>2</v>
      </c>
      <c r="D315" s="204">
        <v>8</v>
      </c>
      <c r="E315" s="204"/>
      <c r="F315" s="34">
        <v>42.5</v>
      </c>
      <c r="G315" s="200">
        <f t="shared" si="47"/>
        <v>680</v>
      </c>
      <c r="H315" s="34">
        <v>7.14</v>
      </c>
      <c r="I315" s="102">
        <f t="shared" si="48"/>
        <v>4855.2</v>
      </c>
      <c r="J315" s="365"/>
    </row>
    <row r="316" spans="1:12" s="202" customFormat="1" ht="15.6" customHeight="1" x14ac:dyDescent="0.4">
      <c r="A316" s="319"/>
      <c r="B316" s="205" t="s">
        <v>368</v>
      </c>
      <c r="C316" s="204">
        <v>2</v>
      </c>
      <c r="D316" s="204">
        <v>8</v>
      </c>
      <c r="E316" s="204">
        <v>8</v>
      </c>
      <c r="F316" s="34">
        <v>0.3</v>
      </c>
      <c r="G316" s="200">
        <f t="shared" si="47"/>
        <v>38.4</v>
      </c>
      <c r="H316" s="34">
        <v>7.14</v>
      </c>
      <c r="I316" s="102">
        <f t="shared" si="48"/>
        <v>274.18</v>
      </c>
      <c r="J316" s="365"/>
    </row>
    <row r="317" spans="1:12" s="202" customFormat="1" ht="15.6" customHeight="1" x14ac:dyDescent="0.4">
      <c r="A317" s="319"/>
      <c r="B317" s="205" t="s">
        <v>369</v>
      </c>
      <c r="C317" s="204">
        <v>2</v>
      </c>
      <c r="D317" s="204">
        <v>8</v>
      </c>
      <c r="E317" s="204">
        <v>8</v>
      </c>
      <c r="F317" s="34">
        <v>2</v>
      </c>
      <c r="G317" s="200">
        <f t="shared" si="47"/>
        <v>256</v>
      </c>
      <c r="H317" s="34">
        <v>0.15</v>
      </c>
      <c r="I317" s="102">
        <f t="shared" si="48"/>
        <v>38.4</v>
      </c>
      <c r="J317" s="365"/>
    </row>
    <row r="318" spans="1:12" s="202" customFormat="1" ht="15.6" customHeight="1" x14ac:dyDescent="0.4">
      <c r="A318" s="319"/>
      <c r="B318" s="203" t="s">
        <v>370</v>
      </c>
      <c r="C318" s="204">
        <v>1</v>
      </c>
      <c r="D318" s="204" t="s">
        <v>246</v>
      </c>
      <c r="E318" s="204">
        <v>1</v>
      </c>
      <c r="F318" s="34">
        <v>42.5</v>
      </c>
      <c r="G318" s="200">
        <f t="shared" si="47"/>
        <v>42.5</v>
      </c>
      <c r="H318" s="34">
        <v>7.14</v>
      </c>
      <c r="I318" s="102">
        <f t="shared" si="48"/>
        <v>303.45</v>
      </c>
      <c r="J318" s="365"/>
    </row>
    <row r="319" spans="1:12" s="202" customFormat="1" ht="15.6" customHeight="1" x14ac:dyDescent="0.4">
      <c r="A319" s="319"/>
      <c r="B319" s="203" t="s">
        <v>371</v>
      </c>
      <c r="C319" s="204">
        <v>1</v>
      </c>
      <c r="D319" s="204" t="s">
        <v>246</v>
      </c>
      <c r="E319" s="204">
        <v>18</v>
      </c>
      <c r="F319" s="34">
        <v>8.8000000000000007</v>
      </c>
      <c r="G319" s="200">
        <f t="shared" si="47"/>
        <v>158.4</v>
      </c>
      <c r="H319" s="34">
        <v>7.14</v>
      </c>
      <c r="I319" s="102">
        <f t="shared" si="48"/>
        <v>1130.98</v>
      </c>
      <c r="J319" s="365"/>
    </row>
    <row r="320" spans="1:12" s="202" customFormat="1" ht="15.6" customHeight="1" x14ac:dyDescent="0.4">
      <c r="A320" s="319"/>
      <c r="B320" s="203" t="s">
        <v>429</v>
      </c>
      <c r="C320" s="204">
        <v>1</v>
      </c>
      <c r="D320" s="204" t="s">
        <v>246</v>
      </c>
      <c r="E320" s="204">
        <v>4</v>
      </c>
      <c r="F320" s="34">
        <v>8.6</v>
      </c>
      <c r="G320" s="200">
        <f t="shared" ref="G320" si="50">PRODUCT(C320:F320)</f>
        <v>34.4</v>
      </c>
      <c r="H320" s="34">
        <v>7.14</v>
      </c>
      <c r="I320" s="102">
        <f t="shared" ref="I320" si="51">ROUND(PRODUCT(G320:H320),2)</f>
        <v>245.62</v>
      </c>
      <c r="J320" s="365"/>
    </row>
    <row r="321" spans="1:10" s="202" customFormat="1" ht="15.6" customHeight="1" x14ac:dyDescent="0.4">
      <c r="A321" s="319"/>
      <c r="B321" s="366" t="s">
        <v>372</v>
      </c>
      <c r="C321" s="367"/>
      <c r="D321" s="367"/>
      <c r="E321" s="367"/>
      <c r="F321" s="367"/>
      <c r="G321" s="367"/>
      <c r="H321" s="367"/>
      <c r="I321" s="368"/>
      <c r="J321" s="365"/>
    </row>
    <row r="322" spans="1:10" s="202" customFormat="1" ht="15.6" customHeight="1" x14ac:dyDescent="0.4">
      <c r="A322" s="319"/>
      <c r="B322" s="203" t="s">
        <v>373</v>
      </c>
      <c r="C322" s="204">
        <v>1</v>
      </c>
      <c r="D322" s="204">
        <v>4</v>
      </c>
      <c r="E322" s="204">
        <v>2</v>
      </c>
      <c r="F322" s="34">
        <v>6.85</v>
      </c>
      <c r="G322" s="200">
        <f t="shared" si="47"/>
        <v>54.8</v>
      </c>
      <c r="H322" s="34">
        <v>4.5</v>
      </c>
      <c r="I322" s="102">
        <f t="shared" si="48"/>
        <v>246.6</v>
      </c>
      <c r="J322" s="365"/>
    </row>
    <row r="323" spans="1:10" s="202" customFormat="1" ht="15.6" customHeight="1" x14ac:dyDescent="0.4">
      <c r="A323" s="319"/>
      <c r="B323" s="208" t="s">
        <v>374</v>
      </c>
      <c r="C323" s="204">
        <v>1</v>
      </c>
      <c r="D323" s="204">
        <v>4</v>
      </c>
      <c r="E323" s="204">
        <v>2</v>
      </c>
      <c r="F323" s="34">
        <v>3.15</v>
      </c>
      <c r="G323" s="200">
        <f t="shared" si="47"/>
        <v>25.2</v>
      </c>
      <c r="H323" s="34">
        <v>3.5</v>
      </c>
      <c r="I323" s="102">
        <f t="shared" si="48"/>
        <v>88.2</v>
      </c>
      <c r="J323" s="365"/>
    </row>
    <row r="324" spans="1:10" s="202" customFormat="1" ht="15.6" customHeight="1" x14ac:dyDescent="0.4">
      <c r="A324" s="319"/>
      <c r="B324" s="203" t="s">
        <v>367</v>
      </c>
      <c r="C324" s="204">
        <v>1</v>
      </c>
      <c r="D324" s="204">
        <v>3</v>
      </c>
      <c r="E324" s="204">
        <v>6</v>
      </c>
      <c r="F324" s="34">
        <v>5</v>
      </c>
      <c r="G324" s="200">
        <f t="shared" si="47"/>
        <v>90</v>
      </c>
      <c r="H324" s="34">
        <v>7.14</v>
      </c>
      <c r="I324" s="102">
        <f t="shared" si="48"/>
        <v>642.6</v>
      </c>
      <c r="J324" s="365"/>
    </row>
    <row r="325" spans="1:10" s="202" customFormat="1" ht="15.6" customHeight="1" x14ac:dyDescent="0.4">
      <c r="A325" s="319"/>
      <c r="B325" s="203" t="s">
        <v>375</v>
      </c>
      <c r="C325" s="204">
        <v>4</v>
      </c>
      <c r="D325" s="204">
        <v>4</v>
      </c>
      <c r="E325" s="207">
        <v>0.3</v>
      </c>
      <c r="F325" s="34">
        <v>0.3</v>
      </c>
      <c r="G325" s="200">
        <f t="shared" si="47"/>
        <v>1.44</v>
      </c>
      <c r="H325" s="34">
        <v>94.2</v>
      </c>
      <c r="I325" s="102">
        <f t="shared" si="48"/>
        <v>135.65</v>
      </c>
      <c r="J325" s="365"/>
    </row>
    <row r="326" spans="1:10" s="202" customFormat="1" ht="15.6" customHeight="1" x14ac:dyDescent="0.4">
      <c r="A326" s="319"/>
      <c r="B326" s="203" t="s">
        <v>376</v>
      </c>
      <c r="C326" s="204">
        <v>5</v>
      </c>
      <c r="D326" s="204">
        <v>12</v>
      </c>
      <c r="E326" s="207">
        <v>0.2</v>
      </c>
      <c r="F326" s="34">
        <v>0.2</v>
      </c>
      <c r="G326" s="200">
        <f t="shared" si="47"/>
        <v>2.4000000000000004</v>
      </c>
      <c r="H326" s="34">
        <v>62.8</v>
      </c>
      <c r="I326" s="102">
        <f t="shared" si="48"/>
        <v>150.72</v>
      </c>
      <c r="J326" s="365"/>
    </row>
    <row r="327" spans="1:10" s="202" customFormat="1" ht="15.6" customHeight="1" x14ac:dyDescent="0.4">
      <c r="A327" s="319"/>
      <c r="B327" s="203" t="s">
        <v>377</v>
      </c>
      <c r="C327" s="204">
        <v>4</v>
      </c>
      <c r="D327" s="204">
        <v>6</v>
      </c>
      <c r="E327" s="204">
        <v>6</v>
      </c>
      <c r="F327" s="34">
        <v>0.4</v>
      </c>
      <c r="G327" s="200">
        <f t="shared" si="47"/>
        <v>57.6</v>
      </c>
      <c r="H327" s="34">
        <v>2.4700000000000002</v>
      </c>
      <c r="I327" s="102">
        <f t="shared" si="48"/>
        <v>142.27000000000001</v>
      </c>
      <c r="J327" s="365"/>
    </row>
    <row r="328" spans="1:10" s="178" customFormat="1" ht="15.95" customHeight="1" x14ac:dyDescent="0.4">
      <c r="A328" s="319"/>
      <c r="B328" s="195" t="s">
        <v>389</v>
      </c>
      <c r="C328" s="185"/>
      <c r="D328" s="185"/>
      <c r="E328" s="185"/>
      <c r="F328" s="222"/>
      <c r="G328" s="222"/>
      <c r="H328" s="33" t="s">
        <v>378</v>
      </c>
      <c r="I328" s="222"/>
      <c r="J328" s="196"/>
    </row>
    <row r="329" spans="1:10" s="178" customFormat="1" ht="15.95" customHeight="1" x14ac:dyDescent="0.4">
      <c r="A329" s="319"/>
      <c r="B329" s="218" t="s">
        <v>342</v>
      </c>
      <c r="C329" s="89">
        <v>2</v>
      </c>
      <c r="D329" s="89">
        <v>2</v>
      </c>
      <c r="E329" s="89">
        <v>13</v>
      </c>
      <c r="F329" s="34">
        <v>8.5</v>
      </c>
      <c r="G329" s="200">
        <f>F329*E329*D329*C329</f>
        <v>442</v>
      </c>
      <c r="H329" s="34">
        <v>5.8</v>
      </c>
      <c r="I329" s="102">
        <f t="shared" si="48"/>
        <v>2563.6</v>
      </c>
      <c r="J329" s="195"/>
    </row>
    <row r="330" spans="1:10" s="178" customFormat="1" ht="15.95" customHeight="1" x14ac:dyDescent="0.4">
      <c r="A330" s="319"/>
      <c r="B330" s="218" t="s">
        <v>343</v>
      </c>
      <c r="C330" s="89">
        <v>1</v>
      </c>
      <c r="D330" s="89">
        <v>2</v>
      </c>
      <c r="E330" s="89">
        <v>13</v>
      </c>
      <c r="F330" s="34">
        <v>15.45</v>
      </c>
      <c r="G330" s="200">
        <f t="shared" ref="G330:G351" si="52">F330*E330*D330*C330</f>
        <v>401.7</v>
      </c>
      <c r="H330" s="34">
        <v>5.8</v>
      </c>
      <c r="I330" s="102">
        <f t="shared" si="48"/>
        <v>2329.86</v>
      </c>
      <c r="J330" s="195"/>
    </row>
    <row r="331" spans="1:10" s="178" customFormat="1" ht="15.95" customHeight="1" x14ac:dyDescent="0.4">
      <c r="A331" s="319"/>
      <c r="B331" s="218" t="s">
        <v>403</v>
      </c>
      <c r="C331" s="89">
        <v>1</v>
      </c>
      <c r="D331" s="89">
        <v>2</v>
      </c>
      <c r="E331" s="89">
        <v>13</v>
      </c>
      <c r="F331" s="34">
        <v>2.4</v>
      </c>
      <c r="G331" s="200">
        <f t="shared" si="52"/>
        <v>62.4</v>
      </c>
      <c r="H331" s="34">
        <v>4.5</v>
      </c>
      <c r="I331" s="102">
        <f t="shared" si="48"/>
        <v>280.8</v>
      </c>
      <c r="J331" s="195"/>
    </row>
    <row r="332" spans="1:10" s="178" customFormat="1" ht="15.95" customHeight="1" x14ac:dyDescent="0.4">
      <c r="A332" s="319"/>
      <c r="B332" s="218" t="s">
        <v>404</v>
      </c>
      <c r="C332" s="89">
        <v>1</v>
      </c>
      <c r="D332" s="89">
        <v>2</v>
      </c>
      <c r="E332" s="89">
        <v>13</v>
      </c>
      <c r="F332" s="34">
        <v>2.2999999999999998</v>
      </c>
      <c r="G332" s="200">
        <f t="shared" si="52"/>
        <v>59.8</v>
      </c>
      <c r="H332" s="34">
        <v>3.5</v>
      </c>
      <c r="I332" s="102">
        <f t="shared" si="48"/>
        <v>209.3</v>
      </c>
      <c r="J332" s="195"/>
    </row>
    <row r="333" spans="1:10" s="178" customFormat="1" ht="15.95" customHeight="1" x14ac:dyDescent="0.4">
      <c r="A333" s="319"/>
      <c r="B333" s="218" t="s">
        <v>346</v>
      </c>
      <c r="C333" s="89">
        <v>1</v>
      </c>
      <c r="D333" s="89">
        <v>2</v>
      </c>
      <c r="E333" s="89">
        <v>13</v>
      </c>
      <c r="F333" s="34">
        <v>2.08</v>
      </c>
      <c r="G333" s="200">
        <f t="shared" si="52"/>
        <v>54.08</v>
      </c>
      <c r="H333" s="34">
        <v>4.5</v>
      </c>
      <c r="I333" s="102">
        <f t="shared" si="48"/>
        <v>243.36</v>
      </c>
      <c r="J333" s="195"/>
    </row>
    <row r="334" spans="1:10" s="178" customFormat="1" ht="15.95" customHeight="1" x14ac:dyDescent="0.4">
      <c r="A334" s="319"/>
      <c r="B334" s="218" t="s">
        <v>405</v>
      </c>
      <c r="C334" s="89">
        <v>1</v>
      </c>
      <c r="D334" s="89">
        <v>2</v>
      </c>
      <c r="E334" s="89">
        <v>13</v>
      </c>
      <c r="F334" s="34">
        <v>2.02</v>
      </c>
      <c r="G334" s="200">
        <f t="shared" si="52"/>
        <v>52.52</v>
      </c>
      <c r="H334" s="34">
        <v>3.5</v>
      </c>
      <c r="I334" s="102">
        <f t="shared" si="48"/>
        <v>183.82</v>
      </c>
      <c r="J334" s="195"/>
    </row>
    <row r="335" spans="1:10" s="178" customFormat="1" ht="15.95" customHeight="1" x14ac:dyDescent="0.4">
      <c r="A335" s="319"/>
      <c r="B335" s="218" t="s">
        <v>348</v>
      </c>
      <c r="C335" s="89">
        <v>1</v>
      </c>
      <c r="D335" s="89">
        <v>2</v>
      </c>
      <c r="E335" s="89">
        <v>13</v>
      </c>
      <c r="F335" s="34">
        <v>1.75</v>
      </c>
      <c r="G335" s="200">
        <f t="shared" si="52"/>
        <v>45.5</v>
      </c>
      <c r="H335" s="34">
        <v>4.5</v>
      </c>
      <c r="I335" s="102">
        <f t="shared" si="48"/>
        <v>204.75</v>
      </c>
      <c r="J335" s="195"/>
    </row>
    <row r="336" spans="1:10" s="178" customFormat="1" ht="15.95" customHeight="1" x14ac:dyDescent="0.4">
      <c r="A336" s="319"/>
      <c r="B336" s="218" t="s">
        <v>349</v>
      </c>
      <c r="C336" s="89">
        <v>1</v>
      </c>
      <c r="D336" s="89">
        <v>2</v>
      </c>
      <c r="E336" s="89">
        <v>13</v>
      </c>
      <c r="F336" s="34">
        <v>1.45</v>
      </c>
      <c r="G336" s="200">
        <f t="shared" si="52"/>
        <v>37.699999999999996</v>
      </c>
      <c r="H336" s="34">
        <v>4.5</v>
      </c>
      <c r="I336" s="102">
        <f t="shared" si="48"/>
        <v>169.65</v>
      </c>
      <c r="J336" s="195"/>
    </row>
    <row r="337" spans="1:10" s="178" customFormat="1" ht="15.95" customHeight="1" x14ac:dyDescent="0.4">
      <c r="A337" s="319"/>
      <c r="B337" s="218" t="s">
        <v>406</v>
      </c>
      <c r="C337" s="89">
        <v>1</v>
      </c>
      <c r="D337" s="89">
        <v>2</v>
      </c>
      <c r="E337" s="89">
        <v>13</v>
      </c>
      <c r="F337" s="34">
        <v>1.75</v>
      </c>
      <c r="G337" s="200">
        <f t="shared" si="52"/>
        <v>45.5</v>
      </c>
      <c r="H337" s="34">
        <v>3.5</v>
      </c>
      <c r="I337" s="102">
        <f t="shared" si="48"/>
        <v>159.25</v>
      </c>
      <c r="J337" s="195"/>
    </row>
    <row r="338" spans="1:10" s="178" customFormat="1" ht="15.95" customHeight="1" x14ac:dyDescent="0.4">
      <c r="A338" s="319"/>
      <c r="B338" s="218" t="s">
        <v>351</v>
      </c>
      <c r="C338" s="89">
        <v>1</v>
      </c>
      <c r="D338" s="89">
        <v>2</v>
      </c>
      <c r="E338" s="89">
        <v>13</v>
      </c>
      <c r="F338" s="34">
        <v>1.1100000000000001</v>
      </c>
      <c r="G338" s="200">
        <f t="shared" si="52"/>
        <v>28.860000000000003</v>
      </c>
      <c r="H338" s="34">
        <v>4.5</v>
      </c>
      <c r="I338" s="102">
        <f t="shared" si="48"/>
        <v>129.87</v>
      </c>
      <c r="J338" s="195"/>
    </row>
    <row r="339" spans="1:10" s="178" customFormat="1" ht="15.95" customHeight="1" x14ac:dyDescent="0.4">
      <c r="A339" s="319"/>
      <c r="B339" s="218" t="s">
        <v>407</v>
      </c>
      <c r="C339" s="89">
        <v>1</v>
      </c>
      <c r="D339" s="89">
        <v>2</v>
      </c>
      <c r="E339" s="89">
        <v>13</v>
      </c>
      <c r="F339" s="34">
        <v>1.49</v>
      </c>
      <c r="G339" s="200">
        <f t="shared" si="52"/>
        <v>38.74</v>
      </c>
      <c r="H339" s="34">
        <v>3.5</v>
      </c>
      <c r="I339" s="102">
        <f t="shared" si="48"/>
        <v>135.59</v>
      </c>
      <c r="J339" s="195"/>
    </row>
    <row r="340" spans="1:10" s="178" customFormat="1" ht="15.95" customHeight="1" x14ac:dyDescent="0.4">
      <c r="A340" s="319"/>
      <c r="B340" s="218" t="s">
        <v>353</v>
      </c>
      <c r="C340" s="89">
        <v>1</v>
      </c>
      <c r="D340" s="89">
        <v>2</v>
      </c>
      <c r="E340" s="89">
        <v>13</v>
      </c>
      <c r="F340" s="34">
        <v>0.78</v>
      </c>
      <c r="G340" s="200">
        <f t="shared" si="52"/>
        <v>20.28</v>
      </c>
      <c r="H340" s="34">
        <v>4.5</v>
      </c>
      <c r="I340" s="102">
        <f t="shared" si="48"/>
        <v>91.26</v>
      </c>
      <c r="J340" s="195"/>
    </row>
    <row r="341" spans="1:10" s="178" customFormat="1" ht="15.95" customHeight="1" x14ac:dyDescent="0.4">
      <c r="A341" s="319"/>
      <c r="B341" s="218" t="s">
        <v>408</v>
      </c>
      <c r="C341" s="89">
        <v>1</v>
      </c>
      <c r="D341" s="89">
        <v>2</v>
      </c>
      <c r="E341" s="89">
        <v>13</v>
      </c>
      <c r="F341" s="34">
        <v>1.27</v>
      </c>
      <c r="G341" s="200">
        <f t="shared" si="52"/>
        <v>33.020000000000003</v>
      </c>
      <c r="H341" s="34">
        <v>3.5</v>
      </c>
      <c r="I341" s="102">
        <f t="shared" si="48"/>
        <v>115.57</v>
      </c>
      <c r="J341" s="195"/>
    </row>
    <row r="342" spans="1:10" s="178" customFormat="1" ht="15.95" customHeight="1" x14ac:dyDescent="0.4">
      <c r="A342" s="319"/>
      <c r="B342" s="218" t="s">
        <v>355</v>
      </c>
      <c r="C342" s="89">
        <v>1</v>
      </c>
      <c r="D342" s="89">
        <v>2</v>
      </c>
      <c r="E342" s="89">
        <v>13</v>
      </c>
      <c r="F342" s="34">
        <v>0.46</v>
      </c>
      <c r="G342" s="200">
        <f t="shared" si="52"/>
        <v>11.96</v>
      </c>
      <c r="H342" s="34">
        <v>4.5</v>
      </c>
      <c r="I342" s="102">
        <f t="shared" si="48"/>
        <v>53.82</v>
      </c>
      <c r="J342" s="195"/>
    </row>
    <row r="343" spans="1:10" s="178" customFormat="1" ht="15.95" customHeight="1" x14ac:dyDescent="0.4">
      <c r="A343" s="319"/>
      <c r="B343" s="218" t="s">
        <v>409</v>
      </c>
      <c r="C343" s="89">
        <v>1</v>
      </c>
      <c r="D343" s="89">
        <v>2</v>
      </c>
      <c r="E343" s="89">
        <v>13</v>
      </c>
      <c r="F343" s="34">
        <v>1.1000000000000001</v>
      </c>
      <c r="G343" s="200">
        <f t="shared" si="52"/>
        <v>28.6</v>
      </c>
      <c r="H343" s="34">
        <v>3.5</v>
      </c>
      <c r="I343" s="102">
        <f t="shared" si="48"/>
        <v>100.1</v>
      </c>
      <c r="J343" s="195"/>
    </row>
    <row r="344" spans="1:10" s="202" customFormat="1" ht="15.6" customHeight="1" x14ac:dyDescent="0.4">
      <c r="A344" s="319"/>
      <c r="B344" s="203" t="s">
        <v>413</v>
      </c>
      <c r="C344" s="204">
        <v>1</v>
      </c>
      <c r="D344" s="204">
        <v>1</v>
      </c>
      <c r="E344" s="204">
        <v>1</v>
      </c>
      <c r="F344" s="34">
        <v>63.46</v>
      </c>
      <c r="G344" s="200">
        <f t="shared" ref="G344" si="53">PRODUCT(C344:F344)</f>
        <v>63.46</v>
      </c>
      <c r="H344" s="34">
        <v>7.14</v>
      </c>
      <c r="I344" s="102">
        <f>ROUND(PRODUCT(G344:H344),2)</f>
        <v>453.1</v>
      </c>
      <c r="J344" s="195"/>
    </row>
    <row r="345" spans="1:10" s="178" customFormat="1" ht="15.95" customHeight="1" x14ac:dyDescent="0.4">
      <c r="A345" s="319"/>
      <c r="B345" s="195" t="s">
        <v>357</v>
      </c>
      <c r="C345" s="89"/>
      <c r="D345" s="89"/>
      <c r="E345" s="89"/>
      <c r="F345" s="34"/>
      <c r="G345" s="34"/>
      <c r="H345" s="10"/>
      <c r="I345" s="102">
        <f t="shared" si="48"/>
        <v>0</v>
      </c>
      <c r="J345" s="195"/>
    </row>
    <row r="346" spans="1:10" s="178" customFormat="1" ht="15.95" customHeight="1" x14ac:dyDescent="0.4">
      <c r="A346" s="319"/>
      <c r="B346" s="218" t="s">
        <v>410</v>
      </c>
      <c r="C346" s="89">
        <v>1</v>
      </c>
      <c r="D346" s="89">
        <v>13</v>
      </c>
      <c r="E346" s="176">
        <v>0.4</v>
      </c>
      <c r="F346" s="34">
        <v>0.25</v>
      </c>
      <c r="G346" s="200">
        <f t="shared" si="52"/>
        <v>1.3</v>
      </c>
      <c r="H346" s="34">
        <v>78.5</v>
      </c>
      <c r="I346" s="102">
        <f t="shared" si="48"/>
        <v>102.05</v>
      </c>
      <c r="J346" s="195"/>
    </row>
    <row r="347" spans="1:10" s="178" customFormat="1" ht="15.95" customHeight="1" x14ac:dyDescent="0.4">
      <c r="A347" s="319"/>
      <c r="B347" s="218" t="s">
        <v>359</v>
      </c>
      <c r="C347" s="89">
        <v>1</v>
      </c>
      <c r="D347" s="89">
        <v>13</v>
      </c>
      <c r="E347" s="176">
        <v>0.3</v>
      </c>
      <c r="F347" s="34">
        <v>0.25</v>
      </c>
      <c r="G347" s="200">
        <f t="shared" si="52"/>
        <v>0.97499999999999998</v>
      </c>
      <c r="H347" s="34">
        <v>78.5</v>
      </c>
      <c r="I347" s="102">
        <f t="shared" si="48"/>
        <v>76.540000000000006</v>
      </c>
      <c r="J347" s="195"/>
    </row>
    <row r="348" spans="1:10" s="178" customFormat="1" ht="15.95" customHeight="1" x14ac:dyDescent="0.4">
      <c r="A348" s="319"/>
      <c r="B348" s="218" t="s">
        <v>360</v>
      </c>
      <c r="C348" s="89">
        <v>4</v>
      </c>
      <c r="D348" s="89" t="s">
        <v>411</v>
      </c>
      <c r="E348" s="176">
        <v>0.25</v>
      </c>
      <c r="F348" s="34">
        <v>0.25</v>
      </c>
      <c r="G348" s="200">
        <v>19.5</v>
      </c>
      <c r="H348" s="34">
        <v>78.5</v>
      </c>
      <c r="I348" s="102">
        <f t="shared" si="48"/>
        <v>1530.75</v>
      </c>
      <c r="J348" s="195"/>
    </row>
    <row r="349" spans="1:10" s="178" customFormat="1" ht="15.95" customHeight="1" x14ac:dyDescent="0.4">
      <c r="A349" s="319"/>
      <c r="B349" s="218" t="s">
        <v>412</v>
      </c>
      <c r="C349" s="89">
        <v>4</v>
      </c>
      <c r="D349" s="89">
        <v>13</v>
      </c>
      <c r="E349" s="176">
        <v>0.3</v>
      </c>
      <c r="F349" s="34">
        <v>0.4</v>
      </c>
      <c r="G349" s="200">
        <f t="shared" si="52"/>
        <v>6.24</v>
      </c>
      <c r="H349" s="34">
        <v>125.6</v>
      </c>
      <c r="I349" s="102">
        <f t="shared" si="48"/>
        <v>783.74</v>
      </c>
      <c r="J349" s="195"/>
    </row>
    <row r="350" spans="1:10" s="178" customFormat="1" ht="15.95" customHeight="1" x14ac:dyDescent="0.4">
      <c r="A350" s="319"/>
      <c r="B350" s="195" t="s">
        <v>364</v>
      </c>
      <c r="C350" s="89"/>
      <c r="D350" s="89"/>
      <c r="E350" s="176"/>
      <c r="F350" s="34"/>
      <c r="G350" s="200"/>
      <c r="H350" s="34"/>
      <c r="I350" s="102">
        <f t="shared" si="48"/>
        <v>0</v>
      </c>
      <c r="J350" s="195"/>
    </row>
    <row r="351" spans="1:10" s="178" customFormat="1" ht="15.95" customHeight="1" x14ac:dyDescent="0.4">
      <c r="A351" s="319"/>
      <c r="B351" s="218" t="s">
        <v>365</v>
      </c>
      <c r="C351" s="89">
        <v>6</v>
      </c>
      <c r="D351" s="89">
        <v>2</v>
      </c>
      <c r="E351" s="89">
        <v>13</v>
      </c>
      <c r="F351" s="34">
        <v>1</v>
      </c>
      <c r="G351" s="200">
        <f t="shared" si="52"/>
        <v>156</v>
      </c>
      <c r="H351" s="34">
        <v>2.4700000000000002</v>
      </c>
      <c r="I351" s="102">
        <f t="shared" si="48"/>
        <v>385.32</v>
      </c>
      <c r="J351" s="195"/>
    </row>
    <row r="352" spans="1:10" s="178" customFormat="1" ht="15.95" customHeight="1" x14ac:dyDescent="0.4">
      <c r="A352" s="319"/>
      <c r="B352" s="195" t="s">
        <v>366</v>
      </c>
      <c r="C352" s="89"/>
      <c r="D352" s="176"/>
      <c r="E352" s="89"/>
      <c r="F352" s="10"/>
      <c r="G352" s="10"/>
      <c r="H352" s="10"/>
      <c r="I352" s="102">
        <f t="shared" si="48"/>
        <v>0</v>
      </c>
      <c r="J352" s="195"/>
    </row>
    <row r="353" spans="1:10" s="178" customFormat="1" ht="15.95" customHeight="1" x14ac:dyDescent="0.4">
      <c r="A353" s="319"/>
      <c r="B353" s="218" t="s">
        <v>367</v>
      </c>
      <c r="C353" s="89">
        <v>2</v>
      </c>
      <c r="D353" s="89">
        <v>8</v>
      </c>
      <c r="E353" s="89"/>
      <c r="F353" s="34">
        <v>63.46</v>
      </c>
      <c r="G353" s="200">
        <f>F353*D353*C353</f>
        <v>1015.36</v>
      </c>
      <c r="H353" s="34">
        <v>7.14</v>
      </c>
      <c r="I353" s="102">
        <f t="shared" si="48"/>
        <v>7249.67</v>
      </c>
      <c r="J353" s="195"/>
    </row>
    <row r="354" spans="1:10" s="178" customFormat="1" ht="15.95" customHeight="1" x14ac:dyDescent="0.4">
      <c r="A354" s="319"/>
      <c r="B354" s="218" t="s">
        <v>368</v>
      </c>
      <c r="C354" s="89">
        <v>2</v>
      </c>
      <c r="D354" s="89">
        <v>8</v>
      </c>
      <c r="E354" s="89">
        <v>13</v>
      </c>
      <c r="F354" s="34">
        <v>0.3</v>
      </c>
      <c r="G354" s="200">
        <f>F354*E354*D354*C354</f>
        <v>62.4</v>
      </c>
      <c r="H354" s="34">
        <v>7.14</v>
      </c>
      <c r="I354" s="102">
        <f t="shared" si="48"/>
        <v>445.54</v>
      </c>
      <c r="J354" s="195"/>
    </row>
    <row r="355" spans="1:10" s="178" customFormat="1" ht="15.95" customHeight="1" x14ac:dyDescent="0.4">
      <c r="A355" s="319"/>
      <c r="B355" s="218" t="s">
        <v>369</v>
      </c>
      <c r="C355" s="89">
        <v>2</v>
      </c>
      <c r="D355" s="89">
        <v>8</v>
      </c>
      <c r="E355" s="89">
        <v>13</v>
      </c>
      <c r="F355" s="34">
        <v>2</v>
      </c>
      <c r="G355" s="200">
        <f>F355*E355*D355*C355</f>
        <v>416</v>
      </c>
      <c r="H355" s="34">
        <v>0.15</v>
      </c>
      <c r="I355" s="102">
        <f t="shared" si="48"/>
        <v>62.4</v>
      </c>
      <c r="J355" s="195"/>
    </row>
    <row r="356" spans="1:10" s="178" customFormat="1" ht="15.95" customHeight="1" x14ac:dyDescent="0.4">
      <c r="A356" s="319"/>
      <c r="B356" s="218" t="s">
        <v>370</v>
      </c>
      <c r="C356" s="89">
        <v>1</v>
      </c>
      <c r="D356" s="89" t="s">
        <v>246</v>
      </c>
      <c r="E356" s="89">
        <v>1</v>
      </c>
      <c r="F356" s="34">
        <v>63.46</v>
      </c>
      <c r="G356" s="200">
        <f>F356*E356*C356</f>
        <v>63.46</v>
      </c>
      <c r="H356" s="34">
        <v>7.14</v>
      </c>
      <c r="I356" s="102">
        <f t="shared" si="48"/>
        <v>453.1</v>
      </c>
      <c r="J356" s="195"/>
    </row>
    <row r="357" spans="1:10" s="178" customFormat="1" ht="15.95" customHeight="1" x14ac:dyDescent="0.4">
      <c r="A357" s="319"/>
      <c r="B357" s="218" t="s">
        <v>371</v>
      </c>
      <c r="C357" s="89">
        <v>1</v>
      </c>
      <c r="D357" s="89" t="s">
        <v>246</v>
      </c>
      <c r="E357" s="89">
        <v>18</v>
      </c>
      <c r="F357" s="34">
        <v>8.3000000000000007</v>
      </c>
      <c r="G357" s="200">
        <f>F357*E357*C357</f>
        <v>149.4</v>
      </c>
      <c r="H357" s="34">
        <v>7.14</v>
      </c>
      <c r="I357" s="102">
        <f t="shared" si="48"/>
        <v>1066.72</v>
      </c>
      <c r="J357" s="195"/>
    </row>
    <row r="358" spans="1:10" s="202" customFormat="1" ht="15.6" customHeight="1" x14ac:dyDescent="0.4">
      <c r="A358" s="319"/>
      <c r="B358" s="203" t="s">
        <v>429</v>
      </c>
      <c r="C358" s="204">
        <v>1</v>
      </c>
      <c r="D358" s="204" t="s">
        <v>246</v>
      </c>
      <c r="E358" s="204">
        <v>6</v>
      </c>
      <c r="F358" s="34">
        <v>8.6</v>
      </c>
      <c r="G358" s="200">
        <f t="shared" ref="G358" si="54">PRODUCT(C358:F358)</f>
        <v>51.599999999999994</v>
      </c>
      <c r="H358" s="34">
        <v>7.14</v>
      </c>
      <c r="I358" s="102">
        <f t="shared" si="48"/>
        <v>368.42</v>
      </c>
      <c r="J358" s="195"/>
    </row>
    <row r="359" spans="1:10" s="178" customFormat="1" ht="15.95" customHeight="1" x14ac:dyDescent="0.4">
      <c r="A359" s="319"/>
      <c r="B359" s="195" t="s">
        <v>372</v>
      </c>
      <c r="C359" s="89"/>
      <c r="D359" s="89"/>
      <c r="E359" s="89"/>
      <c r="F359" s="34"/>
      <c r="G359" s="200"/>
      <c r="H359" s="34"/>
      <c r="I359" s="102">
        <f t="shared" si="48"/>
        <v>0</v>
      </c>
      <c r="J359" s="195"/>
    </row>
    <row r="360" spans="1:10" s="178" customFormat="1" ht="15.95" customHeight="1" x14ac:dyDescent="0.4">
      <c r="A360" s="319"/>
      <c r="B360" s="218" t="s">
        <v>373</v>
      </c>
      <c r="C360" s="89">
        <v>1</v>
      </c>
      <c r="D360" s="89">
        <v>8</v>
      </c>
      <c r="E360" s="89">
        <v>2</v>
      </c>
      <c r="F360" s="34">
        <v>6.85</v>
      </c>
      <c r="G360" s="200">
        <f t="shared" ref="G360:G365" si="55">F360*E360*D360*C360</f>
        <v>109.6</v>
      </c>
      <c r="H360" s="34">
        <v>4.5</v>
      </c>
      <c r="I360" s="102">
        <f t="shared" ref="I360:I365" si="56">ROUND(PRODUCT(G360:H360),2)</f>
        <v>493.2</v>
      </c>
      <c r="J360" s="195"/>
    </row>
    <row r="361" spans="1:10" s="178" customFormat="1" ht="15.95" customHeight="1" x14ac:dyDescent="0.4">
      <c r="A361" s="319"/>
      <c r="B361" s="219" t="s">
        <v>374</v>
      </c>
      <c r="C361" s="89">
        <v>1</v>
      </c>
      <c r="D361" s="89">
        <v>8</v>
      </c>
      <c r="E361" s="89">
        <v>2</v>
      </c>
      <c r="F361" s="34">
        <v>3.15</v>
      </c>
      <c r="G361" s="200">
        <f t="shared" si="55"/>
        <v>50.4</v>
      </c>
      <c r="H361" s="34">
        <v>3.5</v>
      </c>
      <c r="I361" s="102">
        <f t="shared" si="56"/>
        <v>176.4</v>
      </c>
      <c r="J361" s="195"/>
    </row>
    <row r="362" spans="1:10" s="178" customFormat="1" ht="15.95" customHeight="1" x14ac:dyDescent="0.4">
      <c r="A362" s="319"/>
      <c r="B362" s="218" t="s">
        <v>367</v>
      </c>
      <c r="C362" s="89">
        <v>1</v>
      </c>
      <c r="D362" s="89">
        <v>3</v>
      </c>
      <c r="E362" s="89">
        <v>8</v>
      </c>
      <c r="F362" s="34">
        <v>5</v>
      </c>
      <c r="G362" s="200">
        <f t="shared" si="55"/>
        <v>120</v>
      </c>
      <c r="H362" s="34">
        <v>7.14</v>
      </c>
      <c r="I362" s="102">
        <f t="shared" si="56"/>
        <v>856.8</v>
      </c>
      <c r="J362" s="195"/>
    </row>
    <row r="363" spans="1:10" s="178" customFormat="1" ht="15.95" customHeight="1" x14ac:dyDescent="0.4">
      <c r="A363" s="319"/>
      <c r="B363" s="218" t="s">
        <v>375</v>
      </c>
      <c r="C363" s="89">
        <v>4</v>
      </c>
      <c r="D363" s="89">
        <v>8</v>
      </c>
      <c r="E363" s="176">
        <v>0.3</v>
      </c>
      <c r="F363" s="34">
        <v>0.3</v>
      </c>
      <c r="G363" s="200">
        <f t="shared" si="55"/>
        <v>2.88</v>
      </c>
      <c r="H363" s="34">
        <v>94.2</v>
      </c>
      <c r="I363" s="102">
        <f t="shared" si="56"/>
        <v>271.3</v>
      </c>
      <c r="J363" s="195"/>
    </row>
    <row r="364" spans="1:10" s="178" customFormat="1" ht="15.95" customHeight="1" x14ac:dyDescent="0.4">
      <c r="A364" s="319"/>
      <c r="B364" s="218" t="s">
        <v>376</v>
      </c>
      <c r="C364" s="89">
        <v>5</v>
      </c>
      <c r="D364" s="89">
        <v>12</v>
      </c>
      <c r="E364" s="176">
        <v>0.2</v>
      </c>
      <c r="F364" s="34">
        <v>0.2</v>
      </c>
      <c r="G364" s="200">
        <f t="shared" si="55"/>
        <v>2.4000000000000004</v>
      </c>
      <c r="H364" s="34">
        <v>62.8</v>
      </c>
      <c r="I364" s="102">
        <f t="shared" si="56"/>
        <v>150.72</v>
      </c>
      <c r="J364" s="195"/>
    </row>
    <row r="365" spans="1:10" s="178" customFormat="1" ht="15.95" customHeight="1" x14ac:dyDescent="0.4">
      <c r="A365" s="319"/>
      <c r="B365" s="218" t="s">
        <v>377</v>
      </c>
      <c r="C365" s="89">
        <v>4</v>
      </c>
      <c r="D365" s="89">
        <v>4</v>
      </c>
      <c r="E365" s="89">
        <v>8</v>
      </c>
      <c r="F365" s="34">
        <v>0.4</v>
      </c>
      <c r="G365" s="200">
        <f t="shared" si="55"/>
        <v>51.2</v>
      </c>
      <c r="H365" s="34">
        <v>2.4700000000000002</v>
      </c>
      <c r="I365" s="102">
        <f t="shared" si="56"/>
        <v>126.46</v>
      </c>
      <c r="J365" s="195"/>
    </row>
    <row r="366" spans="1:10" s="178" customFormat="1" ht="15.6" customHeight="1" x14ac:dyDescent="0.4">
      <c r="A366" s="320"/>
      <c r="B366" s="327" t="s">
        <v>127</v>
      </c>
      <c r="C366" s="328"/>
      <c r="D366" s="328"/>
      <c r="E366" s="328"/>
      <c r="F366" s="328"/>
      <c r="G366" s="328"/>
      <c r="H366" s="329"/>
      <c r="I366" s="32">
        <f>ROUNDUP(SUM(I291:I365),0)</f>
        <v>35731</v>
      </c>
      <c r="J366" s="195" t="s">
        <v>94</v>
      </c>
    </row>
    <row r="367" spans="1:10" s="98" customFormat="1" x14ac:dyDescent="0.45">
      <c r="A367" s="170"/>
      <c r="B367" s="317">
        <v>11</v>
      </c>
      <c r="C367" s="317"/>
      <c r="D367" s="317"/>
      <c r="E367" s="317"/>
      <c r="F367" s="317"/>
      <c r="G367" s="317"/>
      <c r="H367" s="317"/>
      <c r="I367" s="317"/>
      <c r="J367" s="317"/>
    </row>
    <row r="368" spans="1:10" s="178" customFormat="1" ht="15.6" customHeight="1" x14ac:dyDescent="0.4">
      <c r="A368" s="318">
        <v>1.19</v>
      </c>
      <c r="B368" s="324" t="s">
        <v>285</v>
      </c>
      <c r="C368" s="324"/>
      <c r="D368" s="324"/>
      <c r="E368" s="324"/>
      <c r="F368" s="324"/>
      <c r="G368" s="324"/>
      <c r="H368" s="324"/>
      <c r="I368" s="324"/>
      <c r="J368" s="324"/>
    </row>
    <row r="369" spans="1:10" s="178" customFormat="1" ht="15.6" customHeight="1" x14ac:dyDescent="0.4">
      <c r="A369" s="319"/>
      <c r="B369" s="321" t="s">
        <v>286</v>
      </c>
      <c r="C369" s="322"/>
      <c r="D369" s="322"/>
      <c r="E369" s="322"/>
      <c r="F369" s="322"/>
      <c r="G369" s="322"/>
      <c r="H369" s="322"/>
      <c r="I369" s="323"/>
      <c r="J369" s="325"/>
    </row>
    <row r="370" spans="1:10" s="178" customFormat="1" ht="15.6" customHeight="1" x14ac:dyDescent="0.4">
      <c r="A370" s="319"/>
      <c r="B370" s="321" t="s">
        <v>273</v>
      </c>
      <c r="C370" s="322"/>
      <c r="D370" s="322"/>
      <c r="E370" s="322"/>
      <c r="F370" s="322"/>
      <c r="G370" s="322"/>
      <c r="H370" s="322"/>
      <c r="I370" s="323"/>
      <c r="J370" s="326"/>
    </row>
    <row r="371" spans="1:10" s="178" customFormat="1" ht="15.6" customHeight="1" x14ac:dyDescent="0.4">
      <c r="A371" s="319"/>
      <c r="B371" s="187" t="s">
        <v>287</v>
      </c>
      <c r="C371" s="89">
        <v>1</v>
      </c>
      <c r="D371" s="176" t="s">
        <v>20</v>
      </c>
      <c r="E371" s="89">
        <v>2</v>
      </c>
      <c r="F371" s="34">
        <v>42</v>
      </c>
      <c r="G371" s="34" t="s">
        <v>21</v>
      </c>
      <c r="H371" s="34">
        <v>5.6</v>
      </c>
      <c r="I371" s="102">
        <f t="shared" ref="I371:I389" si="57">ROUND(PRODUCT(C371:H371),2)</f>
        <v>470.4</v>
      </c>
      <c r="J371" s="326"/>
    </row>
    <row r="372" spans="1:10" s="178" customFormat="1" ht="15.6" customHeight="1" x14ac:dyDescent="0.4">
      <c r="A372" s="319"/>
      <c r="B372" s="187" t="s">
        <v>288</v>
      </c>
      <c r="C372" s="89">
        <v>-1</v>
      </c>
      <c r="D372" s="176" t="s">
        <v>20</v>
      </c>
      <c r="E372" s="89">
        <v>6</v>
      </c>
      <c r="F372" s="34">
        <v>1.8</v>
      </c>
      <c r="G372" s="34" t="s">
        <v>21</v>
      </c>
      <c r="H372" s="34">
        <v>2.6</v>
      </c>
      <c r="I372" s="102">
        <f t="shared" si="57"/>
        <v>-28.08</v>
      </c>
      <c r="J372" s="326"/>
    </row>
    <row r="373" spans="1:10" s="178" customFormat="1" ht="15.6" customHeight="1" x14ac:dyDescent="0.4">
      <c r="A373" s="319"/>
      <c r="B373" s="187" t="s">
        <v>289</v>
      </c>
      <c r="C373" s="89">
        <v>-2</v>
      </c>
      <c r="D373" s="176" t="s">
        <v>20</v>
      </c>
      <c r="E373" s="89">
        <v>7</v>
      </c>
      <c r="F373" s="34">
        <v>0.6</v>
      </c>
      <c r="G373" s="34" t="s">
        <v>21</v>
      </c>
      <c r="H373" s="34">
        <v>0.6</v>
      </c>
      <c r="I373" s="102">
        <f t="shared" si="57"/>
        <v>-5.04</v>
      </c>
      <c r="J373" s="326"/>
    </row>
    <row r="374" spans="1:10" s="178" customFormat="1" ht="15.6" customHeight="1" x14ac:dyDescent="0.4">
      <c r="A374" s="319"/>
      <c r="B374" s="187" t="s">
        <v>290</v>
      </c>
      <c r="C374" s="89">
        <v>-2</v>
      </c>
      <c r="D374" s="176" t="s">
        <v>20</v>
      </c>
      <c r="E374" s="89">
        <v>18</v>
      </c>
      <c r="F374" s="34">
        <v>1.2</v>
      </c>
      <c r="G374" s="34" t="s">
        <v>21</v>
      </c>
      <c r="H374" s="34">
        <v>0.6</v>
      </c>
      <c r="I374" s="102">
        <f t="shared" si="57"/>
        <v>-25.92</v>
      </c>
      <c r="J374" s="326"/>
    </row>
    <row r="375" spans="1:10" s="178" customFormat="1" ht="15.6" customHeight="1" x14ac:dyDescent="0.4">
      <c r="A375" s="319"/>
      <c r="B375" s="187" t="s">
        <v>291</v>
      </c>
      <c r="C375" s="89">
        <v>7</v>
      </c>
      <c r="D375" s="176" t="s">
        <v>20</v>
      </c>
      <c r="E375" s="89">
        <v>2</v>
      </c>
      <c r="F375" s="34">
        <v>2.4</v>
      </c>
      <c r="G375" s="34">
        <v>0.3</v>
      </c>
      <c r="H375" s="34" t="s">
        <v>21</v>
      </c>
      <c r="I375" s="102">
        <f t="shared" si="57"/>
        <v>10.08</v>
      </c>
      <c r="J375" s="326"/>
    </row>
    <row r="376" spans="1:10" s="178" customFormat="1" ht="15.6" customHeight="1" x14ac:dyDescent="0.4">
      <c r="A376" s="319"/>
      <c r="B376" s="187" t="s">
        <v>292</v>
      </c>
      <c r="C376" s="89">
        <v>18</v>
      </c>
      <c r="D376" s="176" t="s">
        <v>20</v>
      </c>
      <c r="E376" s="89">
        <v>2</v>
      </c>
      <c r="F376" s="34">
        <v>3.6</v>
      </c>
      <c r="G376" s="34">
        <v>0.15</v>
      </c>
      <c r="H376" s="34" t="s">
        <v>21</v>
      </c>
      <c r="I376" s="102">
        <f t="shared" si="57"/>
        <v>19.440000000000001</v>
      </c>
      <c r="J376" s="326"/>
    </row>
    <row r="377" spans="1:10" s="178" customFormat="1" ht="15.6" customHeight="1" x14ac:dyDescent="0.4">
      <c r="A377" s="319"/>
      <c r="B377" s="187" t="s">
        <v>293</v>
      </c>
      <c r="C377" s="89">
        <v>2</v>
      </c>
      <c r="D377" s="176" t="s">
        <v>20</v>
      </c>
      <c r="E377" s="89">
        <v>4</v>
      </c>
      <c r="F377" s="34">
        <v>0.26</v>
      </c>
      <c r="G377" s="34" t="s">
        <v>21</v>
      </c>
      <c r="H377" s="34">
        <v>0.45</v>
      </c>
      <c r="I377" s="102">
        <f t="shared" si="57"/>
        <v>0.94</v>
      </c>
      <c r="J377" s="326"/>
    </row>
    <row r="378" spans="1:10" s="178" customFormat="1" ht="15.6" customHeight="1" x14ac:dyDescent="0.4">
      <c r="A378" s="319"/>
      <c r="B378" s="187" t="s">
        <v>294</v>
      </c>
      <c r="C378" s="89">
        <v>1</v>
      </c>
      <c r="D378" s="176" t="s">
        <v>20</v>
      </c>
      <c r="E378" s="89">
        <v>4</v>
      </c>
      <c r="F378" s="34">
        <v>2.1</v>
      </c>
      <c r="G378" s="34">
        <v>0.26</v>
      </c>
      <c r="H378" s="34" t="s">
        <v>21</v>
      </c>
      <c r="I378" s="102">
        <f t="shared" si="57"/>
        <v>2.1800000000000002</v>
      </c>
      <c r="J378" s="326"/>
    </row>
    <row r="379" spans="1:10" s="178" customFormat="1" ht="15.6" customHeight="1" x14ac:dyDescent="0.4">
      <c r="A379" s="319"/>
      <c r="B379" s="187" t="s">
        <v>295</v>
      </c>
      <c r="C379" s="89">
        <v>1</v>
      </c>
      <c r="D379" s="176" t="s">
        <v>20</v>
      </c>
      <c r="E379" s="89">
        <v>4</v>
      </c>
      <c r="F379" s="34">
        <v>0.34</v>
      </c>
      <c r="G379" s="34">
        <v>0.15</v>
      </c>
      <c r="H379" s="34" t="s">
        <v>21</v>
      </c>
      <c r="I379" s="102">
        <f t="shared" si="57"/>
        <v>0.2</v>
      </c>
      <c r="J379" s="326"/>
    </row>
    <row r="380" spans="1:10" s="178" customFormat="1" ht="15.6" customHeight="1" x14ac:dyDescent="0.4">
      <c r="A380" s="319"/>
      <c r="B380" s="187" t="s">
        <v>296</v>
      </c>
      <c r="C380" s="89">
        <v>1</v>
      </c>
      <c r="D380" s="176" t="s">
        <v>20</v>
      </c>
      <c r="E380" s="89">
        <v>4</v>
      </c>
      <c r="F380" s="34">
        <v>0.22</v>
      </c>
      <c r="G380" s="34" t="s">
        <v>21</v>
      </c>
      <c r="H380" s="34">
        <v>2.6</v>
      </c>
      <c r="I380" s="102">
        <f t="shared" si="57"/>
        <v>2.29</v>
      </c>
      <c r="J380" s="326"/>
    </row>
    <row r="381" spans="1:10" s="178" customFormat="1" ht="15.6" customHeight="1" x14ac:dyDescent="0.4">
      <c r="A381" s="319"/>
      <c r="B381" s="187" t="s">
        <v>297</v>
      </c>
      <c r="C381" s="89">
        <v>1</v>
      </c>
      <c r="D381" s="176" t="s">
        <v>20</v>
      </c>
      <c r="E381" s="89">
        <v>2</v>
      </c>
      <c r="F381" s="34">
        <v>14.25</v>
      </c>
      <c r="G381" s="34" t="s">
        <v>21</v>
      </c>
      <c r="H381" s="34">
        <v>5.6</v>
      </c>
      <c r="I381" s="102">
        <f t="shared" si="57"/>
        <v>159.6</v>
      </c>
      <c r="J381" s="326"/>
    </row>
    <row r="382" spans="1:10" s="178" customFormat="1" ht="15.6" customHeight="1" x14ac:dyDescent="0.4">
      <c r="A382" s="319"/>
      <c r="B382" s="187" t="s">
        <v>298</v>
      </c>
      <c r="C382" s="359" t="s">
        <v>340</v>
      </c>
      <c r="D382" s="359"/>
      <c r="E382" s="359"/>
      <c r="F382" s="34">
        <v>14.25</v>
      </c>
      <c r="G382" s="34" t="s">
        <v>21</v>
      </c>
      <c r="H382" s="34">
        <v>2.4</v>
      </c>
      <c r="I382" s="102">
        <f>ROUND(PRODUCT(C382:H382),2)*2*2</f>
        <v>136.80000000000001</v>
      </c>
      <c r="J382" s="326"/>
    </row>
    <row r="383" spans="1:10" s="178" customFormat="1" ht="15.6" customHeight="1" x14ac:dyDescent="0.4">
      <c r="A383" s="319"/>
      <c r="B383" s="187" t="s">
        <v>300</v>
      </c>
      <c r="C383" s="89">
        <v>1</v>
      </c>
      <c r="D383" s="176" t="s">
        <v>20</v>
      </c>
      <c r="E383" s="89">
        <v>2</v>
      </c>
      <c r="F383" s="34">
        <v>42</v>
      </c>
      <c r="G383" s="34" t="s">
        <v>21</v>
      </c>
      <c r="H383" s="34">
        <v>1.8</v>
      </c>
      <c r="I383" s="102">
        <f t="shared" si="57"/>
        <v>151.19999999999999</v>
      </c>
      <c r="J383" s="326"/>
    </row>
    <row r="384" spans="1:10" s="178" customFormat="1" ht="15.6" customHeight="1" x14ac:dyDescent="0.4">
      <c r="A384" s="319"/>
      <c r="B384" s="187" t="s">
        <v>301</v>
      </c>
      <c r="C384" s="89">
        <v>1</v>
      </c>
      <c r="D384" s="176" t="s">
        <v>20</v>
      </c>
      <c r="E384" s="89">
        <v>2</v>
      </c>
      <c r="F384" s="34">
        <v>14.25</v>
      </c>
      <c r="G384" s="34" t="s">
        <v>21</v>
      </c>
      <c r="H384" s="34">
        <v>1.8</v>
      </c>
      <c r="I384" s="102">
        <f t="shared" si="57"/>
        <v>51.3</v>
      </c>
      <c r="J384" s="326"/>
    </row>
    <row r="385" spans="1:10" s="178" customFormat="1" ht="15.6" customHeight="1" x14ac:dyDescent="0.4">
      <c r="A385" s="319"/>
      <c r="B385" s="187" t="s">
        <v>302</v>
      </c>
      <c r="C385" s="89">
        <v>-2</v>
      </c>
      <c r="D385" s="176" t="s">
        <v>20</v>
      </c>
      <c r="E385" s="89">
        <v>8</v>
      </c>
      <c r="F385" s="34">
        <v>0.3</v>
      </c>
      <c r="G385" s="34" t="s">
        <v>21</v>
      </c>
      <c r="H385" s="34">
        <v>5.6</v>
      </c>
      <c r="I385" s="102">
        <f t="shared" si="57"/>
        <v>-26.88</v>
      </c>
      <c r="J385" s="326"/>
    </row>
    <row r="386" spans="1:10" s="178" customFormat="1" ht="15.6" customHeight="1" x14ac:dyDescent="0.4">
      <c r="A386" s="319"/>
      <c r="B386" s="187" t="s">
        <v>303</v>
      </c>
      <c r="C386" s="89">
        <v>-2</v>
      </c>
      <c r="D386" s="176" t="s">
        <v>20</v>
      </c>
      <c r="E386" s="89">
        <v>2</v>
      </c>
      <c r="F386" s="34">
        <v>0.45</v>
      </c>
      <c r="G386" s="34" t="s">
        <v>21</v>
      </c>
      <c r="H386" s="34">
        <v>5.6</v>
      </c>
      <c r="I386" s="102">
        <f t="shared" si="57"/>
        <v>-10.08</v>
      </c>
      <c r="J386" s="326"/>
    </row>
    <row r="387" spans="1:10" s="178" customFormat="1" ht="15.6" customHeight="1" x14ac:dyDescent="0.4">
      <c r="A387" s="319"/>
      <c r="B387" s="187" t="s">
        <v>304</v>
      </c>
      <c r="C387" s="89">
        <v>-1</v>
      </c>
      <c r="D387" s="176" t="s">
        <v>20</v>
      </c>
      <c r="E387" s="89">
        <v>1</v>
      </c>
      <c r="F387" s="34">
        <v>112.5</v>
      </c>
      <c r="G387" s="34" t="s">
        <v>21</v>
      </c>
      <c r="H387" s="34">
        <v>0.45</v>
      </c>
      <c r="I387" s="102">
        <f t="shared" si="57"/>
        <v>-50.63</v>
      </c>
      <c r="J387" s="326"/>
    </row>
    <row r="388" spans="1:10" s="178" customFormat="1" ht="15.6" customHeight="1" x14ac:dyDescent="0.4">
      <c r="A388" s="319"/>
      <c r="B388" s="187" t="s">
        <v>305</v>
      </c>
      <c r="C388" s="89">
        <v>-1</v>
      </c>
      <c r="D388" s="176" t="s">
        <v>20</v>
      </c>
      <c r="E388" s="89">
        <v>1</v>
      </c>
      <c r="F388" s="34">
        <v>112.5</v>
      </c>
      <c r="G388" s="34" t="s">
        <v>21</v>
      </c>
      <c r="H388" s="34">
        <v>0.2</v>
      </c>
      <c r="I388" s="102">
        <f t="shared" si="57"/>
        <v>-22.5</v>
      </c>
      <c r="J388" s="326"/>
    </row>
    <row r="389" spans="1:10" s="178" customFormat="1" ht="15.6" customHeight="1" x14ac:dyDescent="0.4">
      <c r="A389" s="319"/>
      <c r="B389" s="187" t="s">
        <v>306</v>
      </c>
      <c r="C389" s="176">
        <v>-1</v>
      </c>
      <c r="D389" s="89">
        <v>2</v>
      </c>
      <c r="E389" s="176">
        <v>2</v>
      </c>
      <c r="F389" s="34">
        <v>112.5</v>
      </c>
      <c r="G389" s="34"/>
      <c r="H389" s="34">
        <v>0.2</v>
      </c>
      <c r="I389" s="102">
        <f t="shared" si="57"/>
        <v>-90</v>
      </c>
      <c r="J389" s="326"/>
    </row>
    <row r="390" spans="1:10" s="178" customFormat="1" ht="15.6" customHeight="1" x14ac:dyDescent="0.4">
      <c r="A390" s="319"/>
      <c r="B390" s="327" t="s">
        <v>127</v>
      </c>
      <c r="C390" s="328"/>
      <c r="D390" s="328"/>
      <c r="E390" s="328"/>
      <c r="F390" s="328"/>
      <c r="G390" s="328"/>
      <c r="H390" s="329"/>
      <c r="I390" s="32">
        <f>ROUND(SUM(I371:I389),2)</f>
        <v>745.3</v>
      </c>
      <c r="J390" s="326"/>
    </row>
    <row r="391" spans="1:10" s="178" customFormat="1" ht="15.6" customHeight="1" x14ac:dyDescent="0.4">
      <c r="A391" s="319"/>
      <c r="B391" s="321" t="s">
        <v>307</v>
      </c>
      <c r="C391" s="322"/>
      <c r="D391" s="322"/>
      <c r="E391" s="322"/>
      <c r="F391" s="322"/>
      <c r="G391" s="322"/>
      <c r="H391" s="322"/>
      <c r="I391" s="323"/>
      <c r="J391" s="326"/>
    </row>
    <row r="392" spans="1:10" s="178" customFormat="1" ht="15.6" customHeight="1" x14ac:dyDescent="0.4">
      <c r="A392" s="319"/>
      <c r="B392" s="321" t="s">
        <v>273</v>
      </c>
      <c r="C392" s="322"/>
      <c r="D392" s="322"/>
      <c r="E392" s="322"/>
      <c r="F392" s="322"/>
      <c r="G392" s="322"/>
      <c r="H392" s="322"/>
      <c r="I392" s="323"/>
      <c r="J392" s="326"/>
    </row>
    <row r="393" spans="1:10" s="178" customFormat="1" ht="15.6" customHeight="1" x14ac:dyDescent="0.4">
      <c r="A393" s="319"/>
      <c r="B393" s="187" t="s">
        <v>308</v>
      </c>
      <c r="C393" s="89">
        <v>1</v>
      </c>
      <c r="D393" s="176" t="s">
        <v>20</v>
      </c>
      <c r="E393" s="89">
        <v>2</v>
      </c>
      <c r="F393" s="34">
        <v>42.46</v>
      </c>
      <c r="G393" s="34" t="s">
        <v>21</v>
      </c>
      <c r="H393" s="34">
        <v>5.6</v>
      </c>
      <c r="I393" s="102">
        <f t="shared" ref="I393:I411" si="58">ROUND(PRODUCT(C393:H393),2)</f>
        <v>475.55</v>
      </c>
      <c r="J393" s="326"/>
    </row>
    <row r="394" spans="1:10" s="178" customFormat="1" ht="15.6" customHeight="1" x14ac:dyDescent="0.4">
      <c r="A394" s="319"/>
      <c r="B394" s="187" t="s">
        <v>288</v>
      </c>
      <c r="C394" s="89">
        <v>-1</v>
      </c>
      <c r="D394" s="176" t="s">
        <v>20</v>
      </c>
      <c r="E394" s="89">
        <v>6</v>
      </c>
      <c r="F394" s="34">
        <v>1.8</v>
      </c>
      <c r="G394" s="34" t="s">
        <v>21</v>
      </c>
      <c r="H394" s="34">
        <v>2.6</v>
      </c>
      <c r="I394" s="102">
        <f t="shared" si="58"/>
        <v>-28.08</v>
      </c>
      <c r="J394" s="326"/>
    </row>
    <row r="395" spans="1:10" s="178" customFormat="1" ht="15.6" customHeight="1" x14ac:dyDescent="0.4">
      <c r="A395" s="319"/>
      <c r="B395" s="187" t="s">
        <v>289</v>
      </c>
      <c r="C395" s="89">
        <v>-2</v>
      </c>
      <c r="D395" s="176" t="s">
        <v>20</v>
      </c>
      <c r="E395" s="89">
        <v>7</v>
      </c>
      <c r="F395" s="34">
        <v>0.6</v>
      </c>
      <c r="G395" s="34" t="s">
        <v>21</v>
      </c>
      <c r="H395" s="34">
        <v>0.6</v>
      </c>
      <c r="I395" s="102">
        <f t="shared" si="58"/>
        <v>-5.04</v>
      </c>
      <c r="J395" s="326"/>
    </row>
    <row r="396" spans="1:10" s="178" customFormat="1" ht="15.6" customHeight="1" x14ac:dyDescent="0.4">
      <c r="A396" s="319"/>
      <c r="B396" s="187" t="s">
        <v>290</v>
      </c>
      <c r="C396" s="89">
        <v>-2</v>
      </c>
      <c r="D396" s="176" t="s">
        <v>20</v>
      </c>
      <c r="E396" s="89">
        <v>18</v>
      </c>
      <c r="F396" s="34">
        <v>1.2</v>
      </c>
      <c r="G396" s="34" t="s">
        <v>21</v>
      </c>
      <c r="H396" s="34">
        <v>0.6</v>
      </c>
      <c r="I396" s="102">
        <f t="shared" si="58"/>
        <v>-25.92</v>
      </c>
      <c r="J396" s="326"/>
    </row>
    <row r="397" spans="1:10" s="178" customFormat="1" ht="15.6" customHeight="1" x14ac:dyDescent="0.4">
      <c r="A397" s="319"/>
      <c r="B397" s="187" t="s">
        <v>309</v>
      </c>
      <c r="C397" s="89">
        <v>18</v>
      </c>
      <c r="D397" s="176" t="s">
        <v>20</v>
      </c>
      <c r="E397" s="89">
        <v>2</v>
      </c>
      <c r="F397" s="34">
        <v>3.6</v>
      </c>
      <c r="G397" s="34">
        <v>0.15</v>
      </c>
      <c r="H397" s="34" t="s">
        <v>21</v>
      </c>
      <c r="I397" s="102">
        <f t="shared" si="58"/>
        <v>19.440000000000001</v>
      </c>
      <c r="J397" s="326"/>
    </row>
    <row r="398" spans="1:10" s="178" customFormat="1" ht="15.6" customHeight="1" x14ac:dyDescent="0.4">
      <c r="A398" s="319"/>
      <c r="B398" s="187" t="s">
        <v>310</v>
      </c>
      <c r="C398" s="89">
        <v>2</v>
      </c>
      <c r="D398" s="176" t="s">
        <v>20</v>
      </c>
      <c r="E398" s="89">
        <v>2</v>
      </c>
      <c r="F398" s="34">
        <v>2.0299999999999998</v>
      </c>
      <c r="G398" s="34">
        <v>0.1</v>
      </c>
      <c r="H398" s="34" t="s">
        <v>21</v>
      </c>
      <c r="I398" s="102">
        <f t="shared" si="58"/>
        <v>0.81</v>
      </c>
      <c r="J398" s="326"/>
    </row>
    <row r="399" spans="1:10" s="178" customFormat="1" ht="15.6" customHeight="1" x14ac:dyDescent="0.4">
      <c r="A399" s="319"/>
      <c r="B399" s="187" t="s">
        <v>311</v>
      </c>
      <c r="C399" s="89">
        <v>2</v>
      </c>
      <c r="D399" s="176" t="s">
        <v>20</v>
      </c>
      <c r="E399" s="89">
        <v>2</v>
      </c>
      <c r="F399" s="34">
        <v>0.21</v>
      </c>
      <c r="G399" s="34" t="s">
        <v>21</v>
      </c>
      <c r="H399" s="34">
        <v>2.6</v>
      </c>
      <c r="I399" s="102">
        <f t="shared" si="58"/>
        <v>2.1800000000000002</v>
      </c>
      <c r="J399" s="326"/>
    </row>
    <row r="400" spans="1:10" s="178" customFormat="1" ht="15.6" customHeight="1" x14ac:dyDescent="0.4">
      <c r="A400" s="319"/>
      <c r="B400" s="187" t="s">
        <v>312</v>
      </c>
      <c r="C400" s="89">
        <v>1</v>
      </c>
      <c r="D400" s="176" t="s">
        <v>20</v>
      </c>
      <c r="E400" s="89">
        <v>2</v>
      </c>
      <c r="F400" s="34">
        <v>1.8</v>
      </c>
      <c r="G400" s="34">
        <v>0.19</v>
      </c>
      <c r="H400" s="34" t="s">
        <v>21</v>
      </c>
      <c r="I400" s="102">
        <f t="shared" si="58"/>
        <v>0.68</v>
      </c>
      <c r="J400" s="326"/>
    </row>
    <row r="401" spans="1:10" s="178" customFormat="1" ht="15.6" customHeight="1" x14ac:dyDescent="0.4">
      <c r="A401" s="319"/>
      <c r="B401" s="187" t="s">
        <v>313</v>
      </c>
      <c r="C401" s="89">
        <v>2</v>
      </c>
      <c r="D401" s="176" t="s">
        <v>20</v>
      </c>
      <c r="E401" s="89">
        <v>2</v>
      </c>
      <c r="F401" s="34">
        <v>0.11</v>
      </c>
      <c r="G401" s="34" t="s">
        <v>21</v>
      </c>
      <c r="H401" s="34">
        <v>2.7</v>
      </c>
      <c r="I401" s="102">
        <f t="shared" si="58"/>
        <v>1.19</v>
      </c>
      <c r="J401" s="326"/>
    </row>
    <row r="402" spans="1:10" s="178" customFormat="1" ht="15.6" customHeight="1" x14ac:dyDescent="0.4">
      <c r="A402" s="319"/>
      <c r="B402" s="187" t="s">
        <v>314</v>
      </c>
      <c r="C402" s="89">
        <v>-2</v>
      </c>
      <c r="D402" s="176" t="s">
        <v>20</v>
      </c>
      <c r="E402" s="89">
        <v>10</v>
      </c>
      <c r="F402" s="34">
        <v>0.3</v>
      </c>
      <c r="G402" s="34" t="s">
        <v>21</v>
      </c>
      <c r="H402" s="34">
        <v>5.6</v>
      </c>
      <c r="I402" s="102">
        <f t="shared" si="58"/>
        <v>-33.6</v>
      </c>
      <c r="J402" s="326"/>
    </row>
    <row r="403" spans="1:10" s="178" customFormat="1" ht="15.6" customHeight="1" x14ac:dyDescent="0.4">
      <c r="A403" s="319"/>
      <c r="B403" s="187" t="s">
        <v>315</v>
      </c>
      <c r="C403" s="89">
        <v>-2</v>
      </c>
      <c r="D403" s="176" t="s">
        <v>20</v>
      </c>
      <c r="E403" s="89">
        <v>2</v>
      </c>
      <c r="F403" s="34">
        <v>0.45</v>
      </c>
      <c r="G403" s="34" t="s">
        <v>21</v>
      </c>
      <c r="H403" s="34">
        <v>5.6</v>
      </c>
      <c r="I403" s="102">
        <f t="shared" si="58"/>
        <v>-10.08</v>
      </c>
      <c r="J403" s="326"/>
    </row>
    <row r="404" spans="1:10" s="178" customFormat="1" ht="15.6" customHeight="1" x14ac:dyDescent="0.4">
      <c r="A404" s="319"/>
      <c r="B404" s="187" t="s">
        <v>316</v>
      </c>
      <c r="C404" s="89">
        <v>7</v>
      </c>
      <c r="D404" s="176" t="s">
        <v>20</v>
      </c>
      <c r="E404" s="89">
        <v>2</v>
      </c>
      <c r="F404" s="34">
        <v>2.88</v>
      </c>
      <c r="G404" s="34">
        <v>0.12</v>
      </c>
      <c r="H404" s="34" t="s">
        <v>21</v>
      </c>
      <c r="I404" s="102">
        <f t="shared" si="58"/>
        <v>4.84</v>
      </c>
      <c r="J404" s="326"/>
    </row>
    <row r="405" spans="1:10" s="178" customFormat="1" ht="15.6" customHeight="1" x14ac:dyDescent="0.4">
      <c r="A405" s="319"/>
      <c r="B405" s="209" t="s">
        <v>317</v>
      </c>
      <c r="C405" s="89">
        <v>1</v>
      </c>
      <c r="D405" s="176" t="s">
        <v>20</v>
      </c>
      <c r="E405" s="89">
        <v>2</v>
      </c>
      <c r="F405" s="34">
        <v>15.15</v>
      </c>
      <c r="G405" s="34" t="s">
        <v>21</v>
      </c>
      <c r="H405" s="34">
        <v>5.6</v>
      </c>
      <c r="I405" s="102">
        <f t="shared" si="58"/>
        <v>169.68</v>
      </c>
      <c r="J405" s="326"/>
    </row>
    <row r="406" spans="1:10" s="178" customFormat="1" ht="15.6" customHeight="1" x14ac:dyDescent="0.4">
      <c r="A406" s="319"/>
      <c r="B406" s="187" t="s">
        <v>300</v>
      </c>
      <c r="C406" s="89">
        <v>1</v>
      </c>
      <c r="D406" s="176" t="s">
        <v>20</v>
      </c>
      <c r="E406" s="89">
        <v>2</v>
      </c>
      <c r="F406" s="34">
        <v>42.46</v>
      </c>
      <c r="G406" s="34" t="s">
        <v>21</v>
      </c>
      <c r="H406" s="34">
        <v>1.8</v>
      </c>
      <c r="I406" s="102">
        <f t="shared" si="58"/>
        <v>152.86000000000001</v>
      </c>
      <c r="J406" s="326"/>
    </row>
    <row r="407" spans="1:10" s="178" customFormat="1" ht="15.6" customHeight="1" x14ac:dyDescent="0.4">
      <c r="A407" s="319"/>
      <c r="B407" s="187" t="s">
        <v>301</v>
      </c>
      <c r="C407" s="89">
        <v>1</v>
      </c>
      <c r="D407" s="176" t="s">
        <v>20</v>
      </c>
      <c r="E407" s="89">
        <v>2</v>
      </c>
      <c r="F407" s="34">
        <v>15.15</v>
      </c>
      <c r="G407" s="34" t="s">
        <v>21</v>
      </c>
      <c r="H407" s="34">
        <v>1.8</v>
      </c>
      <c r="I407" s="102">
        <f t="shared" si="58"/>
        <v>54.54</v>
      </c>
      <c r="J407" s="326"/>
    </row>
    <row r="408" spans="1:10" s="178" customFormat="1" ht="15.6" customHeight="1" x14ac:dyDescent="0.4">
      <c r="A408" s="319"/>
      <c r="B408" s="187" t="s">
        <v>298</v>
      </c>
      <c r="C408" s="359" t="s">
        <v>299</v>
      </c>
      <c r="D408" s="359"/>
      <c r="E408" s="359"/>
      <c r="F408" s="34">
        <v>15.15</v>
      </c>
      <c r="G408" s="34" t="s">
        <v>21</v>
      </c>
      <c r="H408" s="34">
        <v>2.7</v>
      </c>
      <c r="I408" s="102">
        <f>ROUND(PRODUCT(C408:H408),2)*2</f>
        <v>81.819999999999993</v>
      </c>
      <c r="J408" s="326"/>
    </row>
    <row r="409" spans="1:10" s="178" customFormat="1" ht="15.6" customHeight="1" x14ac:dyDescent="0.4">
      <c r="A409" s="319"/>
      <c r="B409" s="187" t="s">
        <v>318</v>
      </c>
      <c r="C409" s="89">
        <v>-1</v>
      </c>
      <c r="D409" s="176" t="s">
        <v>20</v>
      </c>
      <c r="E409" s="89">
        <v>1</v>
      </c>
      <c r="F409" s="34">
        <v>114.34</v>
      </c>
      <c r="G409" s="34" t="s">
        <v>21</v>
      </c>
      <c r="H409" s="34">
        <v>0.45</v>
      </c>
      <c r="I409" s="102">
        <f t="shared" si="58"/>
        <v>-51.45</v>
      </c>
      <c r="J409" s="326"/>
    </row>
    <row r="410" spans="1:10" s="178" customFormat="1" ht="15.6" customHeight="1" x14ac:dyDescent="0.4">
      <c r="A410" s="319"/>
      <c r="B410" s="187" t="s">
        <v>305</v>
      </c>
      <c r="C410" s="89">
        <v>-1</v>
      </c>
      <c r="D410" s="176" t="s">
        <v>20</v>
      </c>
      <c r="E410" s="89">
        <v>1</v>
      </c>
      <c r="F410" s="34">
        <v>114.34</v>
      </c>
      <c r="G410" s="34" t="s">
        <v>21</v>
      </c>
      <c r="H410" s="34">
        <v>0.2</v>
      </c>
      <c r="I410" s="102">
        <f t="shared" si="58"/>
        <v>-22.87</v>
      </c>
      <c r="J410" s="326"/>
    </row>
    <row r="411" spans="1:10" s="178" customFormat="1" ht="15.6" customHeight="1" x14ac:dyDescent="0.4">
      <c r="A411" s="319"/>
      <c r="B411" s="187" t="s">
        <v>305</v>
      </c>
      <c r="C411" s="89">
        <v>-1</v>
      </c>
      <c r="D411" s="176" t="s">
        <v>20</v>
      </c>
      <c r="E411" s="89">
        <v>1</v>
      </c>
      <c r="F411" s="34">
        <v>114.34</v>
      </c>
      <c r="G411" s="34" t="s">
        <v>21</v>
      </c>
      <c r="H411" s="34">
        <v>0.45</v>
      </c>
      <c r="I411" s="102">
        <f t="shared" si="58"/>
        <v>-51.45</v>
      </c>
      <c r="J411" s="326"/>
    </row>
    <row r="412" spans="1:10" s="178" customFormat="1" ht="15.6" customHeight="1" x14ac:dyDescent="0.4">
      <c r="A412" s="319"/>
      <c r="B412" s="327" t="s">
        <v>127</v>
      </c>
      <c r="C412" s="328"/>
      <c r="D412" s="328"/>
      <c r="E412" s="328"/>
      <c r="F412" s="328"/>
      <c r="G412" s="328"/>
      <c r="H412" s="329"/>
      <c r="I412" s="32">
        <f>ROUND(SUM(I393:I411),2)</f>
        <v>735.1</v>
      </c>
      <c r="J412" s="360"/>
    </row>
    <row r="413" spans="1:10" s="178" customFormat="1" ht="15.6" customHeight="1" x14ac:dyDescent="0.4">
      <c r="A413" s="320"/>
      <c r="B413" s="187" t="s">
        <v>319</v>
      </c>
      <c r="C413" s="363">
        <f>I390</f>
        <v>745.3</v>
      </c>
      <c r="D413" s="363"/>
      <c r="E413" s="363"/>
      <c r="F413" s="34" t="s">
        <v>320</v>
      </c>
      <c r="G413" s="34">
        <f>I412</f>
        <v>735.1</v>
      </c>
      <c r="H413" s="34" t="s">
        <v>321</v>
      </c>
      <c r="I413" s="32">
        <f>C413+G413</f>
        <v>1480.4</v>
      </c>
      <c r="J413" s="180" t="s">
        <v>420</v>
      </c>
    </row>
    <row r="414" spans="1:10" s="178" customFormat="1" ht="15.6" customHeight="1" x14ac:dyDescent="0.4">
      <c r="A414" s="318">
        <v>1.2</v>
      </c>
      <c r="B414" s="324" t="s">
        <v>322</v>
      </c>
      <c r="C414" s="324"/>
      <c r="D414" s="324"/>
      <c r="E414" s="324"/>
      <c r="F414" s="324"/>
      <c r="G414" s="324"/>
      <c r="H414" s="324"/>
      <c r="I414" s="324"/>
      <c r="J414" s="324"/>
    </row>
    <row r="415" spans="1:10" s="178" customFormat="1" ht="15.6" customHeight="1" x14ac:dyDescent="0.4">
      <c r="A415" s="319"/>
      <c r="B415" s="321" t="s">
        <v>273</v>
      </c>
      <c r="C415" s="322"/>
      <c r="D415" s="322"/>
      <c r="E415" s="322"/>
      <c r="F415" s="322"/>
      <c r="G415" s="322"/>
      <c r="H415" s="322"/>
      <c r="I415" s="323"/>
      <c r="J415" s="325"/>
    </row>
    <row r="416" spans="1:10" s="178" customFormat="1" ht="15.6" customHeight="1" x14ac:dyDescent="0.4">
      <c r="A416" s="319"/>
      <c r="B416" s="187" t="s">
        <v>323</v>
      </c>
      <c r="C416" s="89">
        <v>2</v>
      </c>
      <c r="D416" s="176" t="s">
        <v>20</v>
      </c>
      <c r="E416" s="89">
        <v>10</v>
      </c>
      <c r="F416" s="34">
        <v>0.76</v>
      </c>
      <c r="G416" s="34" t="s">
        <v>21</v>
      </c>
      <c r="H416" s="34">
        <v>5.6</v>
      </c>
      <c r="I416" s="102">
        <f t="shared" ref="I416:I433" si="59">ROUND(PRODUCT(C416:H416),2)</f>
        <v>85.12</v>
      </c>
      <c r="J416" s="326"/>
    </row>
    <row r="417" spans="1:10" s="178" customFormat="1" ht="15.6" customHeight="1" x14ac:dyDescent="0.4">
      <c r="A417" s="319"/>
      <c r="B417" s="187" t="s">
        <v>324</v>
      </c>
      <c r="C417" s="89">
        <v>2</v>
      </c>
      <c r="D417" s="176" t="s">
        <v>20</v>
      </c>
      <c r="E417" s="89">
        <v>10</v>
      </c>
      <c r="F417" s="34">
        <v>0.3</v>
      </c>
      <c r="G417" s="34" t="s">
        <v>21</v>
      </c>
      <c r="H417" s="34">
        <v>5.6</v>
      </c>
      <c r="I417" s="102">
        <f t="shared" si="59"/>
        <v>33.6</v>
      </c>
      <c r="J417" s="326"/>
    </row>
    <row r="418" spans="1:10" s="178" customFormat="1" ht="15.6" customHeight="1" x14ac:dyDescent="0.4">
      <c r="A418" s="319"/>
      <c r="B418" s="187" t="s">
        <v>325</v>
      </c>
      <c r="C418" s="89">
        <v>2</v>
      </c>
      <c r="D418" s="176" t="s">
        <v>20</v>
      </c>
      <c r="E418" s="89">
        <v>2</v>
      </c>
      <c r="F418" s="34">
        <v>0.45</v>
      </c>
      <c r="G418" s="34" t="s">
        <v>21</v>
      </c>
      <c r="H418" s="34">
        <v>5.6</v>
      </c>
      <c r="I418" s="102">
        <f t="shared" si="59"/>
        <v>10.08</v>
      </c>
      <c r="J418" s="326"/>
    </row>
    <row r="419" spans="1:10" s="178" customFormat="1" ht="15.6" customHeight="1" x14ac:dyDescent="0.4">
      <c r="A419" s="319"/>
      <c r="B419" s="187" t="s">
        <v>326</v>
      </c>
      <c r="C419" s="89">
        <v>2</v>
      </c>
      <c r="D419" s="176" t="s">
        <v>20</v>
      </c>
      <c r="E419" s="89">
        <v>6</v>
      </c>
      <c r="F419" s="34">
        <v>0.45</v>
      </c>
      <c r="G419" s="34" t="s">
        <v>21</v>
      </c>
      <c r="H419" s="34">
        <v>5.6</v>
      </c>
      <c r="I419" s="102">
        <f t="shared" si="59"/>
        <v>30.24</v>
      </c>
      <c r="J419" s="326"/>
    </row>
    <row r="420" spans="1:10" s="178" customFormat="1" ht="15.6" customHeight="1" x14ac:dyDescent="0.4">
      <c r="A420" s="319"/>
      <c r="B420" s="187" t="s">
        <v>327</v>
      </c>
      <c r="C420" s="89">
        <v>1</v>
      </c>
      <c r="D420" s="176" t="s">
        <v>20</v>
      </c>
      <c r="E420" s="89">
        <v>2</v>
      </c>
      <c r="F420" s="34">
        <v>42.46</v>
      </c>
      <c r="G420" s="34">
        <v>0.3</v>
      </c>
      <c r="H420" s="34" t="s">
        <v>21</v>
      </c>
      <c r="I420" s="102">
        <f t="shared" si="59"/>
        <v>25.48</v>
      </c>
      <c r="J420" s="326"/>
    </row>
    <row r="421" spans="1:10" s="178" customFormat="1" ht="15.6" customHeight="1" x14ac:dyDescent="0.4">
      <c r="A421" s="319"/>
      <c r="B421" s="187" t="s">
        <v>328</v>
      </c>
      <c r="C421" s="89">
        <v>1</v>
      </c>
      <c r="D421" s="176" t="s">
        <v>20</v>
      </c>
      <c r="E421" s="89">
        <v>2</v>
      </c>
      <c r="F421" s="34">
        <v>43.06</v>
      </c>
      <c r="G421" s="34" t="s">
        <v>21</v>
      </c>
      <c r="H421" s="34">
        <v>0.05</v>
      </c>
      <c r="I421" s="102">
        <f t="shared" si="59"/>
        <v>4.3099999999999996</v>
      </c>
      <c r="J421" s="326"/>
    </row>
    <row r="422" spans="1:10" s="178" customFormat="1" ht="15.6" customHeight="1" x14ac:dyDescent="0.4">
      <c r="A422" s="319"/>
      <c r="B422" s="187" t="s">
        <v>329</v>
      </c>
      <c r="C422" s="89">
        <v>-2</v>
      </c>
      <c r="D422" s="176" t="s">
        <v>20</v>
      </c>
      <c r="E422" s="89">
        <v>4</v>
      </c>
      <c r="F422" s="34">
        <v>5.85</v>
      </c>
      <c r="G422" s="34" t="s">
        <v>21</v>
      </c>
      <c r="H422" s="34">
        <v>0.05</v>
      </c>
      <c r="I422" s="102">
        <f t="shared" si="59"/>
        <v>-2.34</v>
      </c>
      <c r="J422" s="326"/>
    </row>
    <row r="423" spans="1:10" s="178" customFormat="1" ht="15.6" customHeight="1" x14ac:dyDescent="0.4">
      <c r="A423" s="319"/>
      <c r="B423" s="187" t="s">
        <v>330</v>
      </c>
      <c r="C423" s="89">
        <v>1</v>
      </c>
      <c r="D423" s="176" t="s">
        <v>20</v>
      </c>
      <c r="E423" s="89">
        <v>2</v>
      </c>
      <c r="F423" s="34">
        <v>43.06</v>
      </c>
      <c r="G423" s="34">
        <v>0.3</v>
      </c>
      <c r="H423" s="34" t="s">
        <v>21</v>
      </c>
      <c r="I423" s="102">
        <f t="shared" si="59"/>
        <v>25.84</v>
      </c>
      <c r="J423" s="326"/>
    </row>
    <row r="424" spans="1:10" s="178" customFormat="1" ht="15.6" customHeight="1" x14ac:dyDescent="0.4">
      <c r="A424" s="319"/>
      <c r="B424" s="187" t="s">
        <v>331</v>
      </c>
      <c r="C424" s="89">
        <v>-1</v>
      </c>
      <c r="D424" s="176" t="s">
        <v>20</v>
      </c>
      <c r="E424" s="89">
        <v>4</v>
      </c>
      <c r="F424" s="34">
        <v>5.85</v>
      </c>
      <c r="G424" s="34">
        <v>0.3</v>
      </c>
      <c r="H424" s="34" t="s">
        <v>21</v>
      </c>
      <c r="I424" s="102">
        <f t="shared" si="59"/>
        <v>-7.02</v>
      </c>
      <c r="J424" s="326"/>
    </row>
    <row r="425" spans="1:10" s="178" customFormat="1" ht="15.6" customHeight="1" x14ac:dyDescent="0.4">
      <c r="A425" s="319"/>
      <c r="B425" s="187" t="s">
        <v>332</v>
      </c>
      <c r="C425" s="89">
        <v>1</v>
      </c>
      <c r="D425" s="176" t="s">
        <v>20</v>
      </c>
      <c r="E425" s="89">
        <v>2</v>
      </c>
      <c r="F425" s="34">
        <v>113.42</v>
      </c>
      <c r="G425" s="34"/>
      <c r="H425" s="34">
        <v>0.45</v>
      </c>
      <c r="I425" s="102">
        <f t="shared" si="59"/>
        <v>102.08</v>
      </c>
      <c r="J425" s="326"/>
    </row>
    <row r="426" spans="1:10" s="178" customFormat="1" ht="15.6" customHeight="1" x14ac:dyDescent="0.4">
      <c r="A426" s="319"/>
      <c r="B426" s="187" t="s">
        <v>333</v>
      </c>
      <c r="C426" s="89">
        <v>1</v>
      </c>
      <c r="D426" s="176" t="s">
        <v>20</v>
      </c>
      <c r="E426" s="89">
        <v>2</v>
      </c>
      <c r="F426" s="34">
        <v>113.42</v>
      </c>
      <c r="G426" s="34"/>
      <c r="H426" s="34">
        <v>0.2</v>
      </c>
      <c r="I426" s="102">
        <f t="shared" si="59"/>
        <v>45.37</v>
      </c>
      <c r="J426" s="326"/>
    </row>
    <row r="427" spans="1:10" s="178" customFormat="1" ht="15.6" customHeight="1" x14ac:dyDescent="0.4">
      <c r="A427" s="319"/>
      <c r="B427" s="187" t="s">
        <v>334</v>
      </c>
      <c r="C427" s="89">
        <v>1</v>
      </c>
      <c r="D427" s="176" t="s">
        <v>20</v>
      </c>
      <c r="E427" s="89">
        <v>2</v>
      </c>
      <c r="F427" s="34">
        <v>113.42</v>
      </c>
      <c r="G427" s="34"/>
      <c r="H427" s="34">
        <v>0.2</v>
      </c>
      <c r="I427" s="102">
        <f t="shared" si="59"/>
        <v>45.37</v>
      </c>
      <c r="J427" s="326"/>
    </row>
    <row r="428" spans="1:10" s="178" customFormat="1" ht="15.6" customHeight="1" x14ac:dyDescent="0.4">
      <c r="A428" s="319"/>
      <c r="B428" s="209" t="s">
        <v>335</v>
      </c>
      <c r="C428" s="89">
        <v>6</v>
      </c>
      <c r="D428" s="176" t="s">
        <v>20</v>
      </c>
      <c r="E428" s="89">
        <v>2</v>
      </c>
      <c r="F428" s="362">
        <v>5.85</v>
      </c>
      <c r="G428" s="362"/>
      <c r="H428" s="34">
        <v>0.95</v>
      </c>
      <c r="I428" s="102">
        <f t="shared" si="59"/>
        <v>66.69</v>
      </c>
      <c r="J428" s="326"/>
    </row>
    <row r="429" spans="1:10" s="178" customFormat="1" ht="15.6" customHeight="1" x14ac:dyDescent="0.4">
      <c r="A429" s="319"/>
      <c r="B429" s="187" t="s">
        <v>336</v>
      </c>
      <c r="C429" s="89">
        <v>1</v>
      </c>
      <c r="D429" s="176" t="s">
        <v>20</v>
      </c>
      <c r="E429" s="89">
        <v>4</v>
      </c>
      <c r="F429" s="34">
        <v>15.15</v>
      </c>
      <c r="G429" s="34">
        <v>0.23</v>
      </c>
      <c r="H429" s="34" t="s">
        <v>21</v>
      </c>
      <c r="I429" s="102">
        <f t="shared" si="59"/>
        <v>13.94</v>
      </c>
      <c r="J429" s="326"/>
    </row>
    <row r="430" spans="1:10" s="178" customFormat="1" ht="15.6" customHeight="1" x14ac:dyDescent="0.4">
      <c r="A430" s="319"/>
      <c r="B430" s="187" t="s">
        <v>328</v>
      </c>
      <c r="C430" s="89">
        <v>1</v>
      </c>
      <c r="D430" s="176" t="s">
        <v>20</v>
      </c>
      <c r="E430" s="89">
        <v>2</v>
      </c>
      <c r="F430" s="34">
        <v>15.15</v>
      </c>
      <c r="G430" s="34" t="s">
        <v>21</v>
      </c>
      <c r="H430" s="34">
        <v>0.05</v>
      </c>
      <c r="I430" s="102">
        <f t="shared" si="59"/>
        <v>1.52</v>
      </c>
      <c r="J430" s="326"/>
    </row>
    <row r="431" spans="1:10" s="178" customFormat="1" ht="15.6" customHeight="1" x14ac:dyDescent="0.4">
      <c r="A431" s="319"/>
      <c r="B431" s="187" t="s">
        <v>337</v>
      </c>
      <c r="C431" s="89">
        <v>2</v>
      </c>
      <c r="D431" s="176" t="s">
        <v>20</v>
      </c>
      <c r="E431" s="89">
        <v>2</v>
      </c>
      <c r="F431" s="34">
        <v>7.8</v>
      </c>
      <c r="G431" s="34">
        <v>0.79</v>
      </c>
      <c r="H431" s="34" t="s">
        <v>21</v>
      </c>
      <c r="I431" s="102">
        <f t="shared" si="59"/>
        <v>24.65</v>
      </c>
      <c r="J431" s="326"/>
    </row>
    <row r="432" spans="1:10" s="178" customFormat="1" ht="15.6" customHeight="1" x14ac:dyDescent="0.4">
      <c r="A432" s="319"/>
      <c r="B432" s="187" t="s">
        <v>338</v>
      </c>
      <c r="C432" s="89">
        <v>1</v>
      </c>
      <c r="D432" s="176" t="s">
        <v>20</v>
      </c>
      <c r="E432" s="89">
        <v>1</v>
      </c>
      <c r="F432" s="34">
        <v>114.24</v>
      </c>
      <c r="G432" s="34" t="s">
        <v>21</v>
      </c>
      <c r="H432" s="34">
        <v>0.3</v>
      </c>
      <c r="I432" s="102">
        <f t="shared" si="59"/>
        <v>34.270000000000003</v>
      </c>
      <c r="J432" s="326"/>
    </row>
    <row r="433" spans="1:16" s="178" customFormat="1" ht="15.6" customHeight="1" x14ac:dyDescent="0.4">
      <c r="A433" s="319"/>
      <c r="B433" s="187" t="s">
        <v>339</v>
      </c>
      <c r="C433" s="89">
        <v>2</v>
      </c>
      <c r="D433" s="176" t="s">
        <v>20</v>
      </c>
      <c r="E433" s="89">
        <v>2</v>
      </c>
      <c r="F433" s="34">
        <v>0.34</v>
      </c>
      <c r="G433" s="34" t="s">
        <v>21</v>
      </c>
      <c r="H433" s="34">
        <v>0.45</v>
      </c>
      <c r="I433" s="102">
        <f t="shared" si="59"/>
        <v>0.61</v>
      </c>
      <c r="J433" s="326"/>
    </row>
    <row r="434" spans="1:16" s="178" customFormat="1" ht="15.6" customHeight="1" x14ac:dyDescent="0.4">
      <c r="A434" s="320"/>
      <c r="B434" s="327" t="s">
        <v>127</v>
      </c>
      <c r="C434" s="328"/>
      <c r="D434" s="328"/>
      <c r="E434" s="328"/>
      <c r="F434" s="328"/>
      <c r="G434" s="328"/>
      <c r="H434" s="329"/>
      <c r="I434" s="32">
        <f>ROUND(SUM(I416:I433),2)</f>
        <v>539.80999999999995</v>
      </c>
      <c r="J434" s="180" t="s">
        <v>420</v>
      </c>
    </row>
    <row r="435" spans="1:16" s="98" customFormat="1" x14ac:dyDescent="0.45">
      <c r="A435" s="170"/>
      <c r="B435" s="317">
        <v>12</v>
      </c>
      <c r="C435" s="317"/>
      <c r="D435" s="317"/>
      <c r="E435" s="317"/>
      <c r="F435" s="317"/>
      <c r="G435" s="317"/>
      <c r="H435" s="317"/>
      <c r="I435" s="317"/>
      <c r="J435" s="317"/>
    </row>
    <row r="436" spans="1:16" s="178" customFormat="1" ht="15.6" customHeight="1" x14ac:dyDescent="0.4">
      <c r="A436" s="318">
        <v>1.24</v>
      </c>
      <c r="B436" s="324" t="s">
        <v>418</v>
      </c>
      <c r="C436" s="324"/>
      <c r="D436" s="324"/>
      <c r="E436" s="324"/>
      <c r="F436" s="324"/>
      <c r="G436" s="324"/>
      <c r="H436" s="324"/>
      <c r="I436" s="324"/>
      <c r="J436" s="324"/>
      <c r="K436" s="210"/>
      <c r="L436" s="211"/>
      <c r="M436" s="211"/>
      <c r="N436" s="211"/>
      <c r="O436" s="211"/>
      <c r="P436" s="212"/>
    </row>
    <row r="437" spans="1:16" s="178" customFormat="1" ht="15.6" customHeight="1" x14ac:dyDescent="0.4">
      <c r="A437" s="319"/>
      <c r="B437" s="321" t="s">
        <v>273</v>
      </c>
      <c r="C437" s="322"/>
      <c r="D437" s="322"/>
      <c r="E437" s="322"/>
      <c r="F437" s="322"/>
      <c r="G437" s="322"/>
      <c r="H437" s="322"/>
      <c r="I437" s="323"/>
      <c r="J437" s="325"/>
    </row>
    <row r="438" spans="1:16" s="178" customFormat="1" ht="15.6" customHeight="1" x14ac:dyDescent="0.4">
      <c r="A438" s="319"/>
      <c r="B438" s="187" t="s">
        <v>414</v>
      </c>
      <c r="C438" s="89">
        <v>1</v>
      </c>
      <c r="D438" s="176" t="s">
        <v>20</v>
      </c>
      <c r="E438" s="89">
        <v>2</v>
      </c>
      <c r="F438" s="34">
        <v>42.46</v>
      </c>
      <c r="G438" s="34">
        <v>8.4</v>
      </c>
      <c r="H438" s="34" t="s">
        <v>21</v>
      </c>
      <c r="I438" s="102">
        <f t="shared" ref="I438:I440" si="60">ROUND(PRODUCT(C438:H438),2)</f>
        <v>713.33</v>
      </c>
      <c r="J438" s="326"/>
    </row>
    <row r="439" spans="1:16" s="178" customFormat="1" ht="15.6" customHeight="1" x14ac:dyDescent="0.4">
      <c r="A439" s="319"/>
      <c r="B439" s="187" t="s">
        <v>415</v>
      </c>
      <c r="C439" s="89">
        <v>2</v>
      </c>
      <c r="D439" s="176" t="s">
        <v>20</v>
      </c>
      <c r="E439" s="89">
        <v>2</v>
      </c>
      <c r="F439" s="34">
        <v>5.05</v>
      </c>
      <c r="G439" s="34">
        <v>3</v>
      </c>
      <c r="H439" s="34" t="s">
        <v>21</v>
      </c>
      <c r="I439" s="102">
        <f t="shared" si="60"/>
        <v>60.6</v>
      </c>
      <c r="J439" s="326"/>
    </row>
    <row r="440" spans="1:16" s="178" customFormat="1" ht="15.95" customHeight="1" x14ac:dyDescent="0.4">
      <c r="A440" s="319"/>
      <c r="B440" s="218" t="s">
        <v>419</v>
      </c>
      <c r="C440" s="89">
        <v>-1</v>
      </c>
      <c r="D440" s="176" t="s">
        <v>20</v>
      </c>
      <c r="E440" s="89">
        <v>4</v>
      </c>
      <c r="F440" s="200">
        <v>3</v>
      </c>
      <c r="G440" s="200">
        <v>1</v>
      </c>
      <c r="H440" s="200" t="s">
        <v>21</v>
      </c>
      <c r="I440" s="102">
        <f t="shared" si="60"/>
        <v>-12</v>
      </c>
      <c r="J440" s="187"/>
    </row>
    <row r="441" spans="1:16" s="178" customFormat="1" ht="15.6" customHeight="1" x14ac:dyDescent="0.4">
      <c r="A441" s="319"/>
      <c r="B441" s="321" t="s">
        <v>389</v>
      </c>
      <c r="C441" s="322"/>
      <c r="D441" s="322"/>
      <c r="E441" s="322"/>
      <c r="F441" s="322"/>
      <c r="G441" s="322"/>
      <c r="H441" s="322"/>
      <c r="I441" s="323"/>
      <c r="J441" s="177"/>
    </row>
    <row r="442" spans="1:16" s="178" customFormat="1" ht="15.95" customHeight="1" x14ac:dyDescent="0.4">
      <c r="A442" s="319"/>
      <c r="B442" s="218" t="s">
        <v>414</v>
      </c>
      <c r="C442" s="89">
        <v>1</v>
      </c>
      <c r="D442" s="176" t="s">
        <v>20</v>
      </c>
      <c r="E442" s="89">
        <v>2</v>
      </c>
      <c r="F442" s="213">
        <v>63.46</v>
      </c>
      <c r="G442" s="214">
        <v>8.4</v>
      </c>
      <c r="H442" s="214" t="s">
        <v>21</v>
      </c>
      <c r="I442" s="102">
        <f t="shared" ref="I442:I444" si="61">ROUND(PRODUCT(C442:H442),2)</f>
        <v>1066.1300000000001</v>
      </c>
      <c r="J442" s="187"/>
    </row>
    <row r="443" spans="1:16" s="178" customFormat="1" ht="15.95" customHeight="1" x14ac:dyDescent="0.4">
      <c r="A443" s="319"/>
      <c r="B443" s="218" t="s">
        <v>415</v>
      </c>
      <c r="C443" s="89">
        <v>2</v>
      </c>
      <c r="D443" s="176" t="s">
        <v>20</v>
      </c>
      <c r="E443" s="89">
        <v>3</v>
      </c>
      <c r="F443" s="213">
        <v>5.05</v>
      </c>
      <c r="G443" s="214">
        <v>3</v>
      </c>
      <c r="H443" s="214" t="s">
        <v>21</v>
      </c>
      <c r="I443" s="102">
        <f t="shared" si="61"/>
        <v>90.9</v>
      </c>
      <c r="J443" s="187"/>
    </row>
    <row r="444" spans="1:16" s="178" customFormat="1" ht="15.95" customHeight="1" x14ac:dyDescent="0.4">
      <c r="A444" s="319"/>
      <c r="B444" s="218" t="s">
        <v>419</v>
      </c>
      <c r="C444" s="89">
        <v>-1</v>
      </c>
      <c r="D444" s="176" t="s">
        <v>20</v>
      </c>
      <c r="E444" s="89">
        <v>7</v>
      </c>
      <c r="F444" s="200">
        <v>3</v>
      </c>
      <c r="G444" s="200">
        <v>1</v>
      </c>
      <c r="H444" s="200" t="s">
        <v>21</v>
      </c>
      <c r="I444" s="102">
        <f t="shared" si="61"/>
        <v>-21</v>
      </c>
      <c r="J444" s="187"/>
    </row>
    <row r="445" spans="1:16" s="178" customFormat="1" ht="15.6" customHeight="1" x14ac:dyDescent="0.4">
      <c r="A445" s="320"/>
      <c r="B445" s="327" t="s">
        <v>127</v>
      </c>
      <c r="C445" s="328"/>
      <c r="D445" s="328"/>
      <c r="E445" s="328"/>
      <c r="F445" s="328"/>
      <c r="G445" s="328"/>
      <c r="H445" s="329"/>
      <c r="I445" s="32">
        <f>ROUND(SUM(I438:I444),2)</f>
        <v>1897.96</v>
      </c>
      <c r="J445" s="180" t="s">
        <v>420</v>
      </c>
    </row>
    <row r="446" spans="1:16" s="178" customFormat="1" ht="15.6" customHeight="1" x14ac:dyDescent="0.4">
      <c r="A446" s="318">
        <v>1.25</v>
      </c>
      <c r="B446" s="330" t="s">
        <v>416</v>
      </c>
      <c r="C446" s="331"/>
      <c r="D446" s="331"/>
      <c r="E446" s="331"/>
      <c r="F446" s="331"/>
      <c r="G446" s="331"/>
      <c r="H446" s="331"/>
      <c r="I446" s="332"/>
      <c r="J446" s="333"/>
    </row>
    <row r="447" spans="1:16" s="178" customFormat="1" ht="15.6" customHeight="1" x14ac:dyDescent="0.4">
      <c r="A447" s="319"/>
      <c r="B447" s="321" t="s">
        <v>273</v>
      </c>
      <c r="C447" s="322"/>
      <c r="D447" s="322"/>
      <c r="E447" s="322"/>
      <c r="F447" s="322"/>
      <c r="G447" s="322"/>
      <c r="H447" s="322"/>
      <c r="I447" s="323"/>
      <c r="J447" s="334"/>
    </row>
    <row r="448" spans="1:16" s="178" customFormat="1" ht="15.6" customHeight="1" x14ac:dyDescent="0.4">
      <c r="A448" s="319"/>
      <c r="B448" s="187" t="s">
        <v>414</v>
      </c>
      <c r="C448" s="89">
        <v>1</v>
      </c>
      <c r="D448" s="176" t="s">
        <v>20</v>
      </c>
      <c r="E448" s="89">
        <v>1</v>
      </c>
      <c r="F448" s="34">
        <v>42.46</v>
      </c>
      <c r="G448" s="34"/>
      <c r="H448" s="34" t="s">
        <v>21</v>
      </c>
      <c r="I448" s="34">
        <f>C448*E448*F448</f>
        <v>42.46</v>
      </c>
      <c r="J448" s="334"/>
    </row>
    <row r="449" spans="1:10" s="178" customFormat="1" ht="15.6" customHeight="1" x14ac:dyDescent="0.4">
      <c r="A449" s="319"/>
      <c r="B449" s="321" t="s">
        <v>389</v>
      </c>
      <c r="C449" s="322"/>
      <c r="D449" s="322"/>
      <c r="E449" s="322"/>
      <c r="F449" s="322"/>
      <c r="G449" s="322"/>
      <c r="H449" s="322"/>
      <c r="I449" s="323"/>
      <c r="J449" s="177"/>
    </row>
    <row r="450" spans="1:10" s="178" customFormat="1" ht="15.95" customHeight="1" x14ac:dyDescent="0.4">
      <c r="A450" s="319"/>
      <c r="B450" s="218" t="s">
        <v>414</v>
      </c>
      <c r="C450" s="89">
        <v>1</v>
      </c>
      <c r="D450" s="176" t="s">
        <v>20</v>
      </c>
      <c r="E450" s="89">
        <v>1</v>
      </c>
      <c r="F450" s="213">
        <v>63.46</v>
      </c>
      <c r="G450" s="214"/>
      <c r="H450" s="214" t="s">
        <v>21</v>
      </c>
      <c r="I450" s="213">
        <f>C450*E450*F450</f>
        <v>63.46</v>
      </c>
      <c r="J450" s="220"/>
    </row>
    <row r="451" spans="1:10" s="178" customFormat="1" ht="15.6" customHeight="1" x14ac:dyDescent="0.4">
      <c r="A451" s="320"/>
      <c r="B451" s="327" t="s">
        <v>127</v>
      </c>
      <c r="C451" s="328"/>
      <c r="D451" s="328"/>
      <c r="E451" s="328"/>
      <c r="F451" s="328"/>
      <c r="G451" s="328"/>
      <c r="H451" s="329"/>
      <c r="I451" s="32">
        <f>ROUND(SUM(I447:I450),2)</f>
        <v>105.92</v>
      </c>
      <c r="J451" s="180" t="s">
        <v>417</v>
      </c>
    </row>
  </sheetData>
  <mergeCells count="134">
    <mergeCell ref="B287:J287"/>
    <mergeCell ref="B288:J288"/>
    <mergeCell ref="B289:I289"/>
    <mergeCell ref="J291:J327"/>
    <mergeCell ref="B307:I307"/>
    <mergeCell ref="B312:I312"/>
    <mergeCell ref="B314:I314"/>
    <mergeCell ref="B321:I321"/>
    <mergeCell ref="B366:H366"/>
    <mergeCell ref="A288:A366"/>
    <mergeCell ref="B414:J414"/>
    <mergeCell ref="B415:I415"/>
    <mergeCell ref="J415:J433"/>
    <mergeCell ref="F428:G428"/>
    <mergeCell ref="B434:H434"/>
    <mergeCell ref="A414:A434"/>
    <mergeCell ref="B367:J367"/>
    <mergeCell ref="B368:J368"/>
    <mergeCell ref="B369:I369"/>
    <mergeCell ref="J369:J412"/>
    <mergeCell ref="B370:I370"/>
    <mergeCell ref="C382:E382"/>
    <mergeCell ref="B390:H390"/>
    <mergeCell ref="B391:I391"/>
    <mergeCell ref="B392:I392"/>
    <mergeCell ref="C408:E408"/>
    <mergeCell ref="B412:H412"/>
    <mergeCell ref="C413:E413"/>
    <mergeCell ref="A368:A413"/>
    <mergeCell ref="B275:J275"/>
    <mergeCell ref="B281:J281"/>
    <mergeCell ref="B282:I282"/>
    <mergeCell ref="A275:A280"/>
    <mergeCell ref="A281:A286"/>
    <mergeCell ref="B284:I284"/>
    <mergeCell ref="B268:J268"/>
    <mergeCell ref="A269:A274"/>
    <mergeCell ref="B262:J262"/>
    <mergeCell ref="B263:I263"/>
    <mergeCell ref="J263:J264"/>
    <mergeCell ref="B267:H267"/>
    <mergeCell ref="A262:A267"/>
    <mergeCell ref="B269:J269"/>
    <mergeCell ref="B270:I270"/>
    <mergeCell ref="J270:J271"/>
    <mergeCell ref="B274:H274"/>
    <mergeCell ref="B256:J256"/>
    <mergeCell ref="B257:I257"/>
    <mergeCell ref="B261:H261"/>
    <mergeCell ref="A256:A261"/>
    <mergeCell ref="B231:H231"/>
    <mergeCell ref="A52:A67"/>
    <mergeCell ref="B45:J45"/>
    <mergeCell ref="B46:I46"/>
    <mergeCell ref="J46:J47"/>
    <mergeCell ref="B51:H51"/>
    <mergeCell ref="A45:A51"/>
    <mergeCell ref="B48:I48"/>
    <mergeCell ref="J48:J49"/>
    <mergeCell ref="B60:I60"/>
    <mergeCell ref="C202:E202"/>
    <mergeCell ref="B87:I87"/>
    <mergeCell ref="B96:H96"/>
    <mergeCell ref="B106:H106"/>
    <mergeCell ref="A87:A96"/>
    <mergeCell ref="B97:I97"/>
    <mergeCell ref="C193:E193"/>
    <mergeCell ref="B206:H206"/>
    <mergeCell ref="B189:I189"/>
    <mergeCell ref="A189:A206"/>
    <mergeCell ref="B39:I39"/>
    <mergeCell ref="B44:H44"/>
    <mergeCell ref="A39:A44"/>
    <mergeCell ref="B86:H86"/>
    <mergeCell ref="B52:I52"/>
    <mergeCell ref="B68:J68"/>
    <mergeCell ref="B38:J38"/>
    <mergeCell ref="A1:B1"/>
    <mergeCell ref="C1:J1"/>
    <mergeCell ref="C2:E2"/>
    <mergeCell ref="B3:J3"/>
    <mergeCell ref="B4:I4"/>
    <mergeCell ref="B12:H12"/>
    <mergeCell ref="A4:A12"/>
    <mergeCell ref="A13:A37"/>
    <mergeCell ref="B37:H37"/>
    <mergeCell ref="B13:I13"/>
    <mergeCell ref="B67:H67"/>
    <mergeCell ref="A69:A74"/>
    <mergeCell ref="B69:I69"/>
    <mergeCell ref="B74:H74"/>
    <mergeCell ref="A75:A86"/>
    <mergeCell ref="B75:I75"/>
    <mergeCell ref="B136:H136"/>
    <mergeCell ref="A108:A136"/>
    <mergeCell ref="B108:I108"/>
    <mergeCell ref="A97:A106"/>
    <mergeCell ref="A137:A164"/>
    <mergeCell ref="A166:A171"/>
    <mergeCell ref="B166:I166"/>
    <mergeCell ref="B171:H171"/>
    <mergeCell ref="B165:J165"/>
    <mergeCell ref="B107:J107"/>
    <mergeCell ref="A239:A254"/>
    <mergeCell ref="B239:I239"/>
    <mergeCell ref="B254:H254"/>
    <mergeCell ref="B255:J255"/>
    <mergeCell ref="B137:I137"/>
    <mergeCell ref="B139:I139"/>
    <mergeCell ref="B164:H164"/>
    <mergeCell ref="B207:I207"/>
    <mergeCell ref="B209:I209"/>
    <mergeCell ref="A207:A231"/>
    <mergeCell ref="A233:A238"/>
    <mergeCell ref="B233:I233"/>
    <mergeCell ref="B238:H238"/>
    <mergeCell ref="B232:J232"/>
    <mergeCell ref="B188:J188"/>
    <mergeCell ref="A172:A187"/>
    <mergeCell ref="B172:I172"/>
    <mergeCell ref="B187:H187"/>
    <mergeCell ref="B435:J435"/>
    <mergeCell ref="A436:A445"/>
    <mergeCell ref="A446:A451"/>
    <mergeCell ref="B441:I441"/>
    <mergeCell ref="B449:I449"/>
    <mergeCell ref="B436:J436"/>
    <mergeCell ref="B437:I437"/>
    <mergeCell ref="J437:J439"/>
    <mergeCell ref="B445:H445"/>
    <mergeCell ref="B446:I446"/>
    <mergeCell ref="J446:J448"/>
    <mergeCell ref="B447:I447"/>
    <mergeCell ref="B451:H451"/>
  </mergeCells>
  <pageMargins left="0.7" right="0.7" top="0.75" bottom="0.75" header="0.3" footer="0.3"/>
  <pageSetup paperSize="9" scale="64" fitToHeight="0" orientation="portrait" r:id="rId1"/>
  <headerFooter>
    <oddFooter>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105"/>
  <sheetViews>
    <sheetView zoomScale="70" zoomScaleNormal="70" workbookViewId="0">
      <pane ySplit="3" topLeftCell="A67" activePane="bottomLeft" state="frozen"/>
      <selection activeCell="N54" sqref="N54"/>
      <selection pane="bottomLeft" activeCell="H109" sqref="H109"/>
    </sheetView>
  </sheetViews>
  <sheetFormatPr defaultColWidth="8.73046875" defaultRowHeight="17.25" x14ac:dyDescent="0.45"/>
  <cols>
    <col min="1" max="1" width="6.3984375" style="40" customWidth="1"/>
    <col min="2" max="2" width="36.1328125" style="40" customWidth="1"/>
    <col min="3" max="3" width="10.1328125" style="154" bestFit="1" customWidth="1"/>
    <col min="4" max="4" width="4.3984375" style="154" bestFit="1" customWidth="1"/>
    <col min="5" max="5" width="11.73046875" style="154" bestFit="1" customWidth="1"/>
    <col min="6" max="6" width="11.59765625" style="154" customWidth="1"/>
    <col min="7" max="9" width="14.3984375" style="154" bestFit="1" customWidth="1"/>
    <col min="10" max="11" width="14.3984375" style="156" bestFit="1" customWidth="1"/>
    <col min="12" max="16384" width="8.73046875" style="39"/>
  </cols>
  <sheetData>
    <row r="1" spans="1:11" s="36" customFormat="1" x14ac:dyDescent="0.45">
      <c r="A1" s="370" t="s">
        <v>245</v>
      </c>
      <c r="B1" s="371"/>
      <c r="C1" s="371"/>
      <c r="D1" s="371"/>
      <c r="E1" s="371"/>
      <c r="F1" s="371"/>
      <c r="G1" s="371"/>
      <c r="H1" s="371"/>
      <c r="I1" s="371"/>
      <c r="J1" s="371"/>
    </row>
    <row r="2" spans="1:11" s="36" customFormat="1" x14ac:dyDescent="0.45">
      <c r="A2" s="372" t="s">
        <v>14</v>
      </c>
      <c r="B2" s="372" t="s">
        <v>11</v>
      </c>
      <c r="C2" s="369" t="s">
        <v>57</v>
      </c>
      <c r="D2" s="369"/>
      <c r="E2" s="369"/>
      <c r="F2" s="373" t="s">
        <v>58</v>
      </c>
      <c r="G2" s="153" t="s">
        <v>54</v>
      </c>
      <c r="H2" s="153" t="s">
        <v>55</v>
      </c>
      <c r="I2" s="153" t="s">
        <v>56</v>
      </c>
      <c r="J2" s="153" t="s">
        <v>188</v>
      </c>
      <c r="K2" s="153" t="s">
        <v>189</v>
      </c>
    </row>
    <row r="3" spans="1:11" s="36" customFormat="1" x14ac:dyDescent="0.45">
      <c r="A3" s="372"/>
      <c r="B3" s="372"/>
      <c r="C3" s="369"/>
      <c r="D3" s="369"/>
      <c r="E3" s="369"/>
      <c r="F3" s="373"/>
      <c r="G3" s="369" t="s">
        <v>382</v>
      </c>
      <c r="H3" s="369"/>
      <c r="I3" s="369"/>
      <c r="J3" s="369"/>
      <c r="K3" s="369"/>
    </row>
    <row r="4" spans="1:11" x14ac:dyDescent="0.45">
      <c r="A4" s="37"/>
      <c r="B4" s="317">
        <v>2</v>
      </c>
      <c r="C4" s="317"/>
      <c r="D4" s="317"/>
      <c r="E4" s="317"/>
      <c r="F4" s="317"/>
      <c r="G4" s="317"/>
      <c r="H4" s="317"/>
      <c r="I4" s="317"/>
      <c r="J4" s="107"/>
      <c r="K4" s="107"/>
    </row>
    <row r="5" spans="1:11" x14ac:dyDescent="0.45">
      <c r="A5" s="172">
        <v>1.1399999999999999</v>
      </c>
      <c r="B5" s="38" t="s">
        <v>247</v>
      </c>
      <c r="J5" s="154"/>
      <c r="K5" s="154"/>
    </row>
    <row r="6" spans="1:11" x14ac:dyDescent="0.45">
      <c r="B6" s="40" t="s">
        <v>248</v>
      </c>
      <c r="J6" s="154"/>
      <c r="K6" s="154"/>
    </row>
    <row r="7" spans="1:11" x14ac:dyDescent="0.45">
      <c r="B7" s="40" t="s">
        <v>249</v>
      </c>
      <c r="C7" s="154">
        <v>2</v>
      </c>
      <c r="D7" s="154" t="s">
        <v>20</v>
      </c>
      <c r="E7" s="154">
        <v>6</v>
      </c>
      <c r="F7" s="154">
        <v>33.68</v>
      </c>
      <c r="I7" s="154">
        <f>+PRODUCT(C7:F7)</f>
        <v>404.15999999999997</v>
      </c>
      <c r="J7" s="154"/>
      <c r="K7" s="154"/>
    </row>
    <row r="8" spans="1:11" x14ac:dyDescent="0.45">
      <c r="B8" s="40" t="s">
        <v>250</v>
      </c>
      <c r="C8" s="154">
        <v>2</v>
      </c>
      <c r="D8" s="154" t="s">
        <v>20</v>
      </c>
      <c r="E8" s="154">
        <f>6*3</f>
        <v>18</v>
      </c>
      <c r="F8" s="154">
        <v>0.6</v>
      </c>
      <c r="I8" s="154">
        <f>+PRODUCT(C8:F8)</f>
        <v>21.599999999999998</v>
      </c>
      <c r="J8" s="154"/>
      <c r="K8" s="154"/>
    </row>
    <row r="9" spans="1:11" x14ac:dyDescent="0.45">
      <c r="B9" s="40" t="s">
        <v>251</v>
      </c>
      <c r="C9" s="154">
        <v>2</v>
      </c>
      <c r="D9" s="154" t="s">
        <v>20</v>
      </c>
      <c r="E9" s="154">
        <v>206</v>
      </c>
      <c r="F9" s="154">
        <v>1.6</v>
      </c>
      <c r="H9" s="154">
        <f>+PRODUCT(C9:F9)</f>
        <v>659.2</v>
      </c>
      <c r="J9" s="154"/>
      <c r="K9" s="154"/>
    </row>
    <row r="10" spans="1:11" x14ac:dyDescent="0.45">
      <c r="B10" s="40" t="s">
        <v>195</v>
      </c>
      <c r="C10" s="154">
        <v>2</v>
      </c>
      <c r="D10" s="154" t="s">
        <v>20</v>
      </c>
      <c r="E10" s="154">
        <v>3</v>
      </c>
      <c r="F10" s="154">
        <v>30.88</v>
      </c>
      <c r="G10" s="154">
        <f>+PRODUCT(C10:F10)</f>
        <v>185.28</v>
      </c>
      <c r="J10" s="154"/>
      <c r="K10" s="154"/>
    </row>
    <row r="11" spans="1:11" x14ac:dyDescent="0.45">
      <c r="B11" s="40" t="s">
        <v>252</v>
      </c>
      <c r="C11" s="154">
        <v>2</v>
      </c>
      <c r="D11" s="154" t="s">
        <v>20</v>
      </c>
      <c r="E11" s="154">
        <f>3*3</f>
        <v>9</v>
      </c>
      <c r="F11" s="154">
        <v>0.4</v>
      </c>
      <c r="G11" s="154">
        <f>+PRODUCT(C11:F11)</f>
        <v>7.2</v>
      </c>
      <c r="J11" s="154"/>
      <c r="K11" s="154"/>
    </row>
    <row r="12" spans="1:11" x14ac:dyDescent="0.45">
      <c r="J12" s="154"/>
      <c r="K12" s="154"/>
    </row>
    <row r="13" spans="1:11" x14ac:dyDescent="0.45">
      <c r="B13" s="40" t="s">
        <v>253</v>
      </c>
      <c r="J13" s="154"/>
      <c r="K13" s="154"/>
    </row>
    <row r="14" spans="1:11" x14ac:dyDescent="0.45">
      <c r="B14" s="40" t="s">
        <v>254</v>
      </c>
      <c r="C14" s="154">
        <v>2</v>
      </c>
      <c r="D14" s="154" t="s">
        <v>20</v>
      </c>
      <c r="E14" s="154">
        <f>2*6</f>
        <v>12</v>
      </c>
      <c r="F14" s="154">
        <v>7.45</v>
      </c>
      <c r="J14" s="154">
        <f>+PRODUCT(C14:F14)</f>
        <v>178.8</v>
      </c>
      <c r="K14" s="154"/>
    </row>
    <row r="15" spans="1:11" x14ac:dyDescent="0.45">
      <c r="B15" s="40" t="s">
        <v>255</v>
      </c>
      <c r="C15" s="154">
        <v>2</v>
      </c>
      <c r="D15" s="154" t="s">
        <v>20</v>
      </c>
      <c r="E15" s="154">
        <f>2*59</f>
        <v>118</v>
      </c>
      <c r="F15" s="154">
        <v>2.23</v>
      </c>
      <c r="I15" s="154">
        <f>+PRODUCT(C15:F15)</f>
        <v>526.28</v>
      </c>
      <c r="J15" s="154"/>
      <c r="K15" s="154"/>
    </row>
    <row r="16" spans="1:11" x14ac:dyDescent="0.45">
      <c r="B16" s="40" t="s">
        <v>59</v>
      </c>
      <c r="C16" s="154">
        <v>2</v>
      </c>
      <c r="D16" s="154" t="s">
        <v>20</v>
      </c>
      <c r="E16" s="154">
        <f>2*59</f>
        <v>118</v>
      </c>
      <c r="F16" s="154">
        <v>1.3</v>
      </c>
      <c r="I16" s="154">
        <f>+PRODUCT(C16:F16)</f>
        <v>306.8</v>
      </c>
      <c r="J16" s="154"/>
      <c r="K16" s="154"/>
    </row>
    <row r="17" spans="1:11" x14ac:dyDescent="0.45">
      <c r="B17" s="40" t="s">
        <v>256</v>
      </c>
      <c r="C17" s="154">
        <v>2</v>
      </c>
      <c r="D17" s="154" t="s">
        <v>20</v>
      </c>
      <c r="E17" s="154">
        <f>2*11</f>
        <v>22</v>
      </c>
      <c r="F17" s="154">
        <v>5.35</v>
      </c>
      <c r="I17" s="154">
        <f>+PRODUCT(C17:F17)</f>
        <v>235.39999999999998</v>
      </c>
      <c r="J17" s="154"/>
      <c r="K17" s="154"/>
    </row>
    <row r="18" spans="1:11" x14ac:dyDescent="0.45">
      <c r="B18" s="40" t="s">
        <v>257</v>
      </c>
      <c r="C18" s="154">
        <v>2</v>
      </c>
      <c r="D18" s="154" t="s">
        <v>20</v>
      </c>
      <c r="E18" s="154">
        <f>2*9</f>
        <v>18</v>
      </c>
      <c r="F18" s="154">
        <v>5.35</v>
      </c>
      <c r="I18" s="154">
        <f>+PRODUCT(C18:F18)</f>
        <v>192.6</v>
      </c>
      <c r="J18" s="154"/>
      <c r="K18" s="154"/>
    </row>
    <row r="19" spans="1:11" x14ac:dyDescent="0.45">
      <c r="J19" s="154"/>
      <c r="K19" s="154"/>
    </row>
    <row r="20" spans="1:11" x14ac:dyDescent="0.45">
      <c r="B20" s="40" t="s">
        <v>248</v>
      </c>
      <c r="J20" s="154"/>
      <c r="K20" s="154"/>
    </row>
    <row r="21" spans="1:11" x14ac:dyDescent="0.45">
      <c r="B21" s="40" t="s">
        <v>258</v>
      </c>
      <c r="C21" s="154">
        <v>3</v>
      </c>
      <c r="D21" s="154" t="s">
        <v>20</v>
      </c>
      <c r="E21" s="154">
        <f>2*3</f>
        <v>6</v>
      </c>
      <c r="F21" s="154">
        <v>15.4</v>
      </c>
      <c r="I21" s="154">
        <f>+PRODUCT(C21:F21)</f>
        <v>277.2</v>
      </c>
      <c r="J21" s="154"/>
      <c r="K21" s="154"/>
    </row>
    <row r="22" spans="1:11" x14ac:dyDescent="0.45">
      <c r="B22" s="40" t="s">
        <v>250</v>
      </c>
      <c r="C22" s="154">
        <v>3</v>
      </c>
      <c r="D22" s="154" t="s">
        <v>20</v>
      </c>
      <c r="E22" s="154">
        <f>2*3</f>
        <v>6</v>
      </c>
      <c r="F22" s="154">
        <v>0.8</v>
      </c>
      <c r="I22" s="154">
        <f>+PRODUCT(C22:F22)</f>
        <v>14.4</v>
      </c>
      <c r="J22" s="154"/>
      <c r="K22" s="154"/>
    </row>
    <row r="23" spans="1:11" x14ac:dyDescent="0.45">
      <c r="B23" s="40" t="s">
        <v>259</v>
      </c>
      <c r="C23" s="154">
        <v>3</v>
      </c>
      <c r="D23" s="154" t="s">
        <v>20</v>
      </c>
      <c r="E23" s="154">
        <v>101</v>
      </c>
      <c r="F23" s="154">
        <v>1.63</v>
      </c>
      <c r="H23" s="154">
        <f>+PRODUCT(C23:F23)</f>
        <v>493.89</v>
      </c>
      <c r="J23" s="154"/>
      <c r="K23" s="154"/>
    </row>
    <row r="24" spans="1:11" x14ac:dyDescent="0.45">
      <c r="B24" s="40" t="s">
        <v>195</v>
      </c>
      <c r="C24" s="154">
        <v>3</v>
      </c>
      <c r="D24" s="154" t="s">
        <v>20</v>
      </c>
      <c r="E24" s="154">
        <v>3</v>
      </c>
      <c r="F24" s="154">
        <v>15.6</v>
      </c>
      <c r="G24" s="154">
        <f>+PRODUCT(C24:F24)</f>
        <v>140.4</v>
      </c>
      <c r="J24" s="154"/>
      <c r="K24" s="154"/>
    </row>
    <row r="25" spans="1:11" x14ac:dyDescent="0.45">
      <c r="B25" s="40" t="s">
        <v>260</v>
      </c>
      <c r="C25" s="154">
        <v>3</v>
      </c>
      <c r="D25" s="154" t="s">
        <v>20</v>
      </c>
      <c r="E25" s="154">
        <v>3</v>
      </c>
      <c r="F25" s="154">
        <v>0.4</v>
      </c>
      <c r="G25" s="154">
        <f>+PRODUCT(C25:F25)</f>
        <v>3.6</v>
      </c>
      <c r="J25" s="154"/>
      <c r="K25" s="154"/>
    </row>
    <row r="26" spans="1:11" s="229" customFormat="1" x14ac:dyDescent="0.45">
      <c r="A26" s="230"/>
      <c r="B26" s="230"/>
      <c r="C26" s="227"/>
      <c r="D26" s="227"/>
      <c r="E26" s="227"/>
      <c r="F26" s="227"/>
      <c r="G26" s="227">
        <f>SUM(G7:G25)</f>
        <v>336.48</v>
      </c>
      <c r="H26" s="227">
        <f t="shared" ref="H26:J26" si="0">SUM(H7:H25)</f>
        <v>1153.0900000000001</v>
      </c>
      <c r="I26" s="227">
        <f t="shared" si="0"/>
        <v>1978.4399999999998</v>
      </c>
      <c r="J26" s="227">
        <f t="shared" si="0"/>
        <v>178.8</v>
      </c>
      <c r="K26" s="227"/>
    </row>
    <row r="27" spans="1:11" x14ac:dyDescent="0.45">
      <c r="A27" s="37"/>
      <c r="B27" s="317">
        <v>3</v>
      </c>
      <c r="C27" s="317"/>
      <c r="D27" s="317"/>
      <c r="E27" s="317"/>
      <c r="F27" s="317"/>
      <c r="G27" s="317"/>
      <c r="H27" s="317"/>
      <c r="I27" s="317"/>
      <c r="J27" s="107"/>
      <c r="K27" s="107"/>
    </row>
    <row r="28" spans="1:11" x14ac:dyDescent="0.45">
      <c r="A28" s="172"/>
      <c r="B28" s="38" t="s">
        <v>383</v>
      </c>
      <c r="F28" s="155"/>
      <c r="J28" s="154"/>
      <c r="K28" s="154"/>
    </row>
    <row r="29" spans="1:11" x14ac:dyDescent="0.45">
      <c r="A29" s="108"/>
      <c r="B29" s="38" t="s">
        <v>190</v>
      </c>
      <c r="F29" s="155"/>
      <c r="J29" s="154"/>
      <c r="K29" s="154"/>
    </row>
    <row r="30" spans="1:11" x14ac:dyDescent="0.45">
      <c r="B30" s="40" t="s">
        <v>193</v>
      </c>
      <c r="C30" s="154">
        <v>10</v>
      </c>
      <c r="D30" s="154" t="s">
        <v>20</v>
      </c>
      <c r="E30" s="154">
        <v>4</v>
      </c>
      <c r="F30" s="155">
        <v>3.6</v>
      </c>
      <c r="J30" s="154">
        <f>+PRODUCT(C30:F30)</f>
        <v>144</v>
      </c>
      <c r="K30" s="154"/>
    </row>
    <row r="31" spans="1:11" x14ac:dyDescent="0.45">
      <c r="B31" s="40" t="s">
        <v>59</v>
      </c>
      <c r="C31" s="154">
        <v>10</v>
      </c>
      <c r="D31" s="154" t="s">
        <v>20</v>
      </c>
      <c r="E31" s="154">
        <v>6</v>
      </c>
      <c r="F31" s="155">
        <v>3.6</v>
      </c>
      <c r="I31" s="154">
        <f>+PRODUCT(C31:F31)</f>
        <v>216</v>
      </c>
      <c r="J31" s="154"/>
      <c r="K31" s="154"/>
    </row>
    <row r="32" spans="1:11" x14ac:dyDescent="0.45">
      <c r="B32" s="40" t="s">
        <v>194</v>
      </c>
      <c r="C32" s="154">
        <v>10</v>
      </c>
      <c r="D32" s="154" t="s">
        <v>20</v>
      </c>
      <c r="E32" s="154">
        <v>20</v>
      </c>
      <c r="F32" s="155">
        <v>1.3</v>
      </c>
      <c r="G32" s="154">
        <f>+PRODUCT(C32:F32)</f>
        <v>260</v>
      </c>
      <c r="J32" s="154"/>
      <c r="K32" s="154"/>
    </row>
    <row r="33" spans="2:11" x14ac:dyDescent="0.45">
      <c r="B33" s="40" t="s">
        <v>194</v>
      </c>
      <c r="C33" s="154">
        <v>10</v>
      </c>
      <c r="D33" s="154" t="s">
        <v>20</v>
      </c>
      <c r="E33" s="154">
        <v>40</v>
      </c>
      <c r="F33" s="155">
        <v>1.04</v>
      </c>
      <c r="G33" s="154">
        <f>+PRODUCT(C33:F33)</f>
        <v>416</v>
      </c>
      <c r="J33" s="154"/>
      <c r="K33" s="154"/>
    </row>
    <row r="34" spans="2:11" x14ac:dyDescent="0.45">
      <c r="F34" s="155"/>
      <c r="I34" s="154">
        <f>+PRODUCT(C34:F34)</f>
        <v>0</v>
      </c>
      <c r="J34" s="154">
        <f>+PRODUCT(C34:F34)</f>
        <v>0</v>
      </c>
      <c r="K34" s="154"/>
    </row>
    <row r="35" spans="2:11" x14ac:dyDescent="0.45">
      <c r="B35" s="40" t="s">
        <v>193</v>
      </c>
      <c r="C35" s="154">
        <v>6</v>
      </c>
      <c r="D35" s="154" t="s">
        <v>20</v>
      </c>
      <c r="E35" s="154">
        <v>4</v>
      </c>
      <c r="F35" s="155">
        <v>4.5999999999999996</v>
      </c>
      <c r="J35" s="154">
        <f>+PRODUCT(C35:F35)</f>
        <v>110.39999999999999</v>
      </c>
      <c r="K35" s="154"/>
    </row>
    <row r="36" spans="2:11" x14ac:dyDescent="0.45">
      <c r="B36" s="40" t="s">
        <v>59</v>
      </c>
      <c r="C36" s="154">
        <v>6</v>
      </c>
      <c r="D36" s="154" t="s">
        <v>20</v>
      </c>
      <c r="E36" s="154">
        <v>6</v>
      </c>
      <c r="F36" s="155">
        <v>4.5999999999999996</v>
      </c>
      <c r="I36" s="154">
        <f>+PRODUCT(C36:F36)</f>
        <v>165.6</v>
      </c>
      <c r="J36" s="154"/>
      <c r="K36" s="154"/>
    </row>
    <row r="37" spans="2:11" x14ac:dyDescent="0.45">
      <c r="B37" s="40" t="s">
        <v>194</v>
      </c>
      <c r="C37" s="154">
        <v>6</v>
      </c>
      <c r="D37" s="154" t="s">
        <v>20</v>
      </c>
      <c r="E37" s="154">
        <v>26</v>
      </c>
      <c r="F37" s="155">
        <v>1.3</v>
      </c>
      <c r="G37" s="154">
        <f>+PRODUCT(C37:F37)</f>
        <v>202.8</v>
      </c>
      <c r="J37" s="154"/>
      <c r="K37" s="154"/>
    </row>
    <row r="38" spans="2:11" x14ac:dyDescent="0.45">
      <c r="B38" s="40" t="s">
        <v>194</v>
      </c>
      <c r="C38" s="154">
        <v>6</v>
      </c>
      <c r="D38" s="154" t="s">
        <v>246</v>
      </c>
      <c r="E38" s="154">
        <v>42</v>
      </c>
      <c r="F38" s="154">
        <v>1.04</v>
      </c>
      <c r="G38" s="154">
        <f>+PRODUCT(C38:F38)</f>
        <v>262.08</v>
      </c>
      <c r="J38" s="154"/>
      <c r="K38" s="154"/>
    </row>
    <row r="39" spans="2:11" x14ac:dyDescent="0.45">
      <c r="B39" s="38" t="s">
        <v>191</v>
      </c>
      <c r="F39" s="155"/>
      <c r="G39" s="154">
        <f>+PRODUCT(C39:F39)</f>
        <v>0</v>
      </c>
      <c r="J39" s="154"/>
      <c r="K39" s="154"/>
    </row>
    <row r="40" spans="2:11" x14ac:dyDescent="0.45">
      <c r="B40" s="40" t="s">
        <v>193</v>
      </c>
      <c r="C40" s="154">
        <v>2</v>
      </c>
      <c r="D40" s="154" t="s">
        <v>20</v>
      </c>
      <c r="E40" s="154">
        <v>4</v>
      </c>
      <c r="F40" s="155">
        <v>3.6</v>
      </c>
      <c r="G40" s="154">
        <f>+PRODUCT(C40:F40)</f>
        <v>28.8</v>
      </c>
      <c r="J40" s="154">
        <f>+PRODUCT(C40:F40)</f>
        <v>28.8</v>
      </c>
      <c r="K40" s="154"/>
    </row>
    <row r="41" spans="2:11" x14ac:dyDescent="0.45">
      <c r="B41" s="40" t="s">
        <v>59</v>
      </c>
      <c r="C41" s="154">
        <v>2</v>
      </c>
      <c r="D41" s="154" t="s">
        <v>20</v>
      </c>
      <c r="E41" s="154">
        <v>4</v>
      </c>
      <c r="F41" s="155">
        <v>3.6</v>
      </c>
      <c r="I41" s="154">
        <f>+PRODUCT(C41:F41)</f>
        <v>28.8</v>
      </c>
      <c r="J41" s="154"/>
      <c r="K41" s="154"/>
    </row>
    <row r="42" spans="2:11" x14ac:dyDescent="0.45">
      <c r="B42" s="40" t="s">
        <v>194</v>
      </c>
      <c r="C42" s="154">
        <v>2</v>
      </c>
      <c r="D42" s="154" t="s">
        <v>20</v>
      </c>
      <c r="E42" s="154">
        <v>20</v>
      </c>
      <c r="F42" s="155">
        <v>1.06</v>
      </c>
      <c r="G42" s="154">
        <f>+PRODUCT(C42:F42)</f>
        <v>42.400000000000006</v>
      </c>
      <c r="J42" s="154"/>
      <c r="K42" s="154"/>
    </row>
    <row r="43" spans="2:11" x14ac:dyDescent="0.45">
      <c r="B43" s="40" t="s">
        <v>194</v>
      </c>
      <c r="C43" s="154">
        <v>2</v>
      </c>
      <c r="D43" s="154" t="s">
        <v>20</v>
      </c>
      <c r="E43" s="154">
        <v>20</v>
      </c>
      <c r="F43" s="155">
        <v>0.82</v>
      </c>
      <c r="G43" s="154">
        <f>+PRODUCT(C43:F43)</f>
        <v>32.799999999999997</v>
      </c>
      <c r="J43" s="154"/>
      <c r="K43" s="154"/>
    </row>
    <row r="44" spans="2:11" x14ac:dyDescent="0.45">
      <c r="G44" s="154">
        <f>+PRODUCT(C44:F44)</f>
        <v>0</v>
      </c>
      <c r="J44" s="154"/>
      <c r="K44" s="154"/>
    </row>
    <row r="45" spans="2:11" x14ac:dyDescent="0.45">
      <c r="B45" s="40" t="s">
        <v>193</v>
      </c>
      <c r="C45" s="154">
        <v>2</v>
      </c>
      <c r="D45" s="154" t="s">
        <v>20</v>
      </c>
      <c r="E45" s="154">
        <v>4</v>
      </c>
      <c r="F45" s="154">
        <v>4.5999999999999996</v>
      </c>
      <c r="J45" s="154">
        <f>+PRODUCT(C45:F45)</f>
        <v>36.799999999999997</v>
      </c>
      <c r="K45" s="154"/>
    </row>
    <row r="46" spans="2:11" x14ac:dyDescent="0.45">
      <c r="B46" s="40" t="s">
        <v>59</v>
      </c>
      <c r="C46" s="154">
        <v>2</v>
      </c>
      <c r="D46" s="154" t="s">
        <v>20</v>
      </c>
      <c r="E46" s="154">
        <v>4</v>
      </c>
      <c r="F46" s="154">
        <v>4.5999999999999996</v>
      </c>
      <c r="I46" s="154">
        <f>+PRODUCT(C46:F46)</f>
        <v>36.799999999999997</v>
      </c>
      <c r="J46" s="154"/>
      <c r="K46" s="154"/>
    </row>
    <row r="47" spans="2:11" x14ac:dyDescent="0.45">
      <c r="B47" s="40" t="s">
        <v>194</v>
      </c>
      <c r="C47" s="154">
        <v>2</v>
      </c>
      <c r="D47" s="154" t="s">
        <v>20</v>
      </c>
      <c r="E47" s="154">
        <v>26</v>
      </c>
      <c r="F47" s="154">
        <v>1.06</v>
      </c>
      <c r="G47" s="154">
        <f>+PRODUCT(C47:F47)</f>
        <v>55.120000000000005</v>
      </c>
      <c r="J47" s="154"/>
      <c r="K47" s="154"/>
    </row>
    <row r="48" spans="2:11" x14ac:dyDescent="0.45">
      <c r="B48" s="40" t="s">
        <v>194</v>
      </c>
      <c r="C48" s="154">
        <v>2</v>
      </c>
      <c r="D48" s="154" t="s">
        <v>20</v>
      </c>
      <c r="E48" s="154">
        <v>42</v>
      </c>
      <c r="F48" s="154">
        <v>0.82</v>
      </c>
      <c r="G48" s="154">
        <f>+PRODUCT(C48:F48)</f>
        <v>68.88</v>
      </c>
      <c r="J48" s="154"/>
      <c r="K48" s="154"/>
    </row>
    <row r="49" spans="1:11" x14ac:dyDescent="0.45">
      <c r="B49" s="38" t="s">
        <v>192</v>
      </c>
      <c r="F49" s="155"/>
      <c r="J49" s="154"/>
      <c r="K49" s="154"/>
    </row>
    <row r="50" spans="1:11" x14ac:dyDescent="0.45">
      <c r="B50" s="40" t="s">
        <v>193</v>
      </c>
      <c r="C50" s="154">
        <v>2</v>
      </c>
      <c r="D50" s="154" t="s">
        <v>20</v>
      </c>
      <c r="E50" s="154">
        <v>4</v>
      </c>
      <c r="F50" s="155">
        <v>3.6</v>
      </c>
      <c r="J50" s="154">
        <f>+PRODUCT(C50:F50)</f>
        <v>28.8</v>
      </c>
      <c r="K50" s="154"/>
    </row>
    <row r="51" spans="1:11" x14ac:dyDescent="0.45">
      <c r="B51" s="40" t="s">
        <v>59</v>
      </c>
      <c r="C51" s="154">
        <v>2</v>
      </c>
      <c r="D51" s="154" t="s">
        <v>20</v>
      </c>
      <c r="E51" s="154">
        <v>6</v>
      </c>
      <c r="F51" s="155">
        <v>3.6</v>
      </c>
      <c r="I51" s="154">
        <f>+PRODUCT(C51:F51)</f>
        <v>43.2</v>
      </c>
      <c r="J51" s="154"/>
      <c r="K51" s="154"/>
    </row>
    <row r="52" spans="1:11" x14ac:dyDescent="0.45">
      <c r="B52" s="40" t="s">
        <v>194</v>
      </c>
      <c r="C52" s="154">
        <v>2</v>
      </c>
      <c r="D52" s="154" t="s">
        <v>20</v>
      </c>
      <c r="E52" s="154">
        <v>20</v>
      </c>
      <c r="F52" s="155">
        <v>1.26</v>
      </c>
      <c r="G52" s="154">
        <f>+PRODUCT(C52:F52)</f>
        <v>50.4</v>
      </c>
      <c r="J52" s="154"/>
      <c r="K52" s="154"/>
    </row>
    <row r="53" spans="1:11" x14ac:dyDescent="0.45">
      <c r="B53" s="40" t="s">
        <v>194</v>
      </c>
      <c r="C53" s="154">
        <v>2</v>
      </c>
      <c r="D53" s="154" t="s">
        <v>20</v>
      </c>
      <c r="E53" s="154">
        <v>40</v>
      </c>
      <c r="F53" s="155">
        <v>1.1399999999999999</v>
      </c>
      <c r="G53" s="154">
        <f>+PRODUCT(C53:F53)</f>
        <v>91.199999999999989</v>
      </c>
      <c r="J53" s="154"/>
      <c r="K53" s="154"/>
    </row>
    <row r="54" spans="1:11" x14ac:dyDescent="0.45">
      <c r="J54" s="154"/>
      <c r="K54" s="154"/>
    </row>
    <row r="55" spans="1:11" x14ac:dyDescent="0.45">
      <c r="B55" s="40" t="s">
        <v>193</v>
      </c>
      <c r="C55" s="154">
        <v>2</v>
      </c>
      <c r="D55" s="154" t="s">
        <v>20</v>
      </c>
      <c r="E55" s="154">
        <v>4</v>
      </c>
      <c r="F55" s="154">
        <v>4.5999999999999996</v>
      </c>
      <c r="J55" s="154">
        <f>+PRODUCT(C55:F55)</f>
        <v>36.799999999999997</v>
      </c>
      <c r="K55" s="154"/>
    </row>
    <row r="56" spans="1:11" x14ac:dyDescent="0.45">
      <c r="B56" s="40" t="s">
        <v>59</v>
      </c>
      <c r="C56" s="154">
        <v>2</v>
      </c>
      <c r="D56" s="154" t="s">
        <v>20</v>
      </c>
      <c r="E56" s="154">
        <v>6</v>
      </c>
      <c r="F56" s="155">
        <v>4.5999999999999996</v>
      </c>
      <c r="I56" s="154">
        <f>+PRODUCT(C56:F56)</f>
        <v>55.199999999999996</v>
      </c>
      <c r="J56" s="154"/>
      <c r="K56" s="154"/>
    </row>
    <row r="57" spans="1:11" x14ac:dyDescent="0.45">
      <c r="B57" s="40" t="s">
        <v>194</v>
      </c>
      <c r="C57" s="154">
        <v>2</v>
      </c>
      <c r="D57" s="154" t="s">
        <v>20</v>
      </c>
      <c r="E57" s="154">
        <v>26</v>
      </c>
      <c r="F57" s="155">
        <v>1.26</v>
      </c>
      <c r="G57" s="154">
        <f>+PRODUCT(C57:F57)</f>
        <v>65.52</v>
      </c>
      <c r="J57" s="154"/>
      <c r="K57" s="154"/>
    </row>
    <row r="58" spans="1:11" x14ac:dyDescent="0.45">
      <c r="B58" s="40" t="s">
        <v>194</v>
      </c>
      <c r="C58" s="154">
        <v>2</v>
      </c>
      <c r="D58" s="154" t="s">
        <v>20</v>
      </c>
      <c r="E58" s="154">
        <v>42</v>
      </c>
      <c r="F58" s="154">
        <v>1.1399999999999999</v>
      </c>
      <c r="G58" s="154">
        <f>+PRODUCT(C58:F58)</f>
        <v>95.759999999999991</v>
      </c>
      <c r="J58" s="154"/>
      <c r="K58" s="154"/>
    </row>
    <row r="59" spans="1:11" s="229" customFormat="1" ht="17.100000000000001" customHeight="1" x14ac:dyDescent="0.45">
      <c r="A59" s="230"/>
      <c r="B59" s="230"/>
      <c r="C59" s="227"/>
      <c r="D59" s="227"/>
      <c r="E59" s="227"/>
      <c r="F59" s="227"/>
      <c r="G59" s="227">
        <f>SUM(G30:G58)</f>
        <v>1671.7600000000002</v>
      </c>
      <c r="H59" s="227">
        <f t="shared" ref="H59:K59" si="1">SUM(H30:H58)</f>
        <v>0</v>
      </c>
      <c r="I59" s="227">
        <f t="shared" si="1"/>
        <v>545.6</v>
      </c>
      <c r="J59" s="227">
        <f t="shared" si="1"/>
        <v>385.6</v>
      </c>
      <c r="K59" s="227">
        <f t="shared" si="1"/>
        <v>0</v>
      </c>
    </row>
    <row r="60" spans="1:11" x14ac:dyDescent="0.45">
      <c r="A60" s="37"/>
      <c r="B60" s="317">
        <v>5</v>
      </c>
      <c r="C60" s="317"/>
      <c r="D60" s="317"/>
      <c r="E60" s="317"/>
      <c r="F60" s="317"/>
      <c r="G60" s="317"/>
      <c r="H60" s="317"/>
      <c r="I60" s="317"/>
      <c r="J60" s="107"/>
      <c r="K60" s="107"/>
    </row>
    <row r="61" spans="1:11" x14ac:dyDescent="0.45">
      <c r="B61" s="38" t="s">
        <v>261</v>
      </c>
      <c r="J61" s="154"/>
      <c r="K61" s="154"/>
    </row>
    <row r="62" spans="1:11" x14ac:dyDescent="0.45">
      <c r="B62" s="40" t="s">
        <v>262</v>
      </c>
      <c r="C62" s="154">
        <v>2</v>
      </c>
      <c r="D62" s="154" t="s">
        <v>20</v>
      </c>
      <c r="E62" s="154">
        <v>6</v>
      </c>
      <c r="F62" s="154">
        <v>42.98</v>
      </c>
      <c r="J62" s="154"/>
      <c r="K62" s="154">
        <f t="shared" ref="K62:K63" si="2">+PRODUCT(C62:F62)</f>
        <v>515.76</v>
      </c>
    </row>
    <row r="63" spans="1:11" x14ac:dyDescent="0.45">
      <c r="B63" s="40" t="s">
        <v>263</v>
      </c>
      <c r="C63" s="154">
        <v>2</v>
      </c>
      <c r="D63" s="154" t="s">
        <v>20</v>
      </c>
      <c r="E63" s="154">
        <f>6*4</f>
        <v>24</v>
      </c>
      <c r="F63" s="154">
        <v>1</v>
      </c>
      <c r="J63" s="154"/>
      <c r="K63" s="154">
        <f t="shared" si="2"/>
        <v>48</v>
      </c>
    </row>
    <row r="64" spans="1:11" x14ac:dyDescent="0.45">
      <c r="B64" s="40" t="s">
        <v>264</v>
      </c>
      <c r="C64" s="154">
        <v>2</v>
      </c>
      <c r="D64" s="154" t="s">
        <v>20</v>
      </c>
      <c r="E64" s="154">
        <v>2</v>
      </c>
      <c r="F64" s="154">
        <v>42.98</v>
      </c>
      <c r="I64" s="154">
        <f t="shared" ref="I64:I65" si="3">+PRODUCT(C64:F64)</f>
        <v>171.92</v>
      </c>
      <c r="J64" s="154"/>
      <c r="K64" s="154"/>
    </row>
    <row r="65" spans="1:11" x14ac:dyDescent="0.45">
      <c r="B65" s="40" t="s">
        <v>250</v>
      </c>
      <c r="C65" s="154">
        <v>2</v>
      </c>
      <c r="D65" s="154" t="s">
        <v>20</v>
      </c>
      <c r="E65" s="154">
        <f>2*4</f>
        <v>8</v>
      </c>
      <c r="F65" s="154">
        <v>0.6</v>
      </c>
      <c r="I65" s="154">
        <f t="shared" si="3"/>
        <v>9.6</v>
      </c>
      <c r="J65" s="154"/>
      <c r="K65" s="154"/>
    </row>
    <row r="66" spans="1:11" x14ac:dyDescent="0.45">
      <c r="B66" s="40" t="s">
        <v>265</v>
      </c>
      <c r="C66" s="154">
        <v>2</v>
      </c>
      <c r="D66" s="154" t="s">
        <v>20</v>
      </c>
      <c r="E66" s="154">
        <v>280</v>
      </c>
      <c r="F66" s="154">
        <v>1.26</v>
      </c>
      <c r="G66" s="154">
        <f>+PRODUCT(C66:F66)</f>
        <v>705.6</v>
      </c>
      <c r="J66" s="154"/>
      <c r="K66" s="154"/>
    </row>
    <row r="67" spans="1:11" x14ac:dyDescent="0.45">
      <c r="J67" s="154"/>
      <c r="K67" s="154"/>
    </row>
    <row r="68" spans="1:11" x14ac:dyDescent="0.45">
      <c r="B68" s="40" t="s">
        <v>262</v>
      </c>
      <c r="C68" s="154">
        <v>2</v>
      </c>
      <c r="D68" s="154" t="s">
        <v>20</v>
      </c>
      <c r="E68" s="154">
        <v>6</v>
      </c>
      <c r="F68" s="154">
        <v>15.4</v>
      </c>
      <c r="J68" s="154"/>
      <c r="K68" s="154">
        <f t="shared" ref="K68:K69" si="4">+PRODUCT(C68:F68)</f>
        <v>184.8</v>
      </c>
    </row>
    <row r="69" spans="1:11" x14ac:dyDescent="0.45">
      <c r="B69" s="40" t="s">
        <v>263</v>
      </c>
      <c r="C69" s="154">
        <v>2</v>
      </c>
      <c r="D69" s="154" t="s">
        <v>20</v>
      </c>
      <c r="E69" s="154">
        <f>1*6</f>
        <v>6</v>
      </c>
      <c r="F69" s="154">
        <v>1</v>
      </c>
      <c r="J69" s="154"/>
      <c r="K69" s="154">
        <f t="shared" si="4"/>
        <v>12</v>
      </c>
    </row>
    <row r="70" spans="1:11" x14ac:dyDescent="0.45">
      <c r="B70" s="40" t="s">
        <v>264</v>
      </c>
      <c r="C70" s="154">
        <v>2</v>
      </c>
      <c r="D70" s="154" t="s">
        <v>20</v>
      </c>
      <c r="E70" s="154">
        <v>2</v>
      </c>
      <c r="F70" s="154">
        <v>15.4</v>
      </c>
      <c r="I70" s="154">
        <f t="shared" ref="I70:I71" si="5">+PRODUCT(C70:F70)</f>
        <v>61.6</v>
      </c>
      <c r="J70" s="154"/>
      <c r="K70" s="154"/>
    </row>
    <row r="71" spans="1:11" x14ac:dyDescent="0.45">
      <c r="B71" s="40" t="s">
        <v>250</v>
      </c>
      <c r="C71" s="154">
        <v>2</v>
      </c>
      <c r="D71" s="154" t="s">
        <v>20</v>
      </c>
      <c r="E71" s="154">
        <v>2</v>
      </c>
      <c r="F71" s="154">
        <v>0.66</v>
      </c>
      <c r="I71" s="154">
        <f t="shared" si="5"/>
        <v>2.64</v>
      </c>
      <c r="J71" s="154"/>
      <c r="K71" s="154"/>
    </row>
    <row r="72" spans="1:11" x14ac:dyDescent="0.45">
      <c r="B72" s="40" t="s">
        <v>265</v>
      </c>
      <c r="C72" s="154">
        <v>2</v>
      </c>
      <c r="D72" s="154" t="s">
        <v>20</v>
      </c>
      <c r="E72" s="154">
        <v>101</v>
      </c>
      <c r="F72" s="154">
        <v>1.26</v>
      </c>
      <c r="G72" s="154">
        <f>+PRODUCT(C72:F72)</f>
        <v>254.52</v>
      </c>
      <c r="J72" s="154"/>
      <c r="K72" s="154"/>
    </row>
    <row r="73" spans="1:11" x14ac:dyDescent="0.45">
      <c r="J73" s="154"/>
      <c r="K73" s="154"/>
    </row>
    <row r="74" spans="1:11" s="36" customFormat="1" x14ac:dyDescent="0.45">
      <c r="A74" s="38"/>
      <c r="B74" s="38" t="s">
        <v>268</v>
      </c>
      <c r="C74" s="153"/>
      <c r="D74" s="153"/>
      <c r="E74" s="153"/>
      <c r="F74" s="153"/>
      <c r="G74" s="153"/>
      <c r="H74" s="153"/>
      <c r="I74" s="153"/>
      <c r="J74" s="153"/>
      <c r="K74" s="153"/>
    </row>
    <row r="75" spans="1:11" x14ac:dyDescent="0.45">
      <c r="B75" s="40" t="s">
        <v>258</v>
      </c>
      <c r="C75" s="154">
        <v>14</v>
      </c>
      <c r="D75" s="154" t="s">
        <v>20</v>
      </c>
      <c r="E75" s="154">
        <v>4</v>
      </c>
      <c r="F75" s="154">
        <v>1.1000000000000001</v>
      </c>
      <c r="I75" s="154">
        <f>+PRODUCT(C75:F75)</f>
        <v>61.600000000000009</v>
      </c>
      <c r="J75" s="154"/>
      <c r="K75" s="154"/>
    </row>
    <row r="76" spans="1:11" x14ac:dyDescent="0.45">
      <c r="B76" s="40" t="s">
        <v>265</v>
      </c>
      <c r="C76" s="154">
        <v>14</v>
      </c>
      <c r="D76" s="154" t="s">
        <v>20</v>
      </c>
      <c r="E76" s="154">
        <v>8</v>
      </c>
      <c r="F76" s="154">
        <v>0.85</v>
      </c>
      <c r="G76" s="154">
        <f>+PRODUCT(C76:F76)</f>
        <v>95.2</v>
      </c>
      <c r="J76" s="154"/>
      <c r="K76" s="154"/>
    </row>
    <row r="77" spans="1:11" x14ac:dyDescent="0.45">
      <c r="B77" s="40" t="s">
        <v>264</v>
      </c>
      <c r="C77" s="154">
        <v>14</v>
      </c>
      <c r="D77" s="154" t="s">
        <v>20</v>
      </c>
      <c r="E77" s="154">
        <v>6</v>
      </c>
      <c r="F77" s="154">
        <v>0.75</v>
      </c>
      <c r="I77" s="154">
        <f>+PRODUCT(C77:F77)</f>
        <v>63</v>
      </c>
      <c r="J77" s="154"/>
      <c r="K77" s="154"/>
    </row>
    <row r="78" spans="1:11" x14ac:dyDescent="0.45">
      <c r="B78" s="40" t="s">
        <v>195</v>
      </c>
      <c r="C78" s="154">
        <v>14</v>
      </c>
      <c r="D78" s="154" t="s">
        <v>20</v>
      </c>
      <c r="E78" s="154">
        <v>1</v>
      </c>
      <c r="F78" s="154">
        <v>1.1000000000000001</v>
      </c>
      <c r="G78" s="154">
        <f>+PRODUCT(C78:F78)</f>
        <v>15.400000000000002</v>
      </c>
      <c r="J78" s="154"/>
      <c r="K78" s="154"/>
    </row>
    <row r="79" spans="1:11" x14ac:dyDescent="0.45">
      <c r="J79" s="154"/>
      <c r="K79" s="154"/>
    </row>
    <row r="80" spans="1:11" s="36" customFormat="1" x14ac:dyDescent="0.45">
      <c r="A80" s="38"/>
      <c r="B80" s="38" t="s">
        <v>387</v>
      </c>
      <c r="C80" s="153"/>
      <c r="D80" s="153"/>
      <c r="E80" s="153"/>
      <c r="F80" s="153"/>
      <c r="G80" s="153"/>
      <c r="H80" s="153"/>
      <c r="I80" s="153"/>
      <c r="J80" s="153"/>
      <c r="K80" s="153"/>
    </row>
    <row r="81" spans="1:11" x14ac:dyDescent="0.45">
      <c r="B81" s="40" t="s">
        <v>264</v>
      </c>
      <c r="C81" s="154">
        <v>4</v>
      </c>
      <c r="D81" s="154" t="s">
        <v>20</v>
      </c>
      <c r="E81" s="154">
        <v>16</v>
      </c>
      <c r="F81" s="154">
        <v>1.33</v>
      </c>
      <c r="I81" s="154">
        <f>+PRODUCT(C81:F81)</f>
        <v>85.12</v>
      </c>
      <c r="J81" s="154"/>
      <c r="K81" s="154"/>
    </row>
    <row r="82" spans="1:11" x14ac:dyDescent="0.45">
      <c r="B82" s="40" t="s">
        <v>195</v>
      </c>
      <c r="C82" s="154">
        <v>4</v>
      </c>
      <c r="D82" s="154" t="s">
        <v>20</v>
      </c>
      <c r="E82" s="154">
        <v>7</v>
      </c>
      <c r="F82" s="154">
        <v>2.4</v>
      </c>
      <c r="G82" s="154">
        <f>+PRODUCT(C82:F82)</f>
        <v>67.2</v>
      </c>
      <c r="J82" s="154"/>
      <c r="K82" s="154"/>
    </row>
    <row r="83" spans="1:11" x14ac:dyDescent="0.45">
      <c r="B83" s="38" t="s">
        <v>270</v>
      </c>
      <c r="J83" s="154"/>
      <c r="K83" s="154"/>
    </row>
    <row r="84" spans="1:11" x14ac:dyDescent="0.45">
      <c r="B84" s="40" t="s">
        <v>271</v>
      </c>
      <c r="C84" s="154">
        <v>2</v>
      </c>
      <c r="D84" s="154" t="s">
        <v>20</v>
      </c>
      <c r="E84" s="154">
        <v>4</v>
      </c>
      <c r="F84" s="154">
        <v>2.4</v>
      </c>
      <c r="J84" s="154">
        <f t="shared" ref="J84" si="6">+PRODUCT(C84:F84)</f>
        <v>19.2</v>
      </c>
      <c r="K84" s="154"/>
    </row>
    <row r="85" spans="1:11" x14ac:dyDescent="0.45">
      <c r="B85" s="40" t="s">
        <v>265</v>
      </c>
      <c r="C85" s="154">
        <v>2</v>
      </c>
      <c r="D85" s="154" t="s">
        <v>20</v>
      </c>
      <c r="E85" s="154">
        <v>16</v>
      </c>
      <c r="F85" s="154">
        <v>0.8</v>
      </c>
      <c r="G85" s="154">
        <f>+PRODUCT(C85:F85)</f>
        <v>25.6</v>
      </c>
      <c r="J85" s="154"/>
      <c r="K85" s="154"/>
    </row>
    <row r="86" spans="1:11" s="229" customFormat="1" ht="17.100000000000001" customHeight="1" x14ac:dyDescent="0.45">
      <c r="A86" s="230"/>
      <c r="B86" s="230"/>
      <c r="C86" s="227"/>
      <c r="D86" s="227"/>
      <c r="E86" s="227"/>
      <c r="F86" s="227"/>
      <c r="G86" s="227">
        <f>SUM(G62:G85)</f>
        <v>1163.52</v>
      </c>
      <c r="H86" s="227">
        <f t="shared" ref="H86:K86" si="7">SUM(H62:H85)</f>
        <v>0</v>
      </c>
      <c r="I86" s="227">
        <f t="shared" si="7"/>
        <v>455.47999999999996</v>
      </c>
      <c r="J86" s="227">
        <f t="shared" si="7"/>
        <v>19.2</v>
      </c>
      <c r="K86" s="227">
        <f t="shared" si="7"/>
        <v>760.56</v>
      </c>
    </row>
    <row r="87" spans="1:11" x14ac:dyDescent="0.45">
      <c r="A87" s="37"/>
      <c r="B87" s="317">
        <v>7</v>
      </c>
      <c r="C87" s="317"/>
      <c r="D87" s="317"/>
      <c r="E87" s="317"/>
      <c r="F87" s="317"/>
      <c r="G87" s="317"/>
      <c r="H87" s="317"/>
      <c r="I87" s="317"/>
      <c r="J87" s="107"/>
      <c r="K87" s="107"/>
    </row>
    <row r="88" spans="1:11" x14ac:dyDescent="0.45">
      <c r="B88" s="38" t="s">
        <v>388</v>
      </c>
      <c r="J88" s="154"/>
      <c r="K88" s="154"/>
    </row>
    <row r="89" spans="1:11" x14ac:dyDescent="0.45">
      <c r="B89" s="40" t="s">
        <v>266</v>
      </c>
      <c r="C89" s="154">
        <v>2</v>
      </c>
      <c r="D89" s="154" t="s">
        <v>20</v>
      </c>
      <c r="E89" s="154">
        <v>2</v>
      </c>
      <c r="F89" s="154">
        <v>42.98</v>
      </c>
      <c r="J89" s="154"/>
      <c r="K89" s="154">
        <f t="shared" ref="K89:K90" si="8">+PRODUCT(C89:F89)</f>
        <v>171.92</v>
      </c>
    </row>
    <row r="90" spans="1:11" x14ac:dyDescent="0.45">
      <c r="B90" s="40" t="s">
        <v>263</v>
      </c>
      <c r="C90" s="154">
        <v>2</v>
      </c>
      <c r="D90" s="154" t="s">
        <v>20</v>
      </c>
      <c r="E90" s="154">
        <f>2*4</f>
        <v>8</v>
      </c>
      <c r="F90" s="154">
        <v>1</v>
      </c>
      <c r="J90" s="154"/>
      <c r="K90" s="154">
        <f t="shared" si="8"/>
        <v>16</v>
      </c>
    </row>
    <row r="91" spans="1:11" x14ac:dyDescent="0.45">
      <c r="B91" s="40" t="s">
        <v>254</v>
      </c>
      <c r="C91" s="154">
        <v>2</v>
      </c>
      <c r="D91" s="154" t="s">
        <v>20</v>
      </c>
      <c r="E91" s="154">
        <v>4</v>
      </c>
      <c r="F91" s="154">
        <v>42.98</v>
      </c>
      <c r="J91" s="154">
        <f t="shared" ref="J91:J92" si="9">+PRODUCT(C91:F91)</f>
        <v>343.84</v>
      </c>
      <c r="K91" s="154"/>
    </row>
    <row r="92" spans="1:11" x14ac:dyDescent="0.45">
      <c r="B92" s="40" t="s">
        <v>267</v>
      </c>
      <c r="C92" s="154">
        <v>2</v>
      </c>
      <c r="D92" s="154" t="s">
        <v>20</v>
      </c>
      <c r="E92" s="154">
        <f>4*4</f>
        <v>16</v>
      </c>
      <c r="F92" s="154">
        <v>0.8</v>
      </c>
      <c r="J92" s="154">
        <f t="shared" si="9"/>
        <v>25.6</v>
      </c>
      <c r="K92" s="154"/>
    </row>
    <row r="93" spans="1:11" x14ac:dyDescent="0.45">
      <c r="B93" s="40" t="s">
        <v>264</v>
      </c>
      <c r="C93" s="154">
        <v>2</v>
      </c>
      <c r="D93" s="154" t="s">
        <v>20</v>
      </c>
      <c r="E93" s="154">
        <v>2</v>
      </c>
      <c r="F93" s="154">
        <v>42.98</v>
      </c>
      <c r="I93" s="154">
        <f t="shared" ref="I93:I94" si="10">+PRODUCT(C93:F93)</f>
        <v>171.92</v>
      </c>
      <c r="J93" s="154"/>
      <c r="K93" s="154"/>
    </row>
    <row r="94" spans="1:11" x14ac:dyDescent="0.45">
      <c r="B94" s="40" t="s">
        <v>250</v>
      </c>
      <c r="C94" s="154">
        <v>2</v>
      </c>
      <c r="D94" s="154" t="s">
        <v>20</v>
      </c>
      <c r="E94" s="154">
        <f>2*4</f>
        <v>8</v>
      </c>
      <c r="F94" s="154">
        <v>0.6</v>
      </c>
      <c r="I94" s="154">
        <f t="shared" si="10"/>
        <v>9.6</v>
      </c>
      <c r="J94" s="154"/>
      <c r="K94" s="154"/>
    </row>
    <row r="95" spans="1:11" x14ac:dyDescent="0.45">
      <c r="B95" s="40" t="s">
        <v>265</v>
      </c>
      <c r="C95" s="154">
        <v>2</v>
      </c>
      <c r="D95" s="154" t="s">
        <v>20</v>
      </c>
      <c r="E95" s="154">
        <v>281</v>
      </c>
      <c r="F95" s="154">
        <v>1.26</v>
      </c>
      <c r="G95" s="154">
        <f>+PRODUCT(C95:F95)</f>
        <v>708.12</v>
      </c>
      <c r="J95" s="154"/>
      <c r="K95" s="154"/>
    </row>
    <row r="96" spans="1:11" x14ac:dyDescent="0.45">
      <c r="J96" s="154"/>
      <c r="K96" s="154"/>
    </row>
    <row r="97" spans="1:11" x14ac:dyDescent="0.45">
      <c r="B97" s="40" t="s">
        <v>266</v>
      </c>
      <c r="C97" s="154">
        <v>2</v>
      </c>
      <c r="D97" s="154" t="s">
        <v>20</v>
      </c>
      <c r="E97" s="154">
        <v>2</v>
      </c>
      <c r="F97" s="154">
        <v>15.4</v>
      </c>
      <c r="J97" s="154"/>
      <c r="K97" s="154">
        <f>+PRODUCT(C97:F97)</f>
        <v>61.6</v>
      </c>
    </row>
    <row r="98" spans="1:11" x14ac:dyDescent="0.45">
      <c r="B98" s="40" t="s">
        <v>263</v>
      </c>
      <c r="C98" s="154">
        <v>2</v>
      </c>
      <c r="D98" s="154" t="s">
        <v>20</v>
      </c>
      <c r="E98" s="154">
        <f>2*4</f>
        <v>8</v>
      </c>
      <c r="F98" s="154">
        <v>1</v>
      </c>
      <c r="J98" s="154"/>
      <c r="K98" s="154">
        <f>+PRODUCT(C98:F98)</f>
        <v>16</v>
      </c>
    </row>
    <row r="99" spans="1:11" x14ac:dyDescent="0.45">
      <c r="B99" s="40" t="s">
        <v>254</v>
      </c>
      <c r="C99" s="154">
        <v>2</v>
      </c>
      <c r="D99" s="154" t="s">
        <v>20</v>
      </c>
      <c r="E99" s="154">
        <v>4</v>
      </c>
      <c r="F99" s="154">
        <v>15.4</v>
      </c>
      <c r="J99" s="154">
        <f t="shared" ref="J99:J100" si="11">+PRODUCT(C99:F99)</f>
        <v>123.2</v>
      </c>
      <c r="K99" s="154"/>
    </row>
    <row r="100" spans="1:11" x14ac:dyDescent="0.45">
      <c r="B100" s="40" t="s">
        <v>267</v>
      </c>
      <c r="C100" s="154">
        <v>2</v>
      </c>
      <c r="D100" s="154" t="s">
        <v>20</v>
      </c>
      <c r="E100" s="154">
        <v>4</v>
      </c>
      <c r="F100" s="154">
        <v>0.8</v>
      </c>
      <c r="J100" s="154">
        <f t="shared" si="11"/>
        <v>6.4</v>
      </c>
      <c r="K100" s="154"/>
    </row>
    <row r="101" spans="1:11" x14ac:dyDescent="0.45">
      <c r="B101" s="40" t="s">
        <v>264</v>
      </c>
      <c r="C101" s="154">
        <v>2</v>
      </c>
      <c r="D101" s="154" t="s">
        <v>20</v>
      </c>
      <c r="E101" s="154">
        <v>2</v>
      </c>
      <c r="F101" s="154">
        <v>15.4</v>
      </c>
      <c r="I101" s="154">
        <f t="shared" ref="I101:I102" si="12">+PRODUCT(C101:F101)</f>
        <v>61.6</v>
      </c>
      <c r="J101" s="154"/>
      <c r="K101" s="154"/>
    </row>
    <row r="102" spans="1:11" x14ac:dyDescent="0.45">
      <c r="B102" s="40" t="s">
        <v>250</v>
      </c>
      <c r="C102" s="154">
        <v>2</v>
      </c>
      <c r="D102" s="154" t="s">
        <v>20</v>
      </c>
      <c r="E102" s="154">
        <v>2</v>
      </c>
      <c r="F102" s="154">
        <v>0.6</v>
      </c>
      <c r="I102" s="154">
        <f t="shared" si="12"/>
        <v>2.4</v>
      </c>
      <c r="J102" s="154"/>
      <c r="K102" s="154"/>
    </row>
    <row r="103" spans="1:11" x14ac:dyDescent="0.45">
      <c r="B103" s="40" t="s">
        <v>265</v>
      </c>
      <c r="C103" s="154">
        <v>2</v>
      </c>
      <c r="D103" s="154" t="s">
        <v>20</v>
      </c>
      <c r="E103" s="154">
        <v>101</v>
      </c>
      <c r="F103" s="154">
        <v>1.26</v>
      </c>
      <c r="G103" s="154">
        <f>+PRODUCT(C103:F103)</f>
        <v>254.52</v>
      </c>
      <c r="J103" s="154"/>
      <c r="K103" s="154"/>
    </row>
    <row r="104" spans="1:11" s="229" customFormat="1" ht="17.100000000000001" customHeight="1" x14ac:dyDescent="0.45">
      <c r="A104" s="230"/>
      <c r="B104" s="230"/>
      <c r="C104" s="227"/>
      <c r="D104" s="227"/>
      <c r="E104" s="227"/>
      <c r="F104" s="227"/>
      <c r="G104" s="227">
        <f>SUM(G89:G103)</f>
        <v>962.64</v>
      </c>
      <c r="H104" s="227">
        <f t="shared" ref="H104:K104" si="13">SUM(H89:H103)</f>
        <v>0</v>
      </c>
      <c r="I104" s="227">
        <f t="shared" si="13"/>
        <v>245.51999999999998</v>
      </c>
      <c r="J104" s="227">
        <f t="shared" si="13"/>
        <v>499.03999999999996</v>
      </c>
      <c r="K104" s="227">
        <f t="shared" si="13"/>
        <v>265.52</v>
      </c>
    </row>
    <row r="105" spans="1:11" x14ac:dyDescent="0.45">
      <c r="J105" s="154"/>
      <c r="K105" s="154"/>
    </row>
  </sheetData>
  <mergeCells count="10">
    <mergeCell ref="B60:I60"/>
    <mergeCell ref="B87:I87"/>
    <mergeCell ref="G3:K3"/>
    <mergeCell ref="B27:I27"/>
    <mergeCell ref="A1:J1"/>
    <mergeCell ref="A2:A3"/>
    <mergeCell ref="B2:B3"/>
    <mergeCell ref="C2:E3"/>
    <mergeCell ref="F2:F3"/>
    <mergeCell ref="B4:I4"/>
  </mergeCells>
  <pageMargins left="0.70866141732283472" right="0.70866141732283472" top="0.74803149606299213" bottom="0.74803149606299213" header="0.31496062992125984" footer="0.31496062992125984"/>
  <pageSetup scale="59" fitToHeight="0" orientation="portrait" r:id="rId1"/>
  <headerFoot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115"/>
  <sheetViews>
    <sheetView zoomScale="70" zoomScaleNormal="70" workbookViewId="0">
      <pane ySplit="3" topLeftCell="A97" activePane="bottomLeft" state="frozen"/>
      <selection activeCell="N54" sqref="N54"/>
      <selection pane="bottomLeft" activeCell="N114" sqref="N114"/>
    </sheetView>
  </sheetViews>
  <sheetFormatPr defaultColWidth="8.73046875" defaultRowHeight="17.25" x14ac:dyDescent="0.45"/>
  <cols>
    <col min="1" max="1" width="6.3984375" style="40" customWidth="1"/>
    <col min="2" max="2" width="36.1328125" style="40" customWidth="1"/>
    <col min="3" max="3" width="10.1328125" style="154" bestFit="1" customWidth="1"/>
    <col min="4" max="4" width="4.3984375" style="154" bestFit="1" customWidth="1"/>
    <col min="5" max="5" width="11.73046875" style="154" bestFit="1" customWidth="1"/>
    <col min="6" max="6" width="11.59765625" style="154" customWidth="1"/>
    <col min="7" max="7" width="15.265625" style="154" bestFit="1" customWidth="1"/>
    <col min="8" max="9" width="14.3984375" style="154" bestFit="1" customWidth="1"/>
    <col min="10" max="10" width="14.3984375" style="156" bestFit="1" customWidth="1"/>
    <col min="11" max="11" width="14" style="156" customWidth="1"/>
    <col min="12" max="16384" width="8.73046875" style="39"/>
  </cols>
  <sheetData>
    <row r="1" spans="1:11" s="36" customFormat="1" x14ac:dyDescent="0.45">
      <c r="A1" s="370" t="s">
        <v>245</v>
      </c>
      <c r="B1" s="371"/>
      <c r="C1" s="371"/>
      <c r="D1" s="371"/>
      <c r="E1" s="371"/>
      <c r="F1" s="371"/>
      <c r="G1" s="371"/>
      <c r="H1" s="371"/>
      <c r="I1" s="371"/>
      <c r="J1" s="371"/>
      <c r="K1" s="371"/>
    </row>
    <row r="2" spans="1:11" s="36" customFormat="1" x14ac:dyDescent="0.45">
      <c r="A2" s="372" t="s">
        <v>14</v>
      </c>
      <c r="B2" s="372" t="s">
        <v>11</v>
      </c>
      <c r="C2" s="369" t="s">
        <v>57</v>
      </c>
      <c r="D2" s="369"/>
      <c r="E2" s="369"/>
      <c r="F2" s="373" t="s">
        <v>58</v>
      </c>
      <c r="G2" s="153" t="s">
        <v>54</v>
      </c>
      <c r="H2" s="153" t="s">
        <v>55</v>
      </c>
      <c r="I2" s="153" t="s">
        <v>56</v>
      </c>
      <c r="J2" s="153" t="s">
        <v>188</v>
      </c>
      <c r="K2" s="153" t="s">
        <v>189</v>
      </c>
    </row>
    <row r="3" spans="1:11" s="36" customFormat="1" x14ac:dyDescent="0.45">
      <c r="A3" s="372"/>
      <c r="B3" s="372"/>
      <c r="C3" s="369"/>
      <c r="D3" s="369"/>
      <c r="E3" s="369"/>
      <c r="F3" s="373"/>
      <c r="G3" s="369" t="s">
        <v>382</v>
      </c>
      <c r="H3" s="369"/>
      <c r="I3" s="369"/>
      <c r="J3" s="369"/>
      <c r="K3" s="369"/>
    </row>
    <row r="4" spans="1:11" x14ac:dyDescent="0.45">
      <c r="A4" s="37"/>
      <c r="B4" s="317">
        <v>2</v>
      </c>
      <c r="C4" s="317"/>
      <c r="D4" s="317"/>
      <c r="E4" s="317"/>
      <c r="F4" s="317"/>
      <c r="G4" s="317"/>
      <c r="H4" s="317"/>
      <c r="I4" s="317"/>
      <c r="J4" s="107"/>
      <c r="K4" s="107"/>
    </row>
    <row r="5" spans="1:11" x14ac:dyDescent="0.45">
      <c r="A5" s="172">
        <v>1.1399999999999999</v>
      </c>
      <c r="B5" s="38" t="s">
        <v>247</v>
      </c>
      <c r="J5" s="154"/>
      <c r="K5" s="154"/>
    </row>
    <row r="6" spans="1:11" x14ac:dyDescent="0.45">
      <c r="B6" s="40" t="s">
        <v>248</v>
      </c>
      <c r="J6" s="154"/>
      <c r="K6" s="154"/>
    </row>
    <row r="7" spans="1:11" x14ac:dyDescent="0.45">
      <c r="B7" s="40" t="s">
        <v>249</v>
      </c>
      <c r="C7" s="154">
        <v>2</v>
      </c>
      <c r="D7" s="154" t="s">
        <v>20</v>
      </c>
      <c r="E7" s="154">
        <v>6</v>
      </c>
      <c r="F7" s="154">
        <v>50.03</v>
      </c>
      <c r="I7" s="154">
        <f>+PRODUCT(C7:F7)</f>
        <v>600.36</v>
      </c>
      <c r="J7" s="154"/>
      <c r="K7" s="154"/>
    </row>
    <row r="8" spans="1:11" x14ac:dyDescent="0.45">
      <c r="B8" s="40" t="s">
        <v>250</v>
      </c>
      <c r="C8" s="154">
        <v>2</v>
      </c>
      <c r="D8" s="154" t="s">
        <v>20</v>
      </c>
      <c r="E8" s="154">
        <f>6*4</f>
        <v>24</v>
      </c>
      <c r="F8" s="154">
        <v>0.6</v>
      </c>
      <c r="I8" s="154">
        <f>+PRODUCT(C8:F8)</f>
        <v>28.799999999999997</v>
      </c>
      <c r="J8" s="154"/>
      <c r="K8" s="154"/>
    </row>
    <row r="9" spans="1:11" x14ac:dyDescent="0.45">
      <c r="B9" s="40" t="s">
        <v>251</v>
      </c>
      <c r="C9" s="154">
        <v>2</v>
      </c>
      <c r="D9" s="154" t="s">
        <v>20</v>
      </c>
      <c r="E9" s="154">
        <v>307</v>
      </c>
      <c r="F9" s="154">
        <v>1.6</v>
      </c>
      <c r="H9" s="154">
        <f>+PRODUCT(C9:F9)</f>
        <v>982.40000000000009</v>
      </c>
      <c r="J9" s="154"/>
      <c r="K9" s="154"/>
    </row>
    <row r="10" spans="1:11" x14ac:dyDescent="0.45">
      <c r="B10" s="40" t="s">
        <v>195</v>
      </c>
      <c r="C10" s="154">
        <v>2</v>
      </c>
      <c r="D10" s="154" t="s">
        <v>20</v>
      </c>
      <c r="E10" s="154">
        <v>3</v>
      </c>
      <c r="F10" s="154">
        <v>50.03</v>
      </c>
      <c r="G10" s="154">
        <f>+PRODUCT(C10:F10)</f>
        <v>300.18</v>
      </c>
      <c r="J10" s="154"/>
      <c r="K10" s="154"/>
    </row>
    <row r="11" spans="1:11" x14ac:dyDescent="0.45">
      <c r="B11" s="40" t="s">
        <v>252</v>
      </c>
      <c r="C11" s="154">
        <v>2</v>
      </c>
      <c r="D11" s="154" t="s">
        <v>20</v>
      </c>
      <c r="E11" s="154">
        <f>3*4</f>
        <v>12</v>
      </c>
      <c r="F11" s="154">
        <v>0.4</v>
      </c>
      <c r="G11" s="154">
        <f>+PRODUCT(C11:F11)</f>
        <v>9.6000000000000014</v>
      </c>
      <c r="J11" s="154"/>
      <c r="K11" s="154"/>
    </row>
    <row r="12" spans="1:11" x14ac:dyDescent="0.45">
      <c r="J12" s="154"/>
      <c r="K12" s="154"/>
    </row>
    <row r="13" spans="1:11" x14ac:dyDescent="0.45">
      <c r="B13" s="40" t="s">
        <v>253</v>
      </c>
      <c r="J13" s="154"/>
      <c r="K13" s="154"/>
    </row>
    <row r="14" spans="1:11" x14ac:dyDescent="0.45">
      <c r="B14" s="40" t="s">
        <v>254</v>
      </c>
      <c r="C14" s="154">
        <v>2</v>
      </c>
      <c r="D14" s="154" t="s">
        <v>20</v>
      </c>
      <c r="E14" s="154">
        <f>3*6</f>
        <v>18</v>
      </c>
      <c r="F14" s="154">
        <v>7.45</v>
      </c>
      <c r="J14" s="154">
        <f>+PRODUCT(C14:F14)</f>
        <v>268.2</v>
      </c>
      <c r="K14" s="154"/>
    </row>
    <row r="15" spans="1:11" x14ac:dyDescent="0.45">
      <c r="B15" s="40" t="s">
        <v>255</v>
      </c>
      <c r="C15" s="154">
        <v>2</v>
      </c>
      <c r="D15" s="154" t="s">
        <v>20</v>
      </c>
      <c r="E15" s="154">
        <f>3*59</f>
        <v>177</v>
      </c>
      <c r="F15" s="154">
        <v>2.23</v>
      </c>
      <c r="I15" s="154">
        <f>+PRODUCT(C15:F15)</f>
        <v>789.42</v>
      </c>
      <c r="J15" s="154"/>
      <c r="K15" s="154"/>
    </row>
    <row r="16" spans="1:11" x14ac:dyDescent="0.45">
      <c r="B16" s="40" t="s">
        <v>59</v>
      </c>
      <c r="C16" s="154">
        <v>2</v>
      </c>
      <c r="D16" s="154" t="s">
        <v>20</v>
      </c>
      <c r="E16" s="154">
        <f>3*59</f>
        <v>177</v>
      </c>
      <c r="F16" s="154">
        <v>1.3</v>
      </c>
      <c r="I16" s="154">
        <f>+PRODUCT(C16:F16)</f>
        <v>460.2</v>
      </c>
      <c r="J16" s="154"/>
      <c r="K16" s="154"/>
    </row>
    <row r="17" spans="1:11" x14ac:dyDescent="0.45">
      <c r="B17" s="40" t="s">
        <v>256</v>
      </c>
      <c r="C17" s="154">
        <v>2</v>
      </c>
      <c r="D17" s="154" t="s">
        <v>20</v>
      </c>
      <c r="E17" s="154">
        <f>3*11</f>
        <v>33</v>
      </c>
      <c r="F17" s="154">
        <v>5.35</v>
      </c>
      <c r="I17" s="154">
        <f>+PRODUCT(C17:F17)</f>
        <v>353.09999999999997</v>
      </c>
      <c r="J17" s="154"/>
      <c r="K17" s="154"/>
    </row>
    <row r="18" spans="1:11" x14ac:dyDescent="0.45">
      <c r="B18" s="40" t="s">
        <v>257</v>
      </c>
      <c r="C18" s="154">
        <v>2</v>
      </c>
      <c r="D18" s="154" t="s">
        <v>20</v>
      </c>
      <c r="E18" s="154">
        <f>3*9</f>
        <v>27</v>
      </c>
      <c r="F18" s="154">
        <v>5.35</v>
      </c>
      <c r="I18" s="154">
        <f>+PRODUCT(C18:F18)</f>
        <v>288.89999999999998</v>
      </c>
      <c r="J18" s="154"/>
      <c r="K18" s="154"/>
    </row>
    <row r="19" spans="1:11" x14ac:dyDescent="0.45">
      <c r="B19" s="40" t="s">
        <v>269</v>
      </c>
      <c r="C19" s="154">
        <v>2</v>
      </c>
      <c r="D19" s="154" t="s">
        <v>20</v>
      </c>
      <c r="E19" s="154">
        <f>3*4</f>
        <v>12</v>
      </c>
      <c r="F19" s="154">
        <v>1.25</v>
      </c>
      <c r="J19" s="154">
        <f>+PRODUCT(C19:F19)</f>
        <v>30</v>
      </c>
      <c r="K19" s="154"/>
    </row>
    <row r="20" spans="1:11" x14ac:dyDescent="0.45">
      <c r="J20" s="154"/>
      <c r="K20" s="154"/>
    </row>
    <row r="21" spans="1:11" x14ac:dyDescent="0.45">
      <c r="B21" s="40" t="s">
        <v>248</v>
      </c>
      <c r="J21" s="154"/>
      <c r="K21" s="154"/>
    </row>
    <row r="22" spans="1:11" x14ac:dyDescent="0.45">
      <c r="B22" s="40" t="s">
        <v>258</v>
      </c>
      <c r="C22" s="154">
        <v>3</v>
      </c>
      <c r="D22" s="154" t="s">
        <v>20</v>
      </c>
      <c r="E22" s="154">
        <f>2*3</f>
        <v>6</v>
      </c>
      <c r="F22" s="154">
        <v>15.4</v>
      </c>
      <c r="I22" s="154">
        <f>+PRODUCT(C22:F22)</f>
        <v>277.2</v>
      </c>
      <c r="J22" s="154"/>
      <c r="K22" s="154"/>
    </row>
    <row r="23" spans="1:11" x14ac:dyDescent="0.45">
      <c r="B23" s="40" t="s">
        <v>250</v>
      </c>
      <c r="C23" s="154">
        <v>3</v>
      </c>
      <c r="D23" s="154" t="s">
        <v>20</v>
      </c>
      <c r="E23" s="154">
        <f>2*3</f>
        <v>6</v>
      </c>
      <c r="F23" s="154">
        <v>0.8</v>
      </c>
      <c r="I23" s="154">
        <f>+PRODUCT(C23:F23)</f>
        <v>14.4</v>
      </c>
      <c r="J23" s="154"/>
      <c r="K23" s="154"/>
    </row>
    <row r="24" spans="1:11" x14ac:dyDescent="0.45">
      <c r="B24" s="40" t="s">
        <v>259</v>
      </c>
      <c r="C24" s="154">
        <v>3</v>
      </c>
      <c r="D24" s="154" t="s">
        <v>20</v>
      </c>
      <c r="E24" s="154">
        <v>101</v>
      </c>
      <c r="F24" s="154">
        <v>1.63</v>
      </c>
      <c r="H24" s="154">
        <f>+PRODUCT(C24:F24)</f>
        <v>493.89</v>
      </c>
      <c r="J24" s="154"/>
      <c r="K24" s="154"/>
    </row>
    <row r="25" spans="1:11" x14ac:dyDescent="0.45">
      <c r="B25" s="40" t="s">
        <v>195</v>
      </c>
      <c r="C25" s="154">
        <v>3</v>
      </c>
      <c r="D25" s="154" t="s">
        <v>20</v>
      </c>
      <c r="E25" s="154">
        <v>3</v>
      </c>
      <c r="F25" s="154">
        <v>15.6</v>
      </c>
      <c r="G25" s="154">
        <f>+PRODUCT(C25:F25)</f>
        <v>140.4</v>
      </c>
      <c r="J25" s="154"/>
      <c r="K25" s="154"/>
    </row>
    <row r="26" spans="1:11" x14ac:dyDescent="0.45">
      <c r="B26" s="40" t="s">
        <v>260</v>
      </c>
      <c r="C26" s="154">
        <v>3</v>
      </c>
      <c r="D26" s="154" t="s">
        <v>20</v>
      </c>
      <c r="E26" s="154">
        <v>3</v>
      </c>
      <c r="F26" s="154">
        <v>0.4</v>
      </c>
      <c r="G26" s="154">
        <f>+PRODUCT(C26:F26)</f>
        <v>3.6</v>
      </c>
      <c r="J26" s="154"/>
      <c r="K26" s="154"/>
    </row>
    <row r="27" spans="1:11" x14ac:dyDescent="0.45">
      <c r="A27" s="108"/>
      <c r="B27" s="41"/>
      <c r="F27" s="155"/>
      <c r="G27" s="154">
        <f>SUM(G7:G26)</f>
        <v>453.78000000000009</v>
      </c>
      <c r="H27" s="154">
        <f t="shared" ref="H27:J27" si="0">SUM(H7:H26)</f>
        <v>1476.29</v>
      </c>
      <c r="I27" s="154">
        <f t="shared" si="0"/>
        <v>2812.38</v>
      </c>
      <c r="J27" s="154">
        <f t="shared" si="0"/>
        <v>298.2</v>
      </c>
      <c r="K27" s="154"/>
    </row>
    <row r="28" spans="1:11" s="229" customFormat="1" x14ac:dyDescent="0.45">
      <c r="A28" s="225"/>
      <c r="B28" s="226"/>
      <c r="C28" s="227"/>
      <c r="D28" s="227"/>
      <c r="E28" s="227"/>
      <c r="F28" s="228"/>
      <c r="G28" s="227">
        <f>G27+'Steel 1000MT '!G26</f>
        <v>790.2600000000001</v>
      </c>
      <c r="H28" s="227">
        <f>H27+'Steel 1000MT '!H26</f>
        <v>2629.38</v>
      </c>
      <c r="I28" s="227">
        <f>I27+'Steel 1000MT '!I26</f>
        <v>4790.82</v>
      </c>
      <c r="J28" s="227">
        <f>J27+'Steel 1000MT '!J26</f>
        <v>477</v>
      </c>
      <c r="K28" s="227"/>
    </row>
    <row r="29" spans="1:11" x14ac:dyDescent="0.45">
      <c r="A29" s="37"/>
      <c r="B29" s="317">
        <v>3</v>
      </c>
      <c r="C29" s="317"/>
      <c r="D29" s="317"/>
      <c r="E29" s="317"/>
      <c r="F29" s="317"/>
      <c r="G29" s="317"/>
      <c r="H29" s="317"/>
      <c r="I29" s="317"/>
      <c r="J29" s="107"/>
      <c r="K29" s="107"/>
    </row>
    <row r="30" spans="1:11" x14ac:dyDescent="0.45">
      <c r="A30" s="108"/>
      <c r="B30" s="38" t="s">
        <v>383</v>
      </c>
      <c r="F30" s="155"/>
      <c r="J30" s="154"/>
      <c r="K30" s="154"/>
    </row>
    <row r="31" spans="1:11" x14ac:dyDescent="0.45">
      <c r="A31" s="108"/>
      <c r="B31" s="38" t="s">
        <v>190</v>
      </c>
      <c r="F31" s="155"/>
      <c r="J31" s="154"/>
      <c r="K31" s="154"/>
    </row>
    <row r="32" spans="1:11" x14ac:dyDescent="0.45">
      <c r="B32" s="40" t="s">
        <v>193</v>
      </c>
      <c r="C32" s="154">
        <v>12</v>
      </c>
      <c r="D32" s="154" t="s">
        <v>20</v>
      </c>
      <c r="E32" s="154">
        <v>4</v>
      </c>
      <c r="F32" s="155">
        <v>3.6</v>
      </c>
      <c r="J32" s="154">
        <f>+PRODUCT(C32:F32)</f>
        <v>172.8</v>
      </c>
      <c r="K32" s="154"/>
    </row>
    <row r="33" spans="2:11" x14ac:dyDescent="0.45">
      <c r="B33" s="40" t="s">
        <v>59</v>
      </c>
      <c r="C33" s="154">
        <v>12</v>
      </c>
      <c r="D33" s="154" t="s">
        <v>20</v>
      </c>
      <c r="E33" s="154">
        <v>6</v>
      </c>
      <c r="F33" s="155">
        <v>3.6</v>
      </c>
      <c r="I33" s="154">
        <f>+PRODUCT(C33:F33)</f>
        <v>259.2</v>
      </c>
      <c r="J33" s="154"/>
      <c r="K33" s="154"/>
    </row>
    <row r="34" spans="2:11" x14ac:dyDescent="0.45">
      <c r="B34" s="40" t="s">
        <v>194</v>
      </c>
      <c r="C34" s="154">
        <v>12</v>
      </c>
      <c r="D34" s="154" t="s">
        <v>20</v>
      </c>
      <c r="E34" s="154">
        <v>20</v>
      </c>
      <c r="F34" s="155">
        <v>1.3</v>
      </c>
      <c r="G34" s="154">
        <f>+PRODUCT(C34:F34)</f>
        <v>312</v>
      </c>
      <c r="J34" s="154"/>
      <c r="K34" s="154"/>
    </row>
    <row r="35" spans="2:11" x14ac:dyDescent="0.45">
      <c r="B35" s="40" t="s">
        <v>194</v>
      </c>
      <c r="C35" s="154">
        <v>12</v>
      </c>
      <c r="D35" s="154" t="s">
        <v>20</v>
      </c>
      <c r="E35" s="154">
        <v>40</v>
      </c>
      <c r="F35" s="155">
        <v>1.04</v>
      </c>
      <c r="G35" s="154">
        <f>+PRODUCT(C35:F35)</f>
        <v>499.20000000000005</v>
      </c>
      <c r="J35" s="154"/>
      <c r="K35" s="154"/>
    </row>
    <row r="36" spans="2:11" x14ac:dyDescent="0.45">
      <c r="F36" s="155"/>
      <c r="J36" s="154"/>
      <c r="K36" s="154"/>
    </row>
    <row r="37" spans="2:11" x14ac:dyDescent="0.45">
      <c r="B37" s="40" t="s">
        <v>193</v>
      </c>
      <c r="C37" s="154">
        <v>14</v>
      </c>
      <c r="D37" s="154" t="s">
        <v>20</v>
      </c>
      <c r="E37" s="154">
        <v>4</v>
      </c>
      <c r="F37" s="155">
        <v>4.5999999999999996</v>
      </c>
      <c r="J37" s="154">
        <f>+PRODUCT(C37:F37)</f>
        <v>257.59999999999997</v>
      </c>
      <c r="K37" s="154"/>
    </row>
    <row r="38" spans="2:11" x14ac:dyDescent="0.45">
      <c r="B38" s="40" t="s">
        <v>59</v>
      </c>
      <c r="C38" s="154">
        <v>14</v>
      </c>
      <c r="D38" s="154" t="s">
        <v>20</v>
      </c>
      <c r="E38" s="154">
        <v>6</v>
      </c>
      <c r="F38" s="155">
        <v>4.5999999999999996</v>
      </c>
      <c r="I38" s="154">
        <f>+PRODUCT(C38:F38)</f>
        <v>386.4</v>
      </c>
      <c r="J38" s="154"/>
      <c r="K38" s="154"/>
    </row>
    <row r="39" spans="2:11" x14ac:dyDescent="0.45">
      <c r="B39" s="40" t="s">
        <v>194</v>
      </c>
      <c r="C39" s="154">
        <v>14</v>
      </c>
      <c r="D39" s="154" t="s">
        <v>20</v>
      </c>
      <c r="E39" s="154">
        <v>26</v>
      </c>
      <c r="F39" s="155">
        <v>1.3</v>
      </c>
      <c r="G39" s="154">
        <f>+PRODUCT(C39:F39)</f>
        <v>473.2</v>
      </c>
      <c r="J39" s="154"/>
      <c r="K39" s="154"/>
    </row>
    <row r="40" spans="2:11" x14ac:dyDescent="0.45">
      <c r="B40" s="40" t="s">
        <v>194</v>
      </c>
      <c r="C40" s="154">
        <v>14</v>
      </c>
      <c r="D40" s="154" t="s">
        <v>20</v>
      </c>
      <c r="E40" s="154">
        <v>42</v>
      </c>
      <c r="F40" s="155">
        <v>1.04</v>
      </c>
      <c r="G40" s="154">
        <f>+PRODUCT(C40:F40)</f>
        <v>611.52</v>
      </c>
      <c r="J40" s="154"/>
      <c r="K40" s="154"/>
    </row>
    <row r="41" spans="2:11" x14ac:dyDescent="0.45">
      <c r="B41" s="38" t="s">
        <v>191</v>
      </c>
      <c r="F41" s="155"/>
      <c r="J41" s="154"/>
      <c r="K41" s="154"/>
    </row>
    <row r="42" spans="2:11" x14ac:dyDescent="0.45">
      <c r="B42" s="40" t="s">
        <v>193</v>
      </c>
      <c r="C42" s="154">
        <v>2</v>
      </c>
      <c r="D42" s="154" t="s">
        <v>20</v>
      </c>
      <c r="E42" s="154">
        <v>4</v>
      </c>
      <c r="F42" s="155">
        <v>3.6</v>
      </c>
      <c r="J42" s="154">
        <f>+PRODUCT(C42:F42)</f>
        <v>28.8</v>
      </c>
      <c r="K42" s="154"/>
    </row>
    <row r="43" spans="2:11" x14ac:dyDescent="0.45">
      <c r="B43" s="40" t="s">
        <v>59</v>
      </c>
      <c r="C43" s="154">
        <v>2</v>
      </c>
      <c r="D43" s="154" t="s">
        <v>20</v>
      </c>
      <c r="E43" s="154">
        <v>4</v>
      </c>
      <c r="F43" s="155">
        <v>3.6</v>
      </c>
      <c r="I43" s="154">
        <f>+PRODUCT(C43:F43)</f>
        <v>28.8</v>
      </c>
      <c r="J43" s="154"/>
      <c r="K43" s="154"/>
    </row>
    <row r="44" spans="2:11" x14ac:dyDescent="0.45">
      <c r="B44" s="40" t="s">
        <v>194</v>
      </c>
      <c r="C44" s="154">
        <v>2</v>
      </c>
      <c r="D44" s="154" t="s">
        <v>20</v>
      </c>
      <c r="E44" s="154">
        <v>20</v>
      </c>
      <c r="F44" s="155">
        <v>1.06</v>
      </c>
      <c r="G44" s="154">
        <f>+PRODUCT(C44:F44)</f>
        <v>42.400000000000006</v>
      </c>
      <c r="J44" s="154"/>
      <c r="K44" s="154"/>
    </row>
    <row r="45" spans="2:11" x14ac:dyDescent="0.45">
      <c r="B45" s="40" t="s">
        <v>194</v>
      </c>
      <c r="C45" s="154">
        <v>2</v>
      </c>
      <c r="D45" s="154" t="s">
        <v>20</v>
      </c>
      <c r="E45" s="154">
        <v>20</v>
      </c>
      <c r="F45" s="155">
        <v>0.82</v>
      </c>
      <c r="G45" s="154">
        <f>+PRODUCT(C45:F45)</f>
        <v>32.799999999999997</v>
      </c>
      <c r="J45" s="154"/>
      <c r="K45" s="154"/>
    </row>
    <row r="46" spans="2:11" x14ac:dyDescent="0.45">
      <c r="F46" s="155"/>
      <c r="J46" s="154"/>
      <c r="K46" s="154"/>
    </row>
    <row r="47" spans="2:11" x14ac:dyDescent="0.45">
      <c r="B47" s="40" t="s">
        <v>193</v>
      </c>
      <c r="C47" s="154">
        <v>2</v>
      </c>
      <c r="D47" s="154" t="s">
        <v>20</v>
      </c>
      <c r="E47" s="154">
        <v>4</v>
      </c>
      <c r="F47" s="155">
        <v>4.5999999999999996</v>
      </c>
      <c r="J47" s="154">
        <f>+PRODUCT(C47:F47)</f>
        <v>36.799999999999997</v>
      </c>
      <c r="K47" s="154"/>
    </row>
    <row r="48" spans="2:11" x14ac:dyDescent="0.45">
      <c r="B48" s="40" t="s">
        <v>59</v>
      </c>
      <c r="C48" s="154">
        <v>2</v>
      </c>
      <c r="D48" s="154" t="s">
        <v>20</v>
      </c>
      <c r="E48" s="154">
        <v>4</v>
      </c>
      <c r="F48" s="155">
        <v>4.5999999999999996</v>
      </c>
      <c r="I48" s="154">
        <f>+PRODUCT(C48:F48)</f>
        <v>36.799999999999997</v>
      </c>
      <c r="J48" s="154"/>
      <c r="K48" s="154"/>
    </row>
    <row r="49" spans="1:11" x14ac:dyDescent="0.45">
      <c r="B49" s="40" t="s">
        <v>194</v>
      </c>
      <c r="C49" s="154">
        <v>2</v>
      </c>
      <c r="D49" s="154" t="s">
        <v>20</v>
      </c>
      <c r="E49" s="154">
        <v>26</v>
      </c>
      <c r="F49" s="155">
        <v>1.3</v>
      </c>
      <c r="G49" s="154">
        <f>+PRODUCT(C49:F49)</f>
        <v>67.600000000000009</v>
      </c>
      <c r="J49" s="154"/>
      <c r="K49" s="154"/>
    </row>
    <row r="50" spans="1:11" x14ac:dyDescent="0.45">
      <c r="B50" s="40" t="s">
        <v>194</v>
      </c>
      <c r="C50" s="154">
        <v>2</v>
      </c>
      <c r="D50" s="154" t="s">
        <v>20</v>
      </c>
      <c r="E50" s="154">
        <v>26</v>
      </c>
      <c r="F50" s="155">
        <v>1.06</v>
      </c>
      <c r="G50" s="154">
        <f>+PRODUCT(C50:F50)</f>
        <v>55.120000000000005</v>
      </c>
      <c r="J50" s="154"/>
      <c r="K50" s="154"/>
    </row>
    <row r="51" spans="1:11" x14ac:dyDescent="0.45">
      <c r="F51" s="155"/>
      <c r="J51" s="154"/>
      <c r="K51" s="154"/>
    </row>
    <row r="52" spans="1:11" x14ac:dyDescent="0.45">
      <c r="B52" s="38" t="s">
        <v>192</v>
      </c>
      <c r="F52" s="155"/>
      <c r="J52" s="154"/>
      <c r="K52" s="154"/>
    </row>
    <row r="53" spans="1:11" x14ac:dyDescent="0.45">
      <c r="B53" s="40" t="s">
        <v>193</v>
      </c>
      <c r="C53" s="154">
        <v>2</v>
      </c>
      <c r="D53" s="154" t="s">
        <v>20</v>
      </c>
      <c r="E53" s="154">
        <v>4</v>
      </c>
      <c r="F53" s="155">
        <v>3.6</v>
      </c>
      <c r="J53" s="154">
        <f>+PRODUCT(C53:F53)</f>
        <v>28.8</v>
      </c>
      <c r="K53" s="154"/>
    </row>
    <row r="54" spans="1:11" x14ac:dyDescent="0.45">
      <c r="B54" s="40" t="s">
        <v>59</v>
      </c>
      <c r="C54" s="154">
        <v>2</v>
      </c>
      <c r="D54" s="154" t="s">
        <v>20</v>
      </c>
      <c r="E54" s="154">
        <v>6</v>
      </c>
      <c r="F54" s="155">
        <v>3.6</v>
      </c>
      <c r="I54" s="154">
        <f>+PRODUCT(C54:F54)</f>
        <v>43.2</v>
      </c>
      <c r="J54" s="154"/>
      <c r="K54" s="154"/>
    </row>
    <row r="55" spans="1:11" x14ac:dyDescent="0.45">
      <c r="B55" s="40" t="s">
        <v>194</v>
      </c>
      <c r="C55" s="154">
        <v>2</v>
      </c>
      <c r="D55" s="154" t="s">
        <v>20</v>
      </c>
      <c r="E55" s="154">
        <v>20</v>
      </c>
      <c r="F55" s="155">
        <v>1.26</v>
      </c>
      <c r="G55" s="154">
        <f>+PRODUCT(C55:F55)</f>
        <v>50.4</v>
      </c>
      <c r="J55" s="154"/>
      <c r="K55" s="154"/>
    </row>
    <row r="56" spans="1:11" x14ac:dyDescent="0.45">
      <c r="B56" s="40" t="s">
        <v>194</v>
      </c>
      <c r="C56" s="154">
        <v>2</v>
      </c>
      <c r="D56" s="154" t="s">
        <v>20</v>
      </c>
      <c r="E56" s="154">
        <v>40</v>
      </c>
      <c r="F56" s="155">
        <v>1.1399999999999999</v>
      </c>
      <c r="G56" s="154">
        <f>+PRODUCT(C56:F56)</f>
        <v>91.199999999999989</v>
      </c>
      <c r="J56" s="154"/>
      <c r="K56" s="154"/>
    </row>
    <row r="57" spans="1:11" x14ac:dyDescent="0.45">
      <c r="F57" s="155"/>
      <c r="J57" s="154"/>
      <c r="K57" s="154"/>
    </row>
    <row r="58" spans="1:11" x14ac:dyDescent="0.45">
      <c r="B58" s="40" t="s">
        <v>193</v>
      </c>
      <c r="C58" s="154">
        <v>2</v>
      </c>
      <c r="D58" s="154" t="s">
        <v>20</v>
      </c>
      <c r="E58" s="154">
        <v>4</v>
      </c>
      <c r="F58" s="155">
        <v>4.5999999999999996</v>
      </c>
      <c r="J58" s="154">
        <f>+PRODUCT(C58:F58)</f>
        <v>36.799999999999997</v>
      </c>
      <c r="K58" s="154"/>
    </row>
    <row r="59" spans="1:11" x14ac:dyDescent="0.45">
      <c r="B59" s="40" t="s">
        <v>59</v>
      </c>
      <c r="C59" s="154">
        <v>2</v>
      </c>
      <c r="D59" s="154" t="s">
        <v>20</v>
      </c>
      <c r="E59" s="154">
        <v>6</v>
      </c>
      <c r="F59" s="155">
        <v>4.5999999999999996</v>
      </c>
      <c r="I59" s="154">
        <f>+PRODUCT(C59:F59)</f>
        <v>55.199999999999996</v>
      </c>
      <c r="J59" s="154"/>
      <c r="K59" s="154"/>
    </row>
    <row r="60" spans="1:11" x14ac:dyDescent="0.45">
      <c r="B60" s="40" t="s">
        <v>194</v>
      </c>
      <c r="C60" s="154">
        <v>2</v>
      </c>
      <c r="D60" s="154" t="s">
        <v>20</v>
      </c>
      <c r="E60" s="154">
        <v>26</v>
      </c>
      <c r="F60" s="155">
        <v>1.26</v>
      </c>
      <c r="G60" s="154">
        <f>+PRODUCT(C60:F60)</f>
        <v>65.52</v>
      </c>
      <c r="J60" s="154"/>
      <c r="K60" s="154"/>
    </row>
    <row r="61" spans="1:11" x14ac:dyDescent="0.45">
      <c r="B61" s="40" t="s">
        <v>194</v>
      </c>
      <c r="C61" s="154">
        <v>2</v>
      </c>
      <c r="D61" s="154" t="s">
        <v>20</v>
      </c>
      <c r="E61" s="154">
        <v>42</v>
      </c>
      <c r="F61" s="155">
        <v>1.1399999999999999</v>
      </c>
      <c r="G61" s="154">
        <f>+PRODUCT(C61:F61)</f>
        <v>95.759999999999991</v>
      </c>
      <c r="J61" s="154"/>
      <c r="K61" s="154"/>
    </row>
    <row r="62" spans="1:11" s="229" customFormat="1" ht="17.100000000000001" customHeight="1" x14ac:dyDescent="0.45">
      <c r="A62" s="230"/>
      <c r="B62" s="230"/>
      <c r="C62" s="227"/>
      <c r="D62" s="227"/>
      <c r="E62" s="227"/>
      <c r="F62" s="227"/>
      <c r="G62" s="227">
        <f>SUM(G32:G61)</f>
        <v>2396.7200000000003</v>
      </c>
      <c r="H62" s="227">
        <f t="shared" ref="H62:J62" si="1">SUM(H32:H61)</f>
        <v>0</v>
      </c>
      <c r="I62" s="227">
        <f t="shared" si="1"/>
        <v>809.59999999999991</v>
      </c>
      <c r="J62" s="227">
        <f t="shared" si="1"/>
        <v>561.59999999999991</v>
      </c>
      <c r="K62" s="227"/>
    </row>
    <row r="63" spans="1:11" s="229" customFormat="1" x14ac:dyDescent="0.45">
      <c r="A63" s="230"/>
      <c r="B63" s="230"/>
      <c r="C63" s="227"/>
      <c r="D63" s="227"/>
      <c r="E63" s="227"/>
      <c r="F63" s="228"/>
      <c r="G63" s="227">
        <f>G62+'Steel 1000MT '!G59</f>
        <v>4068.4800000000005</v>
      </c>
      <c r="H63" s="227">
        <f>H62+'Steel 1000MT '!H59</f>
        <v>0</v>
      </c>
      <c r="I63" s="227">
        <f>I62+'Steel 1000MT '!I59</f>
        <v>1355.1999999999998</v>
      </c>
      <c r="J63" s="227">
        <f>J62+'Steel 1000MT '!J59</f>
        <v>947.19999999999993</v>
      </c>
      <c r="K63" s="227"/>
    </row>
    <row r="64" spans="1:11" x14ac:dyDescent="0.45">
      <c r="A64" s="37"/>
      <c r="B64" s="317">
        <v>5</v>
      </c>
      <c r="C64" s="317"/>
      <c r="D64" s="317"/>
      <c r="E64" s="317"/>
      <c r="F64" s="317"/>
      <c r="G64" s="317"/>
      <c r="H64" s="317"/>
      <c r="I64" s="317"/>
      <c r="J64" s="107"/>
      <c r="K64" s="107"/>
    </row>
    <row r="65" spans="1:11" x14ac:dyDescent="0.45">
      <c r="A65" s="172">
        <v>1.1399999999999999</v>
      </c>
      <c r="B65" s="38" t="s">
        <v>261</v>
      </c>
      <c r="J65" s="154"/>
      <c r="K65" s="154"/>
    </row>
    <row r="66" spans="1:11" x14ac:dyDescent="0.45">
      <c r="B66" s="40" t="s">
        <v>262</v>
      </c>
      <c r="C66" s="154">
        <v>2</v>
      </c>
      <c r="D66" s="154" t="s">
        <v>20</v>
      </c>
      <c r="E66" s="154">
        <v>6</v>
      </c>
      <c r="F66" s="154">
        <v>63.98</v>
      </c>
      <c r="J66" s="154"/>
      <c r="K66" s="154">
        <f>+PRODUCT(C66:F66)</f>
        <v>767.76</v>
      </c>
    </row>
    <row r="67" spans="1:11" x14ac:dyDescent="0.45">
      <c r="B67" s="40" t="s">
        <v>263</v>
      </c>
      <c r="C67" s="154">
        <v>2</v>
      </c>
      <c r="D67" s="154" t="s">
        <v>20</v>
      </c>
      <c r="E67" s="154">
        <f>6*5</f>
        <v>30</v>
      </c>
      <c r="F67" s="154">
        <v>1</v>
      </c>
      <c r="J67" s="154"/>
      <c r="K67" s="154">
        <f>+PRODUCT(C67:F67)</f>
        <v>60</v>
      </c>
    </row>
    <row r="68" spans="1:11" x14ac:dyDescent="0.45">
      <c r="B68" s="40" t="s">
        <v>264</v>
      </c>
      <c r="C68" s="154">
        <v>2</v>
      </c>
      <c r="D68" s="154" t="s">
        <v>20</v>
      </c>
      <c r="E68" s="154">
        <v>2</v>
      </c>
      <c r="F68" s="154">
        <v>42.98</v>
      </c>
      <c r="I68" s="154">
        <f>+PRODUCT(C68:F68)</f>
        <v>171.92</v>
      </c>
      <c r="J68" s="154"/>
      <c r="K68" s="154"/>
    </row>
    <row r="69" spans="1:11" x14ac:dyDescent="0.45">
      <c r="B69" s="40" t="s">
        <v>250</v>
      </c>
      <c r="C69" s="154">
        <v>2</v>
      </c>
      <c r="D69" s="154" t="s">
        <v>20</v>
      </c>
      <c r="E69" s="154">
        <f>2*5</f>
        <v>10</v>
      </c>
      <c r="F69" s="154">
        <v>0.6</v>
      </c>
      <c r="I69" s="154">
        <f>+PRODUCT(C69:F69)</f>
        <v>12</v>
      </c>
      <c r="J69" s="154"/>
      <c r="K69" s="154"/>
    </row>
    <row r="70" spans="1:11" x14ac:dyDescent="0.45">
      <c r="B70" s="40" t="s">
        <v>265</v>
      </c>
      <c r="C70" s="154">
        <v>2</v>
      </c>
      <c r="D70" s="154" t="s">
        <v>20</v>
      </c>
      <c r="E70" s="154">
        <v>423</v>
      </c>
      <c r="F70" s="154">
        <v>1.38</v>
      </c>
      <c r="G70" s="154">
        <f>+PRODUCT(C70:F70)</f>
        <v>1167.48</v>
      </c>
      <c r="J70" s="154"/>
      <c r="K70" s="154"/>
    </row>
    <row r="71" spans="1:11" x14ac:dyDescent="0.45">
      <c r="J71" s="154"/>
      <c r="K71" s="154"/>
    </row>
    <row r="72" spans="1:11" x14ac:dyDescent="0.45">
      <c r="B72" s="40" t="s">
        <v>262</v>
      </c>
      <c r="C72" s="154">
        <v>2</v>
      </c>
      <c r="D72" s="154" t="s">
        <v>20</v>
      </c>
      <c r="E72" s="154">
        <v>6</v>
      </c>
      <c r="F72" s="154">
        <v>15.4</v>
      </c>
      <c r="J72" s="154"/>
      <c r="K72" s="154">
        <f>+PRODUCT(C72:F72)</f>
        <v>184.8</v>
      </c>
    </row>
    <row r="73" spans="1:11" x14ac:dyDescent="0.45">
      <c r="B73" s="40" t="s">
        <v>263</v>
      </c>
      <c r="C73" s="154">
        <v>2</v>
      </c>
      <c r="D73" s="154" t="s">
        <v>20</v>
      </c>
      <c r="E73" s="154">
        <f>1*6</f>
        <v>6</v>
      </c>
      <c r="F73" s="154">
        <v>1</v>
      </c>
      <c r="J73" s="154"/>
      <c r="K73" s="154">
        <f>+PRODUCT(C73:F73)</f>
        <v>12</v>
      </c>
    </row>
    <row r="74" spans="1:11" x14ac:dyDescent="0.45">
      <c r="B74" s="40" t="s">
        <v>264</v>
      </c>
      <c r="C74" s="154">
        <v>2</v>
      </c>
      <c r="D74" s="154" t="s">
        <v>20</v>
      </c>
      <c r="E74" s="154">
        <v>2</v>
      </c>
      <c r="F74" s="154">
        <v>15.4</v>
      </c>
      <c r="I74" s="154">
        <f>+PRODUCT(C74:F74)</f>
        <v>61.6</v>
      </c>
      <c r="J74" s="154"/>
      <c r="K74" s="154"/>
    </row>
    <row r="75" spans="1:11" x14ac:dyDescent="0.45">
      <c r="B75" s="40" t="s">
        <v>250</v>
      </c>
      <c r="C75" s="154">
        <v>2</v>
      </c>
      <c r="D75" s="154" t="s">
        <v>20</v>
      </c>
      <c r="E75" s="154">
        <v>2</v>
      </c>
      <c r="F75" s="154">
        <v>0.66</v>
      </c>
      <c r="I75" s="154">
        <f>+PRODUCT(C75:F75)</f>
        <v>2.64</v>
      </c>
      <c r="J75" s="154"/>
      <c r="K75" s="154"/>
    </row>
    <row r="76" spans="1:11" x14ac:dyDescent="0.45">
      <c r="B76" s="40" t="s">
        <v>265</v>
      </c>
      <c r="C76" s="154">
        <v>2</v>
      </c>
      <c r="D76" s="154" t="s">
        <v>20</v>
      </c>
      <c r="E76" s="154">
        <v>101</v>
      </c>
      <c r="F76" s="154">
        <v>1.38</v>
      </c>
      <c r="G76" s="154">
        <f>+PRODUCT(C76:F76)</f>
        <v>278.76</v>
      </c>
      <c r="J76" s="154"/>
      <c r="K76" s="154"/>
    </row>
    <row r="77" spans="1:11" x14ac:dyDescent="0.45">
      <c r="J77" s="154"/>
      <c r="K77" s="154"/>
    </row>
    <row r="78" spans="1:11" x14ac:dyDescent="0.45">
      <c r="B78" s="38" t="s">
        <v>268</v>
      </c>
      <c r="J78" s="154"/>
      <c r="K78" s="154"/>
    </row>
    <row r="79" spans="1:11" x14ac:dyDescent="0.45">
      <c r="B79" s="40" t="s">
        <v>258</v>
      </c>
      <c r="C79" s="154">
        <v>20</v>
      </c>
      <c r="D79" s="154" t="s">
        <v>20</v>
      </c>
      <c r="E79" s="154">
        <v>4</v>
      </c>
      <c r="F79" s="154">
        <v>1.1000000000000001</v>
      </c>
      <c r="I79" s="154">
        <f>+PRODUCT(C79:F79)</f>
        <v>88</v>
      </c>
      <c r="J79" s="154"/>
      <c r="K79" s="154"/>
    </row>
    <row r="80" spans="1:11" x14ac:dyDescent="0.45">
      <c r="B80" s="40" t="s">
        <v>265</v>
      </c>
      <c r="C80" s="154">
        <v>20</v>
      </c>
      <c r="D80" s="154" t="s">
        <v>20</v>
      </c>
      <c r="E80" s="154">
        <v>8</v>
      </c>
      <c r="F80" s="154">
        <v>0.85</v>
      </c>
      <c r="G80" s="154">
        <f>+PRODUCT(C80:F80)</f>
        <v>136</v>
      </c>
      <c r="J80" s="154"/>
      <c r="K80" s="154"/>
    </row>
    <row r="81" spans="1:11" x14ac:dyDescent="0.45">
      <c r="B81" s="40" t="s">
        <v>264</v>
      </c>
      <c r="C81" s="154">
        <v>20</v>
      </c>
      <c r="D81" s="154" t="s">
        <v>20</v>
      </c>
      <c r="E81" s="154">
        <v>6</v>
      </c>
      <c r="F81" s="154">
        <v>0.75</v>
      </c>
      <c r="I81" s="154">
        <f>+PRODUCT(C81:F81)</f>
        <v>90</v>
      </c>
      <c r="J81" s="154"/>
      <c r="K81" s="154"/>
    </row>
    <row r="82" spans="1:11" x14ac:dyDescent="0.45">
      <c r="B82" s="40" t="s">
        <v>195</v>
      </c>
      <c r="C82" s="154">
        <v>20</v>
      </c>
      <c r="D82" s="154" t="s">
        <v>20</v>
      </c>
      <c r="E82" s="154">
        <v>1</v>
      </c>
      <c r="F82" s="154">
        <v>1.1000000000000001</v>
      </c>
      <c r="G82" s="154">
        <f>+PRODUCT(C82:F82)</f>
        <v>22</v>
      </c>
      <c r="J82" s="154"/>
      <c r="K82" s="154"/>
    </row>
    <row r="83" spans="1:11" x14ac:dyDescent="0.45">
      <c r="B83" s="38" t="s">
        <v>387</v>
      </c>
      <c r="J83" s="154"/>
      <c r="K83" s="154"/>
    </row>
    <row r="84" spans="1:11" x14ac:dyDescent="0.45">
      <c r="B84" s="40" t="s">
        <v>264</v>
      </c>
      <c r="C84" s="154">
        <v>6</v>
      </c>
      <c r="D84" s="154" t="s">
        <v>20</v>
      </c>
      <c r="E84" s="154">
        <v>16</v>
      </c>
      <c r="F84" s="154">
        <v>1.33</v>
      </c>
      <c r="I84" s="154">
        <f>+PRODUCT(C84:F84)</f>
        <v>127.68</v>
      </c>
      <c r="J84" s="154"/>
      <c r="K84" s="154"/>
    </row>
    <row r="85" spans="1:11" x14ac:dyDescent="0.45">
      <c r="B85" s="40" t="s">
        <v>195</v>
      </c>
      <c r="C85" s="154">
        <v>6</v>
      </c>
      <c r="D85" s="154" t="s">
        <v>20</v>
      </c>
      <c r="E85" s="154">
        <v>7</v>
      </c>
      <c r="F85" s="154">
        <v>2.4</v>
      </c>
      <c r="G85" s="154">
        <f>+PRODUCT(C85:F85)</f>
        <v>100.8</v>
      </c>
      <c r="J85" s="154"/>
      <c r="K85" s="154"/>
    </row>
    <row r="86" spans="1:11" x14ac:dyDescent="0.45">
      <c r="B86" s="38" t="s">
        <v>270</v>
      </c>
      <c r="J86" s="154"/>
      <c r="K86" s="154"/>
    </row>
    <row r="87" spans="1:11" x14ac:dyDescent="0.45">
      <c r="B87" s="40" t="s">
        <v>271</v>
      </c>
      <c r="C87" s="154">
        <v>2</v>
      </c>
      <c r="D87" s="154" t="s">
        <v>20</v>
      </c>
      <c r="E87" s="154">
        <v>4</v>
      </c>
      <c r="F87" s="154">
        <v>2.4</v>
      </c>
      <c r="J87" s="154">
        <f>+PRODUCT(C87:F87)</f>
        <v>19.2</v>
      </c>
      <c r="K87" s="154"/>
    </row>
    <row r="88" spans="1:11" x14ac:dyDescent="0.45">
      <c r="B88" s="40" t="s">
        <v>265</v>
      </c>
      <c r="C88" s="154">
        <v>2</v>
      </c>
      <c r="D88" s="154" t="s">
        <v>20</v>
      </c>
      <c r="E88" s="154">
        <v>16</v>
      </c>
      <c r="F88" s="154">
        <v>0.8</v>
      </c>
      <c r="G88" s="154">
        <f>+PRODUCT(C88:F88)</f>
        <v>25.6</v>
      </c>
      <c r="J88" s="154"/>
      <c r="K88" s="154"/>
    </row>
    <row r="89" spans="1:11" s="229" customFormat="1" ht="17.100000000000001" customHeight="1" x14ac:dyDescent="0.45">
      <c r="A89" s="230"/>
      <c r="B89" s="230"/>
      <c r="C89" s="227"/>
      <c r="D89" s="227"/>
      <c r="E89" s="227"/>
      <c r="F89" s="227"/>
      <c r="G89" s="227">
        <f>SUM(G65:G88)</f>
        <v>1730.6399999999999</v>
      </c>
      <c r="H89" s="227">
        <f t="shared" ref="H89:K89" si="2">SUM(H65:H88)</f>
        <v>0</v>
      </c>
      <c r="I89" s="227">
        <f t="shared" si="2"/>
        <v>553.83999999999992</v>
      </c>
      <c r="J89" s="227">
        <f t="shared" si="2"/>
        <v>19.2</v>
      </c>
      <c r="K89" s="227">
        <f t="shared" si="2"/>
        <v>1024.56</v>
      </c>
    </row>
    <row r="90" spans="1:11" s="229" customFormat="1" ht="17.100000000000001" customHeight="1" x14ac:dyDescent="0.45">
      <c r="A90" s="230"/>
      <c r="B90" s="230"/>
      <c r="C90" s="227"/>
      <c r="D90" s="227"/>
      <c r="E90" s="227"/>
      <c r="F90" s="227"/>
      <c r="G90" s="227">
        <f>G89+'Steel 1000MT '!G86</f>
        <v>2894.16</v>
      </c>
      <c r="H90" s="227">
        <f>H89+'Steel 1000MT '!H86</f>
        <v>0</v>
      </c>
      <c r="I90" s="227">
        <f>I89+'Steel 1000MT '!I86</f>
        <v>1009.3199999999999</v>
      </c>
      <c r="J90" s="227">
        <f>J89+'Steel 1000MT '!J86</f>
        <v>38.4</v>
      </c>
      <c r="K90" s="227">
        <f>K89+'Steel 1000MT '!K86</f>
        <v>1785.12</v>
      </c>
    </row>
    <row r="91" spans="1:11" x14ac:dyDescent="0.45">
      <c r="A91" s="37"/>
      <c r="B91" s="317">
        <v>7</v>
      </c>
      <c r="C91" s="317"/>
      <c r="D91" s="317"/>
      <c r="E91" s="317"/>
      <c r="F91" s="317"/>
      <c r="G91" s="317"/>
      <c r="H91" s="317"/>
      <c r="I91" s="317"/>
      <c r="J91" s="107"/>
      <c r="K91" s="107"/>
    </row>
    <row r="92" spans="1:11" x14ac:dyDescent="0.45">
      <c r="A92" s="172">
        <v>1.1399999999999999</v>
      </c>
      <c r="B92" s="38" t="s">
        <v>388</v>
      </c>
      <c r="J92" s="154"/>
      <c r="K92" s="154"/>
    </row>
    <row r="93" spans="1:11" x14ac:dyDescent="0.45">
      <c r="B93" s="40" t="s">
        <v>266</v>
      </c>
      <c r="C93" s="154">
        <v>2</v>
      </c>
      <c r="D93" s="154" t="s">
        <v>20</v>
      </c>
      <c r="E93" s="154">
        <v>2</v>
      </c>
      <c r="F93" s="154">
        <v>63.98</v>
      </c>
      <c r="J93" s="154"/>
      <c r="K93" s="154">
        <f t="shared" ref="K93:K94" si="3">+PRODUCT(C93:F93)</f>
        <v>255.92</v>
      </c>
    </row>
    <row r="94" spans="1:11" x14ac:dyDescent="0.45">
      <c r="B94" s="40" t="s">
        <v>263</v>
      </c>
      <c r="C94" s="154">
        <v>2</v>
      </c>
      <c r="D94" s="154" t="s">
        <v>20</v>
      </c>
      <c r="E94" s="154">
        <f>2*5</f>
        <v>10</v>
      </c>
      <c r="F94" s="154">
        <v>1</v>
      </c>
      <c r="J94" s="154"/>
      <c r="K94" s="154">
        <f t="shared" si="3"/>
        <v>20</v>
      </c>
    </row>
    <row r="95" spans="1:11" x14ac:dyDescent="0.45">
      <c r="B95" s="40" t="s">
        <v>254</v>
      </c>
      <c r="C95" s="154">
        <v>2</v>
      </c>
      <c r="D95" s="154" t="s">
        <v>20</v>
      </c>
      <c r="E95" s="154">
        <v>4</v>
      </c>
      <c r="F95" s="154">
        <v>63.98</v>
      </c>
      <c r="J95" s="154">
        <f>+PRODUCT(C95:F95)</f>
        <v>511.84</v>
      </c>
      <c r="K95" s="154"/>
    </row>
    <row r="96" spans="1:11" x14ac:dyDescent="0.45">
      <c r="B96" s="40" t="s">
        <v>267</v>
      </c>
      <c r="C96" s="154">
        <v>2</v>
      </c>
      <c r="D96" s="154" t="s">
        <v>20</v>
      </c>
      <c r="E96" s="154">
        <f>4*5</f>
        <v>20</v>
      </c>
      <c r="F96" s="154">
        <v>0.8</v>
      </c>
      <c r="J96" s="154">
        <f>+PRODUCT(C96:F96)</f>
        <v>32</v>
      </c>
      <c r="K96" s="154"/>
    </row>
    <row r="97" spans="1:11" x14ac:dyDescent="0.45">
      <c r="B97" s="40" t="s">
        <v>264</v>
      </c>
      <c r="C97" s="154">
        <v>2</v>
      </c>
      <c r="D97" s="154" t="s">
        <v>20</v>
      </c>
      <c r="E97" s="154">
        <v>2</v>
      </c>
      <c r="F97" s="154">
        <v>63.98</v>
      </c>
      <c r="I97" s="154">
        <f>+PRODUCT(C97:F97)</f>
        <v>255.92</v>
      </c>
      <c r="J97" s="154"/>
      <c r="K97" s="154"/>
    </row>
    <row r="98" spans="1:11" x14ac:dyDescent="0.45">
      <c r="B98" s="40" t="s">
        <v>250</v>
      </c>
      <c r="C98" s="154">
        <v>2</v>
      </c>
      <c r="D98" s="154" t="s">
        <v>20</v>
      </c>
      <c r="E98" s="154">
        <f>2*5</f>
        <v>10</v>
      </c>
      <c r="F98" s="154">
        <v>0.6</v>
      </c>
      <c r="I98" s="154">
        <f>+PRODUCT(C98:F98)</f>
        <v>12</v>
      </c>
      <c r="J98" s="154"/>
      <c r="K98" s="154"/>
    </row>
    <row r="99" spans="1:11" x14ac:dyDescent="0.45">
      <c r="B99" s="40" t="s">
        <v>265</v>
      </c>
      <c r="C99" s="154">
        <v>2</v>
      </c>
      <c r="D99" s="154" t="s">
        <v>20</v>
      </c>
      <c r="E99" s="154">
        <v>423</v>
      </c>
      <c r="F99" s="154">
        <v>1.37</v>
      </c>
      <c r="G99" s="154">
        <f>+PRODUCT(C99:F99)</f>
        <v>1159.02</v>
      </c>
      <c r="J99" s="154"/>
      <c r="K99" s="154"/>
    </row>
    <row r="100" spans="1:11" x14ac:dyDescent="0.45">
      <c r="J100" s="154"/>
      <c r="K100" s="154"/>
    </row>
    <row r="101" spans="1:11" x14ac:dyDescent="0.45">
      <c r="B101" s="40" t="s">
        <v>266</v>
      </c>
      <c r="C101" s="154">
        <v>2</v>
      </c>
      <c r="D101" s="154" t="s">
        <v>20</v>
      </c>
      <c r="E101" s="154">
        <v>2</v>
      </c>
      <c r="F101" s="154">
        <v>15.4</v>
      </c>
      <c r="J101" s="154"/>
      <c r="K101" s="154">
        <f t="shared" ref="K101:K102" si="4">+PRODUCT(C101:F101)</f>
        <v>61.6</v>
      </c>
    </row>
    <row r="102" spans="1:11" x14ac:dyDescent="0.45">
      <c r="B102" s="40" t="s">
        <v>263</v>
      </c>
      <c r="C102" s="154">
        <v>2</v>
      </c>
      <c r="D102" s="154" t="s">
        <v>20</v>
      </c>
      <c r="E102" s="154">
        <f>2*4</f>
        <v>8</v>
      </c>
      <c r="F102" s="154">
        <v>1</v>
      </c>
      <c r="J102" s="154"/>
      <c r="K102" s="154">
        <f t="shared" si="4"/>
        <v>16</v>
      </c>
    </row>
    <row r="103" spans="1:11" x14ac:dyDescent="0.45">
      <c r="B103" s="40" t="s">
        <v>254</v>
      </c>
      <c r="C103" s="154">
        <v>2</v>
      </c>
      <c r="D103" s="154" t="s">
        <v>20</v>
      </c>
      <c r="E103" s="154">
        <v>4</v>
      </c>
      <c r="F103" s="154">
        <v>15.4</v>
      </c>
      <c r="J103" s="154">
        <f>+PRODUCT(C103:F103)</f>
        <v>123.2</v>
      </c>
      <c r="K103" s="154"/>
    </row>
    <row r="104" spans="1:11" x14ac:dyDescent="0.45">
      <c r="B104" s="40" t="s">
        <v>267</v>
      </c>
      <c r="C104" s="154">
        <v>2</v>
      </c>
      <c r="D104" s="154" t="s">
        <v>20</v>
      </c>
      <c r="E104" s="154">
        <v>4</v>
      </c>
      <c r="F104" s="154">
        <v>0.8</v>
      </c>
      <c r="J104" s="154">
        <f>+PRODUCT(C104:F104)</f>
        <v>6.4</v>
      </c>
      <c r="K104" s="154"/>
    </row>
    <row r="105" spans="1:11" x14ac:dyDescent="0.45">
      <c r="B105" s="40" t="s">
        <v>264</v>
      </c>
      <c r="C105" s="154">
        <v>2</v>
      </c>
      <c r="D105" s="154" t="s">
        <v>20</v>
      </c>
      <c r="E105" s="154">
        <v>2</v>
      </c>
      <c r="F105" s="154">
        <v>15.4</v>
      </c>
      <c r="I105" s="154">
        <f>+PRODUCT(C105:F105)</f>
        <v>61.6</v>
      </c>
      <c r="J105" s="154"/>
      <c r="K105" s="154"/>
    </row>
    <row r="106" spans="1:11" x14ac:dyDescent="0.45">
      <c r="B106" s="40" t="s">
        <v>250</v>
      </c>
      <c r="C106" s="154">
        <v>2</v>
      </c>
      <c r="D106" s="154" t="s">
        <v>20</v>
      </c>
      <c r="E106" s="154">
        <v>2</v>
      </c>
      <c r="F106" s="154">
        <v>0.6</v>
      </c>
      <c r="I106" s="154">
        <f>+PRODUCT(C106:F106)</f>
        <v>2.4</v>
      </c>
      <c r="J106" s="154"/>
      <c r="K106" s="154"/>
    </row>
    <row r="107" spans="1:11" x14ac:dyDescent="0.45">
      <c r="B107" s="40" t="s">
        <v>265</v>
      </c>
      <c r="C107" s="154">
        <v>2</v>
      </c>
      <c r="D107" s="154" t="s">
        <v>20</v>
      </c>
      <c r="E107" s="154">
        <v>101</v>
      </c>
      <c r="F107" s="154">
        <v>1.37</v>
      </c>
      <c r="G107" s="154">
        <f>+PRODUCT(C107:F107)</f>
        <v>276.74</v>
      </c>
      <c r="J107" s="154"/>
      <c r="K107" s="154"/>
    </row>
    <row r="108" spans="1:11" s="229" customFormat="1" ht="17.100000000000001" customHeight="1" x14ac:dyDescent="0.45">
      <c r="A108" s="230"/>
      <c r="B108" s="230"/>
      <c r="C108" s="227"/>
      <c r="D108" s="227"/>
      <c r="E108" s="227"/>
      <c r="F108" s="227"/>
      <c r="G108" s="227">
        <f>SUM(G93:G107)</f>
        <v>1435.76</v>
      </c>
      <c r="H108" s="227">
        <f t="shared" ref="H108:K108" si="5">SUM(H93:H107)</f>
        <v>0</v>
      </c>
      <c r="I108" s="227">
        <f t="shared" si="5"/>
        <v>331.91999999999996</v>
      </c>
      <c r="J108" s="227">
        <f t="shared" si="5"/>
        <v>673.43999999999994</v>
      </c>
      <c r="K108" s="227">
        <f t="shared" si="5"/>
        <v>353.52</v>
      </c>
    </row>
    <row r="109" spans="1:11" s="229" customFormat="1" x14ac:dyDescent="0.45">
      <c r="A109" s="230"/>
      <c r="B109" s="230"/>
      <c r="C109" s="227"/>
      <c r="D109" s="227"/>
      <c r="E109" s="227"/>
      <c r="F109" s="227"/>
      <c r="G109" s="227">
        <f>G108+'Steel 1000MT '!G104</f>
        <v>2398.4</v>
      </c>
      <c r="H109" s="227">
        <f>H108+'Steel 1000MT '!H104</f>
        <v>0</v>
      </c>
      <c r="I109" s="227">
        <f>I108+'Steel 1000MT '!I104</f>
        <v>577.43999999999994</v>
      </c>
      <c r="J109" s="227">
        <f>J108+'Steel 1000MT '!J104</f>
        <v>1172.48</v>
      </c>
      <c r="K109" s="227">
        <f>K108+'Steel 1000MT '!K104</f>
        <v>619.04</v>
      </c>
    </row>
    <row r="110" spans="1:11" s="36" customFormat="1" x14ac:dyDescent="0.45">
      <c r="A110" s="38"/>
      <c r="B110" s="374" t="s">
        <v>384</v>
      </c>
      <c r="C110" s="374"/>
      <c r="D110" s="374"/>
      <c r="E110" s="374"/>
      <c r="F110" s="374"/>
      <c r="G110" s="153">
        <f>G109+G90+G63+G28</f>
        <v>10151.300000000001</v>
      </c>
      <c r="H110" s="153">
        <f t="shared" ref="H110:K110" si="6">H109+H90+H63+H28</f>
        <v>2629.38</v>
      </c>
      <c r="I110" s="153">
        <f t="shared" si="6"/>
        <v>7732.7799999999988</v>
      </c>
      <c r="J110" s="153">
        <f t="shared" si="6"/>
        <v>2635.08</v>
      </c>
      <c r="K110" s="153">
        <f t="shared" si="6"/>
        <v>2404.16</v>
      </c>
    </row>
    <row r="111" spans="1:11" s="36" customFormat="1" x14ac:dyDescent="0.45">
      <c r="A111" s="38"/>
      <c r="B111" s="374" t="s">
        <v>386</v>
      </c>
      <c r="C111" s="374"/>
      <c r="D111" s="374"/>
      <c r="E111" s="374"/>
      <c r="F111" s="374"/>
      <c r="G111" s="231">
        <v>0.39500000000000002</v>
      </c>
      <c r="H111" s="231">
        <v>0.62</v>
      </c>
      <c r="I111" s="231">
        <v>0.88900000000000001</v>
      </c>
      <c r="J111" s="231">
        <v>1.58</v>
      </c>
      <c r="K111" s="231">
        <v>2.4700000000000002</v>
      </c>
    </row>
    <row r="112" spans="1:11" s="36" customFormat="1" x14ac:dyDescent="0.45">
      <c r="A112" s="38"/>
      <c r="B112" s="374" t="s">
        <v>385</v>
      </c>
      <c r="C112" s="374"/>
      <c r="D112" s="374"/>
      <c r="E112" s="374"/>
      <c r="F112" s="374"/>
      <c r="G112" s="153">
        <f>G110*G111</f>
        <v>4009.7635000000005</v>
      </c>
      <c r="H112" s="153">
        <f t="shared" ref="H112:K112" si="7">H110*H111</f>
        <v>1630.2156</v>
      </c>
      <c r="I112" s="153">
        <f t="shared" si="7"/>
        <v>6874.4414199999992</v>
      </c>
      <c r="J112" s="153">
        <f t="shared" si="7"/>
        <v>4163.4264000000003</v>
      </c>
      <c r="K112" s="153">
        <f t="shared" si="7"/>
        <v>5938.2752</v>
      </c>
    </row>
    <row r="113" spans="1:11" s="36" customFormat="1" x14ac:dyDescent="0.45">
      <c r="A113" s="38"/>
      <c r="B113" s="374" t="s">
        <v>60</v>
      </c>
      <c r="C113" s="374"/>
      <c r="D113" s="374"/>
      <c r="E113" s="374"/>
      <c r="F113" s="374"/>
      <c r="G113" s="153">
        <f>G112/100</f>
        <v>40.097635000000004</v>
      </c>
      <c r="H113" s="153">
        <f t="shared" ref="H113:K113" si="8">H112/100</f>
        <v>16.302156</v>
      </c>
      <c r="I113" s="153">
        <f t="shared" si="8"/>
        <v>68.744414199999994</v>
      </c>
      <c r="J113" s="153">
        <f t="shared" si="8"/>
        <v>41.634264000000002</v>
      </c>
      <c r="K113" s="153">
        <f t="shared" si="8"/>
        <v>59.382752000000004</v>
      </c>
    </row>
    <row r="114" spans="1:11" s="36" customFormat="1" x14ac:dyDescent="0.45">
      <c r="A114" s="38"/>
      <c r="B114" s="38"/>
      <c r="C114" s="153"/>
      <c r="D114" s="153"/>
      <c r="E114" s="153"/>
      <c r="F114" s="153"/>
      <c r="G114" s="153"/>
      <c r="H114" s="153"/>
      <c r="I114" s="153"/>
      <c r="J114" s="153"/>
      <c r="K114" s="173">
        <f>G113+H113+I113+J113+K113</f>
        <v>226.16122120000003</v>
      </c>
    </row>
    <row r="115" spans="1:11" x14ac:dyDescent="0.45">
      <c r="H115" s="232"/>
    </row>
  </sheetData>
  <mergeCells count="14">
    <mergeCell ref="B4:I4"/>
    <mergeCell ref="B112:F112"/>
    <mergeCell ref="B113:F113"/>
    <mergeCell ref="G3:K3"/>
    <mergeCell ref="B64:I64"/>
    <mergeCell ref="B91:I91"/>
    <mergeCell ref="B110:F110"/>
    <mergeCell ref="B111:F111"/>
    <mergeCell ref="B29:I29"/>
    <mergeCell ref="A1:K1"/>
    <mergeCell ref="A2:A3"/>
    <mergeCell ref="B2:B3"/>
    <mergeCell ref="C2:E3"/>
    <mergeCell ref="F2:F3"/>
  </mergeCells>
  <pageMargins left="0.70866141732283472" right="0.70866141732283472" top="0.74803149606299213" bottom="0.74803149606299213" header="0.31496062992125984" footer="0.31496062992125984"/>
  <pageSetup scale="59" fitToHeight="0" orientation="portrait"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Pandalur -covering</vt:lpstr>
      <vt:lpstr>BOQ</vt:lpstr>
      <vt:lpstr>Comparative</vt:lpstr>
      <vt:lpstr>Bill Abs</vt:lpstr>
      <vt:lpstr>Set</vt:lpstr>
      <vt:lpstr>Pandalur Dt Wise</vt:lpstr>
      <vt:lpstr>Steel 1000MT </vt:lpstr>
      <vt:lpstr>Steel 1500MT</vt:lpstr>
      <vt:lpstr>'Bill Abs'!Print_Area</vt:lpstr>
      <vt:lpstr>BOQ!Print_Area</vt:lpstr>
      <vt:lpstr>Comparative!Print_Area</vt:lpstr>
      <vt:lpstr>'Pandalur -covering'!Print_Area</vt:lpstr>
      <vt:lpstr>'Pandalur Dt Wise'!Print_Area</vt:lpstr>
      <vt:lpstr>Set!Print_Area</vt:lpstr>
      <vt:lpstr>'Steel 1000MT '!Print_Area</vt:lpstr>
      <vt:lpstr>'Steel 1500MT'!Print_Area</vt:lpstr>
      <vt:lpstr>'Bill Abs'!Print_Titles</vt:lpstr>
      <vt:lpstr>BOQ!Print_Titles</vt:lpstr>
      <vt:lpstr>Comparative!Print_Titles</vt:lpstr>
      <vt:lpstr>'Pandalur Dt Wise'!Print_Titles</vt:lpstr>
      <vt:lpstr>Set!Print_Titles</vt:lpstr>
      <vt:lpstr>'Steel 1000MT '!Print_Titles</vt:lpstr>
      <vt:lpstr>'Steel 1500MT'!Print_Titles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Vishvanath A</cp:lastModifiedBy>
  <cp:lastPrinted>2025-09-17T06:00:18Z</cp:lastPrinted>
  <dcterms:created xsi:type="dcterms:W3CDTF">2024-01-05T06:30:09Z</dcterms:created>
  <dcterms:modified xsi:type="dcterms:W3CDTF">2026-01-10T09:30:20Z</dcterms:modified>
</cp:coreProperties>
</file>