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0" yWindow="0" windowWidth="20490" windowHeight="7620" activeTab="4"/>
  </bookViews>
  <sheets>
    <sheet name="BOQ" sheetId="18" r:id="rId1"/>
    <sheet name="BOQ Major" sheetId="22" r:id="rId2"/>
    <sheet name="Top Sheet" sheetId="15" r:id="rId3"/>
    <sheet name="BOQ Split" sheetId="20" r:id="rId4"/>
    <sheet name="RA" sheetId="14" r:id="rId5"/>
    <sheet name="IDC" sheetId="16" r:id="rId6"/>
    <sheet name="Materials" sheetId="10" r:id="rId7"/>
    <sheet name="BOQ Coeff" sheetId="21" r:id="rId8"/>
    <sheet name="Sheet1" sheetId="24" r:id="rId9"/>
  </sheets>
  <definedNames>
    <definedName name="\0" localSheetId="2">#REF!</definedName>
    <definedName name="\b">#N/A</definedName>
    <definedName name="\C" localSheetId="7">#REF!</definedName>
    <definedName name="\C" localSheetId="1">#REF!</definedName>
    <definedName name="\C" localSheetId="3">#REF!</definedName>
    <definedName name="\C">#REF!</definedName>
    <definedName name="\c1" localSheetId="7">#REF!</definedName>
    <definedName name="\c1" localSheetId="1">#REF!</definedName>
    <definedName name="\c1" localSheetId="3">#REF!</definedName>
    <definedName name="\c1">#REF!</definedName>
    <definedName name="\c2" localSheetId="7">#REF!</definedName>
    <definedName name="\c2" localSheetId="1">#REF!</definedName>
    <definedName name="\c2" localSheetId="3">#REF!</definedName>
    <definedName name="\c2">#REF!</definedName>
    <definedName name="\D" localSheetId="7">#REF!</definedName>
    <definedName name="\D" localSheetId="1">#REF!</definedName>
    <definedName name="\D" localSheetId="3">#REF!</definedName>
    <definedName name="\D">#REF!</definedName>
    <definedName name="\l" localSheetId="7">#REF!</definedName>
    <definedName name="\l" localSheetId="1">#REF!</definedName>
    <definedName name="\l" localSheetId="3">#REF!</definedName>
    <definedName name="\l">#REF!</definedName>
    <definedName name="\M" localSheetId="7">#REF!</definedName>
    <definedName name="\M" localSheetId="1">#REF!</definedName>
    <definedName name="\M" localSheetId="3">#REF!</definedName>
    <definedName name="\M">#REF!</definedName>
    <definedName name="\N" localSheetId="7">#REF!</definedName>
    <definedName name="\N" localSheetId="1">#REF!</definedName>
    <definedName name="\N" localSheetId="3">#REF!</definedName>
    <definedName name="\N">#REF!</definedName>
    <definedName name="\p" localSheetId="7">#REF!</definedName>
    <definedName name="\p" localSheetId="1">#REF!</definedName>
    <definedName name="\p" localSheetId="3">#REF!</definedName>
    <definedName name="\p">#REF!</definedName>
    <definedName name="\R" localSheetId="7">#REF!</definedName>
    <definedName name="\R" localSheetId="1">#REF!</definedName>
    <definedName name="\R" localSheetId="3">#REF!</definedName>
    <definedName name="\R">#REF!</definedName>
    <definedName name="\S" localSheetId="7">#REF!</definedName>
    <definedName name="\S" localSheetId="1">#REF!</definedName>
    <definedName name="\S" localSheetId="3">#REF!</definedName>
    <definedName name="\S">#REF!</definedName>
    <definedName name="\U" localSheetId="7">#REF!</definedName>
    <definedName name="\U" localSheetId="1">#REF!</definedName>
    <definedName name="\U" localSheetId="3">#REF!</definedName>
    <definedName name="\U">#REF!</definedName>
    <definedName name="\V" localSheetId="7">#REF!</definedName>
    <definedName name="\V" localSheetId="1">#REF!</definedName>
    <definedName name="\V" localSheetId="3">#REF!</definedName>
    <definedName name="\V">#REF!</definedName>
    <definedName name="\x" localSheetId="7">#REF!</definedName>
    <definedName name="\x" localSheetId="1">#REF!</definedName>
    <definedName name="\x" localSheetId="3">#REF!</definedName>
    <definedName name="\x">#REF!</definedName>
    <definedName name="_">"tcap"</definedName>
    <definedName name="_\wdr" localSheetId="7">#REF!</definedName>
    <definedName name="_\wdr" localSheetId="1">#REF!</definedName>
    <definedName name="_\wdr" localSheetId="3">#REF!</definedName>
    <definedName name="_\wdr">#REF!</definedName>
    <definedName name="__________________________________aaa5" localSheetId="7">#REF!</definedName>
    <definedName name="__________________________________aaa5" localSheetId="1">#REF!</definedName>
    <definedName name="__________________________________aaa5" localSheetId="3">#REF!</definedName>
    <definedName name="__________________________________aaa5">#REF!</definedName>
    <definedName name="_________________________________aaa5" localSheetId="7">#REF!</definedName>
    <definedName name="_________________________________aaa5" localSheetId="1">#REF!</definedName>
    <definedName name="_________________________________aaa5" localSheetId="3">#REF!</definedName>
    <definedName name="_________________________________aaa5">#REF!</definedName>
    <definedName name="________________________________aaa5" localSheetId="7">#REF!</definedName>
    <definedName name="________________________________aaa5" localSheetId="1">#REF!</definedName>
    <definedName name="________________________________aaa5" localSheetId="3">#REF!</definedName>
    <definedName name="________________________________aaa5">#REF!</definedName>
    <definedName name="_______________________________aaa5" localSheetId="7">#REF!</definedName>
    <definedName name="_______________________________aaa5" localSheetId="1">#REF!</definedName>
    <definedName name="_______________________________aaa5" localSheetId="3">#REF!</definedName>
    <definedName name="_______________________________aaa5">#REF!</definedName>
    <definedName name="______________________________aaa5" localSheetId="7">#REF!</definedName>
    <definedName name="______________________________aaa5" localSheetId="1">#REF!</definedName>
    <definedName name="______________________________aaa5" localSheetId="3">#REF!</definedName>
    <definedName name="______________________________aaa5">#REF!</definedName>
    <definedName name="_____________________________aaa5" localSheetId="7">#REF!</definedName>
    <definedName name="_____________________________aaa5" localSheetId="1">#REF!</definedName>
    <definedName name="_____________________________aaa5" localSheetId="3">#REF!</definedName>
    <definedName name="_____________________________aaa5">#REF!</definedName>
    <definedName name="_____________________________SS2" localSheetId="7">#REF!</definedName>
    <definedName name="_____________________________SS2" localSheetId="1">#REF!</definedName>
    <definedName name="_____________________________SS2" localSheetId="3">#REF!</definedName>
    <definedName name="_____________________________SS2">#REF!</definedName>
    <definedName name="____________________________aaa5" localSheetId="7">#REF!</definedName>
    <definedName name="____________________________aaa5" localSheetId="1">#REF!</definedName>
    <definedName name="____________________________aaa5" localSheetId="3">#REF!</definedName>
    <definedName name="____________________________aaa5">#REF!</definedName>
    <definedName name="__________________________ind1" localSheetId="7">#REF!</definedName>
    <definedName name="__________________________ind1" localSheetId="1">#REF!</definedName>
    <definedName name="__________________________ind1" localSheetId="3">#REF!</definedName>
    <definedName name="__________________________ind1">#REF!</definedName>
    <definedName name="__________________________IND11" localSheetId="7">#REF!</definedName>
    <definedName name="__________________________IND11" localSheetId="1">#REF!</definedName>
    <definedName name="__________________________IND11" localSheetId="3">#REF!</definedName>
    <definedName name="__________________________IND11">#REF!</definedName>
    <definedName name="__________________________IND31" localSheetId="7">#REF!</definedName>
    <definedName name="__________________________IND31" localSheetId="1">#REF!</definedName>
    <definedName name="__________________________IND31" localSheetId="3">#REF!</definedName>
    <definedName name="__________________________IND31">#REF!</definedName>
    <definedName name="__________________________S12" localSheetId="7">#REF!</definedName>
    <definedName name="__________________________S12" localSheetId="1">#REF!</definedName>
    <definedName name="__________________________S12" localSheetId="3">#REF!</definedName>
    <definedName name="__________________________S12">#REF!</definedName>
    <definedName name="__________________________sec1" localSheetId="7">#REF!</definedName>
    <definedName name="__________________________sec1" localSheetId="1">#REF!</definedName>
    <definedName name="__________________________sec1" localSheetId="3">#REF!</definedName>
    <definedName name="__________________________sec1">#REF!</definedName>
    <definedName name="__________________________Sec2" localSheetId="7">#REF!</definedName>
    <definedName name="__________________________Sec2" localSheetId="1">#REF!</definedName>
    <definedName name="__________________________Sec2" localSheetId="3">#REF!</definedName>
    <definedName name="__________________________Sec2">#REF!</definedName>
    <definedName name="__________________________sec3" localSheetId="7">#REF!</definedName>
    <definedName name="__________________________sec3" localSheetId="1">#REF!</definedName>
    <definedName name="__________________________sec3" localSheetId="3">#REF!</definedName>
    <definedName name="__________________________sec3">#REF!</definedName>
    <definedName name="__________________________Sec4" localSheetId="7">#REF!</definedName>
    <definedName name="__________________________Sec4" localSheetId="1">#REF!</definedName>
    <definedName name="__________________________Sec4" localSheetId="3">#REF!</definedName>
    <definedName name="__________________________Sec4">#REF!</definedName>
    <definedName name="__________________________sec5" localSheetId="7">#REF!</definedName>
    <definedName name="__________________________sec5" localSheetId="1">#REF!</definedName>
    <definedName name="__________________________sec5" localSheetId="3">#REF!</definedName>
    <definedName name="__________________________sec5">#REF!</definedName>
    <definedName name="__________________________sec6" localSheetId="7">#REF!</definedName>
    <definedName name="__________________________sec6" localSheetId="1">#REF!</definedName>
    <definedName name="__________________________sec6" localSheetId="3">#REF!</definedName>
    <definedName name="__________________________sec6">#REF!</definedName>
    <definedName name="__________________________sec7" localSheetId="7">#REF!</definedName>
    <definedName name="__________________________sec7" localSheetId="1">#REF!</definedName>
    <definedName name="__________________________sec7" localSheetId="3">#REF!</definedName>
    <definedName name="__________________________sec7">#REF!</definedName>
    <definedName name="__________________________sec71" localSheetId="7">#REF!</definedName>
    <definedName name="__________________________sec71" localSheetId="1">#REF!</definedName>
    <definedName name="__________________________sec71" localSheetId="3">#REF!</definedName>
    <definedName name="__________________________sec71">#REF!</definedName>
    <definedName name="__________________________SEC77" localSheetId="7">#REF!</definedName>
    <definedName name="__________________________SEC77" localSheetId="1">#REF!</definedName>
    <definedName name="__________________________SEC77" localSheetId="3">#REF!</definedName>
    <definedName name="__________________________SEC77">#REF!</definedName>
    <definedName name="__________________________sec8" localSheetId="7">#REF!</definedName>
    <definedName name="__________________________sec8" localSheetId="1">#REF!</definedName>
    <definedName name="__________________________sec8" localSheetId="3">#REF!</definedName>
    <definedName name="__________________________sec8">#REF!</definedName>
    <definedName name="__________________________sec81" localSheetId="7">#REF!</definedName>
    <definedName name="__________________________sec81" localSheetId="1">#REF!</definedName>
    <definedName name="__________________________sec81" localSheetId="3">#REF!</definedName>
    <definedName name="__________________________sec81">#REF!</definedName>
    <definedName name="__________________________SEC88" localSheetId="7">#REF!</definedName>
    <definedName name="__________________________SEC88" localSheetId="1">#REF!</definedName>
    <definedName name="__________________________SEC88" localSheetId="3">#REF!</definedName>
    <definedName name="__________________________SEC88">#REF!</definedName>
    <definedName name="__________________________SEC9" localSheetId="7">#REF!</definedName>
    <definedName name="__________________________SEC9" localSheetId="1">#REF!</definedName>
    <definedName name="__________________________SEC9" localSheetId="3">#REF!</definedName>
    <definedName name="__________________________SEC9">#REF!</definedName>
    <definedName name="_________________________aaa10" localSheetId="7">#REF!</definedName>
    <definedName name="_________________________aaa10" localSheetId="1">#REF!</definedName>
    <definedName name="_________________________aaa10" localSheetId="3">#REF!</definedName>
    <definedName name="_________________________aaa10">#REF!</definedName>
    <definedName name="_________________________aaa5" localSheetId="7">#REF!</definedName>
    <definedName name="_________________________aaa5" localSheetId="1">#REF!</definedName>
    <definedName name="_________________________aaa5" localSheetId="3">#REF!</definedName>
    <definedName name="_________________________aaa5">#REF!</definedName>
    <definedName name="_________________________AAA51" localSheetId="7">#REF!</definedName>
    <definedName name="_________________________AAA51" localSheetId="1">#REF!</definedName>
    <definedName name="_________________________AAA51" localSheetId="3">#REF!</definedName>
    <definedName name="_________________________AAA51">#REF!</definedName>
    <definedName name="_________________________aaa55" localSheetId="7">#REF!</definedName>
    <definedName name="_________________________aaa55" localSheetId="1">#REF!</definedName>
    <definedName name="_________________________aaa55" localSheetId="3">#REF!</definedName>
    <definedName name="_________________________aaa55">#REF!</definedName>
    <definedName name="_________________________AAA6" localSheetId="7">#REF!</definedName>
    <definedName name="_________________________AAA6" localSheetId="1">#REF!</definedName>
    <definedName name="_________________________AAA6" localSheetId="3">#REF!</definedName>
    <definedName name="_________________________AAA6">#REF!</definedName>
    <definedName name="_________________________AAA7" localSheetId="7">#REF!</definedName>
    <definedName name="_________________________AAA7" localSheetId="1">#REF!</definedName>
    <definedName name="_________________________AAA7" localSheetId="3">#REF!</definedName>
    <definedName name="_________________________AAA7">#REF!</definedName>
    <definedName name="_________________________AAD5" localSheetId="7">#REF!</definedName>
    <definedName name="_________________________AAD5" localSheetId="1">#REF!</definedName>
    <definedName name="_________________________AAD5" localSheetId="3">#REF!</definedName>
    <definedName name="_________________________AAD5">#REF!</definedName>
    <definedName name="_________________________aad55" localSheetId="7">#REF!</definedName>
    <definedName name="_________________________aad55" localSheetId="1">#REF!</definedName>
    <definedName name="_________________________aad55" localSheetId="3">#REF!</definedName>
    <definedName name="_________________________aad55">#REF!</definedName>
    <definedName name="_________________________exc1" localSheetId="7">#REF!</definedName>
    <definedName name="_________________________exc1" localSheetId="1">#REF!</definedName>
    <definedName name="_________________________exc1" localSheetId="3">#REF!</definedName>
    <definedName name="_________________________exc1">#REF!</definedName>
    <definedName name="_________________________exc11" localSheetId="7">#REF!</definedName>
    <definedName name="_________________________exc11" localSheetId="1">#REF!</definedName>
    <definedName name="_________________________exc11" localSheetId="3">#REF!</definedName>
    <definedName name="_________________________exc11">#REF!</definedName>
    <definedName name="_________________________exc2" localSheetId="7">#REF!</definedName>
    <definedName name="_________________________exc2" localSheetId="1">#REF!</definedName>
    <definedName name="_________________________exc2" localSheetId="3">#REF!</definedName>
    <definedName name="_________________________exc2">#REF!</definedName>
    <definedName name="_________________________EXC3" localSheetId="7">#REF!</definedName>
    <definedName name="_________________________EXC3" localSheetId="1">#REF!</definedName>
    <definedName name="_________________________EXC3" localSheetId="3">#REF!</definedName>
    <definedName name="_________________________EXC3">#REF!</definedName>
    <definedName name="_________________________EXC4" localSheetId="7">#REF!</definedName>
    <definedName name="_________________________EXC4" localSheetId="1">#REF!</definedName>
    <definedName name="_________________________EXC4" localSheetId="3">#REF!</definedName>
    <definedName name="_________________________EXC4">#REF!</definedName>
    <definedName name="_________________________foo1" localSheetId="7">#REF!</definedName>
    <definedName name="_________________________foo1" localSheetId="1">#REF!</definedName>
    <definedName name="_________________________foo1" localSheetId="3">#REF!</definedName>
    <definedName name="_________________________foo1">#REF!</definedName>
    <definedName name="_________________________foo2" localSheetId="7">#REF!</definedName>
    <definedName name="_________________________foo2" localSheetId="1">#REF!</definedName>
    <definedName name="_________________________foo2" localSheetId="3">#REF!</definedName>
    <definedName name="_________________________foo2">#REF!</definedName>
    <definedName name="_________________________foo3" localSheetId="7">#REF!</definedName>
    <definedName name="_________________________foo3" localSheetId="1">#REF!</definedName>
    <definedName name="_________________________foo3" localSheetId="3">#REF!</definedName>
    <definedName name="_________________________foo3">#REF!</definedName>
    <definedName name="_________________________FOO4" localSheetId="7">#REF!</definedName>
    <definedName name="_________________________FOO4" localSheetId="1">#REF!</definedName>
    <definedName name="_________________________FOO4" localSheetId="3">#REF!</definedName>
    <definedName name="_________________________FOO4">#REF!</definedName>
    <definedName name="_________________________ind1" localSheetId="7">#REF!</definedName>
    <definedName name="_________________________ind1" localSheetId="1">#REF!</definedName>
    <definedName name="_________________________ind1" localSheetId="3">#REF!</definedName>
    <definedName name="_________________________ind1">#REF!</definedName>
    <definedName name="_________________________IND11" localSheetId="7">#REF!</definedName>
    <definedName name="_________________________IND11" localSheetId="1">#REF!</definedName>
    <definedName name="_________________________IND11" localSheetId="3">#REF!</definedName>
    <definedName name="_________________________IND11">#REF!</definedName>
    <definedName name="_________________________IND31" localSheetId="7">#REF!</definedName>
    <definedName name="_________________________IND31" localSheetId="1">#REF!</definedName>
    <definedName name="_________________________IND31" localSheetId="3">#REF!</definedName>
    <definedName name="_________________________IND31">#REF!</definedName>
    <definedName name="_________________________pcc1" localSheetId="7">#REF!</definedName>
    <definedName name="_________________________pcc1" localSheetId="1">#REF!</definedName>
    <definedName name="_________________________pcc1" localSheetId="3">#REF!</definedName>
    <definedName name="_________________________pcc1">#REF!</definedName>
    <definedName name="_________________________pcc2" localSheetId="7">#REF!</definedName>
    <definedName name="_________________________pcc2" localSheetId="1">#REF!</definedName>
    <definedName name="_________________________pcc2" localSheetId="3">#REF!</definedName>
    <definedName name="_________________________pcc2">#REF!</definedName>
    <definedName name="_________________________pcc3" localSheetId="7">#REF!</definedName>
    <definedName name="_________________________pcc3" localSheetId="1">#REF!</definedName>
    <definedName name="_________________________pcc3" localSheetId="3">#REF!</definedName>
    <definedName name="_________________________pcc3">#REF!</definedName>
    <definedName name="_________________________PCC4" localSheetId="7">#REF!</definedName>
    <definedName name="_________________________PCC4" localSheetId="1">#REF!</definedName>
    <definedName name="_________________________PCC4" localSheetId="3">#REF!</definedName>
    <definedName name="_________________________PCC4">#REF!</definedName>
    <definedName name="_________________________plb1" localSheetId="7">#REF!</definedName>
    <definedName name="_________________________plb1" localSheetId="1">#REF!</definedName>
    <definedName name="_________________________plb1" localSheetId="3">#REF!</definedName>
    <definedName name="_________________________plb1">#REF!</definedName>
    <definedName name="_________________________plb2" localSheetId="7">#REF!</definedName>
    <definedName name="_________________________plb2" localSheetId="1">#REF!</definedName>
    <definedName name="_________________________plb2" localSheetId="3">#REF!</definedName>
    <definedName name="_________________________plb2">#REF!</definedName>
    <definedName name="_________________________plb3" localSheetId="7">#REF!</definedName>
    <definedName name="_________________________plb3" localSheetId="1">#REF!</definedName>
    <definedName name="_________________________plb3" localSheetId="3">#REF!</definedName>
    <definedName name="_________________________plb3">#REF!</definedName>
    <definedName name="_________________________plb4" localSheetId="7">#REF!</definedName>
    <definedName name="_________________________plb4" localSheetId="1">#REF!</definedName>
    <definedName name="_________________________plb4" localSheetId="3">#REF!</definedName>
    <definedName name="_________________________plb4">#REF!</definedName>
    <definedName name="_________________________S12" localSheetId="7">#REF!</definedName>
    <definedName name="_________________________S12" localSheetId="1">#REF!</definedName>
    <definedName name="_________________________S12" localSheetId="3">#REF!</definedName>
    <definedName name="_________________________S12">#REF!</definedName>
    <definedName name="_________________________sec1" localSheetId="7">#REF!</definedName>
    <definedName name="_________________________sec1" localSheetId="1">#REF!</definedName>
    <definedName name="_________________________sec1" localSheetId="3">#REF!</definedName>
    <definedName name="_________________________sec1">#REF!</definedName>
    <definedName name="_________________________Sec2" localSheetId="7">#REF!</definedName>
    <definedName name="_________________________Sec2" localSheetId="1">#REF!</definedName>
    <definedName name="_________________________Sec2" localSheetId="3">#REF!</definedName>
    <definedName name="_________________________Sec2">#REF!</definedName>
    <definedName name="_________________________sec3" localSheetId="7">#REF!</definedName>
    <definedName name="_________________________sec3" localSheetId="1">#REF!</definedName>
    <definedName name="_________________________sec3" localSheetId="3">#REF!</definedName>
    <definedName name="_________________________sec3">#REF!</definedName>
    <definedName name="_________________________Sec4" localSheetId="7">#REF!</definedName>
    <definedName name="_________________________Sec4" localSheetId="1">#REF!</definedName>
    <definedName name="_________________________Sec4" localSheetId="3">#REF!</definedName>
    <definedName name="_________________________Sec4">#REF!</definedName>
    <definedName name="_________________________sec5" localSheetId="7">#REF!</definedName>
    <definedName name="_________________________sec5" localSheetId="1">#REF!</definedName>
    <definedName name="_________________________sec5" localSheetId="3">#REF!</definedName>
    <definedName name="_________________________sec5">#REF!</definedName>
    <definedName name="_________________________sec6" localSheetId="7">#REF!</definedName>
    <definedName name="_________________________sec6" localSheetId="1">#REF!</definedName>
    <definedName name="_________________________sec6" localSheetId="3">#REF!</definedName>
    <definedName name="_________________________sec6">#REF!</definedName>
    <definedName name="_________________________sec7" localSheetId="7">#REF!</definedName>
    <definedName name="_________________________sec7" localSheetId="1">#REF!</definedName>
    <definedName name="_________________________sec7" localSheetId="3">#REF!</definedName>
    <definedName name="_________________________sec7">#REF!</definedName>
    <definedName name="_________________________sec71" localSheetId="7">#REF!</definedName>
    <definedName name="_________________________sec71" localSheetId="1">#REF!</definedName>
    <definedName name="_________________________sec71" localSheetId="3">#REF!</definedName>
    <definedName name="_________________________sec71">#REF!</definedName>
    <definedName name="_________________________SEC77" localSheetId="7">#REF!</definedName>
    <definedName name="_________________________SEC77" localSheetId="1">#REF!</definedName>
    <definedName name="_________________________SEC77" localSheetId="3">#REF!</definedName>
    <definedName name="_________________________SEC77">#REF!</definedName>
    <definedName name="_________________________sec8" localSheetId="7">#REF!</definedName>
    <definedName name="_________________________sec8" localSheetId="1">#REF!</definedName>
    <definedName name="_________________________sec8" localSheetId="3">#REF!</definedName>
    <definedName name="_________________________sec8">#REF!</definedName>
    <definedName name="_________________________sec81" localSheetId="7">#REF!</definedName>
    <definedName name="_________________________sec81" localSheetId="1">#REF!</definedName>
    <definedName name="_________________________sec81" localSheetId="3">#REF!</definedName>
    <definedName name="_________________________sec81">#REF!</definedName>
    <definedName name="_________________________SEC88" localSheetId="7">#REF!</definedName>
    <definedName name="_________________________SEC88" localSheetId="1">#REF!</definedName>
    <definedName name="_________________________SEC88" localSheetId="3">#REF!</definedName>
    <definedName name="_________________________SEC88">#REF!</definedName>
    <definedName name="_________________________SEC9" localSheetId="7">#REF!</definedName>
    <definedName name="_________________________SEC9" localSheetId="1">#REF!</definedName>
    <definedName name="_________________________SEC9" localSheetId="3">#REF!</definedName>
    <definedName name="_________________________SEC9">#REF!</definedName>
    <definedName name="_________________________zz1" localSheetId="7">#REF!</definedName>
    <definedName name="_________________________zz1" localSheetId="1">#REF!</definedName>
    <definedName name="_________________________zz1" localSheetId="3">#REF!</definedName>
    <definedName name="_________________________zz1">#REF!</definedName>
    <definedName name="________________________aaa10" localSheetId="7">#REF!</definedName>
    <definedName name="________________________aaa10" localSheetId="1">#REF!</definedName>
    <definedName name="________________________aaa10" localSheetId="3">#REF!</definedName>
    <definedName name="________________________aaa10">#REF!</definedName>
    <definedName name="________________________aaa5" localSheetId="7">#REF!</definedName>
    <definedName name="________________________aaa5" localSheetId="1">#REF!</definedName>
    <definedName name="________________________aaa5" localSheetId="3">#REF!</definedName>
    <definedName name="________________________aaa5">#REF!</definedName>
    <definedName name="________________________AAA51" localSheetId="7">#REF!</definedName>
    <definedName name="________________________AAA51" localSheetId="1">#REF!</definedName>
    <definedName name="________________________AAA51" localSheetId="3">#REF!</definedName>
    <definedName name="________________________AAA51">#REF!</definedName>
    <definedName name="________________________aaa55" localSheetId="7">#REF!</definedName>
    <definedName name="________________________aaa55" localSheetId="1">#REF!</definedName>
    <definedName name="________________________aaa55" localSheetId="3">#REF!</definedName>
    <definedName name="________________________aaa55">#REF!</definedName>
    <definedName name="________________________AAA6" localSheetId="7">#REF!</definedName>
    <definedName name="________________________AAA6" localSheetId="1">#REF!</definedName>
    <definedName name="________________________AAA6" localSheetId="3">#REF!</definedName>
    <definedName name="________________________AAA6">#REF!</definedName>
    <definedName name="________________________AAA7" localSheetId="7">#REF!</definedName>
    <definedName name="________________________AAA7" localSheetId="1">#REF!</definedName>
    <definedName name="________________________AAA7" localSheetId="3">#REF!</definedName>
    <definedName name="________________________AAA7">#REF!</definedName>
    <definedName name="________________________AAD5" localSheetId="7">#REF!</definedName>
    <definedName name="________________________AAD5" localSheetId="1">#REF!</definedName>
    <definedName name="________________________AAD5" localSheetId="3">#REF!</definedName>
    <definedName name="________________________AAD5">#REF!</definedName>
    <definedName name="________________________aad55" localSheetId="7">#REF!</definedName>
    <definedName name="________________________aad55" localSheetId="1">#REF!</definedName>
    <definedName name="________________________aad55" localSheetId="3">#REF!</definedName>
    <definedName name="________________________aad55">#REF!</definedName>
    <definedName name="________________________exc1" localSheetId="7">#REF!</definedName>
    <definedName name="________________________exc1" localSheetId="1">#REF!</definedName>
    <definedName name="________________________exc1" localSheetId="3">#REF!</definedName>
    <definedName name="________________________exc1">#REF!</definedName>
    <definedName name="________________________exc11" localSheetId="7">#REF!</definedName>
    <definedName name="________________________exc11" localSheetId="1">#REF!</definedName>
    <definedName name="________________________exc11" localSheetId="3">#REF!</definedName>
    <definedName name="________________________exc11">#REF!</definedName>
    <definedName name="________________________exc2" localSheetId="7">#REF!</definedName>
    <definedName name="________________________exc2" localSheetId="1">#REF!</definedName>
    <definedName name="________________________exc2" localSheetId="3">#REF!</definedName>
    <definedName name="________________________exc2">#REF!</definedName>
    <definedName name="________________________EXC3" localSheetId="7">#REF!</definedName>
    <definedName name="________________________EXC3" localSheetId="1">#REF!</definedName>
    <definedName name="________________________EXC3" localSheetId="3">#REF!</definedName>
    <definedName name="________________________EXC3">#REF!</definedName>
    <definedName name="________________________EXC4" localSheetId="7">#REF!</definedName>
    <definedName name="________________________EXC4" localSheetId="1">#REF!</definedName>
    <definedName name="________________________EXC4" localSheetId="3">#REF!</definedName>
    <definedName name="________________________EXC4">#REF!</definedName>
    <definedName name="________________________foo1" localSheetId="7">#REF!</definedName>
    <definedName name="________________________foo1" localSheetId="1">#REF!</definedName>
    <definedName name="________________________foo1" localSheetId="3">#REF!</definedName>
    <definedName name="________________________foo1">#REF!</definedName>
    <definedName name="________________________foo2" localSheetId="7">#REF!</definedName>
    <definedName name="________________________foo2" localSheetId="1">#REF!</definedName>
    <definedName name="________________________foo2" localSheetId="3">#REF!</definedName>
    <definedName name="________________________foo2">#REF!</definedName>
    <definedName name="________________________foo3" localSheetId="7">#REF!</definedName>
    <definedName name="________________________foo3" localSheetId="1">#REF!</definedName>
    <definedName name="________________________foo3" localSheetId="3">#REF!</definedName>
    <definedName name="________________________foo3">#REF!</definedName>
    <definedName name="________________________FOO4" localSheetId="7">#REF!</definedName>
    <definedName name="________________________FOO4" localSheetId="1">#REF!</definedName>
    <definedName name="________________________FOO4" localSheetId="3">#REF!</definedName>
    <definedName name="________________________FOO4">#REF!</definedName>
    <definedName name="________________________pcc1" localSheetId="7">#REF!</definedName>
    <definedName name="________________________pcc1" localSheetId="1">#REF!</definedName>
    <definedName name="________________________pcc1" localSheetId="3">#REF!</definedName>
    <definedName name="________________________pcc1">#REF!</definedName>
    <definedName name="________________________pcc2" localSheetId="7">#REF!</definedName>
    <definedName name="________________________pcc2" localSheetId="1">#REF!</definedName>
    <definedName name="________________________pcc2" localSheetId="3">#REF!</definedName>
    <definedName name="________________________pcc2">#REF!</definedName>
    <definedName name="________________________pcc3" localSheetId="7">#REF!</definedName>
    <definedName name="________________________pcc3" localSheetId="1">#REF!</definedName>
    <definedName name="________________________pcc3" localSheetId="3">#REF!</definedName>
    <definedName name="________________________pcc3">#REF!</definedName>
    <definedName name="________________________PCC4" localSheetId="7">#REF!</definedName>
    <definedName name="________________________PCC4" localSheetId="1">#REF!</definedName>
    <definedName name="________________________PCC4" localSheetId="3">#REF!</definedName>
    <definedName name="________________________PCC4">#REF!</definedName>
    <definedName name="________________________plb1" localSheetId="7">#REF!</definedName>
    <definedName name="________________________plb1" localSheetId="1">#REF!</definedName>
    <definedName name="________________________plb1" localSheetId="3">#REF!</definedName>
    <definedName name="________________________plb1">#REF!</definedName>
    <definedName name="________________________plb2" localSheetId="7">#REF!</definedName>
    <definedName name="________________________plb2" localSheetId="1">#REF!</definedName>
    <definedName name="________________________plb2" localSheetId="3">#REF!</definedName>
    <definedName name="________________________plb2">#REF!</definedName>
    <definedName name="________________________plb3" localSheetId="7">#REF!</definedName>
    <definedName name="________________________plb3" localSheetId="1">#REF!</definedName>
    <definedName name="________________________plb3" localSheetId="3">#REF!</definedName>
    <definedName name="________________________plb3">#REF!</definedName>
    <definedName name="________________________plb4" localSheetId="7">#REF!</definedName>
    <definedName name="________________________plb4" localSheetId="1">#REF!</definedName>
    <definedName name="________________________plb4" localSheetId="3">#REF!</definedName>
    <definedName name="________________________plb4">#REF!</definedName>
    <definedName name="________________________sec1" localSheetId="7">#REF!</definedName>
    <definedName name="________________________sec1" localSheetId="1">#REF!</definedName>
    <definedName name="________________________sec1" localSheetId="3">#REF!</definedName>
    <definedName name="________________________sec1">#REF!</definedName>
    <definedName name="________________________Sec2" localSheetId="7">#REF!</definedName>
    <definedName name="________________________Sec2" localSheetId="1">#REF!</definedName>
    <definedName name="________________________Sec2" localSheetId="3">#REF!</definedName>
    <definedName name="________________________Sec2">#REF!</definedName>
    <definedName name="________________________sec3" localSheetId="7">#REF!</definedName>
    <definedName name="________________________sec3" localSheetId="1">#REF!</definedName>
    <definedName name="________________________sec3" localSheetId="3">#REF!</definedName>
    <definedName name="________________________sec3">#REF!</definedName>
    <definedName name="________________________Sec4" localSheetId="7">#REF!</definedName>
    <definedName name="________________________Sec4" localSheetId="1">#REF!</definedName>
    <definedName name="________________________Sec4" localSheetId="3">#REF!</definedName>
    <definedName name="________________________Sec4">#REF!</definedName>
    <definedName name="________________________sec5" localSheetId="7">#REF!</definedName>
    <definedName name="________________________sec5" localSheetId="1">#REF!</definedName>
    <definedName name="________________________sec5" localSheetId="3">#REF!</definedName>
    <definedName name="________________________sec5">#REF!</definedName>
    <definedName name="________________________sec6" localSheetId="7">#REF!</definedName>
    <definedName name="________________________sec6" localSheetId="1">#REF!</definedName>
    <definedName name="________________________sec6" localSheetId="3">#REF!</definedName>
    <definedName name="________________________sec6">#REF!</definedName>
    <definedName name="________________________sec7" localSheetId="7">#REF!</definedName>
    <definedName name="________________________sec7" localSheetId="1">#REF!</definedName>
    <definedName name="________________________sec7" localSheetId="3">#REF!</definedName>
    <definedName name="________________________sec7">#REF!</definedName>
    <definedName name="________________________sec71" localSheetId="7">#REF!</definedName>
    <definedName name="________________________sec71" localSheetId="1">#REF!</definedName>
    <definedName name="________________________sec71" localSheetId="3">#REF!</definedName>
    <definedName name="________________________sec71">#REF!</definedName>
    <definedName name="________________________SEC77" localSheetId="7">#REF!</definedName>
    <definedName name="________________________SEC77" localSheetId="1">#REF!</definedName>
    <definedName name="________________________SEC77" localSheetId="3">#REF!</definedName>
    <definedName name="________________________SEC77">#REF!</definedName>
    <definedName name="________________________sec8" localSheetId="7">#REF!</definedName>
    <definedName name="________________________sec8" localSheetId="1">#REF!</definedName>
    <definedName name="________________________sec8" localSheetId="3">#REF!</definedName>
    <definedName name="________________________sec8">#REF!</definedName>
    <definedName name="________________________sec81" localSheetId="7">#REF!</definedName>
    <definedName name="________________________sec81" localSheetId="1">#REF!</definedName>
    <definedName name="________________________sec81" localSheetId="3">#REF!</definedName>
    <definedName name="________________________sec81">#REF!</definedName>
    <definedName name="________________________SEC88" localSheetId="7">#REF!</definedName>
    <definedName name="________________________SEC88" localSheetId="1">#REF!</definedName>
    <definedName name="________________________SEC88" localSheetId="3">#REF!</definedName>
    <definedName name="________________________SEC88">#REF!</definedName>
    <definedName name="________________________SEC9" localSheetId="7">#REF!</definedName>
    <definedName name="________________________SEC9" localSheetId="1">#REF!</definedName>
    <definedName name="________________________SEC9" localSheetId="3">#REF!</definedName>
    <definedName name="________________________SEC9">#REF!</definedName>
    <definedName name="________________________SS2" localSheetId="7">#REF!</definedName>
    <definedName name="________________________SS2" localSheetId="1">#REF!</definedName>
    <definedName name="________________________SS2" localSheetId="3">#REF!</definedName>
    <definedName name="________________________SS2">#REF!</definedName>
    <definedName name="________________________zz1" localSheetId="7">#REF!</definedName>
    <definedName name="________________________zz1" localSheetId="1">#REF!</definedName>
    <definedName name="________________________zz1" localSheetId="3">#REF!</definedName>
    <definedName name="________________________zz1">#REF!</definedName>
    <definedName name="_______________________aaa10" localSheetId="7">#REF!</definedName>
    <definedName name="_______________________aaa10" localSheetId="1">#REF!</definedName>
    <definedName name="_______________________aaa10" localSheetId="3">#REF!</definedName>
    <definedName name="_______________________aaa10">#REF!</definedName>
    <definedName name="_______________________aaa11" localSheetId="7">#REF!</definedName>
    <definedName name="_______________________aaa11" localSheetId="1">#REF!</definedName>
    <definedName name="_______________________aaa11" localSheetId="3">#REF!</definedName>
    <definedName name="_______________________aaa11">#REF!</definedName>
    <definedName name="_______________________AAA12" localSheetId="7">#REF!</definedName>
    <definedName name="_______________________AAA12" localSheetId="1">#REF!</definedName>
    <definedName name="_______________________AAA12" localSheetId="3">#REF!</definedName>
    <definedName name="_______________________AAA12">#REF!</definedName>
    <definedName name="_______________________aaa5" localSheetId="7">#REF!</definedName>
    <definedName name="_______________________aaa5" localSheetId="1">#REF!</definedName>
    <definedName name="_______________________aaa5" localSheetId="3">#REF!</definedName>
    <definedName name="_______________________aaa5">#REF!</definedName>
    <definedName name="_______________________AAA51" localSheetId="7">#REF!</definedName>
    <definedName name="_______________________AAA51" localSheetId="1">#REF!</definedName>
    <definedName name="_______________________AAA51" localSheetId="3">#REF!</definedName>
    <definedName name="_______________________AAA51">#REF!</definedName>
    <definedName name="_______________________aaa55" localSheetId="7">#REF!</definedName>
    <definedName name="_______________________aaa55" localSheetId="1">#REF!</definedName>
    <definedName name="_______________________aaa55" localSheetId="3">#REF!</definedName>
    <definedName name="_______________________aaa55">#REF!</definedName>
    <definedName name="_______________________AAA6" localSheetId="7">#REF!</definedName>
    <definedName name="_______________________AAA6" localSheetId="1">#REF!</definedName>
    <definedName name="_______________________AAA6" localSheetId="3">#REF!</definedName>
    <definedName name="_______________________AAA6">#REF!</definedName>
    <definedName name="_______________________AAA7" localSheetId="7">#REF!</definedName>
    <definedName name="_______________________AAA7" localSheetId="1">#REF!</definedName>
    <definedName name="_______________________AAA7" localSheetId="3">#REF!</definedName>
    <definedName name="_______________________AAA7">#REF!</definedName>
    <definedName name="_______________________AAD5" localSheetId="7">#REF!</definedName>
    <definedName name="_______________________AAD5" localSheetId="1">#REF!</definedName>
    <definedName name="_______________________AAD5" localSheetId="3">#REF!</definedName>
    <definedName name="_______________________AAD5">#REF!</definedName>
    <definedName name="_______________________aad55" localSheetId="7">#REF!</definedName>
    <definedName name="_______________________aad55" localSheetId="1">#REF!</definedName>
    <definedName name="_______________________aad55" localSheetId="3">#REF!</definedName>
    <definedName name="_______________________aad55">#REF!</definedName>
    <definedName name="_______________________COL14" localSheetId="7">#REF!</definedName>
    <definedName name="_______________________COL14" localSheetId="1">#REF!</definedName>
    <definedName name="_______________________COL14" localSheetId="3">#REF!</definedName>
    <definedName name="_______________________COL14">#REF!</definedName>
    <definedName name="_______________________COL15" localSheetId="7">#REF!</definedName>
    <definedName name="_______________________COL15" localSheetId="1">#REF!</definedName>
    <definedName name="_______________________COL15" localSheetId="3">#REF!</definedName>
    <definedName name="_______________________COL15">#REF!</definedName>
    <definedName name="_______________________COL16" localSheetId="7">#REF!</definedName>
    <definedName name="_______________________COL16" localSheetId="1">#REF!</definedName>
    <definedName name="_______________________COL16" localSheetId="3">#REF!</definedName>
    <definedName name="_______________________COL16">#REF!</definedName>
    <definedName name="_______________________exc1" localSheetId="7">#REF!</definedName>
    <definedName name="_______________________exc1" localSheetId="1">#REF!</definedName>
    <definedName name="_______________________exc1" localSheetId="3">#REF!</definedName>
    <definedName name="_______________________exc1">#REF!</definedName>
    <definedName name="_______________________exc11" localSheetId="7">#REF!</definedName>
    <definedName name="_______________________exc11" localSheetId="1">#REF!</definedName>
    <definedName name="_______________________exc11" localSheetId="3">#REF!</definedName>
    <definedName name="_______________________exc11">#REF!</definedName>
    <definedName name="_______________________exc2" localSheetId="7">#REF!</definedName>
    <definedName name="_______________________exc2" localSheetId="1">#REF!</definedName>
    <definedName name="_______________________exc2" localSheetId="3">#REF!</definedName>
    <definedName name="_______________________exc2">#REF!</definedName>
    <definedName name="_______________________EXC3" localSheetId="7">#REF!</definedName>
    <definedName name="_______________________EXC3" localSheetId="1">#REF!</definedName>
    <definedName name="_______________________EXC3" localSheetId="3">#REF!</definedName>
    <definedName name="_______________________EXC3">#REF!</definedName>
    <definedName name="_______________________EXC4" localSheetId="7">#REF!</definedName>
    <definedName name="_______________________EXC4" localSheetId="1">#REF!</definedName>
    <definedName name="_______________________EXC4" localSheetId="3">#REF!</definedName>
    <definedName name="_______________________EXC4">#REF!</definedName>
    <definedName name="_______________________foo1" localSheetId="7">#REF!</definedName>
    <definedName name="_______________________foo1" localSheetId="1">#REF!</definedName>
    <definedName name="_______________________foo1" localSheetId="3">#REF!</definedName>
    <definedName name="_______________________foo1">#REF!</definedName>
    <definedName name="_______________________foo2" localSheetId="7">#REF!</definedName>
    <definedName name="_______________________foo2" localSheetId="1">#REF!</definedName>
    <definedName name="_______________________foo2" localSheetId="3">#REF!</definedName>
    <definedName name="_______________________foo2">#REF!</definedName>
    <definedName name="_______________________foo3" localSheetId="7">#REF!</definedName>
    <definedName name="_______________________foo3" localSheetId="1">#REF!</definedName>
    <definedName name="_______________________foo3" localSheetId="3">#REF!</definedName>
    <definedName name="_______________________foo3">#REF!</definedName>
    <definedName name="_______________________FOO4" localSheetId="7">#REF!</definedName>
    <definedName name="_______________________FOO4" localSheetId="1">#REF!</definedName>
    <definedName name="_______________________FOO4" localSheetId="3">#REF!</definedName>
    <definedName name="_______________________FOO4">#REF!</definedName>
    <definedName name="_______________________lsc44" localSheetId="7">#REF!</definedName>
    <definedName name="_______________________lsc44" localSheetId="1">#REF!</definedName>
    <definedName name="_______________________lsc44" localSheetId="3">#REF!</definedName>
    <definedName name="_______________________lsc44">#REF!</definedName>
    <definedName name="_______________________pcc1" localSheetId="7">#REF!</definedName>
    <definedName name="_______________________pcc1" localSheetId="1">#REF!</definedName>
    <definedName name="_______________________pcc1" localSheetId="3">#REF!</definedName>
    <definedName name="_______________________pcc1">#REF!</definedName>
    <definedName name="_______________________pcc2" localSheetId="7">#REF!</definedName>
    <definedName name="_______________________pcc2" localSheetId="1">#REF!</definedName>
    <definedName name="_______________________pcc2" localSheetId="3">#REF!</definedName>
    <definedName name="_______________________pcc2">#REF!</definedName>
    <definedName name="_______________________pcc3" localSheetId="7">#REF!</definedName>
    <definedName name="_______________________pcc3" localSheetId="1">#REF!</definedName>
    <definedName name="_______________________pcc3" localSheetId="3">#REF!</definedName>
    <definedName name="_______________________pcc3">#REF!</definedName>
    <definedName name="_______________________PCC4" localSheetId="7">#REF!</definedName>
    <definedName name="_______________________PCC4" localSheetId="1">#REF!</definedName>
    <definedName name="_______________________PCC4" localSheetId="3">#REF!</definedName>
    <definedName name="_______________________PCC4">#REF!</definedName>
    <definedName name="_______________________plb1" localSheetId="7">#REF!</definedName>
    <definedName name="_______________________plb1" localSheetId="1">#REF!</definedName>
    <definedName name="_______________________plb1" localSheetId="3">#REF!</definedName>
    <definedName name="_______________________plb1">#REF!</definedName>
    <definedName name="_______________________plb2" localSheetId="7">#REF!</definedName>
    <definedName name="_______________________plb2" localSheetId="1">#REF!</definedName>
    <definedName name="_______________________plb2" localSheetId="3">#REF!</definedName>
    <definedName name="_______________________plb2">#REF!</definedName>
    <definedName name="_______________________plb3" localSheetId="7">#REF!</definedName>
    <definedName name="_______________________plb3" localSheetId="1">#REF!</definedName>
    <definedName name="_______________________plb3" localSheetId="3">#REF!</definedName>
    <definedName name="_______________________plb3">#REF!</definedName>
    <definedName name="_______________________plb4" localSheetId="7">#REF!</definedName>
    <definedName name="_______________________plb4" localSheetId="1">#REF!</definedName>
    <definedName name="_______________________plb4" localSheetId="3">#REF!</definedName>
    <definedName name="_______________________plb4">#REF!</definedName>
    <definedName name="_______________________sec1" localSheetId="7">#REF!</definedName>
    <definedName name="_______________________sec1" localSheetId="1">#REF!</definedName>
    <definedName name="_______________________sec1" localSheetId="3">#REF!</definedName>
    <definedName name="_______________________sec1">#REF!</definedName>
    <definedName name="_______________________sec111" localSheetId="7">#REF!</definedName>
    <definedName name="_______________________sec111" localSheetId="1">#REF!</definedName>
    <definedName name="_______________________sec111" localSheetId="3">#REF!</definedName>
    <definedName name="_______________________sec111">#REF!</definedName>
    <definedName name="_______________________SEC15" localSheetId="7">#REF!</definedName>
    <definedName name="_______________________SEC15" localSheetId="1">#REF!</definedName>
    <definedName name="_______________________SEC15" localSheetId="3">#REF!</definedName>
    <definedName name="_______________________SEC15">#REF!</definedName>
    <definedName name="_______________________Sec2" localSheetId="7">#REF!</definedName>
    <definedName name="_______________________Sec2" localSheetId="1">#REF!</definedName>
    <definedName name="_______________________Sec2" localSheetId="3">#REF!</definedName>
    <definedName name="_______________________Sec2">#REF!</definedName>
    <definedName name="_______________________sec22" localSheetId="7">#REF!</definedName>
    <definedName name="_______________________sec22" localSheetId="1">#REF!</definedName>
    <definedName name="_______________________sec22" localSheetId="3">#REF!</definedName>
    <definedName name="_______________________sec22">#REF!</definedName>
    <definedName name="_______________________SEC23" localSheetId="7">#REF!</definedName>
    <definedName name="_______________________SEC23" localSheetId="1">#REF!</definedName>
    <definedName name="_______________________SEC23" localSheetId="3">#REF!</definedName>
    <definedName name="_______________________SEC23">#REF!</definedName>
    <definedName name="_______________________sec3" localSheetId="7">#REF!</definedName>
    <definedName name="_______________________sec3" localSheetId="1">#REF!</definedName>
    <definedName name="_______________________sec3" localSheetId="3">#REF!</definedName>
    <definedName name="_______________________sec3">#REF!</definedName>
    <definedName name="_______________________SEC32" localSheetId="7">#REF!</definedName>
    <definedName name="_______________________SEC32" localSheetId="1">#REF!</definedName>
    <definedName name="_______________________SEC32" localSheetId="3">#REF!</definedName>
    <definedName name="_______________________SEC32">#REF!</definedName>
    <definedName name="_______________________sec33" localSheetId="7">#REF!</definedName>
    <definedName name="_______________________sec33" localSheetId="1">#REF!</definedName>
    <definedName name="_______________________sec33" localSheetId="3">#REF!</definedName>
    <definedName name="_______________________sec33">#REF!</definedName>
    <definedName name="_______________________Sec4" localSheetId="7">#REF!</definedName>
    <definedName name="_______________________Sec4" localSheetId="1">#REF!</definedName>
    <definedName name="_______________________Sec4" localSheetId="3">#REF!</definedName>
    <definedName name="_______________________Sec4">#REF!</definedName>
    <definedName name="_______________________sec45" localSheetId="7">#REF!</definedName>
    <definedName name="_______________________sec45" localSheetId="1">#REF!</definedName>
    <definedName name="_______________________sec45" localSheetId="3">#REF!</definedName>
    <definedName name="_______________________sec45">#REF!</definedName>
    <definedName name="_______________________SEC46" localSheetId="7">#REF!</definedName>
    <definedName name="_______________________SEC46" localSheetId="1">#REF!</definedName>
    <definedName name="_______________________SEC46" localSheetId="3">#REF!</definedName>
    <definedName name="_______________________SEC46">#REF!</definedName>
    <definedName name="_______________________sec5" localSheetId="7">#REF!</definedName>
    <definedName name="_______________________sec5" localSheetId="1">#REF!</definedName>
    <definedName name="_______________________sec5" localSheetId="3">#REF!</definedName>
    <definedName name="_______________________sec5">#REF!</definedName>
    <definedName name="_______________________sec55" localSheetId="7">#REF!</definedName>
    <definedName name="_______________________sec55" localSheetId="1">#REF!</definedName>
    <definedName name="_______________________sec55" localSheetId="3">#REF!</definedName>
    <definedName name="_______________________sec55">#REF!</definedName>
    <definedName name="_______________________SEC56" localSheetId="7">#REF!</definedName>
    <definedName name="_______________________SEC56" localSheetId="1">#REF!</definedName>
    <definedName name="_______________________SEC56" localSheetId="3">#REF!</definedName>
    <definedName name="_______________________SEC56">#REF!</definedName>
    <definedName name="_______________________sec6" localSheetId="7">#REF!</definedName>
    <definedName name="_______________________sec6" localSheetId="1">#REF!</definedName>
    <definedName name="_______________________sec6" localSheetId="3">#REF!</definedName>
    <definedName name="_______________________sec6">#REF!</definedName>
    <definedName name="_______________________sec66" localSheetId="7">#REF!</definedName>
    <definedName name="_______________________sec66" localSheetId="1">#REF!</definedName>
    <definedName name="_______________________sec66" localSheetId="3">#REF!</definedName>
    <definedName name="_______________________sec66">#REF!</definedName>
    <definedName name="_______________________SEC67" localSheetId="7">#REF!</definedName>
    <definedName name="_______________________SEC67" localSheetId="1">#REF!</definedName>
    <definedName name="_______________________SEC67" localSheetId="3">#REF!</definedName>
    <definedName name="_______________________SEC67">#REF!</definedName>
    <definedName name="_______________________sec7" localSheetId="7">#REF!</definedName>
    <definedName name="_______________________sec7" localSheetId="1">#REF!</definedName>
    <definedName name="_______________________sec7" localSheetId="3">#REF!</definedName>
    <definedName name="_______________________sec7">#REF!</definedName>
    <definedName name="_______________________sec71" localSheetId="7">#REF!</definedName>
    <definedName name="_______________________sec71" localSheetId="1">#REF!</definedName>
    <definedName name="_______________________sec71" localSheetId="3">#REF!</definedName>
    <definedName name="_______________________sec71">#REF!</definedName>
    <definedName name="_______________________SEC72" localSheetId="7">#REF!</definedName>
    <definedName name="_______________________SEC72" localSheetId="1">#REF!</definedName>
    <definedName name="_______________________SEC72" localSheetId="3">#REF!</definedName>
    <definedName name="_______________________SEC72">#REF!</definedName>
    <definedName name="_______________________SEC74" localSheetId="7">#REF!</definedName>
    <definedName name="_______________________SEC74" localSheetId="1">#REF!</definedName>
    <definedName name="_______________________SEC74" localSheetId="3">#REF!</definedName>
    <definedName name="_______________________SEC74">#REF!</definedName>
    <definedName name="_______________________SEC75" localSheetId="7">#REF!</definedName>
    <definedName name="_______________________SEC75" localSheetId="1">#REF!</definedName>
    <definedName name="_______________________SEC75" localSheetId="3">#REF!</definedName>
    <definedName name="_______________________SEC75">#REF!</definedName>
    <definedName name="_______________________SEC77" localSheetId="7">#REF!</definedName>
    <definedName name="_______________________SEC77" localSheetId="1">#REF!</definedName>
    <definedName name="_______________________SEC77" localSheetId="3">#REF!</definedName>
    <definedName name="_______________________SEC77">#REF!</definedName>
    <definedName name="_______________________sec777" localSheetId="7">#REF!</definedName>
    <definedName name="_______________________sec777" localSheetId="1">#REF!</definedName>
    <definedName name="_______________________sec777" localSheetId="3">#REF!</definedName>
    <definedName name="_______________________sec777">#REF!</definedName>
    <definedName name="_______________________sec78" localSheetId="7">#REF!</definedName>
    <definedName name="_______________________sec78" localSheetId="1">#REF!</definedName>
    <definedName name="_______________________sec78" localSheetId="3">#REF!</definedName>
    <definedName name="_______________________sec78">#REF!</definedName>
    <definedName name="_______________________sec79" localSheetId="7">#REF!</definedName>
    <definedName name="_______________________sec79" localSheetId="1">#REF!</definedName>
    <definedName name="_______________________sec79" localSheetId="3">#REF!</definedName>
    <definedName name="_______________________sec79">#REF!</definedName>
    <definedName name="_______________________sec8" localSheetId="7">#REF!</definedName>
    <definedName name="_______________________sec8" localSheetId="1">#REF!</definedName>
    <definedName name="_______________________sec8" localSheetId="3">#REF!</definedName>
    <definedName name="_______________________sec8">#REF!</definedName>
    <definedName name="_______________________sec81" localSheetId="7">#REF!</definedName>
    <definedName name="_______________________sec81" localSheetId="1">#REF!</definedName>
    <definedName name="_______________________sec81" localSheetId="3">#REF!</definedName>
    <definedName name="_______________________sec81">#REF!</definedName>
    <definedName name="_______________________SEC82" localSheetId="7">#REF!</definedName>
    <definedName name="_______________________SEC82" localSheetId="1">#REF!</definedName>
    <definedName name="_______________________SEC82" localSheetId="3">#REF!</definedName>
    <definedName name="_______________________SEC82">#REF!</definedName>
    <definedName name="_______________________SEC83" localSheetId="7">#REF!</definedName>
    <definedName name="_______________________SEC83" localSheetId="1">#REF!</definedName>
    <definedName name="_______________________SEC83" localSheetId="3">#REF!</definedName>
    <definedName name="_______________________SEC83">#REF!</definedName>
    <definedName name="_______________________SEC88" localSheetId="7">#REF!</definedName>
    <definedName name="_______________________SEC88" localSheetId="1">#REF!</definedName>
    <definedName name="_______________________SEC88" localSheetId="3">#REF!</definedName>
    <definedName name="_______________________SEC88">#REF!</definedName>
    <definedName name="_______________________sec888" localSheetId="7">#REF!</definedName>
    <definedName name="_______________________sec888" localSheetId="1">#REF!</definedName>
    <definedName name="_______________________sec888" localSheetId="3">#REF!</definedName>
    <definedName name="_______________________sec888">#REF!</definedName>
    <definedName name="_______________________sec89" localSheetId="7">#REF!</definedName>
    <definedName name="_______________________sec89" localSheetId="1">#REF!</definedName>
    <definedName name="_______________________sec89" localSheetId="3">#REF!</definedName>
    <definedName name="_______________________sec89">#REF!</definedName>
    <definedName name="_______________________sec899" localSheetId="7">#REF!</definedName>
    <definedName name="_______________________sec899" localSheetId="1">#REF!</definedName>
    <definedName name="_______________________sec899" localSheetId="3">#REF!</definedName>
    <definedName name="_______________________sec899">#REF!</definedName>
    <definedName name="_______________________SEC9" localSheetId="7">#REF!</definedName>
    <definedName name="_______________________SEC9" localSheetId="1">#REF!</definedName>
    <definedName name="_______________________SEC9" localSheetId="3">#REF!</definedName>
    <definedName name="_______________________SEC9">#REF!</definedName>
    <definedName name="_______________________SEC91" localSheetId="7">#REF!</definedName>
    <definedName name="_______________________SEC91" localSheetId="1">#REF!</definedName>
    <definedName name="_______________________SEC91" localSheetId="3">#REF!</definedName>
    <definedName name="_______________________SEC91">#REF!</definedName>
    <definedName name="_______________________tk1" localSheetId="7">#REF!</definedName>
    <definedName name="_______________________tk1" localSheetId="1">#REF!</definedName>
    <definedName name="_______________________tk1" localSheetId="3">#REF!</definedName>
    <definedName name="_______________________tk1">#REF!</definedName>
    <definedName name="_______________________zz1" localSheetId="7">#REF!</definedName>
    <definedName name="_______________________zz1" localSheetId="1">#REF!</definedName>
    <definedName name="_______________________zz1" localSheetId="3">#REF!</definedName>
    <definedName name="_______________________zz1">#REF!</definedName>
    <definedName name="______________________aaa1" localSheetId="7">#REF!</definedName>
    <definedName name="______________________aaa1" localSheetId="1">#REF!</definedName>
    <definedName name="______________________aaa1" localSheetId="3">#REF!</definedName>
    <definedName name="______________________aaa1">#REF!</definedName>
    <definedName name="______________________aaa10" localSheetId="7">#REF!</definedName>
    <definedName name="______________________aaa10" localSheetId="1">#REF!</definedName>
    <definedName name="______________________aaa10" localSheetId="3">#REF!</definedName>
    <definedName name="______________________aaa10">#REF!</definedName>
    <definedName name="______________________aaa11" localSheetId="7">#REF!</definedName>
    <definedName name="______________________aaa11" localSheetId="1">#REF!</definedName>
    <definedName name="______________________aaa11" localSheetId="3">#REF!</definedName>
    <definedName name="______________________aaa11">#REF!</definedName>
    <definedName name="______________________AAA12" localSheetId="7">#REF!</definedName>
    <definedName name="______________________AAA12" localSheetId="1">#REF!</definedName>
    <definedName name="______________________AAA12" localSheetId="3">#REF!</definedName>
    <definedName name="______________________AAA12">#REF!</definedName>
    <definedName name="______________________aaa5" localSheetId="7">#REF!</definedName>
    <definedName name="______________________aaa5" localSheetId="1">#REF!</definedName>
    <definedName name="______________________aaa5" localSheetId="3">#REF!</definedName>
    <definedName name="______________________aaa5">#REF!</definedName>
    <definedName name="______________________AAA51" localSheetId="7">#REF!</definedName>
    <definedName name="______________________AAA51" localSheetId="1">#REF!</definedName>
    <definedName name="______________________AAA51" localSheetId="3">#REF!</definedName>
    <definedName name="______________________AAA51">#REF!</definedName>
    <definedName name="______________________aaa55" localSheetId="7">#REF!</definedName>
    <definedName name="______________________aaa55" localSheetId="1">#REF!</definedName>
    <definedName name="______________________aaa55" localSheetId="3">#REF!</definedName>
    <definedName name="______________________aaa55">#REF!</definedName>
    <definedName name="______________________AAA6" localSheetId="7">#REF!</definedName>
    <definedName name="______________________AAA6" localSheetId="1">#REF!</definedName>
    <definedName name="______________________AAA6" localSheetId="3">#REF!</definedName>
    <definedName name="______________________AAA6">#REF!</definedName>
    <definedName name="______________________AAA7" localSheetId="7">#REF!</definedName>
    <definedName name="______________________AAA7" localSheetId="1">#REF!</definedName>
    <definedName name="______________________AAA7" localSheetId="3">#REF!</definedName>
    <definedName name="______________________AAA7">#REF!</definedName>
    <definedName name="______________________AAD5" localSheetId="7">#REF!</definedName>
    <definedName name="______________________AAD5" localSheetId="1">#REF!</definedName>
    <definedName name="______________________AAD5" localSheetId="3">#REF!</definedName>
    <definedName name="______________________AAD5">#REF!</definedName>
    <definedName name="______________________aad55" localSheetId="7">#REF!</definedName>
    <definedName name="______________________aad55" localSheetId="1">#REF!</definedName>
    <definedName name="______________________aad55" localSheetId="3">#REF!</definedName>
    <definedName name="______________________aad55">#REF!</definedName>
    <definedName name="______________________ast1" localSheetId="7">#REF!</definedName>
    <definedName name="______________________ast1" localSheetId="1">#REF!</definedName>
    <definedName name="______________________ast1" localSheetId="3">#REF!</definedName>
    <definedName name="______________________ast1">#REF!</definedName>
    <definedName name="______________________ast2" localSheetId="7">#REF!</definedName>
    <definedName name="______________________ast2" localSheetId="1">#REF!</definedName>
    <definedName name="______________________ast2" localSheetId="3">#REF!</definedName>
    <definedName name="______________________ast2">#REF!</definedName>
    <definedName name="______________________bbb1" localSheetId="7">#REF!</definedName>
    <definedName name="______________________bbb1" localSheetId="1">#REF!</definedName>
    <definedName name="______________________bbb1" localSheetId="3">#REF!</definedName>
    <definedName name="______________________bbb1">#REF!</definedName>
    <definedName name="______________________ccc1" localSheetId="7">#REF!</definedName>
    <definedName name="______________________ccc1" localSheetId="1">#REF!</definedName>
    <definedName name="______________________ccc1" localSheetId="3">#REF!</definedName>
    <definedName name="______________________ccc1">#REF!</definedName>
    <definedName name="______________________COL14" localSheetId="7">#REF!</definedName>
    <definedName name="______________________COL14" localSheetId="1">#REF!</definedName>
    <definedName name="______________________COL14" localSheetId="3">#REF!</definedName>
    <definedName name="______________________COL14">#REF!</definedName>
    <definedName name="______________________COL15" localSheetId="7">#REF!</definedName>
    <definedName name="______________________COL15" localSheetId="1">#REF!</definedName>
    <definedName name="______________________COL15" localSheetId="3">#REF!</definedName>
    <definedName name="______________________COL15">#REF!</definedName>
    <definedName name="______________________COL16" localSheetId="7">#REF!</definedName>
    <definedName name="______________________COL16" localSheetId="1">#REF!</definedName>
    <definedName name="______________________COL16" localSheetId="3">#REF!</definedName>
    <definedName name="______________________COL16">#REF!</definedName>
    <definedName name="______________________ddd1" localSheetId="7">#REF!</definedName>
    <definedName name="______________________ddd1" localSheetId="1">#REF!</definedName>
    <definedName name="______________________ddd1" localSheetId="3">#REF!</definedName>
    <definedName name="______________________ddd1">#REF!</definedName>
    <definedName name="______________________eee1" localSheetId="7">#REF!</definedName>
    <definedName name="______________________eee1" localSheetId="1">#REF!</definedName>
    <definedName name="______________________eee1" localSheetId="3">#REF!</definedName>
    <definedName name="______________________eee1">#REF!</definedName>
    <definedName name="______________________exc1" localSheetId="7">#REF!</definedName>
    <definedName name="______________________exc1" localSheetId="1">#REF!</definedName>
    <definedName name="______________________exc1" localSheetId="3">#REF!</definedName>
    <definedName name="______________________exc1">#REF!</definedName>
    <definedName name="______________________exc11" localSheetId="7">#REF!</definedName>
    <definedName name="______________________exc11" localSheetId="1">#REF!</definedName>
    <definedName name="______________________exc11" localSheetId="3">#REF!</definedName>
    <definedName name="______________________exc11">#REF!</definedName>
    <definedName name="______________________exc2" localSheetId="7">#REF!</definedName>
    <definedName name="______________________exc2" localSheetId="1">#REF!</definedName>
    <definedName name="______________________exc2" localSheetId="3">#REF!</definedName>
    <definedName name="______________________exc2">#REF!</definedName>
    <definedName name="______________________EXC3" localSheetId="7">#REF!</definedName>
    <definedName name="______________________EXC3" localSheetId="1">#REF!</definedName>
    <definedName name="______________________EXC3" localSheetId="3">#REF!</definedName>
    <definedName name="______________________EXC3">#REF!</definedName>
    <definedName name="______________________EXC4" localSheetId="7">#REF!</definedName>
    <definedName name="______________________EXC4" localSheetId="1">#REF!</definedName>
    <definedName name="______________________EXC4" localSheetId="3">#REF!</definedName>
    <definedName name="______________________EXC4">#REF!</definedName>
    <definedName name="______________________fff1" localSheetId="7">#REF!</definedName>
    <definedName name="______________________fff1" localSheetId="1">#REF!</definedName>
    <definedName name="______________________fff1" localSheetId="3">#REF!</definedName>
    <definedName name="______________________fff1">#REF!</definedName>
    <definedName name="______________________foo1" localSheetId="7">#REF!</definedName>
    <definedName name="______________________foo1" localSheetId="1">#REF!</definedName>
    <definedName name="______________________foo1" localSheetId="3">#REF!</definedName>
    <definedName name="______________________foo1">#REF!</definedName>
    <definedName name="______________________foo2" localSheetId="7">#REF!</definedName>
    <definedName name="______________________foo2" localSheetId="1">#REF!</definedName>
    <definedName name="______________________foo2" localSheetId="3">#REF!</definedName>
    <definedName name="______________________foo2">#REF!</definedName>
    <definedName name="______________________foo3" localSheetId="7">#REF!</definedName>
    <definedName name="______________________foo3" localSheetId="1">#REF!</definedName>
    <definedName name="______________________foo3" localSheetId="3">#REF!</definedName>
    <definedName name="______________________foo3">#REF!</definedName>
    <definedName name="______________________FOO4" localSheetId="7">#REF!</definedName>
    <definedName name="______________________FOO4" localSheetId="1">#REF!</definedName>
    <definedName name="______________________FOO4" localSheetId="3">#REF!</definedName>
    <definedName name="______________________FOO4">#REF!</definedName>
    <definedName name="______________________ief1" localSheetId="7">#REF!</definedName>
    <definedName name="______________________ief1" localSheetId="1">#REF!</definedName>
    <definedName name="______________________ief1" localSheetId="3">#REF!</definedName>
    <definedName name="______________________ief1">#REF!</definedName>
    <definedName name="______________________ind1" localSheetId="7">#REF!</definedName>
    <definedName name="______________________ind1" localSheetId="1">#REF!</definedName>
    <definedName name="______________________ind1" localSheetId="3">#REF!</definedName>
    <definedName name="______________________ind1">#REF!</definedName>
    <definedName name="______________________IND11" localSheetId="7">#REF!</definedName>
    <definedName name="______________________IND11" localSheetId="1">#REF!</definedName>
    <definedName name="______________________IND11" localSheetId="3">#REF!</definedName>
    <definedName name="______________________IND11">#REF!</definedName>
    <definedName name="______________________IND31" localSheetId="7">#REF!</definedName>
    <definedName name="______________________IND31" localSheetId="1">#REF!</definedName>
    <definedName name="______________________IND31" localSheetId="3">#REF!</definedName>
    <definedName name="______________________IND31">#REF!</definedName>
    <definedName name="______________________IRS1" localSheetId="7">#REF!</definedName>
    <definedName name="______________________IRS1" localSheetId="1">#REF!</definedName>
    <definedName name="______________________IRS1" localSheetId="3">#REF!</definedName>
    <definedName name="______________________IRS1">#REF!</definedName>
    <definedName name="______________________KK1" localSheetId="7">#REF!</definedName>
    <definedName name="______________________KK1" localSheetId="1">#REF!</definedName>
    <definedName name="______________________KK1" localSheetId="3">#REF!</definedName>
    <definedName name="______________________KK1">#REF!</definedName>
    <definedName name="______________________KK2" localSheetId="7">#REF!</definedName>
    <definedName name="______________________KK2" localSheetId="1">#REF!</definedName>
    <definedName name="______________________KK2" localSheetId="3">#REF!</definedName>
    <definedName name="______________________KK2">#REF!</definedName>
    <definedName name="______________________kk3" localSheetId="7">#REF!</definedName>
    <definedName name="______________________kk3" localSheetId="1">#REF!</definedName>
    <definedName name="______________________kk3" localSheetId="3">#REF!</definedName>
    <definedName name="______________________kk3">#REF!</definedName>
    <definedName name="______________________kk4" localSheetId="7">#REF!</definedName>
    <definedName name="______________________kk4" localSheetId="1">#REF!</definedName>
    <definedName name="______________________kk4" localSheetId="3">#REF!</definedName>
    <definedName name="______________________kk4">#REF!</definedName>
    <definedName name="______________________lsc44" localSheetId="7">#REF!</definedName>
    <definedName name="______________________lsc44" localSheetId="1">#REF!</definedName>
    <definedName name="______________________lsc44" localSheetId="3">#REF!</definedName>
    <definedName name="______________________lsc44">#REF!</definedName>
    <definedName name="______________________MF1" localSheetId="7">#REF!</definedName>
    <definedName name="______________________MF1" localSheetId="1">#REF!</definedName>
    <definedName name="______________________MF1" localSheetId="3">#REF!</definedName>
    <definedName name="______________________MF1">#REF!</definedName>
    <definedName name="______________________MM1" localSheetId="7">#REF!</definedName>
    <definedName name="______________________MM1" localSheetId="1">#REF!</definedName>
    <definedName name="______________________MM1" localSheetId="3">#REF!</definedName>
    <definedName name="______________________MM1">#REF!</definedName>
    <definedName name="______________________MM2" localSheetId="7">#REF!</definedName>
    <definedName name="______________________MM2" localSheetId="1">#REF!</definedName>
    <definedName name="______________________MM2" localSheetId="3">#REF!</definedName>
    <definedName name="______________________MM2">#REF!</definedName>
    <definedName name="______________________pcc1" localSheetId="7">#REF!</definedName>
    <definedName name="______________________pcc1" localSheetId="1">#REF!</definedName>
    <definedName name="______________________pcc1" localSheetId="3">#REF!</definedName>
    <definedName name="______________________pcc1">#REF!</definedName>
    <definedName name="______________________pcc2" localSheetId="7">#REF!</definedName>
    <definedName name="______________________pcc2" localSheetId="1">#REF!</definedName>
    <definedName name="______________________pcc2" localSheetId="3">#REF!</definedName>
    <definedName name="______________________pcc2">#REF!</definedName>
    <definedName name="______________________pcc3" localSheetId="7">#REF!</definedName>
    <definedName name="______________________pcc3" localSheetId="1">#REF!</definedName>
    <definedName name="______________________pcc3" localSheetId="3">#REF!</definedName>
    <definedName name="______________________pcc3">#REF!</definedName>
    <definedName name="______________________PCC4" localSheetId="7">#REF!</definedName>
    <definedName name="______________________PCC4" localSheetId="1">#REF!</definedName>
    <definedName name="______________________PCC4" localSheetId="3">#REF!</definedName>
    <definedName name="______________________PCC4">#REF!</definedName>
    <definedName name="______________________plb1" localSheetId="7">#REF!</definedName>
    <definedName name="______________________plb1" localSheetId="1">#REF!</definedName>
    <definedName name="______________________plb1" localSheetId="3">#REF!</definedName>
    <definedName name="______________________plb1">#REF!</definedName>
    <definedName name="______________________plb2" localSheetId="7">#REF!</definedName>
    <definedName name="______________________plb2" localSheetId="1">#REF!</definedName>
    <definedName name="______________________plb2" localSheetId="3">#REF!</definedName>
    <definedName name="______________________plb2">#REF!</definedName>
    <definedName name="______________________plb3" localSheetId="7">#REF!</definedName>
    <definedName name="______________________plb3" localSheetId="1">#REF!</definedName>
    <definedName name="______________________plb3" localSheetId="3">#REF!</definedName>
    <definedName name="______________________plb3">#REF!</definedName>
    <definedName name="______________________plb4" localSheetId="7">#REF!</definedName>
    <definedName name="______________________plb4" localSheetId="1">#REF!</definedName>
    <definedName name="______________________plb4" localSheetId="3">#REF!</definedName>
    <definedName name="______________________plb4">#REF!</definedName>
    <definedName name="______________________S12" localSheetId="7">#REF!</definedName>
    <definedName name="______________________S12" localSheetId="1">#REF!</definedName>
    <definedName name="______________________S12" localSheetId="3">#REF!</definedName>
    <definedName name="______________________S12">#REF!</definedName>
    <definedName name="______________________sec1" localSheetId="7">#REF!</definedName>
    <definedName name="______________________sec1" localSheetId="1">#REF!</definedName>
    <definedName name="______________________sec1" localSheetId="3">#REF!</definedName>
    <definedName name="______________________sec1">#REF!</definedName>
    <definedName name="______________________sec111" localSheetId="7">#REF!</definedName>
    <definedName name="______________________sec111" localSheetId="1">#REF!</definedName>
    <definedName name="______________________sec111" localSheetId="3">#REF!</definedName>
    <definedName name="______________________sec111">#REF!</definedName>
    <definedName name="______________________SEC15" localSheetId="7">#REF!</definedName>
    <definedName name="______________________SEC15" localSheetId="1">#REF!</definedName>
    <definedName name="______________________SEC15" localSheetId="3">#REF!</definedName>
    <definedName name="______________________SEC15">#REF!</definedName>
    <definedName name="______________________Sec2" localSheetId="7">#REF!</definedName>
    <definedName name="______________________Sec2" localSheetId="1">#REF!</definedName>
    <definedName name="______________________Sec2" localSheetId="3">#REF!</definedName>
    <definedName name="______________________Sec2">#REF!</definedName>
    <definedName name="______________________sec22" localSheetId="7">#REF!</definedName>
    <definedName name="______________________sec22" localSheetId="1">#REF!</definedName>
    <definedName name="______________________sec22" localSheetId="3">#REF!</definedName>
    <definedName name="______________________sec22">#REF!</definedName>
    <definedName name="______________________SEC23" localSheetId="7">#REF!</definedName>
    <definedName name="______________________SEC23" localSheetId="1">#REF!</definedName>
    <definedName name="______________________SEC23" localSheetId="3">#REF!</definedName>
    <definedName name="______________________SEC23">#REF!</definedName>
    <definedName name="______________________sec3" localSheetId="7">#REF!</definedName>
    <definedName name="______________________sec3" localSheetId="1">#REF!</definedName>
    <definedName name="______________________sec3" localSheetId="3">#REF!</definedName>
    <definedName name="______________________sec3">#REF!</definedName>
    <definedName name="______________________SEC32" localSheetId="7">#REF!</definedName>
    <definedName name="______________________SEC32" localSheetId="1">#REF!</definedName>
    <definedName name="______________________SEC32" localSheetId="3">#REF!</definedName>
    <definedName name="______________________SEC32">#REF!</definedName>
    <definedName name="______________________sec33" localSheetId="7">#REF!</definedName>
    <definedName name="______________________sec33" localSheetId="1">#REF!</definedName>
    <definedName name="______________________sec33" localSheetId="3">#REF!</definedName>
    <definedName name="______________________sec33">#REF!</definedName>
    <definedName name="______________________Sec4" localSheetId="7">#REF!</definedName>
    <definedName name="______________________Sec4" localSheetId="1">#REF!</definedName>
    <definedName name="______________________Sec4" localSheetId="3">#REF!</definedName>
    <definedName name="______________________Sec4">#REF!</definedName>
    <definedName name="______________________sec45" localSheetId="7">#REF!</definedName>
    <definedName name="______________________sec45" localSheetId="1">#REF!</definedName>
    <definedName name="______________________sec45" localSheetId="3">#REF!</definedName>
    <definedName name="______________________sec45">#REF!</definedName>
    <definedName name="______________________SEC46" localSheetId="7">#REF!</definedName>
    <definedName name="______________________SEC46" localSheetId="1">#REF!</definedName>
    <definedName name="______________________SEC46" localSheetId="3">#REF!</definedName>
    <definedName name="______________________SEC46">#REF!</definedName>
    <definedName name="______________________sec5" localSheetId="7">#REF!</definedName>
    <definedName name="______________________sec5" localSheetId="1">#REF!</definedName>
    <definedName name="______________________sec5" localSheetId="3">#REF!</definedName>
    <definedName name="______________________sec5">#REF!</definedName>
    <definedName name="______________________sec55" localSheetId="7">#REF!</definedName>
    <definedName name="______________________sec55" localSheetId="1">#REF!</definedName>
    <definedName name="______________________sec55" localSheetId="3">#REF!</definedName>
    <definedName name="______________________sec55">#REF!</definedName>
    <definedName name="______________________SEC56" localSheetId="7">#REF!</definedName>
    <definedName name="______________________SEC56" localSheetId="1">#REF!</definedName>
    <definedName name="______________________SEC56" localSheetId="3">#REF!</definedName>
    <definedName name="______________________SEC56">#REF!</definedName>
    <definedName name="______________________sec6" localSheetId="7">#REF!</definedName>
    <definedName name="______________________sec6" localSheetId="1">#REF!</definedName>
    <definedName name="______________________sec6" localSheetId="3">#REF!</definedName>
    <definedName name="______________________sec6">#REF!</definedName>
    <definedName name="______________________sec66" localSheetId="7">#REF!</definedName>
    <definedName name="______________________sec66" localSheetId="1">#REF!</definedName>
    <definedName name="______________________sec66" localSheetId="3">#REF!</definedName>
    <definedName name="______________________sec66">#REF!</definedName>
    <definedName name="______________________SEC67" localSheetId="7">#REF!</definedName>
    <definedName name="______________________SEC67" localSheetId="1">#REF!</definedName>
    <definedName name="______________________SEC67" localSheetId="3">#REF!</definedName>
    <definedName name="______________________SEC67">#REF!</definedName>
    <definedName name="______________________sec7" localSheetId="7">#REF!</definedName>
    <definedName name="______________________sec7" localSheetId="1">#REF!</definedName>
    <definedName name="______________________sec7" localSheetId="3">#REF!</definedName>
    <definedName name="______________________sec7">#REF!</definedName>
    <definedName name="______________________sec71" localSheetId="7">#REF!</definedName>
    <definedName name="______________________sec71" localSheetId="1">#REF!</definedName>
    <definedName name="______________________sec71" localSheetId="3">#REF!</definedName>
    <definedName name="______________________sec71">#REF!</definedName>
    <definedName name="______________________SEC72" localSheetId="7">#REF!</definedName>
    <definedName name="______________________SEC72" localSheetId="1">#REF!</definedName>
    <definedName name="______________________SEC72" localSheetId="3">#REF!</definedName>
    <definedName name="______________________SEC72">#REF!</definedName>
    <definedName name="______________________SEC74" localSheetId="7">#REF!</definedName>
    <definedName name="______________________SEC74" localSheetId="1">#REF!</definedName>
    <definedName name="______________________SEC74" localSheetId="3">#REF!</definedName>
    <definedName name="______________________SEC74">#REF!</definedName>
    <definedName name="______________________SEC75" localSheetId="7">#REF!</definedName>
    <definedName name="______________________SEC75" localSheetId="1">#REF!</definedName>
    <definedName name="______________________SEC75" localSheetId="3">#REF!</definedName>
    <definedName name="______________________SEC75">#REF!</definedName>
    <definedName name="______________________SEC77" localSheetId="7">#REF!</definedName>
    <definedName name="______________________SEC77" localSheetId="1">#REF!</definedName>
    <definedName name="______________________SEC77" localSheetId="3">#REF!</definedName>
    <definedName name="______________________SEC77">#REF!</definedName>
    <definedName name="______________________sec777" localSheetId="7">#REF!</definedName>
    <definedName name="______________________sec777" localSheetId="1">#REF!</definedName>
    <definedName name="______________________sec777" localSheetId="3">#REF!</definedName>
    <definedName name="______________________sec777">#REF!</definedName>
    <definedName name="______________________sec78" localSheetId="7">#REF!</definedName>
    <definedName name="______________________sec78" localSheetId="1">#REF!</definedName>
    <definedName name="______________________sec78" localSheetId="3">#REF!</definedName>
    <definedName name="______________________sec78">#REF!</definedName>
    <definedName name="______________________sec79" localSheetId="7">#REF!</definedName>
    <definedName name="______________________sec79" localSheetId="1">#REF!</definedName>
    <definedName name="______________________sec79" localSheetId="3">#REF!</definedName>
    <definedName name="______________________sec79">#REF!</definedName>
    <definedName name="______________________sec8" localSheetId="7">#REF!</definedName>
    <definedName name="______________________sec8" localSheetId="1">#REF!</definedName>
    <definedName name="______________________sec8" localSheetId="3">#REF!</definedName>
    <definedName name="______________________sec8">#REF!</definedName>
    <definedName name="______________________sec81" localSheetId="7">#REF!</definedName>
    <definedName name="______________________sec81" localSheetId="1">#REF!</definedName>
    <definedName name="______________________sec81" localSheetId="3">#REF!</definedName>
    <definedName name="______________________sec81">#REF!</definedName>
    <definedName name="______________________SEC82" localSheetId="7">#REF!</definedName>
    <definedName name="______________________SEC82" localSheetId="1">#REF!</definedName>
    <definedName name="______________________SEC82" localSheetId="3">#REF!</definedName>
    <definedName name="______________________SEC82">#REF!</definedName>
    <definedName name="______________________SEC83" localSheetId="7">#REF!</definedName>
    <definedName name="______________________SEC83" localSheetId="1">#REF!</definedName>
    <definedName name="______________________SEC83" localSheetId="3">#REF!</definedName>
    <definedName name="______________________SEC83">#REF!</definedName>
    <definedName name="______________________SEC88" localSheetId="7">#REF!</definedName>
    <definedName name="______________________SEC88" localSheetId="1">#REF!</definedName>
    <definedName name="______________________SEC88" localSheetId="3">#REF!</definedName>
    <definedName name="______________________SEC88">#REF!</definedName>
    <definedName name="______________________sec888" localSheetId="7">#REF!</definedName>
    <definedName name="______________________sec888" localSheetId="1">#REF!</definedName>
    <definedName name="______________________sec888" localSheetId="3">#REF!</definedName>
    <definedName name="______________________sec888">#REF!</definedName>
    <definedName name="______________________sec89" localSheetId="7">#REF!</definedName>
    <definedName name="______________________sec89" localSheetId="1">#REF!</definedName>
    <definedName name="______________________sec89" localSheetId="3">#REF!</definedName>
    <definedName name="______________________sec89">#REF!</definedName>
    <definedName name="______________________sec899" localSheetId="7">#REF!</definedName>
    <definedName name="______________________sec899" localSheetId="1">#REF!</definedName>
    <definedName name="______________________sec899" localSheetId="3">#REF!</definedName>
    <definedName name="______________________sec899">#REF!</definedName>
    <definedName name="______________________SEC9" localSheetId="7">#REF!</definedName>
    <definedName name="______________________SEC9" localSheetId="1">#REF!</definedName>
    <definedName name="______________________SEC9" localSheetId="3">#REF!</definedName>
    <definedName name="______________________SEC9">#REF!</definedName>
    <definedName name="______________________SEC91" localSheetId="7">#REF!</definedName>
    <definedName name="______________________SEC91" localSheetId="1">#REF!</definedName>
    <definedName name="______________________SEC91" localSheetId="3">#REF!</definedName>
    <definedName name="______________________SEC91">#REF!</definedName>
    <definedName name="______________________SS2" localSheetId="7">#REF!</definedName>
    <definedName name="______________________SS2" localSheetId="1">#REF!</definedName>
    <definedName name="______________________SS2" localSheetId="3">#REF!</definedName>
    <definedName name="______________________SS2">#REF!</definedName>
    <definedName name="______________________tk1" localSheetId="7">#REF!</definedName>
    <definedName name="______________________tk1" localSheetId="1">#REF!</definedName>
    <definedName name="______________________tk1" localSheetId="3">#REF!</definedName>
    <definedName name="______________________tk1">#REF!</definedName>
    <definedName name="______________________xd1" localSheetId="7">#REF!</definedName>
    <definedName name="______________________xd1" localSheetId="1">#REF!</definedName>
    <definedName name="______________________xd1" localSheetId="3">#REF!</definedName>
    <definedName name="______________________xd1">#REF!</definedName>
    <definedName name="______________________XD2" localSheetId="7">#REF!</definedName>
    <definedName name="______________________XD2" localSheetId="1">#REF!</definedName>
    <definedName name="______________________XD2" localSheetId="3">#REF!</definedName>
    <definedName name="______________________XD2">#REF!</definedName>
    <definedName name="______________________xd3" localSheetId="7">#REF!</definedName>
    <definedName name="______________________xd3" localSheetId="1">#REF!</definedName>
    <definedName name="______________________xd3" localSheetId="3">#REF!</definedName>
    <definedName name="______________________xd3">#REF!</definedName>
    <definedName name="______________________zz1" localSheetId="7">#REF!</definedName>
    <definedName name="______________________zz1" localSheetId="1">#REF!</definedName>
    <definedName name="______________________zz1" localSheetId="3">#REF!</definedName>
    <definedName name="______________________zz1">#REF!</definedName>
    <definedName name="_____________________aaa1" localSheetId="7">#REF!</definedName>
    <definedName name="_____________________aaa1" localSheetId="1">#REF!</definedName>
    <definedName name="_____________________aaa1" localSheetId="3">#REF!</definedName>
    <definedName name="_____________________aaa1">#REF!</definedName>
    <definedName name="_____________________aaa11" localSheetId="7">#REF!</definedName>
    <definedName name="_____________________aaa11" localSheetId="1">#REF!</definedName>
    <definedName name="_____________________aaa11" localSheetId="3">#REF!</definedName>
    <definedName name="_____________________aaa11">#REF!</definedName>
    <definedName name="_____________________AAA12" localSheetId="7">#REF!</definedName>
    <definedName name="_____________________AAA12" localSheetId="1">#REF!</definedName>
    <definedName name="_____________________AAA12" localSheetId="3">#REF!</definedName>
    <definedName name="_____________________AAA12">#REF!</definedName>
    <definedName name="_____________________AAA21" localSheetId="7">#REF!</definedName>
    <definedName name="_____________________AAA21" localSheetId="1">#REF!</definedName>
    <definedName name="_____________________AAA21" localSheetId="3">#REF!</definedName>
    <definedName name="_____________________AAA21">#REF!</definedName>
    <definedName name="_____________________aaa5" localSheetId="7">#REF!</definedName>
    <definedName name="_____________________aaa5" localSheetId="1">#REF!</definedName>
    <definedName name="_____________________aaa5" localSheetId="3">#REF!</definedName>
    <definedName name="_____________________aaa5">#REF!</definedName>
    <definedName name="_____________________AAA51" localSheetId="7">#REF!</definedName>
    <definedName name="_____________________AAA51" localSheetId="1">#REF!</definedName>
    <definedName name="_____________________AAA51" localSheetId="3">#REF!</definedName>
    <definedName name="_____________________AAA51">#REF!</definedName>
    <definedName name="_____________________AAA53" localSheetId="7">#REF!</definedName>
    <definedName name="_____________________AAA53" localSheetId="1">#REF!</definedName>
    <definedName name="_____________________AAA53" localSheetId="3">#REF!</definedName>
    <definedName name="_____________________AAA53">#REF!</definedName>
    <definedName name="_____________________aaa54" localSheetId="7">#REF!</definedName>
    <definedName name="_____________________aaa54" localSheetId="1">#REF!</definedName>
    <definedName name="_____________________aaa54" localSheetId="3">#REF!</definedName>
    <definedName name="_____________________aaa54">#REF!</definedName>
    <definedName name="_____________________aaa545" localSheetId="7">#REF!</definedName>
    <definedName name="_____________________aaa545" localSheetId="1">#REF!</definedName>
    <definedName name="_____________________aaa545" localSheetId="3">#REF!</definedName>
    <definedName name="_____________________aaa545">#REF!</definedName>
    <definedName name="_____________________aaa56" localSheetId="7">#REF!</definedName>
    <definedName name="_____________________aaa56" localSheetId="1">#REF!</definedName>
    <definedName name="_____________________aaa56" localSheetId="3">#REF!</definedName>
    <definedName name="_____________________aaa56">#REF!</definedName>
    <definedName name="_____________________AAA57" localSheetId="7">#REF!</definedName>
    <definedName name="_____________________AAA57" localSheetId="1">#REF!</definedName>
    <definedName name="_____________________AAA57" localSheetId="3">#REF!</definedName>
    <definedName name="_____________________AAA57">#REF!</definedName>
    <definedName name="_____________________aaa59" localSheetId="7">#REF!</definedName>
    <definedName name="_____________________aaa59" localSheetId="1">#REF!</definedName>
    <definedName name="_____________________aaa59" localSheetId="3">#REF!</definedName>
    <definedName name="_____________________aaa59">#REF!</definedName>
    <definedName name="_____________________AAA6" localSheetId="7">#REF!</definedName>
    <definedName name="_____________________AAA6" localSheetId="1">#REF!</definedName>
    <definedName name="_____________________AAA6" localSheetId="3">#REF!</definedName>
    <definedName name="_____________________AAA6">#REF!</definedName>
    <definedName name="_____________________AAA7" localSheetId="7">#REF!</definedName>
    <definedName name="_____________________AAA7" localSheetId="1">#REF!</definedName>
    <definedName name="_____________________AAA7" localSheetId="3">#REF!</definedName>
    <definedName name="_____________________AAA7">#REF!</definedName>
    <definedName name="_____________________AAD5" localSheetId="7">#REF!</definedName>
    <definedName name="_____________________AAD5" localSheetId="1">#REF!</definedName>
    <definedName name="_____________________AAD5" localSheetId="3">#REF!</definedName>
    <definedName name="_____________________AAD5">#REF!</definedName>
    <definedName name="_____________________AAD56" localSheetId="7">#REF!</definedName>
    <definedName name="_____________________AAD56" localSheetId="1">#REF!</definedName>
    <definedName name="_____________________AAD56" localSheetId="3">#REF!</definedName>
    <definedName name="_____________________AAD56">#REF!</definedName>
    <definedName name="_____________________AAD57" localSheetId="7">#REF!</definedName>
    <definedName name="_____________________AAD57" localSheetId="1">#REF!</definedName>
    <definedName name="_____________________AAD57" localSheetId="3">#REF!</definedName>
    <definedName name="_____________________AAD57">#REF!</definedName>
    <definedName name="_____________________ast1" localSheetId="7">#REF!</definedName>
    <definedName name="_____________________ast1" localSheetId="1">#REF!</definedName>
    <definedName name="_____________________ast1" localSheetId="3">#REF!</definedName>
    <definedName name="_____________________ast1">#REF!</definedName>
    <definedName name="_____________________ast2" localSheetId="7">#REF!</definedName>
    <definedName name="_____________________ast2" localSheetId="1">#REF!</definedName>
    <definedName name="_____________________ast2" localSheetId="3">#REF!</definedName>
    <definedName name="_____________________ast2">#REF!</definedName>
    <definedName name="_____________________bbb1" localSheetId="7">#REF!</definedName>
    <definedName name="_____________________bbb1" localSheetId="1">#REF!</definedName>
    <definedName name="_____________________bbb1" localSheetId="3">#REF!</definedName>
    <definedName name="_____________________bbb1">#REF!</definedName>
    <definedName name="_____________________ccc1" localSheetId="7">#REF!</definedName>
    <definedName name="_____________________ccc1" localSheetId="1">#REF!</definedName>
    <definedName name="_____________________ccc1" localSheetId="3">#REF!</definedName>
    <definedName name="_____________________ccc1">#REF!</definedName>
    <definedName name="_____________________COL14" localSheetId="7">#REF!</definedName>
    <definedName name="_____________________COL14" localSheetId="1">#REF!</definedName>
    <definedName name="_____________________COL14" localSheetId="3">#REF!</definedName>
    <definedName name="_____________________COL14">#REF!</definedName>
    <definedName name="_____________________COL15" localSheetId="7">#REF!</definedName>
    <definedName name="_____________________COL15" localSheetId="1">#REF!</definedName>
    <definedName name="_____________________COL15" localSheetId="3">#REF!</definedName>
    <definedName name="_____________________COL15">#REF!</definedName>
    <definedName name="_____________________COL16" localSheetId="7">#REF!</definedName>
    <definedName name="_____________________COL16" localSheetId="1">#REF!</definedName>
    <definedName name="_____________________COL16" localSheetId="3">#REF!</definedName>
    <definedName name="_____________________COL16">#REF!</definedName>
    <definedName name="_____________________ddd1" localSheetId="7">#REF!</definedName>
    <definedName name="_____________________ddd1" localSheetId="1">#REF!</definedName>
    <definedName name="_____________________ddd1" localSheetId="3">#REF!</definedName>
    <definedName name="_____________________ddd1">#REF!</definedName>
    <definedName name="_____________________eee1" localSheetId="7">#REF!</definedName>
    <definedName name="_____________________eee1" localSheetId="1">#REF!</definedName>
    <definedName name="_____________________eee1" localSheetId="3">#REF!</definedName>
    <definedName name="_____________________eee1">#REF!</definedName>
    <definedName name="_____________________exc1" localSheetId="7">#REF!</definedName>
    <definedName name="_____________________exc1" localSheetId="1">#REF!</definedName>
    <definedName name="_____________________exc1" localSheetId="3">#REF!</definedName>
    <definedName name="_____________________exc1">#REF!</definedName>
    <definedName name="_____________________exc11" localSheetId="7">#REF!</definedName>
    <definedName name="_____________________exc11" localSheetId="1">#REF!</definedName>
    <definedName name="_____________________exc11" localSheetId="3">#REF!</definedName>
    <definedName name="_____________________exc11">#REF!</definedName>
    <definedName name="_____________________exc2" localSheetId="7">#REF!</definedName>
    <definedName name="_____________________exc2" localSheetId="1">#REF!</definedName>
    <definedName name="_____________________exc2" localSheetId="3">#REF!</definedName>
    <definedName name="_____________________exc2">#REF!</definedName>
    <definedName name="_____________________EXC3" localSheetId="7">#REF!</definedName>
    <definedName name="_____________________EXC3" localSheetId="1">#REF!</definedName>
    <definedName name="_____________________EXC3" localSheetId="3">#REF!</definedName>
    <definedName name="_____________________EXC3">#REF!</definedName>
    <definedName name="_____________________EXC4" localSheetId="7">#REF!</definedName>
    <definedName name="_____________________EXC4" localSheetId="1">#REF!</definedName>
    <definedName name="_____________________EXC4" localSheetId="3">#REF!</definedName>
    <definedName name="_____________________EXC4">#REF!</definedName>
    <definedName name="_____________________fff1" localSheetId="7">#REF!</definedName>
    <definedName name="_____________________fff1" localSheetId="1">#REF!</definedName>
    <definedName name="_____________________fff1" localSheetId="3">#REF!</definedName>
    <definedName name="_____________________fff1">#REF!</definedName>
    <definedName name="_____________________foo1" localSheetId="7">#REF!</definedName>
    <definedName name="_____________________foo1" localSheetId="1">#REF!</definedName>
    <definedName name="_____________________foo1" localSheetId="3">#REF!</definedName>
    <definedName name="_____________________foo1">#REF!</definedName>
    <definedName name="_____________________foo2" localSheetId="7">#REF!</definedName>
    <definedName name="_____________________foo2" localSheetId="1">#REF!</definedName>
    <definedName name="_____________________foo2" localSheetId="3">#REF!</definedName>
    <definedName name="_____________________foo2">#REF!</definedName>
    <definedName name="_____________________foo3" localSheetId="7">#REF!</definedName>
    <definedName name="_____________________foo3" localSheetId="1">#REF!</definedName>
    <definedName name="_____________________foo3" localSheetId="3">#REF!</definedName>
    <definedName name="_____________________foo3">#REF!</definedName>
    <definedName name="_____________________FOO4" localSheetId="7">#REF!</definedName>
    <definedName name="_____________________FOO4" localSheetId="1">#REF!</definedName>
    <definedName name="_____________________FOO4" localSheetId="3">#REF!</definedName>
    <definedName name="_____________________FOO4">#REF!</definedName>
    <definedName name="_____________________ief1" localSheetId="7">#REF!</definedName>
    <definedName name="_____________________ief1" localSheetId="1">#REF!</definedName>
    <definedName name="_____________________ief1" localSheetId="3">#REF!</definedName>
    <definedName name="_____________________ief1">#REF!</definedName>
    <definedName name="_____________________ind1" localSheetId="7">#REF!</definedName>
    <definedName name="_____________________ind1" localSheetId="1">#REF!</definedName>
    <definedName name="_____________________ind1" localSheetId="3">#REF!</definedName>
    <definedName name="_____________________ind1">#REF!</definedName>
    <definedName name="_____________________IND11" localSheetId="7">#REF!</definedName>
    <definedName name="_____________________IND11" localSheetId="1">#REF!</definedName>
    <definedName name="_____________________IND11" localSheetId="3">#REF!</definedName>
    <definedName name="_____________________IND11">#REF!</definedName>
    <definedName name="_____________________IND31" localSheetId="7">#REF!</definedName>
    <definedName name="_____________________IND31" localSheetId="1">#REF!</definedName>
    <definedName name="_____________________IND31" localSheetId="3">#REF!</definedName>
    <definedName name="_____________________IND31">#REF!</definedName>
    <definedName name="_____________________IRS1" localSheetId="7">#REF!</definedName>
    <definedName name="_____________________IRS1" localSheetId="1">#REF!</definedName>
    <definedName name="_____________________IRS1" localSheetId="3">#REF!</definedName>
    <definedName name="_____________________IRS1">#REF!</definedName>
    <definedName name="_____________________KK1" localSheetId="7">#REF!</definedName>
    <definedName name="_____________________KK1" localSheetId="1">#REF!</definedName>
    <definedName name="_____________________KK1" localSheetId="3">#REF!</definedName>
    <definedName name="_____________________KK1">#REF!</definedName>
    <definedName name="_____________________KK2" localSheetId="7">#REF!</definedName>
    <definedName name="_____________________KK2" localSheetId="1">#REF!</definedName>
    <definedName name="_____________________KK2" localSheetId="3">#REF!</definedName>
    <definedName name="_____________________KK2">#REF!</definedName>
    <definedName name="_____________________kk3" localSheetId="7">#REF!</definedName>
    <definedName name="_____________________kk3" localSheetId="1">#REF!</definedName>
    <definedName name="_____________________kk3" localSheetId="3">#REF!</definedName>
    <definedName name="_____________________kk3">#REF!</definedName>
    <definedName name="_____________________kk4" localSheetId="7">#REF!</definedName>
    <definedName name="_____________________kk4" localSheetId="1">#REF!</definedName>
    <definedName name="_____________________kk4" localSheetId="3">#REF!</definedName>
    <definedName name="_____________________kk4">#REF!</definedName>
    <definedName name="_____________________lsc44" localSheetId="7">#REF!</definedName>
    <definedName name="_____________________lsc44" localSheetId="1">#REF!</definedName>
    <definedName name="_____________________lsc44" localSheetId="3">#REF!</definedName>
    <definedName name="_____________________lsc44">#REF!</definedName>
    <definedName name="_____________________MF1" localSheetId="7">#REF!</definedName>
    <definedName name="_____________________MF1" localSheetId="1">#REF!</definedName>
    <definedName name="_____________________MF1" localSheetId="3">#REF!</definedName>
    <definedName name="_____________________MF1">#REF!</definedName>
    <definedName name="_____________________MM1" localSheetId="7">#REF!</definedName>
    <definedName name="_____________________MM1" localSheetId="1">#REF!</definedName>
    <definedName name="_____________________MM1" localSheetId="3">#REF!</definedName>
    <definedName name="_____________________MM1">#REF!</definedName>
    <definedName name="_____________________MM2" localSheetId="7">#REF!</definedName>
    <definedName name="_____________________MM2" localSheetId="1">#REF!</definedName>
    <definedName name="_____________________MM2" localSheetId="3">#REF!</definedName>
    <definedName name="_____________________MM2">#REF!</definedName>
    <definedName name="_____________________pcc1" localSheetId="7">#REF!</definedName>
    <definedName name="_____________________pcc1" localSheetId="1">#REF!</definedName>
    <definedName name="_____________________pcc1" localSheetId="3">#REF!</definedName>
    <definedName name="_____________________pcc1">#REF!</definedName>
    <definedName name="_____________________pcc2" localSheetId="7">#REF!</definedName>
    <definedName name="_____________________pcc2" localSheetId="1">#REF!</definedName>
    <definedName name="_____________________pcc2" localSheetId="3">#REF!</definedName>
    <definedName name="_____________________pcc2">#REF!</definedName>
    <definedName name="_____________________pcc3" localSheetId="7">#REF!</definedName>
    <definedName name="_____________________pcc3" localSheetId="1">#REF!</definedName>
    <definedName name="_____________________pcc3" localSheetId="3">#REF!</definedName>
    <definedName name="_____________________pcc3">#REF!</definedName>
    <definedName name="_____________________PCC4" localSheetId="7">#REF!</definedName>
    <definedName name="_____________________PCC4" localSheetId="1">#REF!</definedName>
    <definedName name="_____________________PCC4" localSheetId="3">#REF!</definedName>
    <definedName name="_____________________PCC4">#REF!</definedName>
    <definedName name="_____________________plb1" localSheetId="7">#REF!</definedName>
    <definedName name="_____________________plb1" localSheetId="1">#REF!</definedName>
    <definedName name="_____________________plb1" localSheetId="3">#REF!</definedName>
    <definedName name="_____________________plb1">#REF!</definedName>
    <definedName name="_____________________plb2" localSheetId="7">#REF!</definedName>
    <definedName name="_____________________plb2" localSheetId="1">#REF!</definedName>
    <definedName name="_____________________plb2" localSheetId="3">#REF!</definedName>
    <definedName name="_____________________plb2">#REF!</definedName>
    <definedName name="_____________________plb3" localSheetId="7">#REF!</definedName>
    <definedName name="_____________________plb3" localSheetId="1">#REF!</definedName>
    <definedName name="_____________________plb3" localSheetId="3">#REF!</definedName>
    <definedName name="_____________________plb3">#REF!</definedName>
    <definedName name="_____________________plb4" localSheetId="7">#REF!</definedName>
    <definedName name="_____________________plb4" localSheetId="1">#REF!</definedName>
    <definedName name="_____________________plb4" localSheetId="3">#REF!</definedName>
    <definedName name="_____________________plb4">#REF!</definedName>
    <definedName name="_____________________S12" localSheetId="7">#REF!</definedName>
    <definedName name="_____________________S12" localSheetId="1">#REF!</definedName>
    <definedName name="_____________________S12" localSheetId="3">#REF!</definedName>
    <definedName name="_____________________S12">#REF!</definedName>
    <definedName name="_____________________sec111" localSheetId="7">#REF!</definedName>
    <definedName name="_____________________sec111" localSheetId="1">#REF!</definedName>
    <definedName name="_____________________sec111" localSheetId="3">#REF!</definedName>
    <definedName name="_____________________sec111">#REF!</definedName>
    <definedName name="_____________________SEC15" localSheetId="7">#REF!</definedName>
    <definedName name="_____________________SEC15" localSheetId="1">#REF!</definedName>
    <definedName name="_____________________SEC15" localSheetId="3">#REF!</definedName>
    <definedName name="_____________________SEC15">#REF!</definedName>
    <definedName name="_____________________sec22" localSheetId="7">#REF!</definedName>
    <definedName name="_____________________sec22" localSheetId="1">#REF!</definedName>
    <definedName name="_____________________sec22" localSheetId="3">#REF!</definedName>
    <definedName name="_____________________sec22">#REF!</definedName>
    <definedName name="_____________________SEC23" localSheetId="7">#REF!</definedName>
    <definedName name="_____________________SEC23" localSheetId="1">#REF!</definedName>
    <definedName name="_____________________SEC23" localSheetId="3">#REF!</definedName>
    <definedName name="_____________________SEC23">#REF!</definedName>
    <definedName name="_____________________SEC32" localSheetId="7">#REF!</definedName>
    <definedName name="_____________________SEC32" localSheetId="1">#REF!</definedName>
    <definedName name="_____________________SEC32" localSheetId="3">#REF!</definedName>
    <definedName name="_____________________SEC32">#REF!</definedName>
    <definedName name="_____________________sec33" localSheetId="7">#REF!</definedName>
    <definedName name="_____________________sec33" localSheetId="1">#REF!</definedName>
    <definedName name="_____________________sec33" localSheetId="3">#REF!</definedName>
    <definedName name="_____________________sec33">#REF!</definedName>
    <definedName name="_____________________sec45" localSheetId="7">#REF!</definedName>
    <definedName name="_____________________sec45" localSheetId="1">#REF!</definedName>
    <definedName name="_____________________sec45" localSheetId="3">#REF!</definedName>
    <definedName name="_____________________sec45">#REF!</definedName>
    <definedName name="_____________________SEC46" localSheetId="7">#REF!</definedName>
    <definedName name="_____________________SEC46" localSheetId="1">#REF!</definedName>
    <definedName name="_____________________SEC46" localSheetId="3">#REF!</definedName>
    <definedName name="_____________________SEC46">#REF!</definedName>
    <definedName name="_____________________sec55" localSheetId="7">#REF!</definedName>
    <definedName name="_____________________sec55" localSheetId="1">#REF!</definedName>
    <definedName name="_____________________sec55" localSheetId="3">#REF!</definedName>
    <definedName name="_____________________sec55">#REF!</definedName>
    <definedName name="_____________________SEC56" localSheetId="7">#REF!</definedName>
    <definedName name="_____________________SEC56" localSheetId="1">#REF!</definedName>
    <definedName name="_____________________SEC56" localSheetId="3">#REF!</definedName>
    <definedName name="_____________________SEC56">#REF!</definedName>
    <definedName name="_____________________sec66" localSheetId="7">#REF!</definedName>
    <definedName name="_____________________sec66" localSheetId="1">#REF!</definedName>
    <definedName name="_____________________sec66" localSheetId="3">#REF!</definedName>
    <definedName name="_____________________sec66">#REF!</definedName>
    <definedName name="_____________________SEC67" localSheetId="7">#REF!</definedName>
    <definedName name="_____________________SEC67" localSheetId="1">#REF!</definedName>
    <definedName name="_____________________SEC67" localSheetId="3">#REF!</definedName>
    <definedName name="_____________________SEC67">#REF!</definedName>
    <definedName name="_____________________SEC72" localSheetId="7">#REF!</definedName>
    <definedName name="_____________________SEC72" localSheetId="1">#REF!</definedName>
    <definedName name="_____________________SEC72" localSheetId="3">#REF!</definedName>
    <definedName name="_____________________SEC72">#REF!</definedName>
    <definedName name="_____________________SEC74" localSheetId="7">#REF!</definedName>
    <definedName name="_____________________SEC74" localSheetId="1">#REF!</definedName>
    <definedName name="_____________________SEC74" localSheetId="3">#REF!</definedName>
    <definedName name="_____________________SEC74">#REF!</definedName>
    <definedName name="_____________________SEC75" localSheetId="7">#REF!</definedName>
    <definedName name="_____________________SEC75" localSheetId="1">#REF!</definedName>
    <definedName name="_____________________SEC75" localSheetId="3">#REF!</definedName>
    <definedName name="_____________________SEC75">#REF!</definedName>
    <definedName name="_____________________sec777" localSheetId="7">#REF!</definedName>
    <definedName name="_____________________sec777" localSheetId="1">#REF!</definedName>
    <definedName name="_____________________sec777" localSheetId="3">#REF!</definedName>
    <definedName name="_____________________sec777">#REF!</definedName>
    <definedName name="_____________________sec78" localSheetId="7">#REF!</definedName>
    <definedName name="_____________________sec78" localSheetId="1">#REF!</definedName>
    <definedName name="_____________________sec78" localSheetId="3">#REF!</definedName>
    <definedName name="_____________________sec78">#REF!</definedName>
    <definedName name="_____________________sec79" localSheetId="7">#REF!</definedName>
    <definedName name="_____________________sec79" localSheetId="1">#REF!</definedName>
    <definedName name="_____________________sec79" localSheetId="3">#REF!</definedName>
    <definedName name="_____________________sec79">#REF!</definedName>
    <definedName name="_____________________SEC82" localSheetId="7">#REF!</definedName>
    <definedName name="_____________________SEC82" localSheetId="1">#REF!</definedName>
    <definedName name="_____________________SEC82" localSheetId="3">#REF!</definedName>
    <definedName name="_____________________SEC82">#REF!</definedName>
    <definedName name="_____________________SEC83" localSheetId="7">#REF!</definedName>
    <definedName name="_____________________SEC83" localSheetId="1">#REF!</definedName>
    <definedName name="_____________________SEC83" localSheetId="3">#REF!</definedName>
    <definedName name="_____________________SEC83">#REF!</definedName>
    <definedName name="_____________________SEC87" localSheetId="7">#REF!</definedName>
    <definedName name="_____________________SEC87" localSheetId="1">#REF!</definedName>
    <definedName name="_____________________SEC87" localSheetId="3">#REF!</definedName>
    <definedName name="_____________________SEC87">#REF!</definedName>
    <definedName name="_____________________sec888" localSheetId="7">#REF!</definedName>
    <definedName name="_____________________sec888" localSheetId="1">#REF!</definedName>
    <definedName name="_____________________sec888" localSheetId="3">#REF!</definedName>
    <definedName name="_____________________sec888">#REF!</definedName>
    <definedName name="_____________________sec89" localSheetId="7">#REF!</definedName>
    <definedName name="_____________________sec89" localSheetId="1">#REF!</definedName>
    <definedName name="_____________________sec89" localSheetId="3">#REF!</definedName>
    <definedName name="_____________________sec89">#REF!</definedName>
    <definedName name="_____________________sec899" localSheetId="7">#REF!</definedName>
    <definedName name="_____________________sec899" localSheetId="1">#REF!</definedName>
    <definedName name="_____________________sec899" localSheetId="3">#REF!</definedName>
    <definedName name="_____________________sec899">#REF!</definedName>
    <definedName name="_____________________SEC91" localSheetId="7">#REF!</definedName>
    <definedName name="_____________________SEC91" localSheetId="1">#REF!</definedName>
    <definedName name="_____________________SEC91" localSheetId="3">#REF!</definedName>
    <definedName name="_____________________SEC91">#REF!</definedName>
    <definedName name="_____________________tk1" localSheetId="7">#REF!</definedName>
    <definedName name="_____________________tk1" localSheetId="1">#REF!</definedName>
    <definedName name="_____________________tk1" localSheetId="3">#REF!</definedName>
    <definedName name="_____________________tk1">#REF!</definedName>
    <definedName name="_____________________xd1" localSheetId="7">#REF!</definedName>
    <definedName name="_____________________xd1" localSheetId="1">#REF!</definedName>
    <definedName name="_____________________xd1" localSheetId="3">#REF!</definedName>
    <definedName name="_____________________xd1">#REF!</definedName>
    <definedName name="_____________________XD2" localSheetId="7">#REF!</definedName>
    <definedName name="_____________________XD2" localSheetId="1">#REF!</definedName>
    <definedName name="_____________________XD2" localSheetId="3">#REF!</definedName>
    <definedName name="_____________________XD2">#REF!</definedName>
    <definedName name="_____________________xd3" localSheetId="7">#REF!</definedName>
    <definedName name="_____________________xd3" localSheetId="1">#REF!</definedName>
    <definedName name="_____________________xd3" localSheetId="3">#REF!</definedName>
    <definedName name="_____________________xd3">#REF!</definedName>
    <definedName name="_____________________zz1" localSheetId="7">#REF!</definedName>
    <definedName name="_____________________zz1" localSheetId="1">#REF!</definedName>
    <definedName name="_____________________zz1" localSheetId="3">#REF!</definedName>
    <definedName name="_____________________zz1">#REF!</definedName>
    <definedName name="____________________aaa1" localSheetId="7">#REF!</definedName>
    <definedName name="____________________aaa1" localSheetId="1">#REF!</definedName>
    <definedName name="____________________aaa1" localSheetId="3">#REF!</definedName>
    <definedName name="____________________aaa1">#REF!</definedName>
    <definedName name="____________________AAA21" localSheetId="7">#REF!</definedName>
    <definedName name="____________________AAA21" localSheetId="1">#REF!</definedName>
    <definedName name="____________________AAA21" localSheetId="3">#REF!</definedName>
    <definedName name="____________________AAA21">#REF!</definedName>
    <definedName name="____________________aaa5" localSheetId="7">#REF!</definedName>
    <definedName name="____________________aaa5" localSheetId="1">#REF!</definedName>
    <definedName name="____________________aaa5" localSheetId="3">#REF!</definedName>
    <definedName name="____________________aaa5">#REF!</definedName>
    <definedName name="____________________AAA51" localSheetId="7">#REF!</definedName>
    <definedName name="____________________AAA51" localSheetId="1">#REF!</definedName>
    <definedName name="____________________AAA51" localSheetId="3">#REF!</definedName>
    <definedName name="____________________AAA51">#REF!</definedName>
    <definedName name="____________________AAA53" localSheetId="7">#REF!</definedName>
    <definedName name="____________________AAA53" localSheetId="1">#REF!</definedName>
    <definedName name="____________________AAA53" localSheetId="3">#REF!</definedName>
    <definedName name="____________________AAA53">#REF!</definedName>
    <definedName name="____________________aaa54" localSheetId="7">#REF!</definedName>
    <definedName name="____________________aaa54" localSheetId="1">#REF!</definedName>
    <definedName name="____________________aaa54" localSheetId="3">#REF!</definedName>
    <definedName name="____________________aaa54">#REF!</definedName>
    <definedName name="____________________aaa545" localSheetId="7">#REF!</definedName>
    <definedName name="____________________aaa545" localSheetId="1">#REF!</definedName>
    <definedName name="____________________aaa545" localSheetId="3">#REF!</definedName>
    <definedName name="____________________aaa545">#REF!</definedName>
    <definedName name="____________________aaa56" localSheetId="7">#REF!</definedName>
    <definedName name="____________________aaa56" localSheetId="1">#REF!</definedName>
    <definedName name="____________________aaa56" localSheetId="3">#REF!</definedName>
    <definedName name="____________________aaa56">#REF!</definedName>
    <definedName name="____________________AAA57" localSheetId="7">#REF!</definedName>
    <definedName name="____________________AAA57" localSheetId="1">#REF!</definedName>
    <definedName name="____________________AAA57" localSheetId="3">#REF!</definedName>
    <definedName name="____________________AAA57">#REF!</definedName>
    <definedName name="____________________aaa59" localSheetId="7">#REF!</definedName>
    <definedName name="____________________aaa59" localSheetId="1">#REF!</definedName>
    <definedName name="____________________aaa59" localSheetId="3">#REF!</definedName>
    <definedName name="____________________aaa59">#REF!</definedName>
    <definedName name="____________________AAA6" localSheetId="7">#REF!</definedName>
    <definedName name="____________________AAA6" localSheetId="1">#REF!</definedName>
    <definedName name="____________________AAA6" localSheetId="3">#REF!</definedName>
    <definedName name="____________________AAA6">#REF!</definedName>
    <definedName name="____________________AAA7" localSheetId="7">#REF!</definedName>
    <definedName name="____________________AAA7" localSheetId="1">#REF!</definedName>
    <definedName name="____________________AAA7" localSheetId="3">#REF!</definedName>
    <definedName name="____________________AAA7">#REF!</definedName>
    <definedName name="____________________AAD5" localSheetId="7">#REF!</definedName>
    <definedName name="____________________AAD5" localSheetId="1">#REF!</definedName>
    <definedName name="____________________AAD5" localSheetId="3">#REF!</definedName>
    <definedName name="____________________AAD5">#REF!</definedName>
    <definedName name="____________________AAD56" localSheetId="7">#REF!</definedName>
    <definedName name="____________________AAD56" localSheetId="1">#REF!</definedName>
    <definedName name="____________________AAD56" localSheetId="3">#REF!</definedName>
    <definedName name="____________________AAD56">#REF!</definedName>
    <definedName name="____________________AAD57" localSheetId="7">#REF!</definedName>
    <definedName name="____________________AAD57" localSheetId="1">#REF!</definedName>
    <definedName name="____________________AAD57" localSheetId="3">#REF!</definedName>
    <definedName name="____________________AAD57">#REF!</definedName>
    <definedName name="____________________ast1" localSheetId="7">#REF!</definedName>
    <definedName name="____________________ast1" localSheetId="1">#REF!</definedName>
    <definedName name="____________________ast1" localSheetId="3">#REF!</definedName>
    <definedName name="____________________ast1">#REF!</definedName>
    <definedName name="____________________ast2" localSheetId="7">#REF!</definedName>
    <definedName name="____________________ast2" localSheetId="1">#REF!</definedName>
    <definedName name="____________________ast2" localSheetId="3">#REF!</definedName>
    <definedName name="____________________ast2">#REF!</definedName>
    <definedName name="____________________bbb1" localSheetId="7">#REF!</definedName>
    <definedName name="____________________bbb1" localSheetId="1">#REF!</definedName>
    <definedName name="____________________bbb1" localSheetId="3">#REF!</definedName>
    <definedName name="____________________bbb1">#REF!</definedName>
    <definedName name="____________________bol1" localSheetId="7">#REF!</definedName>
    <definedName name="____________________bol1" localSheetId="1">#REF!</definedName>
    <definedName name="____________________bol1" localSheetId="3">#REF!</definedName>
    <definedName name="____________________bol1">#REF!</definedName>
    <definedName name="____________________ccc1" localSheetId="7">#REF!</definedName>
    <definedName name="____________________ccc1" localSheetId="1">#REF!</definedName>
    <definedName name="____________________ccc1" localSheetId="3">#REF!</definedName>
    <definedName name="____________________ccc1">#REF!</definedName>
    <definedName name="____________________ddd1" localSheetId="7">#REF!</definedName>
    <definedName name="____________________ddd1" localSheetId="1">#REF!</definedName>
    <definedName name="____________________ddd1" localSheetId="3">#REF!</definedName>
    <definedName name="____________________ddd1">#REF!</definedName>
    <definedName name="____________________eee1" localSheetId="7">#REF!</definedName>
    <definedName name="____________________eee1" localSheetId="1">#REF!</definedName>
    <definedName name="____________________eee1" localSheetId="3">#REF!</definedName>
    <definedName name="____________________eee1">#REF!</definedName>
    <definedName name="____________________exc1" localSheetId="7">#REF!</definedName>
    <definedName name="____________________exc1" localSheetId="1">#REF!</definedName>
    <definedName name="____________________exc1" localSheetId="3">#REF!</definedName>
    <definedName name="____________________exc1">#REF!</definedName>
    <definedName name="____________________exc11" localSheetId="7">#REF!</definedName>
    <definedName name="____________________exc11" localSheetId="1">#REF!</definedName>
    <definedName name="____________________exc11" localSheetId="3">#REF!</definedName>
    <definedName name="____________________exc11">#REF!</definedName>
    <definedName name="____________________exc2" localSheetId="7">#REF!</definedName>
    <definedName name="____________________exc2" localSheetId="1">#REF!</definedName>
    <definedName name="____________________exc2" localSheetId="3">#REF!</definedName>
    <definedName name="____________________exc2">#REF!</definedName>
    <definedName name="____________________EXC3" localSheetId="7">#REF!</definedName>
    <definedName name="____________________EXC3" localSheetId="1">#REF!</definedName>
    <definedName name="____________________EXC3" localSheetId="3">#REF!</definedName>
    <definedName name="____________________EXC3">#REF!</definedName>
    <definedName name="____________________EXC4" localSheetId="7">#REF!</definedName>
    <definedName name="____________________EXC4" localSheetId="1">#REF!</definedName>
    <definedName name="____________________EXC4" localSheetId="3">#REF!</definedName>
    <definedName name="____________________EXC4">#REF!</definedName>
    <definedName name="____________________fff1" localSheetId="7">#REF!</definedName>
    <definedName name="____________________fff1" localSheetId="1">#REF!</definedName>
    <definedName name="____________________fff1" localSheetId="3">#REF!</definedName>
    <definedName name="____________________fff1">#REF!</definedName>
    <definedName name="____________________foo1" localSheetId="7">#REF!</definedName>
    <definedName name="____________________foo1" localSheetId="1">#REF!</definedName>
    <definedName name="____________________foo1" localSheetId="3">#REF!</definedName>
    <definedName name="____________________foo1">#REF!</definedName>
    <definedName name="____________________foo2" localSheetId="7">#REF!</definedName>
    <definedName name="____________________foo2" localSheetId="1">#REF!</definedName>
    <definedName name="____________________foo2" localSheetId="3">#REF!</definedName>
    <definedName name="____________________foo2">#REF!</definedName>
    <definedName name="____________________foo3" localSheetId="7">#REF!</definedName>
    <definedName name="____________________foo3" localSheetId="1">#REF!</definedName>
    <definedName name="____________________foo3" localSheetId="3">#REF!</definedName>
    <definedName name="____________________foo3">#REF!</definedName>
    <definedName name="____________________FOO4" localSheetId="7">#REF!</definedName>
    <definedName name="____________________FOO4" localSheetId="1">#REF!</definedName>
    <definedName name="____________________FOO4" localSheetId="3">#REF!</definedName>
    <definedName name="____________________FOO4">#REF!</definedName>
    <definedName name="____________________ief1" localSheetId="7">#REF!</definedName>
    <definedName name="____________________ief1" localSheetId="1">#REF!</definedName>
    <definedName name="____________________ief1" localSheetId="3">#REF!</definedName>
    <definedName name="____________________ief1">#REF!</definedName>
    <definedName name="____________________IRS1" localSheetId="7">#REF!</definedName>
    <definedName name="____________________IRS1" localSheetId="1">#REF!</definedName>
    <definedName name="____________________IRS1" localSheetId="3">#REF!</definedName>
    <definedName name="____________________IRS1">#REF!</definedName>
    <definedName name="____________________KK1" localSheetId="7">#REF!</definedName>
    <definedName name="____________________KK1" localSheetId="1">#REF!</definedName>
    <definedName name="____________________KK1" localSheetId="3">#REF!</definedName>
    <definedName name="____________________KK1">#REF!</definedName>
    <definedName name="____________________KK2" localSheetId="7">#REF!</definedName>
    <definedName name="____________________KK2" localSheetId="1">#REF!</definedName>
    <definedName name="____________________KK2" localSheetId="3">#REF!</definedName>
    <definedName name="____________________KK2">#REF!</definedName>
    <definedName name="____________________kk3" localSheetId="7">#REF!</definedName>
    <definedName name="____________________kk3" localSheetId="1">#REF!</definedName>
    <definedName name="____________________kk3" localSheetId="3">#REF!</definedName>
    <definedName name="____________________kk3">#REF!</definedName>
    <definedName name="____________________kk4" localSheetId="7">#REF!</definedName>
    <definedName name="____________________kk4" localSheetId="1">#REF!</definedName>
    <definedName name="____________________kk4" localSheetId="3">#REF!</definedName>
    <definedName name="____________________kk4">#REF!</definedName>
    <definedName name="____________________MF1" localSheetId="7">#REF!</definedName>
    <definedName name="____________________MF1" localSheetId="1">#REF!</definedName>
    <definedName name="____________________MF1" localSheetId="3">#REF!</definedName>
    <definedName name="____________________MF1">#REF!</definedName>
    <definedName name="____________________MM1" localSheetId="7">#REF!</definedName>
    <definedName name="____________________MM1" localSheetId="1">#REF!</definedName>
    <definedName name="____________________MM1" localSheetId="3">#REF!</definedName>
    <definedName name="____________________MM1">#REF!</definedName>
    <definedName name="____________________MM2" localSheetId="7">#REF!</definedName>
    <definedName name="____________________MM2" localSheetId="1">#REF!</definedName>
    <definedName name="____________________MM2" localSheetId="3">#REF!</definedName>
    <definedName name="____________________MM2">#REF!</definedName>
    <definedName name="____________________pcc1" localSheetId="7">#REF!</definedName>
    <definedName name="____________________pcc1" localSheetId="1">#REF!</definedName>
    <definedName name="____________________pcc1" localSheetId="3">#REF!</definedName>
    <definedName name="____________________pcc1">#REF!</definedName>
    <definedName name="____________________pcc2" localSheetId="7">#REF!</definedName>
    <definedName name="____________________pcc2" localSheetId="1">#REF!</definedName>
    <definedName name="____________________pcc2" localSheetId="3">#REF!</definedName>
    <definedName name="____________________pcc2">#REF!</definedName>
    <definedName name="____________________pcc3" localSheetId="7">#REF!</definedName>
    <definedName name="____________________pcc3" localSheetId="1">#REF!</definedName>
    <definedName name="____________________pcc3" localSheetId="3">#REF!</definedName>
    <definedName name="____________________pcc3">#REF!</definedName>
    <definedName name="____________________PCC4" localSheetId="7">#REF!</definedName>
    <definedName name="____________________PCC4" localSheetId="1">#REF!</definedName>
    <definedName name="____________________PCC4" localSheetId="3">#REF!</definedName>
    <definedName name="____________________PCC4">#REF!</definedName>
    <definedName name="____________________plb1" localSheetId="7">#REF!</definedName>
    <definedName name="____________________plb1" localSheetId="1">#REF!</definedName>
    <definedName name="____________________plb1" localSheetId="3">#REF!</definedName>
    <definedName name="____________________plb1">#REF!</definedName>
    <definedName name="____________________plb2" localSheetId="7">#REF!</definedName>
    <definedName name="____________________plb2" localSheetId="1">#REF!</definedName>
    <definedName name="____________________plb2" localSheetId="3">#REF!</definedName>
    <definedName name="____________________plb2">#REF!</definedName>
    <definedName name="____________________plb3" localSheetId="7">#REF!</definedName>
    <definedName name="____________________plb3" localSheetId="1">#REF!</definedName>
    <definedName name="____________________plb3" localSheetId="3">#REF!</definedName>
    <definedName name="____________________plb3">#REF!</definedName>
    <definedName name="____________________plb4" localSheetId="7">#REF!</definedName>
    <definedName name="____________________plb4" localSheetId="1">#REF!</definedName>
    <definedName name="____________________plb4" localSheetId="3">#REF!</definedName>
    <definedName name="____________________plb4">#REF!</definedName>
    <definedName name="____________________SEC87" localSheetId="7">#REF!</definedName>
    <definedName name="____________________SEC87" localSheetId="1">#REF!</definedName>
    <definedName name="____________________SEC87" localSheetId="3">#REF!</definedName>
    <definedName name="____________________SEC87">#REF!</definedName>
    <definedName name="____________________SS2" localSheetId="7">#REF!</definedName>
    <definedName name="____________________SS2" localSheetId="1">#REF!</definedName>
    <definedName name="____________________SS2" localSheetId="3">#REF!</definedName>
    <definedName name="____________________SS2">#REF!</definedName>
    <definedName name="____________________xd1" localSheetId="7">#REF!</definedName>
    <definedName name="____________________xd1" localSheetId="1">#REF!</definedName>
    <definedName name="____________________xd1" localSheetId="3">#REF!</definedName>
    <definedName name="____________________xd1">#REF!</definedName>
    <definedName name="____________________XD2" localSheetId="7">#REF!</definedName>
    <definedName name="____________________XD2" localSheetId="1">#REF!</definedName>
    <definedName name="____________________XD2" localSheetId="3">#REF!</definedName>
    <definedName name="____________________XD2">#REF!</definedName>
    <definedName name="____________________xd3" localSheetId="7">#REF!</definedName>
    <definedName name="____________________xd3" localSheetId="1">#REF!</definedName>
    <definedName name="____________________xd3" localSheetId="3">#REF!</definedName>
    <definedName name="____________________xd3">#REF!</definedName>
    <definedName name="____________________zz1" localSheetId="7">#REF!</definedName>
    <definedName name="____________________zz1" localSheetId="1">#REF!</definedName>
    <definedName name="____________________zz1" localSheetId="3">#REF!</definedName>
    <definedName name="____________________zz1">#REF!</definedName>
    <definedName name="___________________aaa1" localSheetId="7">#REF!</definedName>
    <definedName name="___________________aaa1" localSheetId="1">#REF!</definedName>
    <definedName name="___________________aaa1" localSheetId="3">#REF!</definedName>
    <definedName name="___________________aaa1">#REF!</definedName>
    <definedName name="___________________aaa10" localSheetId="7">#REF!</definedName>
    <definedName name="___________________aaa10" localSheetId="1">#REF!</definedName>
    <definedName name="___________________aaa10" localSheetId="3">#REF!</definedName>
    <definedName name="___________________aaa10">#REF!</definedName>
    <definedName name="___________________AAA21" localSheetId="7">#REF!</definedName>
    <definedName name="___________________AAA21" localSheetId="1">#REF!</definedName>
    <definedName name="___________________AAA21" localSheetId="3">#REF!</definedName>
    <definedName name="___________________AAA21">#REF!</definedName>
    <definedName name="___________________aaa5" localSheetId="7">#REF!</definedName>
    <definedName name="___________________aaa5" localSheetId="1">#REF!</definedName>
    <definedName name="___________________aaa5" localSheetId="3">#REF!</definedName>
    <definedName name="___________________aaa5">#REF!</definedName>
    <definedName name="___________________AAA51" localSheetId="7">#REF!</definedName>
    <definedName name="___________________AAA51" localSheetId="1">#REF!</definedName>
    <definedName name="___________________AAA51" localSheetId="3">#REF!</definedName>
    <definedName name="___________________AAA51">#REF!</definedName>
    <definedName name="___________________AAA53" localSheetId="7">#REF!</definedName>
    <definedName name="___________________AAA53" localSheetId="1">#REF!</definedName>
    <definedName name="___________________AAA53" localSheetId="3">#REF!</definedName>
    <definedName name="___________________AAA53">#REF!</definedName>
    <definedName name="___________________aaa54" localSheetId="7">#REF!</definedName>
    <definedName name="___________________aaa54" localSheetId="1">#REF!</definedName>
    <definedName name="___________________aaa54" localSheetId="3">#REF!</definedName>
    <definedName name="___________________aaa54">#REF!</definedName>
    <definedName name="___________________aaa545" localSheetId="7">#REF!</definedName>
    <definedName name="___________________aaa545" localSheetId="1">#REF!</definedName>
    <definedName name="___________________aaa545" localSheetId="3">#REF!</definedName>
    <definedName name="___________________aaa545">#REF!</definedName>
    <definedName name="___________________aaa55" localSheetId="7">#REF!</definedName>
    <definedName name="___________________aaa55" localSheetId="1">#REF!</definedName>
    <definedName name="___________________aaa55" localSheetId="3">#REF!</definedName>
    <definedName name="___________________aaa55">#REF!</definedName>
    <definedName name="___________________aaa56" localSheetId="7">#REF!</definedName>
    <definedName name="___________________aaa56" localSheetId="1">#REF!</definedName>
    <definedName name="___________________aaa56" localSheetId="3">#REF!</definedName>
    <definedName name="___________________aaa56">#REF!</definedName>
    <definedName name="___________________AAA57" localSheetId="7">#REF!</definedName>
    <definedName name="___________________AAA57" localSheetId="1">#REF!</definedName>
    <definedName name="___________________AAA57" localSheetId="3">#REF!</definedName>
    <definedName name="___________________AAA57">#REF!</definedName>
    <definedName name="___________________aaa59" localSheetId="7">#REF!</definedName>
    <definedName name="___________________aaa59" localSheetId="1">#REF!</definedName>
    <definedName name="___________________aaa59" localSheetId="3">#REF!</definedName>
    <definedName name="___________________aaa59">#REF!</definedName>
    <definedName name="___________________AAA6" localSheetId="7">#REF!</definedName>
    <definedName name="___________________AAA6" localSheetId="1">#REF!</definedName>
    <definedName name="___________________AAA6" localSheetId="3">#REF!</definedName>
    <definedName name="___________________AAA6">#REF!</definedName>
    <definedName name="___________________AAA7" localSheetId="7">#REF!</definedName>
    <definedName name="___________________AAA7" localSheetId="1">#REF!</definedName>
    <definedName name="___________________AAA7" localSheetId="3">#REF!</definedName>
    <definedName name="___________________AAA7">#REF!</definedName>
    <definedName name="___________________AAD5" localSheetId="7">#REF!</definedName>
    <definedName name="___________________AAD5" localSheetId="1">#REF!</definedName>
    <definedName name="___________________AAD5" localSheetId="3">#REF!</definedName>
    <definedName name="___________________AAD5">#REF!</definedName>
    <definedName name="___________________aad55" localSheetId="7">#REF!</definedName>
    <definedName name="___________________aad55" localSheetId="1">#REF!</definedName>
    <definedName name="___________________aad55" localSheetId="3">#REF!</definedName>
    <definedName name="___________________aad55">#REF!</definedName>
    <definedName name="___________________AAD56" localSheetId="7">#REF!</definedName>
    <definedName name="___________________AAD56" localSheetId="1">#REF!</definedName>
    <definedName name="___________________AAD56" localSheetId="3">#REF!</definedName>
    <definedName name="___________________AAD56">#REF!</definedName>
    <definedName name="___________________AAD57" localSheetId="7">#REF!</definedName>
    <definedName name="___________________AAD57" localSheetId="1">#REF!</definedName>
    <definedName name="___________________AAD57" localSheetId="3">#REF!</definedName>
    <definedName name="___________________AAD57">#REF!</definedName>
    <definedName name="___________________ast1" localSheetId="7">#REF!</definedName>
    <definedName name="___________________ast1" localSheetId="1">#REF!</definedName>
    <definedName name="___________________ast1" localSheetId="3">#REF!</definedName>
    <definedName name="___________________ast1">#REF!</definedName>
    <definedName name="___________________ast2" localSheetId="7">#REF!</definedName>
    <definedName name="___________________ast2" localSheetId="1">#REF!</definedName>
    <definedName name="___________________ast2" localSheetId="3">#REF!</definedName>
    <definedName name="___________________ast2">#REF!</definedName>
    <definedName name="___________________bbb1" localSheetId="7">#REF!</definedName>
    <definedName name="___________________bbb1" localSheetId="1">#REF!</definedName>
    <definedName name="___________________bbb1" localSheetId="3">#REF!</definedName>
    <definedName name="___________________bbb1">#REF!</definedName>
    <definedName name="___________________bol1" localSheetId="7">#REF!</definedName>
    <definedName name="___________________bol1" localSheetId="1">#REF!</definedName>
    <definedName name="___________________bol1" localSheetId="3">#REF!</definedName>
    <definedName name="___________________bol1">#REF!</definedName>
    <definedName name="___________________ccc1" localSheetId="7">#REF!</definedName>
    <definedName name="___________________ccc1" localSheetId="1">#REF!</definedName>
    <definedName name="___________________ccc1" localSheetId="3">#REF!</definedName>
    <definedName name="___________________ccc1">#REF!</definedName>
    <definedName name="___________________ddd1" localSheetId="7">#REF!</definedName>
    <definedName name="___________________ddd1" localSheetId="1">#REF!</definedName>
    <definedName name="___________________ddd1" localSheetId="3">#REF!</definedName>
    <definedName name="___________________ddd1">#REF!</definedName>
    <definedName name="___________________eee1" localSheetId="7">#REF!</definedName>
    <definedName name="___________________eee1" localSheetId="1">#REF!</definedName>
    <definedName name="___________________eee1" localSheetId="3">#REF!</definedName>
    <definedName name="___________________eee1">#REF!</definedName>
    <definedName name="___________________exc1" localSheetId="7">#REF!</definedName>
    <definedName name="___________________exc1" localSheetId="1">#REF!</definedName>
    <definedName name="___________________exc1" localSheetId="3">#REF!</definedName>
    <definedName name="___________________exc1">#REF!</definedName>
    <definedName name="___________________exc11" localSheetId="7">#REF!</definedName>
    <definedName name="___________________exc11" localSheetId="1">#REF!</definedName>
    <definedName name="___________________exc11" localSheetId="3">#REF!</definedName>
    <definedName name="___________________exc11">#REF!</definedName>
    <definedName name="___________________exc2" localSheetId="7">#REF!</definedName>
    <definedName name="___________________exc2" localSheetId="1">#REF!</definedName>
    <definedName name="___________________exc2" localSheetId="3">#REF!</definedName>
    <definedName name="___________________exc2">#REF!</definedName>
    <definedName name="___________________EXC3" localSheetId="7">#REF!</definedName>
    <definedName name="___________________EXC3" localSheetId="1">#REF!</definedName>
    <definedName name="___________________EXC3" localSheetId="3">#REF!</definedName>
    <definedName name="___________________EXC3">#REF!</definedName>
    <definedName name="___________________EXC4" localSheetId="7">#REF!</definedName>
    <definedName name="___________________EXC4" localSheetId="1">#REF!</definedName>
    <definedName name="___________________EXC4" localSheetId="3">#REF!</definedName>
    <definedName name="___________________EXC4">#REF!</definedName>
    <definedName name="___________________fff1" localSheetId="7">#REF!</definedName>
    <definedName name="___________________fff1" localSheetId="1">#REF!</definedName>
    <definedName name="___________________fff1" localSheetId="3">#REF!</definedName>
    <definedName name="___________________fff1">#REF!</definedName>
    <definedName name="___________________foo1" localSheetId="7">#REF!</definedName>
    <definedName name="___________________foo1" localSheetId="1">#REF!</definedName>
    <definedName name="___________________foo1" localSheetId="3">#REF!</definedName>
    <definedName name="___________________foo1">#REF!</definedName>
    <definedName name="___________________foo2" localSheetId="7">#REF!</definedName>
    <definedName name="___________________foo2" localSheetId="1">#REF!</definedName>
    <definedName name="___________________foo2" localSheetId="3">#REF!</definedName>
    <definedName name="___________________foo2">#REF!</definedName>
    <definedName name="___________________foo3" localSheetId="7">#REF!</definedName>
    <definedName name="___________________foo3" localSheetId="1">#REF!</definedName>
    <definedName name="___________________foo3" localSheetId="3">#REF!</definedName>
    <definedName name="___________________foo3">#REF!</definedName>
    <definedName name="___________________FOO4" localSheetId="7">#REF!</definedName>
    <definedName name="___________________FOO4" localSheetId="1">#REF!</definedName>
    <definedName name="___________________FOO4" localSheetId="3">#REF!</definedName>
    <definedName name="___________________FOO4">#REF!</definedName>
    <definedName name="___________________ief1" localSheetId="7">#REF!</definedName>
    <definedName name="___________________ief1" localSheetId="1">#REF!</definedName>
    <definedName name="___________________ief1" localSheetId="3">#REF!</definedName>
    <definedName name="___________________ief1">#REF!</definedName>
    <definedName name="___________________ind1" localSheetId="7">#REF!</definedName>
    <definedName name="___________________ind1" localSheetId="1">#REF!</definedName>
    <definedName name="___________________ind1" localSheetId="3">#REF!</definedName>
    <definedName name="___________________ind1">#REF!</definedName>
    <definedName name="___________________IND11" localSheetId="7">#REF!</definedName>
    <definedName name="___________________IND11" localSheetId="1">#REF!</definedName>
    <definedName name="___________________IND11" localSheetId="3">#REF!</definedName>
    <definedName name="___________________IND11">#REF!</definedName>
    <definedName name="___________________IND31" localSheetId="7">#REF!</definedName>
    <definedName name="___________________IND31" localSheetId="1">#REF!</definedName>
    <definedName name="___________________IND31" localSheetId="3">#REF!</definedName>
    <definedName name="___________________IND31">#REF!</definedName>
    <definedName name="___________________IRS1" localSheetId="7">#REF!</definedName>
    <definedName name="___________________IRS1" localSheetId="1">#REF!</definedName>
    <definedName name="___________________IRS1" localSheetId="3">#REF!</definedName>
    <definedName name="___________________IRS1">#REF!</definedName>
    <definedName name="___________________KK1" localSheetId="7">#REF!</definedName>
    <definedName name="___________________KK1" localSheetId="1">#REF!</definedName>
    <definedName name="___________________KK1" localSheetId="3">#REF!</definedName>
    <definedName name="___________________KK1">#REF!</definedName>
    <definedName name="___________________KK2" localSheetId="7">#REF!</definedName>
    <definedName name="___________________KK2" localSheetId="1">#REF!</definedName>
    <definedName name="___________________KK2" localSheetId="3">#REF!</definedName>
    <definedName name="___________________KK2">#REF!</definedName>
    <definedName name="___________________kk3" localSheetId="7">#REF!</definedName>
    <definedName name="___________________kk3" localSheetId="1">#REF!</definedName>
    <definedName name="___________________kk3" localSheetId="3">#REF!</definedName>
    <definedName name="___________________kk3">#REF!</definedName>
    <definedName name="___________________kk4" localSheetId="7">#REF!</definedName>
    <definedName name="___________________kk4" localSheetId="1">#REF!</definedName>
    <definedName name="___________________kk4" localSheetId="3">#REF!</definedName>
    <definedName name="___________________kk4">#REF!</definedName>
    <definedName name="___________________MF1" localSheetId="7">#REF!</definedName>
    <definedName name="___________________MF1" localSheetId="1">#REF!</definedName>
    <definedName name="___________________MF1" localSheetId="3">#REF!</definedName>
    <definedName name="___________________MF1">#REF!</definedName>
    <definedName name="___________________MM1" localSheetId="7">#REF!</definedName>
    <definedName name="___________________MM1" localSheetId="1">#REF!</definedName>
    <definedName name="___________________MM1" localSheetId="3">#REF!</definedName>
    <definedName name="___________________MM1">#REF!</definedName>
    <definedName name="___________________MM2" localSheetId="7">#REF!</definedName>
    <definedName name="___________________MM2" localSheetId="1">#REF!</definedName>
    <definedName name="___________________MM2" localSheetId="3">#REF!</definedName>
    <definedName name="___________________MM2">#REF!</definedName>
    <definedName name="___________________pcc1" localSheetId="7">#REF!</definedName>
    <definedName name="___________________pcc1" localSheetId="1">#REF!</definedName>
    <definedName name="___________________pcc1" localSheetId="3">#REF!</definedName>
    <definedName name="___________________pcc1">#REF!</definedName>
    <definedName name="___________________pcc2" localSheetId="7">#REF!</definedName>
    <definedName name="___________________pcc2" localSheetId="1">#REF!</definedName>
    <definedName name="___________________pcc2" localSheetId="3">#REF!</definedName>
    <definedName name="___________________pcc2">#REF!</definedName>
    <definedName name="___________________pcc3" localSheetId="7">#REF!</definedName>
    <definedName name="___________________pcc3" localSheetId="1">#REF!</definedName>
    <definedName name="___________________pcc3" localSheetId="3">#REF!</definedName>
    <definedName name="___________________pcc3">#REF!</definedName>
    <definedName name="___________________PCC4" localSheetId="7">#REF!</definedName>
    <definedName name="___________________PCC4" localSheetId="1">#REF!</definedName>
    <definedName name="___________________PCC4" localSheetId="3">#REF!</definedName>
    <definedName name="___________________PCC4">#REF!</definedName>
    <definedName name="___________________plb1" localSheetId="7">#REF!</definedName>
    <definedName name="___________________plb1" localSheetId="1">#REF!</definedName>
    <definedName name="___________________plb1" localSheetId="3">#REF!</definedName>
    <definedName name="___________________plb1">#REF!</definedName>
    <definedName name="___________________plb2" localSheetId="7">#REF!</definedName>
    <definedName name="___________________plb2" localSheetId="1">#REF!</definedName>
    <definedName name="___________________plb2" localSheetId="3">#REF!</definedName>
    <definedName name="___________________plb2">#REF!</definedName>
    <definedName name="___________________plb3" localSheetId="7">#REF!</definedName>
    <definedName name="___________________plb3" localSheetId="1">#REF!</definedName>
    <definedName name="___________________plb3" localSheetId="3">#REF!</definedName>
    <definedName name="___________________plb3">#REF!</definedName>
    <definedName name="___________________plb4" localSheetId="7">#REF!</definedName>
    <definedName name="___________________plb4" localSheetId="1">#REF!</definedName>
    <definedName name="___________________plb4" localSheetId="3">#REF!</definedName>
    <definedName name="___________________plb4">#REF!</definedName>
    <definedName name="___________________S12" localSheetId="7">#REF!</definedName>
    <definedName name="___________________S12" localSheetId="1">#REF!</definedName>
    <definedName name="___________________S12" localSheetId="3">#REF!</definedName>
    <definedName name="___________________S12">#REF!</definedName>
    <definedName name="___________________sec1" localSheetId="7">#REF!</definedName>
    <definedName name="___________________sec1" localSheetId="1">#REF!</definedName>
    <definedName name="___________________sec1" localSheetId="3">#REF!</definedName>
    <definedName name="___________________sec1">#REF!</definedName>
    <definedName name="___________________Sec2" localSheetId="7">#REF!</definedName>
    <definedName name="___________________Sec2" localSheetId="1">#REF!</definedName>
    <definedName name="___________________Sec2" localSheetId="3">#REF!</definedName>
    <definedName name="___________________Sec2">#REF!</definedName>
    <definedName name="___________________sec3" localSheetId="7">#REF!</definedName>
    <definedName name="___________________sec3" localSheetId="1">#REF!</definedName>
    <definedName name="___________________sec3" localSheetId="3">#REF!</definedName>
    <definedName name="___________________sec3">#REF!</definedName>
    <definedName name="___________________Sec4" localSheetId="7">#REF!</definedName>
    <definedName name="___________________Sec4" localSheetId="1">#REF!</definedName>
    <definedName name="___________________Sec4" localSheetId="3">#REF!</definedName>
    <definedName name="___________________Sec4">#REF!</definedName>
    <definedName name="___________________sec5" localSheetId="7">#REF!</definedName>
    <definedName name="___________________sec5" localSheetId="1">#REF!</definedName>
    <definedName name="___________________sec5" localSheetId="3">#REF!</definedName>
    <definedName name="___________________sec5">#REF!</definedName>
    <definedName name="___________________sec6" localSheetId="7">#REF!</definedName>
    <definedName name="___________________sec6" localSheetId="1">#REF!</definedName>
    <definedName name="___________________sec6" localSheetId="3">#REF!</definedName>
    <definedName name="___________________sec6">#REF!</definedName>
    <definedName name="___________________sec7" localSheetId="7">#REF!</definedName>
    <definedName name="___________________sec7" localSheetId="1">#REF!</definedName>
    <definedName name="___________________sec7" localSheetId="3">#REF!</definedName>
    <definedName name="___________________sec7">#REF!</definedName>
    <definedName name="___________________sec71" localSheetId="7">#REF!</definedName>
    <definedName name="___________________sec71" localSheetId="1">#REF!</definedName>
    <definedName name="___________________sec71" localSheetId="3">#REF!</definedName>
    <definedName name="___________________sec71">#REF!</definedName>
    <definedName name="___________________SEC77" localSheetId="7">#REF!</definedName>
    <definedName name="___________________SEC77" localSheetId="1">#REF!</definedName>
    <definedName name="___________________SEC77" localSheetId="3">#REF!</definedName>
    <definedName name="___________________SEC77">#REF!</definedName>
    <definedName name="___________________sec8" localSheetId="7">#REF!</definedName>
    <definedName name="___________________sec8" localSheetId="1">#REF!</definedName>
    <definedName name="___________________sec8" localSheetId="3">#REF!</definedName>
    <definedName name="___________________sec8">#REF!</definedName>
    <definedName name="___________________sec81" localSheetId="7">#REF!</definedName>
    <definedName name="___________________sec81" localSheetId="1">#REF!</definedName>
    <definedName name="___________________sec81" localSheetId="3">#REF!</definedName>
    <definedName name="___________________sec81">#REF!</definedName>
    <definedName name="___________________SEC87" localSheetId="7">#REF!</definedName>
    <definedName name="___________________SEC87" localSheetId="1">#REF!</definedName>
    <definedName name="___________________SEC87" localSheetId="3">#REF!</definedName>
    <definedName name="___________________SEC87">#REF!</definedName>
    <definedName name="___________________SEC88" localSheetId="7">#REF!</definedName>
    <definedName name="___________________SEC88" localSheetId="1">#REF!</definedName>
    <definedName name="___________________SEC88" localSheetId="3">#REF!</definedName>
    <definedName name="___________________SEC88">#REF!</definedName>
    <definedName name="___________________SEC9" localSheetId="7">#REF!</definedName>
    <definedName name="___________________SEC9" localSheetId="1">#REF!</definedName>
    <definedName name="___________________SEC9" localSheetId="3">#REF!</definedName>
    <definedName name="___________________SEC9">#REF!</definedName>
    <definedName name="___________________ss2" localSheetId="7">#REF!</definedName>
    <definedName name="___________________ss2" localSheetId="1">#REF!</definedName>
    <definedName name="___________________ss2" localSheetId="3">#REF!</definedName>
    <definedName name="___________________ss2">#REF!</definedName>
    <definedName name="___________________xd1" localSheetId="7">#REF!</definedName>
    <definedName name="___________________xd1" localSheetId="1">#REF!</definedName>
    <definedName name="___________________xd1" localSheetId="3">#REF!</definedName>
    <definedName name="___________________xd1">#REF!</definedName>
    <definedName name="___________________XD2" localSheetId="7">#REF!</definedName>
    <definedName name="___________________XD2" localSheetId="1">#REF!</definedName>
    <definedName name="___________________XD2" localSheetId="3">#REF!</definedName>
    <definedName name="___________________XD2">#REF!</definedName>
    <definedName name="___________________xd3" localSheetId="7">#REF!</definedName>
    <definedName name="___________________xd3" localSheetId="1">#REF!</definedName>
    <definedName name="___________________xd3" localSheetId="3">#REF!</definedName>
    <definedName name="___________________xd3">#REF!</definedName>
    <definedName name="___________________zz1" localSheetId="7">#REF!</definedName>
    <definedName name="___________________zz1" localSheetId="1">#REF!</definedName>
    <definedName name="___________________zz1" localSheetId="3">#REF!</definedName>
    <definedName name="___________________zz1">#REF!</definedName>
    <definedName name="__________________aaa1" localSheetId="7">#REF!</definedName>
    <definedName name="__________________aaa1" localSheetId="1">#REF!</definedName>
    <definedName name="__________________aaa1" localSheetId="3">#REF!</definedName>
    <definedName name="__________________aaa1">#REF!</definedName>
    <definedName name="__________________aaa10" localSheetId="7">#REF!</definedName>
    <definedName name="__________________aaa10" localSheetId="1">#REF!</definedName>
    <definedName name="__________________aaa10" localSheetId="3">#REF!</definedName>
    <definedName name="__________________aaa10">#REF!</definedName>
    <definedName name="__________________aaa11" localSheetId="7">#REF!</definedName>
    <definedName name="__________________aaa11" localSheetId="1">#REF!</definedName>
    <definedName name="__________________aaa11" localSheetId="3">#REF!</definedName>
    <definedName name="__________________aaa11">#REF!</definedName>
    <definedName name="__________________AAA12" localSheetId="7">#REF!</definedName>
    <definedName name="__________________AAA12" localSheetId="1">#REF!</definedName>
    <definedName name="__________________AAA12" localSheetId="3">#REF!</definedName>
    <definedName name="__________________AAA12">#REF!</definedName>
    <definedName name="__________________AAA21" localSheetId="7">#REF!</definedName>
    <definedName name="__________________AAA21" localSheetId="1">#REF!</definedName>
    <definedName name="__________________AAA21" localSheetId="3">#REF!</definedName>
    <definedName name="__________________AAA21">#REF!</definedName>
    <definedName name="__________________aaa5" localSheetId="7">#REF!</definedName>
    <definedName name="__________________aaa5" localSheetId="1">#REF!</definedName>
    <definedName name="__________________aaa5" localSheetId="3">#REF!</definedName>
    <definedName name="__________________aaa5">#REF!</definedName>
    <definedName name="__________________AAA51" localSheetId="7">#REF!</definedName>
    <definedName name="__________________AAA51" localSheetId="1">#REF!</definedName>
    <definedName name="__________________AAA51" localSheetId="3">#REF!</definedName>
    <definedName name="__________________AAA51">#REF!</definedName>
    <definedName name="__________________AAA53" localSheetId="7">#REF!</definedName>
    <definedName name="__________________AAA53" localSheetId="1">#REF!</definedName>
    <definedName name="__________________AAA53" localSheetId="3">#REF!</definedName>
    <definedName name="__________________AAA53">#REF!</definedName>
    <definedName name="__________________aaa54" localSheetId="7">#REF!</definedName>
    <definedName name="__________________aaa54" localSheetId="1">#REF!</definedName>
    <definedName name="__________________aaa54" localSheetId="3">#REF!</definedName>
    <definedName name="__________________aaa54">#REF!</definedName>
    <definedName name="__________________aaa545" localSheetId="7">#REF!</definedName>
    <definedName name="__________________aaa545" localSheetId="1">#REF!</definedName>
    <definedName name="__________________aaa545" localSheetId="3">#REF!</definedName>
    <definedName name="__________________aaa545">#REF!</definedName>
    <definedName name="__________________aaa55" localSheetId="7">#REF!</definedName>
    <definedName name="__________________aaa55" localSheetId="1">#REF!</definedName>
    <definedName name="__________________aaa55" localSheetId="3">#REF!</definedName>
    <definedName name="__________________aaa55">#REF!</definedName>
    <definedName name="__________________aaa56" localSheetId="7">#REF!</definedName>
    <definedName name="__________________aaa56" localSheetId="1">#REF!</definedName>
    <definedName name="__________________aaa56" localSheetId="3">#REF!</definedName>
    <definedName name="__________________aaa56">#REF!</definedName>
    <definedName name="__________________AAA57" localSheetId="7">#REF!</definedName>
    <definedName name="__________________AAA57" localSheetId="1">#REF!</definedName>
    <definedName name="__________________AAA57" localSheetId="3">#REF!</definedName>
    <definedName name="__________________AAA57">#REF!</definedName>
    <definedName name="__________________aaa59" localSheetId="7">#REF!</definedName>
    <definedName name="__________________aaa59" localSheetId="1">#REF!</definedName>
    <definedName name="__________________aaa59" localSheetId="3">#REF!</definedName>
    <definedName name="__________________aaa59">#REF!</definedName>
    <definedName name="__________________AAA6" localSheetId="7">#REF!</definedName>
    <definedName name="__________________AAA6" localSheetId="1">#REF!</definedName>
    <definedName name="__________________AAA6" localSheetId="3">#REF!</definedName>
    <definedName name="__________________AAA6">#REF!</definedName>
    <definedName name="__________________AAA7" localSheetId="7">#REF!</definedName>
    <definedName name="__________________AAA7" localSheetId="1">#REF!</definedName>
    <definedName name="__________________AAA7" localSheetId="3">#REF!</definedName>
    <definedName name="__________________AAA7">#REF!</definedName>
    <definedName name="__________________AAD5" localSheetId="7">#REF!</definedName>
    <definedName name="__________________AAD5" localSheetId="1">#REF!</definedName>
    <definedName name="__________________AAD5" localSheetId="3">#REF!</definedName>
    <definedName name="__________________AAD5">#REF!</definedName>
    <definedName name="__________________aad55" localSheetId="7">#REF!</definedName>
    <definedName name="__________________aad55" localSheetId="1">#REF!</definedName>
    <definedName name="__________________aad55" localSheetId="3">#REF!</definedName>
    <definedName name="__________________aad55">#REF!</definedName>
    <definedName name="__________________AAD56" localSheetId="7">#REF!</definedName>
    <definedName name="__________________AAD56" localSheetId="1">#REF!</definedName>
    <definedName name="__________________AAD56" localSheetId="3">#REF!</definedName>
    <definedName name="__________________AAD56">#REF!</definedName>
    <definedName name="__________________AAD57" localSheetId="7">#REF!</definedName>
    <definedName name="__________________AAD57" localSheetId="1">#REF!</definedName>
    <definedName name="__________________AAD57" localSheetId="3">#REF!</definedName>
    <definedName name="__________________AAD57">#REF!</definedName>
    <definedName name="__________________ast1" localSheetId="7">#REF!</definedName>
    <definedName name="__________________ast1" localSheetId="1">#REF!</definedName>
    <definedName name="__________________ast1" localSheetId="3">#REF!</definedName>
    <definedName name="__________________ast1">#REF!</definedName>
    <definedName name="__________________ast2" localSheetId="7">#REF!</definedName>
    <definedName name="__________________ast2" localSheetId="1">#REF!</definedName>
    <definedName name="__________________ast2" localSheetId="3">#REF!</definedName>
    <definedName name="__________________ast2">#REF!</definedName>
    <definedName name="__________________bbb1" localSheetId="7">#REF!</definedName>
    <definedName name="__________________bbb1" localSheetId="1">#REF!</definedName>
    <definedName name="__________________bbb1" localSheetId="3">#REF!</definedName>
    <definedName name="__________________bbb1">#REF!</definedName>
    <definedName name="__________________bol1" localSheetId="7">#REF!</definedName>
    <definedName name="__________________bol1" localSheetId="1">#REF!</definedName>
    <definedName name="__________________bol1" localSheetId="3">#REF!</definedName>
    <definedName name="__________________bol1">#REF!</definedName>
    <definedName name="__________________ccc1" localSheetId="7">#REF!</definedName>
    <definedName name="__________________ccc1" localSheetId="1">#REF!</definedName>
    <definedName name="__________________ccc1" localSheetId="3">#REF!</definedName>
    <definedName name="__________________ccc1">#REF!</definedName>
    <definedName name="__________________COL14" localSheetId="7">#REF!</definedName>
    <definedName name="__________________COL14" localSheetId="1">#REF!</definedName>
    <definedName name="__________________COL14" localSheetId="3">#REF!</definedName>
    <definedName name="__________________COL14">#REF!</definedName>
    <definedName name="__________________COL15" localSheetId="7">#REF!</definedName>
    <definedName name="__________________COL15" localSheetId="1">#REF!</definedName>
    <definedName name="__________________COL15" localSheetId="3">#REF!</definedName>
    <definedName name="__________________COL15">#REF!</definedName>
    <definedName name="__________________COL16" localSheetId="7">#REF!</definedName>
    <definedName name="__________________COL16" localSheetId="1">#REF!</definedName>
    <definedName name="__________________COL16" localSheetId="3">#REF!</definedName>
    <definedName name="__________________COL16">#REF!</definedName>
    <definedName name="__________________ddd1" localSheetId="7">#REF!</definedName>
    <definedName name="__________________ddd1" localSheetId="1">#REF!</definedName>
    <definedName name="__________________ddd1" localSheetId="3">#REF!</definedName>
    <definedName name="__________________ddd1">#REF!</definedName>
    <definedName name="__________________eee1" localSheetId="7">#REF!</definedName>
    <definedName name="__________________eee1" localSheetId="1">#REF!</definedName>
    <definedName name="__________________eee1" localSheetId="3">#REF!</definedName>
    <definedName name="__________________eee1">#REF!</definedName>
    <definedName name="__________________exc1" localSheetId="7">#REF!</definedName>
    <definedName name="__________________exc1" localSheetId="1">#REF!</definedName>
    <definedName name="__________________exc1" localSheetId="3">#REF!</definedName>
    <definedName name="__________________exc1">#REF!</definedName>
    <definedName name="__________________exc11" localSheetId="7">#REF!</definedName>
    <definedName name="__________________exc11" localSheetId="1">#REF!</definedName>
    <definedName name="__________________exc11" localSheetId="3">#REF!</definedName>
    <definedName name="__________________exc11">#REF!</definedName>
    <definedName name="__________________exc2" localSheetId="7">#REF!</definedName>
    <definedName name="__________________exc2" localSheetId="1">#REF!</definedName>
    <definedName name="__________________exc2" localSheetId="3">#REF!</definedName>
    <definedName name="__________________exc2">#REF!</definedName>
    <definedName name="__________________EXC3" localSheetId="7">#REF!</definedName>
    <definedName name="__________________EXC3" localSheetId="1">#REF!</definedName>
    <definedName name="__________________EXC3" localSheetId="3">#REF!</definedName>
    <definedName name="__________________EXC3">#REF!</definedName>
    <definedName name="__________________EXC4" localSheetId="7">#REF!</definedName>
    <definedName name="__________________EXC4" localSheetId="1">#REF!</definedName>
    <definedName name="__________________EXC4" localSheetId="3">#REF!</definedName>
    <definedName name="__________________EXC4">#REF!</definedName>
    <definedName name="__________________fff1" localSheetId="7">#REF!</definedName>
    <definedName name="__________________fff1" localSheetId="1">#REF!</definedName>
    <definedName name="__________________fff1" localSheetId="3">#REF!</definedName>
    <definedName name="__________________fff1">#REF!</definedName>
    <definedName name="__________________foo1" localSheetId="7">#REF!</definedName>
    <definedName name="__________________foo1" localSheetId="1">#REF!</definedName>
    <definedName name="__________________foo1" localSheetId="3">#REF!</definedName>
    <definedName name="__________________foo1">#REF!</definedName>
    <definedName name="__________________foo2" localSheetId="7">#REF!</definedName>
    <definedName name="__________________foo2" localSheetId="1">#REF!</definedName>
    <definedName name="__________________foo2" localSheetId="3">#REF!</definedName>
    <definedName name="__________________foo2">#REF!</definedName>
    <definedName name="__________________foo3" localSheetId="7">#REF!</definedName>
    <definedName name="__________________foo3" localSheetId="1">#REF!</definedName>
    <definedName name="__________________foo3" localSheetId="3">#REF!</definedName>
    <definedName name="__________________foo3">#REF!</definedName>
    <definedName name="__________________FOO4" localSheetId="7">#REF!</definedName>
    <definedName name="__________________FOO4" localSheetId="1">#REF!</definedName>
    <definedName name="__________________FOO4" localSheetId="3">#REF!</definedName>
    <definedName name="__________________FOO4">#REF!</definedName>
    <definedName name="__________________ief1" localSheetId="7">#REF!</definedName>
    <definedName name="__________________ief1" localSheetId="1">#REF!</definedName>
    <definedName name="__________________ief1" localSheetId="3">#REF!</definedName>
    <definedName name="__________________ief1">#REF!</definedName>
    <definedName name="__________________IRS1" localSheetId="7">#REF!</definedName>
    <definedName name="__________________IRS1" localSheetId="1">#REF!</definedName>
    <definedName name="__________________IRS1" localSheetId="3">#REF!</definedName>
    <definedName name="__________________IRS1">#REF!</definedName>
    <definedName name="__________________KK1" localSheetId="7">#REF!</definedName>
    <definedName name="__________________KK1" localSheetId="1">#REF!</definedName>
    <definedName name="__________________KK1" localSheetId="3">#REF!</definedName>
    <definedName name="__________________KK1">#REF!</definedName>
    <definedName name="__________________KK2" localSheetId="7">#REF!</definedName>
    <definedName name="__________________KK2" localSheetId="1">#REF!</definedName>
    <definedName name="__________________KK2" localSheetId="3">#REF!</definedName>
    <definedName name="__________________KK2">#REF!</definedName>
    <definedName name="__________________kk3" localSheetId="7">#REF!</definedName>
    <definedName name="__________________kk3" localSheetId="1">#REF!</definedName>
    <definedName name="__________________kk3" localSheetId="3">#REF!</definedName>
    <definedName name="__________________kk3">#REF!</definedName>
    <definedName name="__________________kk4" localSheetId="7">#REF!</definedName>
    <definedName name="__________________kk4" localSheetId="1">#REF!</definedName>
    <definedName name="__________________kk4" localSheetId="3">#REF!</definedName>
    <definedName name="__________________kk4">#REF!</definedName>
    <definedName name="__________________lsc44" localSheetId="7">#REF!</definedName>
    <definedName name="__________________lsc44" localSheetId="1">#REF!</definedName>
    <definedName name="__________________lsc44" localSheetId="3">#REF!</definedName>
    <definedName name="__________________lsc44">#REF!</definedName>
    <definedName name="__________________MF1" localSheetId="7">#REF!</definedName>
    <definedName name="__________________MF1" localSheetId="1">#REF!</definedName>
    <definedName name="__________________MF1" localSheetId="3">#REF!</definedName>
    <definedName name="__________________MF1">#REF!</definedName>
    <definedName name="__________________MM1" localSheetId="7">#REF!</definedName>
    <definedName name="__________________MM1" localSheetId="1">#REF!</definedName>
    <definedName name="__________________MM1" localSheetId="3">#REF!</definedName>
    <definedName name="__________________MM1">#REF!</definedName>
    <definedName name="__________________MM2" localSheetId="7">#REF!</definedName>
    <definedName name="__________________MM2" localSheetId="1">#REF!</definedName>
    <definedName name="__________________MM2" localSheetId="3">#REF!</definedName>
    <definedName name="__________________MM2">#REF!</definedName>
    <definedName name="__________________pcc1" localSheetId="7">#REF!</definedName>
    <definedName name="__________________pcc1" localSheetId="1">#REF!</definedName>
    <definedName name="__________________pcc1" localSheetId="3">#REF!</definedName>
    <definedName name="__________________pcc1">#REF!</definedName>
    <definedName name="__________________pcc2" localSheetId="7">#REF!</definedName>
    <definedName name="__________________pcc2" localSheetId="1">#REF!</definedName>
    <definedName name="__________________pcc2" localSheetId="3">#REF!</definedName>
    <definedName name="__________________pcc2">#REF!</definedName>
    <definedName name="__________________pcc3" localSheetId="7">#REF!</definedName>
    <definedName name="__________________pcc3" localSheetId="1">#REF!</definedName>
    <definedName name="__________________pcc3" localSheetId="3">#REF!</definedName>
    <definedName name="__________________pcc3">#REF!</definedName>
    <definedName name="__________________PCC4" localSheetId="7">#REF!</definedName>
    <definedName name="__________________PCC4" localSheetId="1">#REF!</definedName>
    <definedName name="__________________PCC4" localSheetId="3">#REF!</definedName>
    <definedName name="__________________PCC4">#REF!</definedName>
    <definedName name="__________________plb1" localSheetId="7">#REF!</definedName>
    <definedName name="__________________plb1" localSheetId="1">#REF!</definedName>
    <definedName name="__________________plb1" localSheetId="3">#REF!</definedName>
    <definedName name="__________________plb1">#REF!</definedName>
    <definedName name="__________________plb2" localSheetId="7">#REF!</definedName>
    <definedName name="__________________plb2" localSheetId="1">#REF!</definedName>
    <definedName name="__________________plb2" localSheetId="3">#REF!</definedName>
    <definedName name="__________________plb2">#REF!</definedName>
    <definedName name="__________________plb3" localSheetId="7">#REF!</definedName>
    <definedName name="__________________plb3" localSheetId="1">#REF!</definedName>
    <definedName name="__________________plb3" localSheetId="3">#REF!</definedName>
    <definedName name="__________________plb3">#REF!</definedName>
    <definedName name="__________________plb4" localSheetId="7">#REF!</definedName>
    <definedName name="__________________plb4" localSheetId="1">#REF!</definedName>
    <definedName name="__________________plb4" localSheetId="3">#REF!</definedName>
    <definedName name="__________________plb4">#REF!</definedName>
    <definedName name="__________________sec1" localSheetId="7">#REF!</definedName>
    <definedName name="__________________sec1" localSheetId="1">#REF!</definedName>
    <definedName name="__________________sec1" localSheetId="3">#REF!</definedName>
    <definedName name="__________________sec1">#REF!</definedName>
    <definedName name="__________________sec111" localSheetId="7">#REF!</definedName>
    <definedName name="__________________sec111" localSheetId="1">#REF!</definedName>
    <definedName name="__________________sec111" localSheetId="3">#REF!</definedName>
    <definedName name="__________________sec111">#REF!</definedName>
    <definedName name="__________________SEC15" localSheetId="7">#REF!</definedName>
    <definedName name="__________________SEC15" localSheetId="1">#REF!</definedName>
    <definedName name="__________________SEC15" localSheetId="3">#REF!</definedName>
    <definedName name="__________________SEC15">#REF!</definedName>
    <definedName name="__________________Sec2" localSheetId="7">#REF!</definedName>
    <definedName name="__________________Sec2" localSheetId="1">#REF!</definedName>
    <definedName name="__________________Sec2" localSheetId="3">#REF!</definedName>
    <definedName name="__________________Sec2">#REF!</definedName>
    <definedName name="__________________sec22" localSheetId="7">#REF!</definedName>
    <definedName name="__________________sec22" localSheetId="1">#REF!</definedName>
    <definedName name="__________________sec22" localSheetId="3">#REF!</definedName>
    <definedName name="__________________sec22">#REF!</definedName>
    <definedName name="__________________SEC23" localSheetId="7">#REF!</definedName>
    <definedName name="__________________SEC23" localSheetId="1">#REF!</definedName>
    <definedName name="__________________SEC23" localSheetId="3">#REF!</definedName>
    <definedName name="__________________SEC23">#REF!</definedName>
    <definedName name="__________________sec3" localSheetId="7">#REF!</definedName>
    <definedName name="__________________sec3" localSheetId="1">#REF!</definedName>
    <definedName name="__________________sec3" localSheetId="3">#REF!</definedName>
    <definedName name="__________________sec3">#REF!</definedName>
    <definedName name="__________________SEC32" localSheetId="7">#REF!</definedName>
    <definedName name="__________________SEC32" localSheetId="1">#REF!</definedName>
    <definedName name="__________________SEC32" localSheetId="3">#REF!</definedName>
    <definedName name="__________________SEC32">#REF!</definedName>
    <definedName name="__________________sec33" localSheetId="7">#REF!</definedName>
    <definedName name="__________________sec33" localSheetId="1">#REF!</definedName>
    <definedName name="__________________sec33" localSheetId="3">#REF!</definedName>
    <definedName name="__________________sec33">#REF!</definedName>
    <definedName name="__________________Sec4" localSheetId="7">#REF!</definedName>
    <definedName name="__________________Sec4" localSheetId="1">#REF!</definedName>
    <definedName name="__________________Sec4" localSheetId="3">#REF!</definedName>
    <definedName name="__________________Sec4">#REF!</definedName>
    <definedName name="__________________sec45" localSheetId="7">#REF!</definedName>
    <definedName name="__________________sec45" localSheetId="1">#REF!</definedName>
    <definedName name="__________________sec45" localSheetId="3">#REF!</definedName>
    <definedName name="__________________sec45">#REF!</definedName>
    <definedName name="__________________SEC46" localSheetId="7">#REF!</definedName>
    <definedName name="__________________SEC46" localSheetId="1">#REF!</definedName>
    <definedName name="__________________SEC46" localSheetId="3">#REF!</definedName>
    <definedName name="__________________SEC46">#REF!</definedName>
    <definedName name="__________________sec5" localSheetId="7">#REF!</definedName>
    <definedName name="__________________sec5" localSheetId="1">#REF!</definedName>
    <definedName name="__________________sec5" localSheetId="3">#REF!</definedName>
    <definedName name="__________________sec5">#REF!</definedName>
    <definedName name="__________________sec55" localSheetId="7">#REF!</definedName>
    <definedName name="__________________sec55" localSheetId="1">#REF!</definedName>
    <definedName name="__________________sec55" localSheetId="3">#REF!</definedName>
    <definedName name="__________________sec55">#REF!</definedName>
    <definedName name="__________________SEC56" localSheetId="7">#REF!</definedName>
    <definedName name="__________________SEC56" localSheetId="1">#REF!</definedName>
    <definedName name="__________________SEC56" localSheetId="3">#REF!</definedName>
    <definedName name="__________________SEC56">#REF!</definedName>
    <definedName name="__________________sec6" localSheetId="7">#REF!</definedName>
    <definedName name="__________________sec6" localSheetId="1">#REF!</definedName>
    <definedName name="__________________sec6" localSheetId="3">#REF!</definedName>
    <definedName name="__________________sec6">#REF!</definedName>
    <definedName name="__________________sec66" localSheetId="7">#REF!</definedName>
    <definedName name="__________________sec66" localSheetId="1">#REF!</definedName>
    <definedName name="__________________sec66" localSheetId="3">#REF!</definedName>
    <definedName name="__________________sec66">#REF!</definedName>
    <definedName name="__________________SEC67" localSheetId="7">#REF!</definedName>
    <definedName name="__________________SEC67" localSheetId="1">#REF!</definedName>
    <definedName name="__________________SEC67" localSheetId="3">#REF!</definedName>
    <definedName name="__________________SEC67">#REF!</definedName>
    <definedName name="__________________sec7" localSheetId="7">#REF!</definedName>
    <definedName name="__________________sec7" localSheetId="1">#REF!</definedName>
    <definedName name="__________________sec7" localSheetId="3">#REF!</definedName>
    <definedName name="__________________sec7">#REF!</definedName>
    <definedName name="__________________sec71" localSheetId="7">#REF!</definedName>
    <definedName name="__________________sec71" localSheetId="1">#REF!</definedName>
    <definedName name="__________________sec71" localSheetId="3">#REF!</definedName>
    <definedName name="__________________sec71">#REF!</definedName>
    <definedName name="__________________SEC72" localSheetId="7">#REF!</definedName>
    <definedName name="__________________SEC72" localSheetId="1">#REF!</definedName>
    <definedName name="__________________SEC72" localSheetId="3">#REF!</definedName>
    <definedName name="__________________SEC72">#REF!</definedName>
    <definedName name="__________________SEC74" localSheetId="7">#REF!</definedName>
    <definedName name="__________________SEC74" localSheetId="1">#REF!</definedName>
    <definedName name="__________________SEC74" localSheetId="3">#REF!</definedName>
    <definedName name="__________________SEC74">#REF!</definedName>
    <definedName name="__________________SEC75" localSheetId="7">#REF!</definedName>
    <definedName name="__________________SEC75" localSheetId="1">#REF!</definedName>
    <definedName name="__________________SEC75" localSheetId="3">#REF!</definedName>
    <definedName name="__________________SEC75">#REF!</definedName>
    <definedName name="__________________SEC77" localSheetId="7">#REF!</definedName>
    <definedName name="__________________SEC77" localSheetId="1">#REF!</definedName>
    <definedName name="__________________SEC77" localSheetId="3">#REF!</definedName>
    <definedName name="__________________SEC77">#REF!</definedName>
    <definedName name="__________________sec777" localSheetId="7">#REF!</definedName>
    <definedName name="__________________sec777" localSheetId="1">#REF!</definedName>
    <definedName name="__________________sec777" localSheetId="3">#REF!</definedName>
    <definedName name="__________________sec777">#REF!</definedName>
    <definedName name="__________________sec78" localSheetId="7">#REF!</definedName>
    <definedName name="__________________sec78" localSheetId="1">#REF!</definedName>
    <definedName name="__________________sec78" localSheetId="3">#REF!</definedName>
    <definedName name="__________________sec78">#REF!</definedName>
    <definedName name="__________________sec79" localSheetId="7">#REF!</definedName>
    <definedName name="__________________sec79" localSheetId="1">#REF!</definedName>
    <definedName name="__________________sec79" localSheetId="3">#REF!</definedName>
    <definedName name="__________________sec79">#REF!</definedName>
    <definedName name="__________________sec8" localSheetId="7">#REF!</definedName>
    <definedName name="__________________sec8" localSheetId="1">#REF!</definedName>
    <definedName name="__________________sec8" localSheetId="3">#REF!</definedName>
    <definedName name="__________________sec8">#REF!</definedName>
    <definedName name="__________________sec81" localSheetId="7">#REF!</definedName>
    <definedName name="__________________sec81" localSheetId="1">#REF!</definedName>
    <definedName name="__________________sec81" localSheetId="3">#REF!</definedName>
    <definedName name="__________________sec81">#REF!</definedName>
    <definedName name="__________________SEC82" localSheetId="7">#REF!</definedName>
    <definedName name="__________________SEC82" localSheetId="1">#REF!</definedName>
    <definedName name="__________________SEC82" localSheetId="3">#REF!</definedName>
    <definedName name="__________________SEC82">#REF!</definedName>
    <definedName name="__________________SEC83" localSheetId="7">#REF!</definedName>
    <definedName name="__________________SEC83" localSheetId="1">#REF!</definedName>
    <definedName name="__________________SEC83" localSheetId="3">#REF!</definedName>
    <definedName name="__________________SEC83">#REF!</definedName>
    <definedName name="__________________SEC87" localSheetId="7">#REF!</definedName>
    <definedName name="__________________SEC87" localSheetId="1">#REF!</definedName>
    <definedName name="__________________SEC87" localSheetId="3">#REF!</definedName>
    <definedName name="__________________SEC87">#REF!</definedName>
    <definedName name="__________________SEC88" localSheetId="7">#REF!</definedName>
    <definedName name="__________________SEC88" localSheetId="1">#REF!</definedName>
    <definedName name="__________________SEC88" localSheetId="3">#REF!</definedName>
    <definedName name="__________________SEC88">#REF!</definedName>
    <definedName name="__________________sec888" localSheetId="7">#REF!</definedName>
    <definedName name="__________________sec888" localSheetId="1">#REF!</definedName>
    <definedName name="__________________sec888" localSheetId="3">#REF!</definedName>
    <definedName name="__________________sec888">#REF!</definedName>
    <definedName name="__________________sec89" localSheetId="7">#REF!</definedName>
    <definedName name="__________________sec89" localSheetId="1">#REF!</definedName>
    <definedName name="__________________sec89" localSheetId="3">#REF!</definedName>
    <definedName name="__________________sec89">#REF!</definedName>
    <definedName name="__________________sec899" localSheetId="7">#REF!</definedName>
    <definedName name="__________________sec899" localSheetId="1">#REF!</definedName>
    <definedName name="__________________sec899" localSheetId="3">#REF!</definedName>
    <definedName name="__________________sec899">#REF!</definedName>
    <definedName name="__________________SEC9" localSheetId="7">#REF!</definedName>
    <definedName name="__________________SEC9" localSheetId="1">#REF!</definedName>
    <definedName name="__________________SEC9" localSheetId="3">#REF!</definedName>
    <definedName name="__________________SEC9">#REF!</definedName>
    <definedName name="__________________SEC91" localSheetId="7">#REF!</definedName>
    <definedName name="__________________SEC91" localSheetId="1">#REF!</definedName>
    <definedName name="__________________SEC91" localSheetId="3">#REF!</definedName>
    <definedName name="__________________SEC91">#REF!</definedName>
    <definedName name="__________________SS2" localSheetId="7">#REF!</definedName>
    <definedName name="__________________SS2" localSheetId="1">#REF!</definedName>
    <definedName name="__________________SS2" localSheetId="3">#REF!</definedName>
    <definedName name="__________________SS2">#REF!</definedName>
    <definedName name="__________________tk1" localSheetId="7">#REF!</definedName>
    <definedName name="__________________tk1" localSheetId="1">#REF!</definedName>
    <definedName name="__________________tk1" localSheetId="3">#REF!</definedName>
    <definedName name="__________________tk1">#REF!</definedName>
    <definedName name="__________________xd1" localSheetId="7">#REF!</definedName>
    <definedName name="__________________xd1" localSheetId="1">#REF!</definedName>
    <definedName name="__________________xd1" localSheetId="3">#REF!</definedName>
    <definedName name="__________________xd1">#REF!</definedName>
    <definedName name="__________________XD2" localSheetId="7">#REF!</definedName>
    <definedName name="__________________XD2" localSheetId="1">#REF!</definedName>
    <definedName name="__________________XD2" localSheetId="3">#REF!</definedName>
    <definedName name="__________________XD2">#REF!</definedName>
    <definedName name="__________________xd3" localSheetId="7">#REF!</definedName>
    <definedName name="__________________xd3" localSheetId="1">#REF!</definedName>
    <definedName name="__________________xd3" localSheetId="3">#REF!</definedName>
    <definedName name="__________________xd3">#REF!</definedName>
    <definedName name="__________________zz1" localSheetId="7">#REF!</definedName>
    <definedName name="__________________zz1" localSheetId="1">#REF!</definedName>
    <definedName name="__________________zz1" localSheetId="3">#REF!</definedName>
    <definedName name="__________________zz1">#REF!</definedName>
    <definedName name="_________________aaa1" localSheetId="7">#REF!</definedName>
    <definedName name="_________________aaa1" localSheetId="1">#REF!</definedName>
    <definedName name="_________________aaa1" localSheetId="3">#REF!</definedName>
    <definedName name="_________________aaa1">#REF!</definedName>
    <definedName name="_________________aaa10" localSheetId="7">#REF!</definedName>
    <definedName name="_________________aaa10" localSheetId="1">#REF!</definedName>
    <definedName name="_________________aaa10" localSheetId="3">#REF!</definedName>
    <definedName name="_________________aaa10">#REF!</definedName>
    <definedName name="_________________aaa11" localSheetId="7">#REF!</definedName>
    <definedName name="_________________aaa11" localSheetId="1">#REF!</definedName>
    <definedName name="_________________aaa11" localSheetId="3">#REF!</definedName>
    <definedName name="_________________aaa11">#REF!</definedName>
    <definedName name="_________________AAA12" localSheetId="7">#REF!</definedName>
    <definedName name="_________________AAA12" localSheetId="1">#REF!</definedName>
    <definedName name="_________________AAA12" localSheetId="3">#REF!</definedName>
    <definedName name="_________________AAA12">#REF!</definedName>
    <definedName name="_________________AAA21" localSheetId="7">#REF!</definedName>
    <definedName name="_________________AAA21" localSheetId="1">#REF!</definedName>
    <definedName name="_________________AAA21" localSheetId="3">#REF!</definedName>
    <definedName name="_________________AAA21">#REF!</definedName>
    <definedName name="_________________aaa5" localSheetId="7">#REF!</definedName>
    <definedName name="_________________aaa5" localSheetId="1">#REF!</definedName>
    <definedName name="_________________aaa5" localSheetId="3">#REF!</definedName>
    <definedName name="_________________aaa5">#REF!</definedName>
    <definedName name="_________________AAA51" localSheetId="7">#REF!</definedName>
    <definedName name="_________________AAA51" localSheetId="1">#REF!</definedName>
    <definedName name="_________________AAA51" localSheetId="3">#REF!</definedName>
    <definedName name="_________________AAA51">#REF!</definedName>
    <definedName name="_________________AAA53" localSheetId="7">#REF!</definedName>
    <definedName name="_________________AAA53" localSheetId="1">#REF!</definedName>
    <definedName name="_________________AAA53" localSheetId="3">#REF!</definedName>
    <definedName name="_________________AAA53">#REF!</definedName>
    <definedName name="_________________aaa54" localSheetId="7">#REF!</definedName>
    <definedName name="_________________aaa54" localSheetId="1">#REF!</definedName>
    <definedName name="_________________aaa54" localSheetId="3">#REF!</definedName>
    <definedName name="_________________aaa54">#REF!</definedName>
    <definedName name="_________________aaa545" localSheetId="7">#REF!</definedName>
    <definedName name="_________________aaa545" localSheetId="1">#REF!</definedName>
    <definedName name="_________________aaa545" localSheetId="3">#REF!</definedName>
    <definedName name="_________________aaa545">#REF!</definedName>
    <definedName name="_________________aaa55" localSheetId="7">#REF!</definedName>
    <definedName name="_________________aaa55" localSheetId="1">#REF!</definedName>
    <definedName name="_________________aaa55" localSheetId="3">#REF!</definedName>
    <definedName name="_________________aaa55">#REF!</definedName>
    <definedName name="_________________aaa56" localSheetId="7">#REF!</definedName>
    <definedName name="_________________aaa56" localSheetId="1">#REF!</definedName>
    <definedName name="_________________aaa56" localSheetId="3">#REF!</definedName>
    <definedName name="_________________aaa56">#REF!</definedName>
    <definedName name="_________________AAA57" localSheetId="7">#REF!</definedName>
    <definedName name="_________________AAA57" localSheetId="1">#REF!</definedName>
    <definedName name="_________________AAA57" localSheetId="3">#REF!</definedName>
    <definedName name="_________________AAA57">#REF!</definedName>
    <definedName name="_________________aaa59" localSheetId="7">#REF!</definedName>
    <definedName name="_________________aaa59" localSheetId="1">#REF!</definedName>
    <definedName name="_________________aaa59" localSheetId="3">#REF!</definedName>
    <definedName name="_________________aaa59">#REF!</definedName>
    <definedName name="_________________AAA6" localSheetId="7">#REF!</definedName>
    <definedName name="_________________AAA6" localSheetId="1">#REF!</definedName>
    <definedName name="_________________AAA6" localSheetId="3">#REF!</definedName>
    <definedName name="_________________AAA6">#REF!</definedName>
    <definedName name="_________________AAA7" localSheetId="7">#REF!</definedName>
    <definedName name="_________________AAA7" localSheetId="1">#REF!</definedName>
    <definedName name="_________________AAA7" localSheetId="3">#REF!</definedName>
    <definedName name="_________________AAA7">#REF!</definedName>
    <definedName name="_________________AAD5" localSheetId="7">#REF!</definedName>
    <definedName name="_________________AAD5" localSheetId="1">#REF!</definedName>
    <definedName name="_________________AAD5" localSheetId="3">#REF!</definedName>
    <definedName name="_________________AAD5">#REF!</definedName>
    <definedName name="_________________aad55" localSheetId="7">#REF!</definedName>
    <definedName name="_________________aad55" localSheetId="1">#REF!</definedName>
    <definedName name="_________________aad55" localSheetId="3">#REF!</definedName>
    <definedName name="_________________aad55">#REF!</definedName>
    <definedName name="_________________AAD56" localSheetId="7">#REF!</definedName>
    <definedName name="_________________AAD56" localSheetId="1">#REF!</definedName>
    <definedName name="_________________AAD56" localSheetId="3">#REF!</definedName>
    <definedName name="_________________AAD56">#REF!</definedName>
    <definedName name="_________________AAD57" localSheetId="7">#REF!</definedName>
    <definedName name="_________________AAD57" localSheetId="1">#REF!</definedName>
    <definedName name="_________________AAD57" localSheetId="3">#REF!</definedName>
    <definedName name="_________________AAD57">#REF!</definedName>
    <definedName name="_________________ast1" localSheetId="7">#REF!</definedName>
    <definedName name="_________________ast1" localSheetId="1">#REF!</definedName>
    <definedName name="_________________ast1" localSheetId="3">#REF!</definedName>
    <definedName name="_________________ast1">#REF!</definedName>
    <definedName name="_________________ast2" localSheetId="7">#REF!</definedName>
    <definedName name="_________________ast2" localSheetId="1">#REF!</definedName>
    <definedName name="_________________ast2" localSheetId="3">#REF!</definedName>
    <definedName name="_________________ast2">#REF!</definedName>
    <definedName name="_________________bbb1" localSheetId="7">#REF!</definedName>
    <definedName name="_________________bbb1" localSheetId="1">#REF!</definedName>
    <definedName name="_________________bbb1" localSheetId="3">#REF!</definedName>
    <definedName name="_________________bbb1">#REF!</definedName>
    <definedName name="_________________bol1" localSheetId="7">#REF!</definedName>
    <definedName name="_________________bol1" localSheetId="1">#REF!</definedName>
    <definedName name="_________________bol1" localSheetId="3">#REF!</definedName>
    <definedName name="_________________bol1">#REF!</definedName>
    <definedName name="_________________ccc1" localSheetId="7">#REF!</definedName>
    <definedName name="_________________ccc1" localSheetId="1">#REF!</definedName>
    <definedName name="_________________ccc1" localSheetId="3">#REF!</definedName>
    <definedName name="_________________ccc1">#REF!</definedName>
    <definedName name="_________________COL14" localSheetId="7">#REF!</definedName>
    <definedName name="_________________COL14" localSheetId="1">#REF!</definedName>
    <definedName name="_________________COL14" localSheetId="3">#REF!</definedName>
    <definedName name="_________________COL14">#REF!</definedName>
    <definedName name="_________________COL15" localSheetId="7">#REF!</definedName>
    <definedName name="_________________COL15" localSheetId="1">#REF!</definedName>
    <definedName name="_________________COL15" localSheetId="3">#REF!</definedName>
    <definedName name="_________________COL15">#REF!</definedName>
    <definedName name="_________________COL16" localSheetId="7">#REF!</definedName>
    <definedName name="_________________COL16" localSheetId="1">#REF!</definedName>
    <definedName name="_________________COL16" localSheetId="3">#REF!</definedName>
    <definedName name="_________________COL16">#REF!</definedName>
    <definedName name="_________________ddd1" localSheetId="7">#REF!</definedName>
    <definedName name="_________________ddd1" localSheetId="1">#REF!</definedName>
    <definedName name="_________________ddd1" localSheetId="3">#REF!</definedName>
    <definedName name="_________________ddd1">#REF!</definedName>
    <definedName name="_________________eee1" localSheetId="7">#REF!</definedName>
    <definedName name="_________________eee1" localSheetId="1">#REF!</definedName>
    <definedName name="_________________eee1" localSheetId="3">#REF!</definedName>
    <definedName name="_________________eee1">#REF!</definedName>
    <definedName name="_________________exc1" localSheetId="7">#REF!</definedName>
    <definedName name="_________________exc1" localSheetId="1">#REF!</definedName>
    <definedName name="_________________exc1" localSheetId="3">#REF!</definedName>
    <definedName name="_________________exc1">#REF!</definedName>
    <definedName name="_________________exc11" localSheetId="7">#REF!</definedName>
    <definedName name="_________________exc11" localSheetId="1">#REF!</definedName>
    <definedName name="_________________exc11" localSheetId="3">#REF!</definedName>
    <definedName name="_________________exc11">#REF!</definedName>
    <definedName name="_________________exc2" localSheetId="7">#REF!</definedName>
    <definedName name="_________________exc2" localSheetId="1">#REF!</definedName>
    <definedName name="_________________exc2" localSheetId="3">#REF!</definedName>
    <definedName name="_________________exc2">#REF!</definedName>
    <definedName name="_________________EXC3" localSheetId="7">#REF!</definedName>
    <definedName name="_________________EXC3" localSheetId="1">#REF!</definedName>
    <definedName name="_________________EXC3" localSheetId="3">#REF!</definedName>
    <definedName name="_________________EXC3">#REF!</definedName>
    <definedName name="_________________EXC4" localSheetId="7">#REF!</definedName>
    <definedName name="_________________EXC4" localSheetId="1">#REF!</definedName>
    <definedName name="_________________EXC4" localSheetId="3">#REF!</definedName>
    <definedName name="_________________EXC4">#REF!</definedName>
    <definedName name="_________________fff1" localSheetId="7">#REF!</definedName>
    <definedName name="_________________fff1" localSheetId="1">#REF!</definedName>
    <definedName name="_________________fff1" localSheetId="3">#REF!</definedName>
    <definedName name="_________________fff1">#REF!</definedName>
    <definedName name="_________________foo1" localSheetId="7">#REF!</definedName>
    <definedName name="_________________foo1" localSheetId="1">#REF!</definedName>
    <definedName name="_________________foo1" localSheetId="3">#REF!</definedName>
    <definedName name="_________________foo1">#REF!</definedName>
    <definedName name="_________________foo2" localSheetId="7">#REF!</definedName>
    <definedName name="_________________foo2" localSheetId="1">#REF!</definedName>
    <definedName name="_________________foo2" localSheetId="3">#REF!</definedName>
    <definedName name="_________________foo2">#REF!</definedName>
    <definedName name="_________________foo3" localSheetId="7">#REF!</definedName>
    <definedName name="_________________foo3" localSheetId="1">#REF!</definedName>
    <definedName name="_________________foo3" localSheetId="3">#REF!</definedName>
    <definedName name="_________________foo3">#REF!</definedName>
    <definedName name="_________________FOO4" localSheetId="7">#REF!</definedName>
    <definedName name="_________________FOO4" localSheetId="1">#REF!</definedName>
    <definedName name="_________________FOO4" localSheetId="3">#REF!</definedName>
    <definedName name="_________________FOO4">#REF!</definedName>
    <definedName name="_________________ief1" localSheetId="7">#REF!</definedName>
    <definedName name="_________________ief1" localSheetId="1">#REF!</definedName>
    <definedName name="_________________ief1" localSheetId="3">#REF!</definedName>
    <definedName name="_________________ief1">#REF!</definedName>
    <definedName name="_________________ind1" localSheetId="7">#REF!</definedName>
    <definedName name="_________________ind1" localSheetId="1">#REF!</definedName>
    <definedName name="_________________ind1" localSheetId="3">#REF!</definedName>
    <definedName name="_________________ind1">#REF!</definedName>
    <definedName name="_________________IND11" localSheetId="7">#REF!</definedName>
    <definedName name="_________________IND11" localSheetId="1">#REF!</definedName>
    <definedName name="_________________IND11" localSheetId="3">#REF!</definedName>
    <definedName name="_________________IND11">#REF!</definedName>
    <definedName name="_________________IND31" localSheetId="7">#REF!</definedName>
    <definedName name="_________________IND31" localSheetId="1">#REF!</definedName>
    <definedName name="_________________IND31" localSheetId="3">#REF!</definedName>
    <definedName name="_________________IND31">#REF!</definedName>
    <definedName name="_________________IRS1" localSheetId="7">#REF!</definedName>
    <definedName name="_________________IRS1" localSheetId="1">#REF!</definedName>
    <definedName name="_________________IRS1" localSheetId="3">#REF!</definedName>
    <definedName name="_________________IRS1">#REF!</definedName>
    <definedName name="_________________KK1" localSheetId="7">#REF!</definedName>
    <definedName name="_________________KK1" localSheetId="1">#REF!</definedName>
    <definedName name="_________________KK1" localSheetId="3">#REF!</definedName>
    <definedName name="_________________KK1">#REF!</definedName>
    <definedName name="_________________KK2" localSheetId="7">#REF!</definedName>
    <definedName name="_________________KK2" localSheetId="1">#REF!</definedName>
    <definedName name="_________________KK2" localSheetId="3">#REF!</definedName>
    <definedName name="_________________KK2">#REF!</definedName>
    <definedName name="_________________kk3" localSheetId="7">#REF!</definedName>
    <definedName name="_________________kk3" localSheetId="1">#REF!</definedName>
    <definedName name="_________________kk3" localSheetId="3">#REF!</definedName>
    <definedName name="_________________kk3">#REF!</definedName>
    <definedName name="_________________kk4" localSheetId="7">#REF!</definedName>
    <definedName name="_________________kk4" localSheetId="1">#REF!</definedName>
    <definedName name="_________________kk4" localSheetId="3">#REF!</definedName>
    <definedName name="_________________kk4">#REF!</definedName>
    <definedName name="_________________lsc44" localSheetId="7">#REF!</definedName>
    <definedName name="_________________lsc44" localSheetId="1">#REF!</definedName>
    <definedName name="_________________lsc44" localSheetId="3">#REF!</definedName>
    <definedName name="_________________lsc44">#REF!</definedName>
    <definedName name="_________________MF1" localSheetId="7">#REF!</definedName>
    <definedName name="_________________MF1" localSheetId="1">#REF!</definedName>
    <definedName name="_________________MF1" localSheetId="3">#REF!</definedName>
    <definedName name="_________________MF1">#REF!</definedName>
    <definedName name="_________________MM1" localSheetId="7">#REF!</definedName>
    <definedName name="_________________MM1" localSheetId="1">#REF!</definedName>
    <definedName name="_________________MM1" localSheetId="3">#REF!</definedName>
    <definedName name="_________________MM1">#REF!</definedName>
    <definedName name="_________________MM2" localSheetId="7">#REF!</definedName>
    <definedName name="_________________MM2" localSheetId="1">#REF!</definedName>
    <definedName name="_________________MM2" localSheetId="3">#REF!</definedName>
    <definedName name="_________________MM2">#REF!</definedName>
    <definedName name="_________________pcc1" localSheetId="7">#REF!</definedName>
    <definedName name="_________________pcc1" localSheetId="1">#REF!</definedName>
    <definedName name="_________________pcc1" localSheetId="3">#REF!</definedName>
    <definedName name="_________________pcc1">#REF!</definedName>
    <definedName name="_________________pcc2" localSheetId="7">#REF!</definedName>
    <definedName name="_________________pcc2" localSheetId="1">#REF!</definedName>
    <definedName name="_________________pcc2" localSheetId="3">#REF!</definedName>
    <definedName name="_________________pcc2">#REF!</definedName>
    <definedName name="_________________pcc3" localSheetId="7">#REF!</definedName>
    <definedName name="_________________pcc3" localSheetId="1">#REF!</definedName>
    <definedName name="_________________pcc3" localSheetId="3">#REF!</definedName>
    <definedName name="_________________pcc3">#REF!</definedName>
    <definedName name="_________________PCC4" localSheetId="7">#REF!</definedName>
    <definedName name="_________________PCC4" localSheetId="1">#REF!</definedName>
    <definedName name="_________________PCC4" localSheetId="3">#REF!</definedName>
    <definedName name="_________________PCC4">#REF!</definedName>
    <definedName name="_________________plb1" localSheetId="7">#REF!</definedName>
    <definedName name="_________________plb1" localSheetId="1">#REF!</definedName>
    <definedName name="_________________plb1" localSheetId="3">#REF!</definedName>
    <definedName name="_________________plb1">#REF!</definedName>
    <definedName name="_________________plb2" localSheetId="7">#REF!</definedName>
    <definedName name="_________________plb2" localSheetId="1">#REF!</definedName>
    <definedName name="_________________plb2" localSheetId="3">#REF!</definedName>
    <definedName name="_________________plb2">#REF!</definedName>
    <definedName name="_________________plb3" localSheetId="7">#REF!</definedName>
    <definedName name="_________________plb3" localSheetId="1">#REF!</definedName>
    <definedName name="_________________plb3" localSheetId="3">#REF!</definedName>
    <definedName name="_________________plb3">#REF!</definedName>
    <definedName name="_________________plb4" localSheetId="7">#REF!</definedName>
    <definedName name="_________________plb4" localSheetId="1">#REF!</definedName>
    <definedName name="_________________plb4" localSheetId="3">#REF!</definedName>
    <definedName name="_________________plb4">#REF!</definedName>
    <definedName name="_________________S12" localSheetId="7">#REF!</definedName>
    <definedName name="_________________S12" localSheetId="1">#REF!</definedName>
    <definedName name="_________________S12" localSheetId="3">#REF!</definedName>
    <definedName name="_________________S12">#REF!</definedName>
    <definedName name="_________________sec1" localSheetId="7">#REF!</definedName>
    <definedName name="_________________sec1" localSheetId="1">#REF!</definedName>
    <definedName name="_________________sec1" localSheetId="3">#REF!</definedName>
    <definedName name="_________________sec1">#REF!</definedName>
    <definedName name="_________________sec111" localSheetId="7">#REF!</definedName>
    <definedName name="_________________sec111" localSheetId="1">#REF!</definedName>
    <definedName name="_________________sec111" localSheetId="3">#REF!</definedName>
    <definedName name="_________________sec111">#REF!</definedName>
    <definedName name="_________________SEC15" localSheetId="7">#REF!</definedName>
    <definedName name="_________________SEC15" localSheetId="1">#REF!</definedName>
    <definedName name="_________________SEC15" localSheetId="3">#REF!</definedName>
    <definedName name="_________________SEC15">#REF!</definedName>
    <definedName name="_________________Sec2" localSheetId="7">#REF!</definedName>
    <definedName name="_________________Sec2" localSheetId="1">#REF!</definedName>
    <definedName name="_________________Sec2" localSheetId="3">#REF!</definedName>
    <definedName name="_________________Sec2">#REF!</definedName>
    <definedName name="_________________sec22" localSheetId="7">#REF!</definedName>
    <definedName name="_________________sec22" localSheetId="1">#REF!</definedName>
    <definedName name="_________________sec22" localSheetId="3">#REF!</definedName>
    <definedName name="_________________sec22">#REF!</definedName>
    <definedName name="_________________SEC23" localSheetId="7">#REF!</definedName>
    <definedName name="_________________SEC23" localSheetId="1">#REF!</definedName>
    <definedName name="_________________SEC23" localSheetId="3">#REF!</definedName>
    <definedName name="_________________SEC23">#REF!</definedName>
    <definedName name="_________________sec3" localSheetId="7">#REF!</definedName>
    <definedName name="_________________sec3" localSheetId="1">#REF!</definedName>
    <definedName name="_________________sec3" localSheetId="3">#REF!</definedName>
    <definedName name="_________________sec3">#REF!</definedName>
    <definedName name="_________________SEC32" localSheetId="7">#REF!</definedName>
    <definedName name="_________________SEC32" localSheetId="1">#REF!</definedName>
    <definedName name="_________________SEC32" localSheetId="3">#REF!</definedName>
    <definedName name="_________________SEC32">#REF!</definedName>
    <definedName name="_________________sec33" localSheetId="7">#REF!</definedName>
    <definedName name="_________________sec33" localSheetId="1">#REF!</definedName>
    <definedName name="_________________sec33" localSheetId="3">#REF!</definedName>
    <definedName name="_________________sec33">#REF!</definedName>
    <definedName name="_________________Sec4" localSheetId="7">#REF!</definedName>
    <definedName name="_________________Sec4" localSheetId="1">#REF!</definedName>
    <definedName name="_________________Sec4" localSheetId="3">#REF!</definedName>
    <definedName name="_________________Sec4">#REF!</definedName>
    <definedName name="_________________sec45" localSheetId="7">#REF!</definedName>
    <definedName name="_________________sec45" localSheetId="1">#REF!</definedName>
    <definedName name="_________________sec45" localSheetId="3">#REF!</definedName>
    <definedName name="_________________sec45">#REF!</definedName>
    <definedName name="_________________SEC46" localSheetId="7">#REF!</definedName>
    <definedName name="_________________SEC46" localSheetId="1">#REF!</definedName>
    <definedName name="_________________SEC46" localSheetId="3">#REF!</definedName>
    <definedName name="_________________SEC46">#REF!</definedName>
    <definedName name="_________________sec5" localSheetId="7">#REF!</definedName>
    <definedName name="_________________sec5" localSheetId="1">#REF!</definedName>
    <definedName name="_________________sec5" localSheetId="3">#REF!</definedName>
    <definedName name="_________________sec5">#REF!</definedName>
    <definedName name="_________________sec55" localSheetId="7">#REF!</definedName>
    <definedName name="_________________sec55" localSheetId="1">#REF!</definedName>
    <definedName name="_________________sec55" localSheetId="3">#REF!</definedName>
    <definedName name="_________________sec55">#REF!</definedName>
    <definedName name="_________________SEC56" localSheetId="7">#REF!</definedName>
    <definedName name="_________________SEC56" localSheetId="1">#REF!</definedName>
    <definedName name="_________________SEC56" localSheetId="3">#REF!</definedName>
    <definedName name="_________________SEC56">#REF!</definedName>
    <definedName name="_________________sec6" localSheetId="7">#REF!</definedName>
    <definedName name="_________________sec6" localSheetId="1">#REF!</definedName>
    <definedName name="_________________sec6" localSheetId="3">#REF!</definedName>
    <definedName name="_________________sec6">#REF!</definedName>
    <definedName name="_________________sec66" localSheetId="7">#REF!</definedName>
    <definedName name="_________________sec66" localSheetId="1">#REF!</definedName>
    <definedName name="_________________sec66" localSheetId="3">#REF!</definedName>
    <definedName name="_________________sec66">#REF!</definedName>
    <definedName name="_________________SEC67" localSheetId="7">#REF!</definedName>
    <definedName name="_________________SEC67" localSheetId="1">#REF!</definedName>
    <definedName name="_________________SEC67" localSheetId="3">#REF!</definedName>
    <definedName name="_________________SEC67">#REF!</definedName>
    <definedName name="_________________sec7" localSheetId="7">#REF!</definedName>
    <definedName name="_________________sec7" localSheetId="1">#REF!</definedName>
    <definedName name="_________________sec7" localSheetId="3">#REF!</definedName>
    <definedName name="_________________sec7">#REF!</definedName>
    <definedName name="_________________sec71" localSheetId="7">#REF!</definedName>
    <definedName name="_________________sec71" localSheetId="1">#REF!</definedName>
    <definedName name="_________________sec71" localSheetId="3">#REF!</definedName>
    <definedName name="_________________sec71">#REF!</definedName>
    <definedName name="_________________SEC72" localSheetId="7">#REF!</definedName>
    <definedName name="_________________SEC72" localSheetId="1">#REF!</definedName>
    <definedName name="_________________SEC72" localSheetId="3">#REF!</definedName>
    <definedName name="_________________SEC72">#REF!</definedName>
    <definedName name="_________________SEC74" localSheetId="7">#REF!</definedName>
    <definedName name="_________________SEC74" localSheetId="1">#REF!</definedName>
    <definedName name="_________________SEC74" localSheetId="3">#REF!</definedName>
    <definedName name="_________________SEC74">#REF!</definedName>
    <definedName name="_________________SEC75" localSheetId="7">#REF!</definedName>
    <definedName name="_________________SEC75" localSheetId="1">#REF!</definedName>
    <definedName name="_________________SEC75" localSheetId="3">#REF!</definedName>
    <definedName name="_________________SEC75">#REF!</definedName>
    <definedName name="_________________SEC77" localSheetId="7">#REF!</definedName>
    <definedName name="_________________SEC77" localSheetId="1">#REF!</definedName>
    <definedName name="_________________SEC77" localSheetId="3">#REF!</definedName>
    <definedName name="_________________SEC77">#REF!</definedName>
    <definedName name="_________________sec777" localSheetId="7">#REF!</definedName>
    <definedName name="_________________sec777" localSheetId="1">#REF!</definedName>
    <definedName name="_________________sec777" localSheetId="3">#REF!</definedName>
    <definedName name="_________________sec777">#REF!</definedName>
    <definedName name="_________________sec78" localSheetId="7">#REF!</definedName>
    <definedName name="_________________sec78" localSheetId="1">#REF!</definedName>
    <definedName name="_________________sec78" localSheetId="3">#REF!</definedName>
    <definedName name="_________________sec78">#REF!</definedName>
    <definedName name="_________________sec79" localSheetId="7">#REF!</definedName>
    <definedName name="_________________sec79" localSheetId="1">#REF!</definedName>
    <definedName name="_________________sec79" localSheetId="3">#REF!</definedName>
    <definedName name="_________________sec79">#REF!</definedName>
    <definedName name="_________________sec8" localSheetId="7">#REF!</definedName>
    <definedName name="_________________sec8" localSheetId="1">#REF!</definedName>
    <definedName name="_________________sec8" localSheetId="3">#REF!</definedName>
    <definedName name="_________________sec8">#REF!</definedName>
    <definedName name="_________________sec81" localSheetId="7">#REF!</definedName>
    <definedName name="_________________sec81" localSheetId="1">#REF!</definedName>
    <definedName name="_________________sec81" localSheetId="3">#REF!</definedName>
    <definedName name="_________________sec81">#REF!</definedName>
    <definedName name="_________________SEC82" localSheetId="7">#REF!</definedName>
    <definedName name="_________________SEC82" localSheetId="1">#REF!</definedName>
    <definedName name="_________________SEC82" localSheetId="3">#REF!</definedName>
    <definedName name="_________________SEC82">#REF!</definedName>
    <definedName name="_________________SEC83" localSheetId="7">#REF!</definedName>
    <definedName name="_________________SEC83" localSheetId="1">#REF!</definedName>
    <definedName name="_________________SEC83" localSheetId="3">#REF!</definedName>
    <definedName name="_________________SEC83">#REF!</definedName>
    <definedName name="_________________SEC87" localSheetId="7">#REF!</definedName>
    <definedName name="_________________SEC87" localSheetId="1">#REF!</definedName>
    <definedName name="_________________SEC87" localSheetId="3">#REF!</definedName>
    <definedName name="_________________SEC87">#REF!</definedName>
    <definedName name="_________________SEC88" localSheetId="7">#REF!</definedName>
    <definedName name="_________________SEC88" localSheetId="1">#REF!</definedName>
    <definedName name="_________________SEC88" localSheetId="3">#REF!</definedName>
    <definedName name="_________________SEC88">#REF!</definedName>
    <definedName name="_________________sec888" localSheetId="7">#REF!</definedName>
    <definedName name="_________________sec888" localSheetId="1">#REF!</definedName>
    <definedName name="_________________sec888" localSheetId="3">#REF!</definedName>
    <definedName name="_________________sec888">#REF!</definedName>
    <definedName name="_________________sec89" localSheetId="7">#REF!</definedName>
    <definedName name="_________________sec89" localSheetId="1">#REF!</definedName>
    <definedName name="_________________sec89" localSheetId="3">#REF!</definedName>
    <definedName name="_________________sec89">#REF!</definedName>
    <definedName name="_________________sec899" localSheetId="7">#REF!</definedName>
    <definedName name="_________________sec899" localSheetId="1">#REF!</definedName>
    <definedName name="_________________sec899" localSheetId="3">#REF!</definedName>
    <definedName name="_________________sec899">#REF!</definedName>
    <definedName name="_________________SEC9" localSheetId="7">#REF!</definedName>
    <definedName name="_________________SEC9" localSheetId="1">#REF!</definedName>
    <definedName name="_________________SEC9" localSheetId="3">#REF!</definedName>
    <definedName name="_________________SEC9">#REF!</definedName>
    <definedName name="_________________SEC91" localSheetId="7">#REF!</definedName>
    <definedName name="_________________SEC91" localSheetId="1">#REF!</definedName>
    <definedName name="_________________SEC91" localSheetId="3">#REF!</definedName>
    <definedName name="_________________SEC91">#REF!</definedName>
    <definedName name="_________________SS2" localSheetId="7">#REF!</definedName>
    <definedName name="_________________SS2" localSheetId="1">#REF!</definedName>
    <definedName name="_________________SS2" localSheetId="3">#REF!</definedName>
    <definedName name="_________________SS2">#REF!</definedName>
    <definedName name="_________________tk1" localSheetId="7">#REF!</definedName>
    <definedName name="_________________tk1" localSheetId="1">#REF!</definedName>
    <definedName name="_________________tk1" localSheetId="3">#REF!</definedName>
    <definedName name="_________________tk1">#REF!</definedName>
    <definedName name="_________________xd1" localSheetId="7">#REF!</definedName>
    <definedName name="_________________xd1" localSheetId="1">#REF!</definedName>
    <definedName name="_________________xd1" localSheetId="3">#REF!</definedName>
    <definedName name="_________________xd1">#REF!</definedName>
    <definedName name="_________________XD2" localSheetId="7">#REF!</definedName>
    <definedName name="_________________XD2" localSheetId="1">#REF!</definedName>
    <definedName name="_________________XD2" localSheetId="3">#REF!</definedName>
    <definedName name="_________________XD2">#REF!</definedName>
    <definedName name="_________________xd3" localSheetId="7">#REF!</definedName>
    <definedName name="_________________xd3" localSheetId="1">#REF!</definedName>
    <definedName name="_________________xd3" localSheetId="3">#REF!</definedName>
    <definedName name="_________________xd3">#REF!</definedName>
    <definedName name="_________________zz1" localSheetId="7">#REF!</definedName>
    <definedName name="_________________zz1" localSheetId="1">#REF!</definedName>
    <definedName name="_________________zz1" localSheetId="3">#REF!</definedName>
    <definedName name="_________________zz1">#REF!</definedName>
    <definedName name="________________aaa1" localSheetId="7">#REF!</definedName>
    <definedName name="________________aaa1" localSheetId="1">#REF!</definedName>
    <definedName name="________________aaa1" localSheetId="3">#REF!</definedName>
    <definedName name="________________aaa1">#REF!</definedName>
    <definedName name="________________aaa10" localSheetId="7">#REF!</definedName>
    <definedName name="________________aaa10" localSheetId="1">#REF!</definedName>
    <definedName name="________________aaa10" localSheetId="3">#REF!</definedName>
    <definedName name="________________aaa10">#REF!</definedName>
    <definedName name="________________aaa11" localSheetId="7">#REF!</definedName>
    <definedName name="________________aaa11" localSheetId="1">#REF!</definedName>
    <definedName name="________________aaa11" localSheetId="3">#REF!</definedName>
    <definedName name="________________aaa11">#REF!</definedName>
    <definedName name="________________AAA12" localSheetId="7">#REF!</definedName>
    <definedName name="________________AAA12" localSheetId="1">#REF!</definedName>
    <definedName name="________________AAA12" localSheetId="3">#REF!</definedName>
    <definedName name="________________AAA12">#REF!</definedName>
    <definedName name="________________AAA21" localSheetId="7">#REF!</definedName>
    <definedName name="________________AAA21" localSheetId="1">#REF!</definedName>
    <definedName name="________________AAA21" localSheetId="3">#REF!</definedName>
    <definedName name="________________AAA21">#REF!</definedName>
    <definedName name="________________aaa5" localSheetId="7">#REF!</definedName>
    <definedName name="________________aaa5" localSheetId="1">#REF!</definedName>
    <definedName name="________________aaa5" localSheetId="3">#REF!</definedName>
    <definedName name="________________aaa5">#REF!</definedName>
    <definedName name="________________AAA51" localSheetId="7">#REF!</definedName>
    <definedName name="________________AAA51" localSheetId="1">#REF!</definedName>
    <definedName name="________________AAA51" localSheetId="3">#REF!</definedName>
    <definedName name="________________AAA51">#REF!</definedName>
    <definedName name="________________AAA53" localSheetId="7">#REF!</definedName>
    <definedName name="________________AAA53" localSheetId="1">#REF!</definedName>
    <definedName name="________________AAA53" localSheetId="3">#REF!</definedName>
    <definedName name="________________AAA53">#REF!</definedName>
    <definedName name="________________aaa54" localSheetId="7">#REF!</definedName>
    <definedName name="________________aaa54" localSheetId="1">#REF!</definedName>
    <definedName name="________________aaa54" localSheetId="3">#REF!</definedName>
    <definedName name="________________aaa54">#REF!</definedName>
    <definedName name="________________aaa545" localSheetId="7">#REF!</definedName>
    <definedName name="________________aaa545" localSheetId="1">#REF!</definedName>
    <definedName name="________________aaa545" localSheetId="3">#REF!</definedName>
    <definedName name="________________aaa545">#REF!</definedName>
    <definedName name="________________aaa55" localSheetId="7">#REF!</definedName>
    <definedName name="________________aaa55" localSheetId="1">#REF!</definedName>
    <definedName name="________________aaa55" localSheetId="3">#REF!</definedName>
    <definedName name="________________aaa55">#REF!</definedName>
    <definedName name="________________aaa56" localSheetId="7">#REF!</definedName>
    <definedName name="________________aaa56" localSheetId="1">#REF!</definedName>
    <definedName name="________________aaa56" localSheetId="3">#REF!</definedName>
    <definedName name="________________aaa56">#REF!</definedName>
    <definedName name="________________AAA57" localSheetId="7">#REF!</definedName>
    <definedName name="________________AAA57" localSheetId="1">#REF!</definedName>
    <definedName name="________________AAA57" localSheetId="3">#REF!</definedName>
    <definedName name="________________AAA57">#REF!</definedName>
    <definedName name="________________aaa59" localSheetId="7">#REF!</definedName>
    <definedName name="________________aaa59" localSheetId="1">#REF!</definedName>
    <definedName name="________________aaa59" localSheetId="3">#REF!</definedName>
    <definedName name="________________aaa59">#REF!</definedName>
    <definedName name="________________AAA6" localSheetId="7">#REF!</definedName>
    <definedName name="________________AAA6" localSheetId="1">#REF!</definedName>
    <definedName name="________________AAA6" localSheetId="3">#REF!</definedName>
    <definedName name="________________AAA6">#REF!</definedName>
    <definedName name="________________AAA7" localSheetId="7">#REF!</definedName>
    <definedName name="________________AAA7" localSheetId="1">#REF!</definedName>
    <definedName name="________________AAA7" localSheetId="3">#REF!</definedName>
    <definedName name="________________AAA7">#REF!</definedName>
    <definedName name="________________AAD5" localSheetId="7">#REF!</definedName>
    <definedName name="________________AAD5" localSheetId="1">#REF!</definedName>
    <definedName name="________________AAD5" localSheetId="3">#REF!</definedName>
    <definedName name="________________AAD5">#REF!</definedName>
    <definedName name="________________aad55" localSheetId="7">#REF!</definedName>
    <definedName name="________________aad55" localSheetId="1">#REF!</definedName>
    <definedName name="________________aad55" localSheetId="3">#REF!</definedName>
    <definedName name="________________aad55">#REF!</definedName>
    <definedName name="________________AAD56" localSheetId="7">#REF!</definedName>
    <definedName name="________________AAD56" localSheetId="1">#REF!</definedName>
    <definedName name="________________AAD56" localSheetId="3">#REF!</definedName>
    <definedName name="________________AAD56">#REF!</definedName>
    <definedName name="________________AAD57" localSheetId="7">#REF!</definedName>
    <definedName name="________________AAD57" localSheetId="1">#REF!</definedName>
    <definedName name="________________AAD57" localSheetId="3">#REF!</definedName>
    <definedName name="________________AAD57">#REF!</definedName>
    <definedName name="________________ast1" localSheetId="7">#REF!</definedName>
    <definedName name="________________ast1" localSheetId="1">#REF!</definedName>
    <definedName name="________________ast1" localSheetId="3">#REF!</definedName>
    <definedName name="________________ast1">#REF!</definedName>
    <definedName name="________________ast2" localSheetId="7">#REF!</definedName>
    <definedName name="________________ast2" localSheetId="1">#REF!</definedName>
    <definedName name="________________ast2" localSheetId="3">#REF!</definedName>
    <definedName name="________________ast2">#REF!</definedName>
    <definedName name="________________bbb1" localSheetId="7">#REF!</definedName>
    <definedName name="________________bbb1" localSheetId="1">#REF!</definedName>
    <definedName name="________________bbb1" localSheetId="3">#REF!</definedName>
    <definedName name="________________bbb1">#REF!</definedName>
    <definedName name="________________bol1" localSheetId="7">#REF!</definedName>
    <definedName name="________________bol1" localSheetId="1">#REF!</definedName>
    <definedName name="________________bol1" localSheetId="3">#REF!</definedName>
    <definedName name="________________bol1">#REF!</definedName>
    <definedName name="________________ccc1" localSheetId="7">#REF!</definedName>
    <definedName name="________________ccc1" localSheetId="1">#REF!</definedName>
    <definedName name="________________ccc1" localSheetId="3">#REF!</definedName>
    <definedName name="________________ccc1">#REF!</definedName>
    <definedName name="________________COL14" localSheetId="7">#REF!</definedName>
    <definedName name="________________COL14" localSheetId="1">#REF!</definedName>
    <definedName name="________________COL14" localSheetId="3">#REF!</definedName>
    <definedName name="________________COL14">#REF!</definedName>
    <definedName name="________________COL15" localSheetId="7">#REF!</definedName>
    <definedName name="________________COL15" localSheetId="1">#REF!</definedName>
    <definedName name="________________COL15" localSheetId="3">#REF!</definedName>
    <definedName name="________________COL15">#REF!</definedName>
    <definedName name="________________COL16" localSheetId="7">#REF!</definedName>
    <definedName name="________________COL16" localSheetId="1">#REF!</definedName>
    <definedName name="________________COL16" localSheetId="3">#REF!</definedName>
    <definedName name="________________COL16">#REF!</definedName>
    <definedName name="________________ddd1" localSheetId="7">#REF!</definedName>
    <definedName name="________________ddd1" localSheetId="1">#REF!</definedName>
    <definedName name="________________ddd1" localSheetId="3">#REF!</definedName>
    <definedName name="________________ddd1">#REF!</definedName>
    <definedName name="________________eee1" localSheetId="7">#REF!</definedName>
    <definedName name="________________eee1" localSheetId="1">#REF!</definedName>
    <definedName name="________________eee1" localSheetId="3">#REF!</definedName>
    <definedName name="________________eee1">#REF!</definedName>
    <definedName name="________________exc1" localSheetId="7">#REF!</definedName>
    <definedName name="________________exc1" localSheetId="1">#REF!</definedName>
    <definedName name="________________exc1" localSheetId="3">#REF!</definedName>
    <definedName name="________________exc1">#REF!</definedName>
    <definedName name="________________exc11" localSheetId="7">#REF!</definedName>
    <definedName name="________________exc11" localSheetId="1">#REF!</definedName>
    <definedName name="________________exc11" localSheetId="3">#REF!</definedName>
    <definedName name="________________exc11">#REF!</definedName>
    <definedName name="________________exc2" localSheetId="7">#REF!</definedName>
    <definedName name="________________exc2" localSheetId="1">#REF!</definedName>
    <definedName name="________________exc2" localSheetId="3">#REF!</definedName>
    <definedName name="________________exc2">#REF!</definedName>
    <definedName name="________________EXC3" localSheetId="7">#REF!</definedName>
    <definedName name="________________EXC3" localSheetId="1">#REF!</definedName>
    <definedName name="________________EXC3" localSheetId="3">#REF!</definedName>
    <definedName name="________________EXC3">#REF!</definedName>
    <definedName name="________________EXC4" localSheetId="7">#REF!</definedName>
    <definedName name="________________EXC4" localSheetId="1">#REF!</definedName>
    <definedName name="________________EXC4" localSheetId="3">#REF!</definedName>
    <definedName name="________________EXC4">#REF!</definedName>
    <definedName name="________________fff1" localSheetId="7">#REF!</definedName>
    <definedName name="________________fff1" localSheetId="1">#REF!</definedName>
    <definedName name="________________fff1" localSheetId="3">#REF!</definedName>
    <definedName name="________________fff1">#REF!</definedName>
    <definedName name="________________foo1" localSheetId="7">#REF!</definedName>
    <definedName name="________________foo1" localSheetId="1">#REF!</definedName>
    <definedName name="________________foo1" localSheetId="3">#REF!</definedName>
    <definedName name="________________foo1">#REF!</definedName>
    <definedName name="________________foo2" localSheetId="7">#REF!</definedName>
    <definedName name="________________foo2" localSheetId="1">#REF!</definedName>
    <definedName name="________________foo2" localSheetId="3">#REF!</definedName>
    <definedName name="________________foo2">#REF!</definedName>
    <definedName name="________________foo3" localSheetId="7">#REF!</definedName>
    <definedName name="________________foo3" localSheetId="1">#REF!</definedName>
    <definedName name="________________foo3" localSheetId="3">#REF!</definedName>
    <definedName name="________________foo3">#REF!</definedName>
    <definedName name="________________FOO4" localSheetId="7">#REF!</definedName>
    <definedName name="________________FOO4" localSheetId="1">#REF!</definedName>
    <definedName name="________________FOO4" localSheetId="3">#REF!</definedName>
    <definedName name="________________FOO4">#REF!</definedName>
    <definedName name="________________ief1" localSheetId="7">#REF!</definedName>
    <definedName name="________________ief1" localSheetId="1">#REF!</definedName>
    <definedName name="________________ief1" localSheetId="3">#REF!</definedName>
    <definedName name="________________ief1">#REF!</definedName>
    <definedName name="________________ind1" localSheetId="7">#REF!</definedName>
    <definedName name="________________ind1" localSheetId="1">#REF!</definedName>
    <definedName name="________________ind1" localSheetId="3">#REF!</definedName>
    <definedName name="________________ind1">#REF!</definedName>
    <definedName name="________________IND11" localSheetId="7">#REF!</definedName>
    <definedName name="________________IND11" localSheetId="1">#REF!</definedName>
    <definedName name="________________IND11" localSheetId="3">#REF!</definedName>
    <definedName name="________________IND11">#REF!</definedName>
    <definedName name="________________IND31" localSheetId="7">#REF!</definedName>
    <definedName name="________________IND31" localSheetId="1">#REF!</definedName>
    <definedName name="________________IND31" localSheetId="3">#REF!</definedName>
    <definedName name="________________IND31">#REF!</definedName>
    <definedName name="________________IRS1" localSheetId="7">#REF!</definedName>
    <definedName name="________________IRS1" localSheetId="1">#REF!</definedName>
    <definedName name="________________IRS1" localSheetId="3">#REF!</definedName>
    <definedName name="________________IRS1">#REF!</definedName>
    <definedName name="________________KK1" localSheetId="7">#REF!</definedName>
    <definedName name="________________KK1" localSheetId="1">#REF!</definedName>
    <definedName name="________________KK1" localSheetId="3">#REF!</definedName>
    <definedName name="________________KK1">#REF!</definedName>
    <definedName name="________________KK2" localSheetId="7">#REF!</definedName>
    <definedName name="________________KK2" localSheetId="1">#REF!</definedName>
    <definedName name="________________KK2" localSheetId="3">#REF!</definedName>
    <definedName name="________________KK2">#REF!</definedName>
    <definedName name="________________kk3" localSheetId="7">#REF!</definedName>
    <definedName name="________________kk3" localSheetId="1">#REF!</definedName>
    <definedName name="________________kk3" localSheetId="3">#REF!</definedName>
    <definedName name="________________kk3">#REF!</definedName>
    <definedName name="________________kk4" localSheetId="7">#REF!</definedName>
    <definedName name="________________kk4" localSheetId="1">#REF!</definedName>
    <definedName name="________________kk4" localSheetId="3">#REF!</definedName>
    <definedName name="________________kk4">#REF!</definedName>
    <definedName name="________________lsc44" localSheetId="7">#REF!</definedName>
    <definedName name="________________lsc44" localSheetId="1">#REF!</definedName>
    <definedName name="________________lsc44" localSheetId="3">#REF!</definedName>
    <definedName name="________________lsc44">#REF!</definedName>
    <definedName name="________________MF1" localSheetId="7">#REF!</definedName>
    <definedName name="________________MF1" localSheetId="1">#REF!</definedName>
    <definedName name="________________MF1" localSheetId="3">#REF!</definedName>
    <definedName name="________________MF1">#REF!</definedName>
    <definedName name="________________MM1" localSheetId="7">#REF!</definedName>
    <definedName name="________________MM1" localSheetId="1">#REF!</definedName>
    <definedName name="________________MM1" localSheetId="3">#REF!</definedName>
    <definedName name="________________MM1">#REF!</definedName>
    <definedName name="________________MM2" localSheetId="7">#REF!</definedName>
    <definedName name="________________MM2" localSheetId="1">#REF!</definedName>
    <definedName name="________________MM2" localSheetId="3">#REF!</definedName>
    <definedName name="________________MM2">#REF!</definedName>
    <definedName name="________________pcc1" localSheetId="7">#REF!</definedName>
    <definedName name="________________pcc1" localSheetId="1">#REF!</definedName>
    <definedName name="________________pcc1" localSheetId="3">#REF!</definedName>
    <definedName name="________________pcc1">#REF!</definedName>
    <definedName name="________________pcc2" localSheetId="7">#REF!</definedName>
    <definedName name="________________pcc2" localSheetId="1">#REF!</definedName>
    <definedName name="________________pcc2" localSheetId="3">#REF!</definedName>
    <definedName name="________________pcc2">#REF!</definedName>
    <definedName name="________________pcc3" localSheetId="7">#REF!</definedName>
    <definedName name="________________pcc3" localSheetId="1">#REF!</definedName>
    <definedName name="________________pcc3" localSheetId="3">#REF!</definedName>
    <definedName name="________________pcc3">#REF!</definedName>
    <definedName name="________________PCC4" localSheetId="7">#REF!</definedName>
    <definedName name="________________PCC4" localSheetId="1">#REF!</definedName>
    <definedName name="________________PCC4" localSheetId="3">#REF!</definedName>
    <definedName name="________________PCC4">#REF!</definedName>
    <definedName name="________________plb1" localSheetId="7">#REF!</definedName>
    <definedName name="________________plb1" localSheetId="1">#REF!</definedName>
    <definedName name="________________plb1" localSheetId="3">#REF!</definedName>
    <definedName name="________________plb1">#REF!</definedName>
    <definedName name="________________plb2" localSheetId="7">#REF!</definedName>
    <definedName name="________________plb2" localSheetId="1">#REF!</definedName>
    <definedName name="________________plb2" localSheetId="3">#REF!</definedName>
    <definedName name="________________plb2">#REF!</definedName>
    <definedName name="________________plb3" localSheetId="7">#REF!</definedName>
    <definedName name="________________plb3" localSheetId="1">#REF!</definedName>
    <definedName name="________________plb3" localSheetId="3">#REF!</definedName>
    <definedName name="________________plb3">#REF!</definedName>
    <definedName name="________________plb4" localSheetId="7">#REF!</definedName>
    <definedName name="________________plb4" localSheetId="1">#REF!</definedName>
    <definedName name="________________plb4" localSheetId="3">#REF!</definedName>
    <definedName name="________________plb4">#REF!</definedName>
    <definedName name="________________S12" localSheetId="7">#REF!</definedName>
    <definedName name="________________S12" localSheetId="1">#REF!</definedName>
    <definedName name="________________S12" localSheetId="3">#REF!</definedName>
    <definedName name="________________S12">#REF!</definedName>
    <definedName name="________________sec1" localSheetId="7">#REF!</definedName>
    <definedName name="________________sec1" localSheetId="1">#REF!</definedName>
    <definedName name="________________sec1" localSheetId="3">#REF!</definedName>
    <definedName name="________________sec1">#REF!</definedName>
    <definedName name="________________sec111" localSheetId="7">#REF!</definedName>
    <definedName name="________________sec111" localSheetId="1">#REF!</definedName>
    <definedName name="________________sec111" localSheetId="3">#REF!</definedName>
    <definedName name="________________sec111">#REF!</definedName>
    <definedName name="________________SEC15" localSheetId="7">#REF!</definedName>
    <definedName name="________________SEC15" localSheetId="1">#REF!</definedName>
    <definedName name="________________SEC15" localSheetId="3">#REF!</definedName>
    <definedName name="________________SEC15">#REF!</definedName>
    <definedName name="________________Sec2" localSheetId="7">#REF!</definedName>
    <definedName name="________________Sec2" localSheetId="1">#REF!</definedName>
    <definedName name="________________Sec2" localSheetId="3">#REF!</definedName>
    <definedName name="________________Sec2">#REF!</definedName>
    <definedName name="________________sec22" localSheetId="7">#REF!</definedName>
    <definedName name="________________sec22" localSheetId="1">#REF!</definedName>
    <definedName name="________________sec22" localSheetId="3">#REF!</definedName>
    <definedName name="________________sec22">#REF!</definedName>
    <definedName name="________________SEC23" localSheetId="7">#REF!</definedName>
    <definedName name="________________SEC23" localSheetId="1">#REF!</definedName>
    <definedName name="________________SEC23" localSheetId="3">#REF!</definedName>
    <definedName name="________________SEC23">#REF!</definedName>
    <definedName name="________________sec3" localSheetId="7">#REF!</definedName>
    <definedName name="________________sec3" localSheetId="1">#REF!</definedName>
    <definedName name="________________sec3" localSheetId="3">#REF!</definedName>
    <definedName name="________________sec3">#REF!</definedName>
    <definedName name="________________SEC32" localSheetId="7">#REF!</definedName>
    <definedName name="________________SEC32" localSheetId="1">#REF!</definedName>
    <definedName name="________________SEC32" localSheetId="3">#REF!</definedName>
    <definedName name="________________SEC32">#REF!</definedName>
    <definedName name="________________sec33" localSheetId="7">#REF!</definedName>
    <definedName name="________________sec33" localSheetId="1">#REF!</definedName>
    <definedName name="________________sec33" localSheetId="3">#REF!</definedName>
    <definedName name="________________sec33">#REF!</definedName>
    <definedName name="________________Sec4" localSheetId="7">#REF!</definedName>
    <definedName name="________________Sec4" localSheetId="1">#REF!</definedName>
    <definedName name="________________Sec4" localSheetId="3">#REF!</definedName>
    <definedName name="________________Sec4">#REF!</definedName>
    <definedName name="________________sec45" localSheetId="7">#REF!</definedName>
    <definedName name="________________sec45" localSheetId="1">#REF!</definedName>
    <definedName name="________________sec45" localSheetId="3">#REF!</definedName>
    <definedName name="________________sec45">#REF!</definedName>
    <definedName name="________________SEC46" localSheetId="7">#REF!</definedName>
    <definedName name="________________SEC46" localSheetId="1">#REF!</definedName>
    <definedName name="________________SEC46" localSheetId="3">#REF!</definedName>
    <definedName name="________________SEC46">#REF!</definedName>
    <definedName name="________________sec5" localSheetId="7">#REF!</definedName>
    <definedName name="________________sec5" localSheetId="1">#REF!</definedName>
    <definedName name="________________sec5" localSheetId="3">#REF!</definedName>
    <definedName name="________________sec5">#REF!</definedName>
    <definedName name="________________sec55" localSheetId="7">#REF!</definedName>
    <definedName name="________________sec55" localSheetId="1">#REF!</definedName>
    <definedName name="________________sec55" localSheetId="3">#REF!</definedName>
    <definedName name="________________sec55">#REF!</definedName>
    <definedName name="________________SEC56" localSheetId="7">#REF!</definedName>
    <definedName name="________________SEC56" localSheetId="1">#REF!</definedName>
    <definedName name="________________SEC56" localSheetId="3">#REF!</definedName>
    <definedName name="________________SEC56">#REF!</definedName>
    <definedName name="________________sec6" localSheetId="7">#REF!</definedName>
    <definedName name="________________sec6" localSheetId="1">#REF!</definedName>
    <definedName name="________________sec6" localSheetId="3">#REF!</definedName>
    <definedName name="________________sec6">#REF!</definedName>
    <definedName name="________________sec66" localSheetId="7">#REF!</definedName>
    <definedName name="________________sec66" localSheetId="1">#REF!</definedName>
    <definedName name="________________sec66" localSheetId="3">#REF!</definedName>
    <definedName name="________________sec66">#REF!</definedName>
    <definedName name="________________SEC67" localSheetId="7">#REF!</definedName>
    <definedName name="________________SEC67" localSheetId="1">#REF!</definedName>
    <definedName name="________________SEC67" localSheetId="3">#REF!</definedName>
    <definedName name="________________SEC67">#REF!</definedName>
    <definedName name="________________sec7" localSheetId="7">#REF!</definedName>
    <definedName name="________________sec7" localSheetId="1">#REF!</definedName>
    <definedName name="________________sec7" localSheetId="3">#REF!</definedName>
    <definedName name="________________sec7">#REF!</definedName>
    <definedName name="________________sec71" localSheetId="7">#REF!</definedName>
    <definedName name="________________sec71" localSheetId="1">#REF!</definedName>
    <definedName name="________________sec71" localSheetId="3">#REF!</definedName>
    <definedName name="________________sec71">#REF!</definedName>
    <definedName name="________________SEC72" localSheetId="7">#REF!</definedName>
    <definedName name="________________SEC72" localSheetId="1">#REF!</definedName>
    <definedName name="________________SEC72" localSheetId="3">#REF!</definedName>
    <definedName name="________________SEC72">#REF!</definedName>
    <definedName name="________________SEC74" localSheetId="7">#REF!</definedName>
    <definedName name="________________SEC74" localSheetId="1">#REF!</definedName>
    <definedName name="________________SEC74" localSheetId="3">#REF!</definedName>
    <definedName name="________________SEC74">#REF!</definedName>
    <definedName name="________________SEC75" localSheetId="7">#REF!</definedName>
    <definedName name="________________SEC75" localSheetId="1">#REF!</definedName>
    <definedName name="________________SEC75" localSheetId="3">#REF!</definedName>
    <definedName name="________________SEC75">#REF!</definedName>
    <definedName name="________________SEC77" localSheetId="7">#REF!</definedName>
    <definedName name="________________SEC77" localSheetId="1">#REF!</definedName>
    <definedName name="________________SEC77" localSheetId="3">#REF!</definedName>
    <definedName name="________________SEC77">#REF!</definedName>
    <definedName name="________________sec777" localSheetId="7">#REF!</definedName>
    <definedName name="________________sec777" localSheetId="1">#REF!</definedName>
    <definedName name="________________sec777" localSheetId="3">#REF!</definedName>
    <definedName name="________________sec777">#REF!</definedName>
    <definedName name="________________sec78" localSheetId="7">#REF!</definedName>
    <definedName name="________________sec78" localSheetId="1">#REF!</definedName>
    <definedName name="________________sec78" localSheetId="3">#REF!</definedName>
    <definedName name="________________sec78">#REF!</definedName>
    <definedName name="________________sec79" localSheetId="7">#REF!</definedName>
    <definedName name="________________sec79" localSheetId="1">#REF!</definedName>
    <definedName name="________________sec79" localSheetId="3">#REF!</definedName>
    <definedName name="________________sec79">#REF!</definedName>
    <definedName name="________________sec8" localSheetId="7">#REF!</definedName>
    <definedName name="________________sec8" localSheetId="1">#REF!</definedName>
    <definedName name="________________sec8" localSheetId="3">#REF!</definedName>
    <definedName name="________________sec8">#REF!</definedName>
    <definedName name="________________sec81" localSheetId="7">#REF!</definedName>
    <definedName name="________________sec81" localSheetId="1">#REF!</definedName>
    <definedName name="________________sec81" localSheetId="3">#REF!</definedName>
    <definedName name="________________sec81">#REF!</definedName>
    <definedName name="________________SEC82" localSheetId="7">#REF!</definedName>
    <definedName name="________________SEC82" localSheetId="1">#REF!</definedName>
    <definedName name="________________SEC82" localSheetId="3">#REF!</definedName>
    <definedName name="________________SEC82">#REF!</definedName>
    <definedName name="________________SEC83" localSheetId="7">#REF!</definedName>
    <definedName name="________________SEC83" localSheetId="1">#REF!</definedName>
    <definedName name="________________SEC83" localSheetId="3">#REF!</definedName>
    <definedName name="________________SEC83">#REF!</definedName>
    <definedName name="________________SEC87" localSheetId="7">#REF!</definedName>
    <definedName name="________________SEC87" localSheetId="1">#REF!</definedName>
    <definedName name="________________SEC87" localSheetId="3">#REF!</definedName>
    <definedName name="________________SEC87">#REF!</definedName>
    <definedName name="________________SEC88" localSheetId="7">#REF!</definedName>
    <definedName name="________________SEC88" localSheetId="1">#REF!</definedName>
    <definedName name="________________SEC88" localSheetId="3">#REF!</definedName>
    <definedName name="________________SEC88">#REF!</definedName>
    <definedName name="________________sec888" localSheetId="7">#REF!</definedName>
    <definedName name="________________sec888" localSheetId="1">#REF!</definedName>
    <definedName name="________________sec888" localSheetId="3">#REF!</definedName>
    <definedName name="________________sec888">#REF!</definedName>
    <definedName name="________________sec89" localSheetId="7">#REF!</definedName>
    <definedName name="________________sec89" localSheetId="1">#REF!</definedName>
    <definedName name="________________sec89" localSheetId="3">#REF!</definedName>
    <definedName name="________________sec89">#REF!</definedName>
    <definedName name="________________sec899" localSheetId="7">#REF!</definedName>
    <definedName name="________________sec899" localSheetId="1">#REF!</definedName>
    <definedName name="________________sec899" localSheetId="3">#REF!</definedName>
    <definedName name="________________sec899">#REF!</definedName>
    <definedName name="________________SEC9" localSheetId="7">#REF!</definedName>
    <definedName name="________________SEC9" localSheetId="1">#REF!</definedName>
    <definedName name="________________SEC9" localSheetId="3">#REF!</definedName>
    <definedName name="________________SEC9">#REF!</definedName>
    <definedName name="________________SEC91" localSheetId="7">#REF!</definedName>
    <definedName name="________________SEC91" localSheetId="1">#REF!</definedName>
    <definedName name="________________SEC91" localSheetId="3">#REF!</definedName>
    <definedName name="________________SEC91">#REF!</definedName>
    <definedName name="________________SS2" localSheetId="7">#REF!</definedName>
    <definedName name="________________SS2" localSheetId="1">#REF!</definedName>
    <definedName name="________________SS2" localSheetId="3">#REF!</definedName>
    <definedName name="________________SS2">#REF!</definedName>
    <definedName name="________________tk1" localSheetId="7">#REF!</definedName>
    <definedName name="________________tk1" localSheetId="1">#REF!</definedName>
    <definedName name="________________tk1" localSheetId="3">#REF!</definedName>
    <definedName name="________________tk1">#REF!</definedName>
    <definedName name="________________xd1" localSheetId="7">#REF!</definedName>
    <definedName name="________________xd1" localSheetId="1">#REF!</definedName>
    <definedName name="________________xd1" localSheetId="3">#REF!</definedName>
    <definedName name="________________xd1">#REF!</definedName>
    <definedName name="________________XD2" localSheetId="7">#REF!</definedName>
    <definedName name="________________XD2" localSheetId="1">#REF!</definedName>
    <definedName name="________________XD2" localSheetId="3">#REF!</definedName>
    <definedName name="________________XD2">#REF!</definedName>
    <definedName name="________________xd3" localSheetId="7">#REF!</definedName>
    <definedName name="________________xd3" localSheetId="1">#REF!</definedName>
    <definedName name="________________xd3" localSheetId="3">#REF!</definedName>
    <definedName name="________________xd3">#REF!</definedName>
    <definedName name="________________zz1" localSheetId="7">#REF!</definedName>
    <definedName name="________________zz1" localSheetId="1">#REF!</definedName>
    <definedName name="________________zz1" localSheetId="3">#REF!</definedName>
    <definedName name="________________zz1">#REF!</definedName>
    <definedName name="_______________aaa1" localSheetId="7">#REF!</definedName>
    <definedName name="_______________aaa1" localSheetId="1">#REF!</definedName>
    <definedName name="_______________aaa1" localSheetId="3">#REF!</definedName>
    <definedName name="_______________aaa1">#REF!</definedName>
    <definedName name="_______________aaa10" localSheetId="7">#REF!</definedName>
    <definedName name="_______________aaa10" localSheetId="1">#REF!</definedName>
    <definedName name="_______________aaa10" localSheetId="3">#REF!</definedName>
    <definedName name="_______________aaa10">#REF!</definedName>
    <definedName name="_______________aaa11" localSheetId="7">#REF!</definedName>
    <definedName name="_______________aaa11" localSheetId="1">#REF!</definedName>
    <definedName name="_______________aaa11" localSheetId="3">#REF!</definedName>
    <definedName name="_______________aaa11">#REF!</definedName>
    <definedName name="_______________AAA12" localSheetId="7">#REF!</definedName>
    <definedName name="_______________AAA12" localSheetId="1">#REF!</definedName>
    <definedName name="_______________AAA12" localSheetId="3">#REF!</definedName>
    <definedName name="_______________AAA12">#REF!</definedName>
    <definedName name="_______________AAA21" localSheetId="7">#REF!</definedName>
    <definedName name="_______________AAA21" localSheetId="1">#REF!</definedName>
    <definedName name="_______________AAA21" localSheetId="3">#REF!</definedName>
    <definedName name="_______________AAA21">#REF!</definedName>
    <definedName name="_______________aaa5" localSheetId="7">#REF!</definedName>
    <definedName name="_______________aaa5" localSheetId="1">#REF!</definedName>
    <definedName name="_______________aaa5" localSheetId="3">#REF!</definedName>
    <definedName name="_______________aaa5">#REF!</definedName>
    <definedName name="_______________AAA51" localSheetId="7">#REF!</definedName>
    <definedName name="_______________AAA51" localSheetId="1">#REF!</definedName>
    <definedName name="_______________AAA51" localSheetId="3">#REF!</definedName>
    <definedName name="_______________AAA51">#REF!</definedName>
    <definedName name="_______________AAA53" localSheetId="7">#REF!</definedName>
    <definedName name="_______________AAA53" localSheetId="1">#REF!</definedName>
    <definedName name="_______________AAA53" localSheetId="3">#REF!</definedName>
    <definedName name="_______________AAA53">#REF!</definedName>
    <definedName name="_______________aaa54" localSheetId="7">#REF!</definedName>
    <definedName name="_______________aaa54" localSheetId="1">#REF!</definedName>
    <definedName name="_______________aaa54" localSheetId="3">#REF!</definedName>
    <definedName name="_______________aaa54">#REF!</definedName>
    <definedName name="_______________aaa545" localSheetId="7">#REF!</definedName>
    <definedName name="_______________aaa545" localSheetId="1">#REF!</definedName>
    <definedName name="_______________aaa545" localSheetId="3">#REF!</definedName>
    <definedName name="_______________aaa545">#REF!</definedName>
    <definedName name="_______________aaa55" localSheetId="7">#REF!</definedName>
    <definedName name="_______________aaa55" localSheetId="1">#REF!</definedName>
    <definedName name="_______________aaa55" localSheetId="3">#REF!</definedName>
    <definedName name="_______________aaa55">#REF!</definedName>
    <definedName name="_______________aaa56" localSheetId="7">#REF!</definedName>
    <definedName name="_______________aaa56" localSheetId="1">#REF!</definedName>
    <definedName name="_______________aaa56" localSheetId="3">#REF!</definedName>
    <definedName name="_______________aaa56">#REF!</definedName>
    <definedName name="_______________AAA57" localSheetId="7">#REF!</definedName>
    <definedName name="_______________AAA57" localSheetId="1">#REF!</definedName>
    <definedName name="_______________AAA57" localSheetId="3">#REF!</definedName>
    <definedName name="_______________AAA57">#REF!</definedName>
    <definedName name="_______________aaa59" localSheetId="7">#REF!</definedName>
    <definedName name="_______________aaa59" localSheetId="1">#REF!</definedName>
    <definedName name="_______________aaa59" localSheetId="3">#REF!</definedName>
    <definedName name="_______________aaa59">#REF!</definedName>
    <definedName name="_______________AAA6" localSheetId="7">#REF!</definedName>
    <definedName name="_______________AAA6" localSheetId="1">#REF!</definedName>
    <definedName name="_______________AAA6" localSheetId="3">#REF!</definedName>
    <definedName name="_______________AAA6">#REF!</definedName>
    <definedName name="_______________AAA7" localSheetId="7">#REF!</definedName>
    <definedName name="_______________AAA7" localSheetId="1">#REF!</definedName>
    <definedName name="_______________AAA7" localSheetId="3">#REF!</definedName>
    <definedName name="_______________AAA7">#REF!</definedName>
    <definedName name="_______________AAD5" localSheetId="7">#REF!</definedName>
    <definedName name="_______________AAD5" localSheetId="1">#REF!</definedName>
    <definedName name="_______________AAD5" localSheetId="3">#REF!</definedName>
    <definedName name="_______________AAD5">#REF!</definedName>
    <definedName name="_______________aad55" localSheetId="7">#REF!</definedName>
    <definedName name="_______________aad55" localSheetId="1">#REF!</definedName>
    <definedName name="_______________aad55" localSheetId="3">#REF!</definedName>
    <definedName name="_______________aad55">#REF!</definedName>
    <definedName name="_______________AAD56" localSheetId="7">#REF!</definedName>
    <definedName name="_______________AAD56" localSheetId="1">#REF!</definedName>
    <definedName name="_______________AAD56" localSheetId="3">#REF!</definedName>
    <definedName name="_______________AAD56">#REF!</definedName>
    <definedName name="_______________AAD57" localSheetId="7">#REF!</definedName>
    <definedName name="_______________AAD57" localSheetId="1">#REF!</definedName>
    <definedName name="_______________AAD57" localSheetId="3">#REF!</definedName>
    <definedName name="_______________AAD57">#REF!</definedName>
    <definedName name="_______________ast1" localSheetId="7">#REF!</definedName>
    <definedName name="_______________ast1" localSheetId="1">#REF!</definedName>
    <definedName name="_______________ast1" localSheetId="3">#REF!</definedName>
    <definedName name="_______________ast1">#REF!</definedName>
    <definedName name="_______________ast2" localSheetId="7">#REF!</definedName>
    <definedName name="_______________ast2" localSheetId="1">#REF!</definedName>
    <definedName name="_______________ast2" localSheetId="3">#REF!</definedName>
    <definedName name="_______________ast2">#REF!</definedName>
    <definedName name="_______________bbb1" localSheetId="7">#REF!</definedName>
    <definedName name="_______________bbb1" localSheetId="1">#REF!</definedName>
    <definedName name="_______________bbb1" localSheetId="3">#REF!</definedName>
    <definedName name="_______________bbb1">#REF!</definedName>
    <definedName name="_______________bol1" localSheetId="7">#REF!</definedName>
    <definedName name="_______________bol1" localSheetId="1">#REF!</definedName>
    <definedName name="_______________bol1" localSheetId="3">#REF!</definedName>
    <definedName name="_______________bol1">#REF!</definedName>
    <definedName name="_______________ccc1" localSheetId="7">#REF!</definedName>
    <definedName name="_______________ccc1" localSheetId="1">#REF!</definedName>
    <definedName name="_______________ccc1" localSheetId="3">#REF!</definedName>
    <definedName name="_______________ccc1">#REF!</definedName>
    <definedName name="_______________COL14" localSheetId="7">#REF!</definedName>
    <definedName name="_______________COL14" localSheetId="1">#REF!</definedName>
    <definedName name="_______________COL14" localSheetId="3">#REF!</definedName>
    <definedName name="_______________COL14">#REF!</definedName>
    <definedName name="_______________COL15" localSheetId="7">#REF!</definedName>
    <definedName name="_______________COL15" localSheetId="1">#REF!</definedName>
    <definedName name="_______________COL15" localSheetId="3">#REF!</definedName>
    <definedName name="_______________COL15">#REF!</definedName>
    <definedName name="_______________COL16" localSheetId="7">#REF!</definedName>
    <definedName name="_______________COL16" localSheetId="1">#REF!</definedName>
    <definedName name="_______________COL16" localSheetId="3">#REF!</definedName>
    <definedName name="_______________COL16">#REF!</definedName>
    <definedName name="_______________ddd1" localSheetId="7">#REF!</definedName>
    <definedName name="_______________ddd1" localSheetId="1">#REF!</definedName>
    <definedName name="_______________ddd1" localSheetId="3">#REF!</definedName>
    <definedName name="_______________ddd1">#REF!</definedName>
    <definedName name="_______________eee1" localSheetId="7">#REF!</definedName>
    <definedName name="_______________eee1" localSheetId="1">#REF!</definedName>
    <definedName name="_______________eee1" localSheetId="3">#REF!</definedName>
    <definedName name="_______________eee1">#REF!</definedName>
    <definedName name="_______________exc1" localSheetId="7">#REF!</definedName>
    <definedName name="_______________exc1" localSheetId="1">#REF!</definedName>
    <definedName name="_______________exc1" localSheetId="3">#REF!</definedName>
    <definedName name="_______________exc1">#REF!</definedName>
    <definedName name="_______________exc11" localSheetId="7">#REF!</definedName>
    <definedName name="_______________exc11" localSheetId="1">#REF!</definedName>
    <definedName name="_______________exc11" localSheetId="3">#REF!</definedName>
    <definedName name="_______________exc11">#REF!</definedName>
    <definedName name="_______________exc2" localSheetId="7">#REF!</definedName>
    <definedName name="_______________exc2" localSheetId="1">#REF!</definedName>
    <definedName name="_______________exc2" localSheetId="3">#REF!</definedName>
    <definedName name="_______________exc2">#REF!</definedName>
    <definedName name="_______________EXC3" localSheetId="7">#REF!</definedName>
    <definedName name="_______________EXC3" localSheetId="1">#REF!</definedName>
    <definedName name="_______________EXC3" localSheetId="3">#REF!</definedName>
    <definedName name="_______________EXC3">#REF!</definedName>
    <definedName name="_______________EXC4" localSheetId="7">#REF!</definedName>
    <definedName name="_______________EXC4" localSheetId="1">#REF!</definedName>
    <definedName name="_______________EXC4" localSheetId="3">#REF!</definedName>
    <definedName name="_______________EXC4">#REF!</definedName>
    <definedName name="_______________fff1" localSheetId="7">#REF!</definedName>
    <definedName name="_______________fff1" localSheetId="1">#REF!</definedName>
    <definedName name="_______________fff1" localSheetId="3">#REF!</definedName>
    <definedName name="_______________fff1">#REF!</definedName>
    <definedName name="_______________foo1" localSheetId="7">#REF!</definedName>
    <definedName name="_______________foo1" localSheetId="1">#REF!</definedName>
    <definedName name="_______________foo1" localSheetId="3">#REF!</definedName>
    <definedName name="_______________foo1">#REF!</definedName>
    <definedName name="_______________foo2" localSheetId="7">#REF!</definedName>
    <definedName name="_______________foo2" localSheetId="1">#REF!</definedName>
    <definedName name="_______________foo2" localSheetId="3">#REF!</definedName>
    <definedName name="_______________foo2">#REF!</definedName>
    <definedName name="_______________foo3" localSheetId="7">#REF!</definedName>
    <definedName name="_______________foo3" localSheetId="1">#REF!</definedName>
    <definedName name="_______________foo3" localSheetId="3">#REF!</definedName>
    <definedName name="_______________foo3">#REF!</definedName>
    <definedName name="_______________FOO4" localSheetId="7">#REF!</definedName>
    <definedName name="_______________FOO4" localSheetId="1">#REF!</definedName>
    <definedName name="_______________FOO4" localSheetId="3">#REF!</definedName>
    <definedName name="_______________FOO4">#REF!</definedName>
    <definedName name="_______________ief1" localSheetId="7">#REF!</definedName>
    <definedName name="_______________ief1" localSheetId="1">#REF!</definedName>
    <definedName name="_______________ief1" localSheetId="3">#REF!</definedName>
    <definedName name="_______________ief1">#REF!</definedName>
    <definedName name="_______________ind1" localSheetId="7">#REF!</definedName>
    <definedName name="_______________ind1" localSheetId="1">#REF!</definedName>
    <definedName name="_______________ind1" localSheetId="3">#REF!</definedName>
    <definedName name="_______________ind1">#REF!</definedName>
    <definedName name="_______________IND11" localSheetId="7">#REF!</definedName>
    <definedName name="_______________IND11" localSheetId="1">#REF!</definedName>
    <definedName name="_______________IND11" localSheetId="3">#REF!</definedName>
    <definedName name="_______________IND11">#REF!</definedName>
    <definedName name="_______________IND31" localSheetId="7">#REF!</definedName>
    <definedName name="_______________IND31" localSheetId="1">#REF!</definedName>
    <definedName name="_______________IND31" localSheetId="3">#REF!</definedName>
    <definedName name="_______________IND31">#REF!</definedName>
    <definedName name="_______________IRS1" localSheetId="7">#REF!</definedName>
    <definedName name="_______________IRS1" localSheetId="1">#REF!</definedName>
    <definedName name="_______________IRS1" localSheetId="3">#REF!</definedName>
    <definedName name="_______________IRS1">#REF!</definedName>
    <definedName name="_______________KK1" localSheetId="7">#REF!</definedName>
    <definedName name="_______________KK1" localSheetId="1">#REF!</definedName>
    <definedName name="_______________KK1" localSheetId="3">#REF!</definedName>
    <definedName name="_______________KK1">#REF!</definedName>
    <definedName name="_______________KK2" localSheetId="7">#REF!</definedName>
    <definedName name="_______________KK2" localSheetId="1">#REF!</definedName>
    <definedName name="_______________KK2" localSheetId="3">#REF!</definedName>
    <definedName name="_______________KK2">#REF!</definedName>
    <definedName name="_______________kk3" localSheetId="7">#REF!</definedName>
    <definedName name="_______________kk3" localSheetId="1">#REF!</definedName>
    <definedName name="_______________kk3" localSheetId="3">#REF!</definedName>
    <definedName name="_______________kk3">#REF!</definedName>
    <definedName name="_______________kk4" localSheetId="7">#REF!</definedName>
    <definedName name="_______________kk4" localSheetId="1">#REF!</definedName>
    <definedName name="_______________kk4" localSheetId="3">#REF!</definedName>
    <definedName name="_______________kk4">#REF!</definedName>
    <definedName name="_______________lsc44" localSheetId="7">#REF!</definedName>
    <definedName name="_______________lsc44" localSheetId="1">#REF!</definedName>
    <definedName name="_______________lsc44" localSheetId="3">#REF!</definedName>
    <definedName name="_______________lsc44">#REF!</definedName>
    <definedName name="_______________MF1" localSheetId="7">#REF!</definedName>
    <definedName name="_______________MF1" localSheetId="1">#REF!</definedName>
    <definedName name="_______________MF1" localSheetId="3">#REF!</definedName>
    <definedName name="_______________MF1">#REF!</definedName>
    <definedName name="_______________MM1" localSheetId="7">#REF!</definedName>
    <definedName name="_______________MM1" localSheetId="1">#REF!</definedName>
    <definedName name="_______________MM1" localSheetId="3">#REF!</definedName>
    <definedName name="_______________MM1">#REF!</definedName>
    <definedName name="_______________MM2" localSheetId="7">#REF!</definedName>
    <definedName name="_______________MM2" localSheetId="1">#REF!</definedName>
    <definedName name="_______________MM2" localSheetId="3">#REF!</definedName>
    <definedName name="_______________MM2">#REF!</definedName>
    <definedName name="_______________pcc1" localSheetId="7">#REF!</definedName>
    <definedName name="_______________pcc1" localSheetId="1">#REF!</definedName>
    <definedName name="_______________pcc1" localSheetId="3">#REF!</definedName>
    <definedName name="_______________pcc1">#REF!</definedName>
    <definedName name="_______________pcc2" localSheetId="7">#REF!</definedName>
    <definedName name="_______________pcc2" localSheetId="1">#REF!</definedName>
    <definedName name="_______________pcc2" localSheetId="3">#REF!</definedName>
    <definedName name="_______________pcc2">#REF!</definedName>
    <definedName name="_______________pcc3" localSheetId="7">#REF!</definedName>
    <definedName name="_______________pcc3" localSheetId="1">#REF!</definedName>
    <definedName name="_______________pcc3" localSheetId="3">#REF!</definedName>
    <definedName name="_______________pcc3">#REF!</definedName>
    <definedName name="_______________PCC4" localSheetId="7">#REF!</definedName>
    <definedName name="_______________PCC4" localSheetId="1">#REF!</definedName>
    <definedName name="_______________PCC4" localSheetId="3">#REF!</definedName>
    <definedName name="_______________PCC4">#REF!</definedName>
    <definedName name="_______________plb1" localSheetId="7">#REF!</definedName>
    <definedName name="_______________plb1" localSheetId="1">#REF!</definedName>
    <definedName name="_______________plb1" localSheetId="3">#REF!</definedName>
    <definedName name="_______________plb1">#REF!</definedName>
    <definedName name="_______________plb2" localSheetId="7">#REF!</definedName>
    <definedName name="_______________plb2" localSheetId="1">#REF!</definedName>
    <definedName name="_______________plb2" localSheetId="3">#REF!</definedName>
    <definedName name="_______________plb2">#REF!</definedName>
    <definedName name="_______________plb3" localSheetId="7">#REF!</definedName>
    <definedName name="_______________plb3" localSheetId="1">#REF!</definedName>
    <definedName name="_______________plb3" localSheetId="3">#REF!</definedName>
    <definedName name="_______________plb3">#REF!</definedName>
    <definedName name="_______________plb4" localSheetId="7">#REF!</definedName>
    <definedName name="_______________plb4" localSheetId="1">#REF!</definedName>
    <definedName name="_______________plb4" localSheetId="3">#REF!</definedName>
    <definedName name="_______________plb4">#REF!</definedName>
    <definedName name="_______________S12" localSheetId="7">#REF!</definedName>
    <definedName name="_______________S12" localSheetId="1">#REF!</definedName>
    <definedName name="_______________S12" localSheetId="3">#REF!</definedName>
    <definedName name="_______________S12">#REF!</definedName>
    <definedName name="_______________sec1" localSheetId="7">#REF!</definedName>
    <definedName name="_______________sec1" localSheetId="1">#REF!</definedName>
    <definedName name="_______________sec1" localSheetId="3">#REF!</definedName>
    <definedName name="_______________sec1">#REF!</definedName>
    <definedName name="_______________sec111" localSheetId="7">#REF!</definedName>
    <definedName name="_______________sec111" localSheetId="1">#REF!</definedName>
    <definedName name="_______________sec111" localSheetId="3">#REF!</definedName>
    <definedName name="_______________sec111">#REF!</definedName>
    <definedName name="_______________SEC15" localSheetId="7">#REF!</definedName>
    <definedName name="_______________SEC15" localSheetId="1">#REF!</definedName>
    <definedName name="_______________SEC15" localSheetId="3">#REF!</definedName>
    <definedName name="_______________SEC15">#REF!</definedName>
    <definedName name="_______________Sec2" localSheetId="7">#REF!</definedName>
    <definedName name="_______________Sec2" localSheetId="1">#REF!</definedName>
    <definedName name="_______________Sec2" localSheetId="3">#REF!</definedName>
    <definedName name="_______________Sec2">#REF!</definedName>
    <definedName name="_______________sec22" localSheetId="7">#REF!</definedName>
    <definedName name="_______________sec22" localSheetId="1">#REF!</definedName>
    <definedName name="_______________sec22" localSheetId="3">#REF!</definedName>
    <definedName name="_______________sec22">#REF!</definedName>
    <definedName name="_______________SEC23" localSheetId="7">#REF!</definedName>
    <definedName name="_______________SEC23" localSheetId="1">#REF!</definedName>
    <definedName name="_______________SEC23" localSheetId="3">#REF!</definedName>
    <definedName name="_______________SEC23">#REF!</definedName>
    <definedName name="_______________sec3" localSheetId="7">#REF!</definedName>
    <definedName name="_______________sec3" localSheetId="1">#REF!</definedName>
    <definedName name="_______________sec3" localSheetId="3">#REF!</definedName>
    <definedName name="_______________sec3">#REF!</definedName>
    <definedName name="_______________SEC32" localSheetId="7">#REF!</definedName>
    <definedName name="_______________SEC32" localSheetId="1">#REF!</definedName>
    <definedName name="_______________SEC32" localSheetId="3">#REF!</definedName>
    <definedName name="_______________SEC32">#REF!</definedName>
    <definedName name="_______________sec33" localSheetId="7">#REF!</definedName>
    <definedName name="_______________sec33" localSheetId="1">#REF!</definedName>
    <definedName name="_______________sec33" localSheetId="3">#REF!</definedName>
    <definedName name="_______________sec33">#REF!</definedName>
    <definedName name="_______________Sec4" localSheetId="7">#REF!</definedName>
    <definedName name="_______________Sec4" localSheetId="1">#REF!</definedName>
    <definedName name="_______________Sec4" localSheetId="3">#REF!</definedName>
    <definedName name="_______________Sec4">#REF!</definedName>
    <definedName name="_______________sec45" localSheetId="7">#REF!</definedName>
    <definedName name="_______________sec45" localSheetId="1">#REF!</definedName>
    <definedName name="_______________sec45" localSheetId="3">#REF!</definedName>
    <definedName name="_______________sec45">#REF!</definedName>
    <definedName name="_______________SEC46" localSheetId="7">#REF!</definedName>
    <definedName name="_______________SEC46" localSheetId="1">#REF!</definedName>
    <definedName name="_______________SEC46" localSheetId="3">#REF!</definedName>
    <definedName name="_______________SEC46">#REF!</definedName>
    <definedName name="_______________sec5" localSheetId="7">#REF!</definedName>
    <definedName name="_______________sec5" localSheetId="1">#REF!</definedName>
    <definedName name="_______________sec5" localSheetId="3">#REF!</definedName>
    <definedName name="_______________sec5">#REF!</definedName>
    <definedName name="_______________sec55" localSheetId="7">#REF!</definedName>
    <definedName name="_______________sec55" localSheetId="1">#REF!</definedName>
    <definedName name="_______________sec55" localSheetId="3">#REF!</definedName>
    <definedName name="_______________sec55">#REF!</definedName>
    <definedName name="_______________SEC56" localSheetId="7">#REF!</definedName>
    <definedName name="_______________SEC56" localSheetId="1">#REF!</definedName>
    <definedName name="_______________SEC56" localSheetId="3">#REF!</definedName>
    <definedName name="_______________SEC56">#REF!</definedName>
    <definedName name="_______________sec6" localSheetId="7">#REF!</definedName>
    <definedName name="_______________sec6" localSheetId="1">#REF!</definedName>
    <definedName name="_______________sec6" localSheetId="3">#REF!</definedName>
    <definedName name="_______________sec6">#REF!</definedName>
    <definedName name="_______________sec66" localSheetId="7">#REF!</definedName>
    <definedName name="_______________sec66" localSheetId="1">#REF!</definedName>
    <definedName name="_______________sec66" localSheetId="3">#REF!</definedName>
    <definedName name="_______________sec66">#REF!</definedName>
    <definedName name="_______________SEC67" localSheetId="7">#REF!</definedName>
    <definedName name="_______________SEC67" localSheetId="1">#REF!</definedName>
    <definedName name="_______________SEC67" localSheetId="3">#REF!</definedName>
    <definedName name="_______________SEC67">#REF!</definedName>
    <definedName name="_______________sec7" localSheetId="7">#REF!</definedName>
    <definedName name="_______________sec7" localSheetId="1">#REF!</definedName>
    <definedName name="_______________sec7" localSheetId="3">#REF!</definedName>
    <definedName name="_______________sec7">#REF!</definedName>
    <definedName name="_______________sec71" localSheetId="7">#REF!</definedName>
    <definedName name="_______________sec71" localSheetId="1">#REF!</definedName>
    <definedName name="_______________sec71" localSheetId="3">#REF!</definedName>
    <definedName name="_______________sec71">#REF!</definedName>
    <definedName name="_______________SEC72" localSheetId="7">#REF!</definedName>
    <definedName name="_______________SEC72" localSheetId="1">#REF!</definedName>
    <definedName name="_______________SEC72" localSheetId="3">#REF!</definedName>
    <definedName name="_______________SEC72">#REF!</definedName>
    <definedName name="_______________SEC74" localSheetId="7">#REF!</definedName>
    <definedName name="_______________SEC74" localSheetId="1">#REF!</definedName>
    <definedName name="_______________SEC74" localSheetId="3">#REF!</definedName>
    <definedName name="_______________SEC74">#REF!</definedName>
    <definedName name="_______________SEC75" localSheetId="7">#REF!</definedName>
    <definedName name="_______________SEC75" localSheetId="1">#REF!</definedName>
    <definedName name="_______________SEC75" localSheetId="3">#REF!</definedName>
    <definedName name="_______________SEC75">#REF!</definedName>
    <definedName name="_______________SEC77" localSheetId="7">#REF!</definedName>
    <definedName name="_______________SEC77" localSheetId="1">#REF!</definedName>
    <definedName name="_______________SEC77" localSheetId="3">#REF!</definedName>
    <definedName name="_______________SEC77">#REF!</definedName>
    <definedName name="_______________sec777" localSheetId="7">#REF!</definedName>
    <definedName name="_______________sec777" localSheetId="1">#REF!</definedName>
    <definedName name="_______________sec777" localSheetId="3">#REF!</definedName>
    <definedName name="_______________sec777">#REF!</definedName>
    <definedName name="_______________sec78" localSheetId="7">#REF!</definedName>
    <definedName name="_______________sec78" localSheetId="1">#REF!</definedName>
    <definedName name="_______________sec78" localSheetId="3">#REF!</definedName>
    <definedName name="_______________sec78">#REF!</definedName>
    <definedName name="_______________sec79" localSheetId="7">#REF!</definedName>
    <definedName name="_______________sec79" localSheetId="1">#REF!</definedName>
    <definedName name="_______________sec79" localSheetId="3">#REF!</definedName>
    <definedName name="_______________sec79">#REF!</definedName>
    <definedName name="_______________sec8" localSheetId="7">#REF!</definedName>
    <definedName name="_______________sec8" localSheetId="1">#REF!</definedName>
    <definedName name="_______________sec8" localSheetId="3">#REF!</definedName>
    <definedName name="_______________sec8">#REF!</definedName>
    <definedName name="_______________sec81" localSheetId="7">#REF!</definedName>
    <definedName name="_______________sec81" localSheetId="1">#REF!</definedName>
    <definedName name="_______________sec81" localSheetId="3">#REF!</definedName>
    <definedName name="_______________sec81">#REF!</definedName>
    <definedName name="_______________SEC82" localSheetId="7">#REF!</definedName>
    <definedName name="_______________SEC82" localSheetId="1">#REF!</definedName>
    <definedName name="_______________SEC82" localSheetId="3">#REF!</definedName>
    <definedName name="_______________SEC82">#REF!</definedName>
    <definedName name="_______________SEC83" localSheetId="7">#REF!</definedName>
    <definedName name="_______________SEC83" localSheetId="1">#REF!</definedName>
    <definedName name="_______________SEC83" localSheetId="3">#REF!</definedName>
    <definedName name="_______________SEC83">#REF!</definedName>
    <definedName name="_______________SEC87" localSheetId="7">#REF!</definedName>
    <definedName name="_______________SEC87" localSheetId="1">#REF!</definedName>
    <definedName name="_______________SEC87" localSheetId="3">#REF!</definedName>
    <definedName name="_______________SEC87">#REF!</definedName>
    <definedName name="_______________SEC88" localSheetId="7">#REF!</definedName>
    <definedName name="_______________SEC88" localSheetId="1">#REF!</definedName>
    <definedName name="_______________SEC88" localSheetId="3">#REF!</definedName>
    <definedName name="_______________SEC88">#REF!</definedName>
    <definedName name="_______________sec888" localSheetId="7">#REF!</definedName>
    <definedName name="_______________sec888" localSheetId="1">#REF!</definedName>
    <definedName name="_______________sec888" localSheetId="3">#REF!</definedName>
    <definedName name="_______________sec888">#REF!</definedName>
    <definedName name="_______________sec89" localSheetId="7">#REF!</definedName>
    <definedName name="_______________sec89" localSheetId="1">#REF!</definedName>
    <definedName name="_______________sec89" localSheetId="3">#REF!</definedName>
    <definedName name="_______________sec89">#REF!</definedName>
    <definedName name="_______________sec899" localSheetId="7">#REF!</definedName>
    <definedName name="_______________sec899" localSheetId="1">#REF!</definedName>
    <definedName name="_______________sec899" localSheetId="3">#REF!</definedName>
    <definedName name="_______________sec899">#REF!</definedName>
    <definedName name="_______________SEC9" localSheetId="7">#REF!</definedName>
    <definedName name="_______________SEC9" localSheetId="1">#REF!</definedName>
    <definedName name="_______________SEC9" localSheetId="3">#REF!</definedName>
    <definedName name="_______________SEC9">#REF!</definedName>
    <definedName name="_______________SEC91" localSheetId="7">#REF!</definedName>
    <definedName name="_______________SEC91" localSheetId="1">#REF!</definedName>
    <definedName name="_______________SEC91" localSheetId="3">#REF!</definedName>
    <definedName name="_______________SEC91">#REF!</definedName>
    <definedName name="_______________ss2" localSheetId="7">#REF!</definedName>
    <definedName name="_______________ss2" localSheetId="1">#REF!</definedName>
    <definedName name="_______________ss2" localSheetId="3">#REF!</definedName>
    <definedName name="_______________ss2">#REF!</definedName>
    <definedName name="_______________tk1" localSheetId="7">#REF!</definedName>
    <definedName name="_______________tk1" localSheetId="1">#REF!</definedName>
    <definedName name="_______________tk1" localSheetId="3">#REF!</definedName>
    <definedName name="_______________tk1">#REF!</definedName>
    <definedName name="_______________xd1" localSheetId="7">#REF!</definedName>
    <definedName name="_______________xd1" localSheetId="1">#REF!</definedName>
    <definedName name="_______________xd1" localSheetId="3">#REF!</definedName>
    <definedName name="_______________xd1">#REF!</definedName>
    <definedName name="_______________XD2" localSheetId="7">#REF!</definedName>
    <definedName name="_______________XD2" localSheetId="1">#REF!</definedName>
    <definedName name="_______________XD2" localSheetId="3">#REF!</definedName>
    <definedName name="_______________XD2">#REF!</definedName>
    <definedName name="_______________xd3" localSheetId="7">#REF!</definedName>
    <definedName name="_______________xd3" localSheetId="1">#REF!</definedName>
    <definedName name="_______________xd3" localSheetId="3">#REF!</definedName>
    <definedName name="_______________xd3">#REF!</definedName>
    <definedName name="_______________zz1" localSheetId="7">#REF!</definedName>
    <definedName name="_______________zz1" localSheetId="1">#REF!</definedName>
    <definedName name="_______________zz1" localSheetId="3">#REF!</definedName>
    <definedName name="_______________zz1">#REF!</definedName>
    <definedName name="______________aaa1" localSheetId="7">#REF!</definedName>
    <definedName name="______________aaa1" localSheetId="1">#REF!</definedName>
    <definedName name="______________aaa1" localSheetId="3">#REF!</definedName>
    <definedName name="______________aaa1">#REF!</definedName>
    <definedName name="______________aaa10" localSheetId="7">#REF!</definedName>
    <definedName name="______________aaa10" localSheetId="1">#REF!</definedName>
    <definedName name="______________aaa10" localSheetId="3">#REF!</definedName>
    <definedName name="______________aaa10">#REF!</definedName>
    <definedName name="______________aaa11" localSheetId="7">#REF!</definedName>
    <definedName name="______________aaa11" localSheetId="1">#REF!</definedName>
    <definedName name="______________aaa11" localSheetId="3">#REF!</definedName>
    <definedName name="______________aaa11">#REF!</definedName>
    <definedName name="______________AAA12" localSheetId="7">#REF!</definedName>
    <definedName name="______________AAA12" localSheetId="1">#REF!</definedName>
    <definedName name="______________AAA12" localSheetId="3">#REF!</definedName>
    <definedName name="______________AAA12">#REF!</definedName>
    <definedName name="______________AAA21" localSheetId="7">#REF!</definedName>
    <definedName name="______________AAA21" localSheetId="1">#REF!</definedName>
    <definedName name="______________AAA21" localSheetId="3">#REF!</definedName>
    <definedName name="______________AAA21">#REF!</definedName>
    <definedName name="______________aaa5" localSheetId="7">#REF!</definedName>
    <definedName name="______________aaa5" localSheetId="1">#REF!</definedName>
    <definedName name="______________aaa5" localSheetId="3">#REF!</definedName>
    <definedName name="______________aaa5">#REF!</definedName>
    <definedName name="______________AAA51" localSheetId="7">#REF!</definedName>
    <definedName name="______________AAA51" localSheetId="1">#REF!</definedName>
    <definedName name="______________AAA51" localSheetId="3">#REF!</definedName>
    <definedName name="______________AAA51">#REF!</definedName>
    <definedName name="______________AAA53" localSheetId="7">#REF!</definedName>
    <definedName name="______________AAA53" localSheetId="1">#REF!</definedName>
    <definedName name="______________AAA53" localSheetId="3">#REF!</definedName>
    <definedName name="______________AAA53">#REF!</definedName>
    <definedName name="______________aaa54" localSheetId="7">#REF!</definedName>
    <definedName name="______________aaa54" localSheetId="1">#REF!</definedName>
    <definedName name="______________aaa54" localSheetId="3">#REF!</definedName>
    <definedName name="______________aaa54">#REF!</definedName>
    <definedName name="______________aaa545" localSheetId="7">#REF!</definedName>
    <definedName name="______________aaa545" localSheetId="1">#REF!</definedName>
    <definedName name="______________aaa545" localSheetId="3">#REF!</definedName>
    <definedName name="______________aaa545">#REF!</definedName>
    <definedName name="______________aaa55" localSheetId="7">#REF!</definedName>
    <definedName name="______________aaa55" localSheetId="1">#REF!</definedName>
    <definedName name="______________aaa55" localSheetId="3">#REF!</definedName>
    <definedName name="______________aaa55">#REF!</definedName>
    <definedName name="______________aaa56" localSheetId="7">#REF!</definedName>
    <definedName name="______________aaa56" localSheetId="1">#REF!</definedName>
    <definedName name="______________aaa56" localSheetId="3">#REF!</definedName>
    <definedName name="______________aaa56">#REF!</definedName>
    <definedName name="______________AAA57" localSheetId="7">#REF!</definedName>
    <definedName name="______________AAA57" localSheetId="1">#REF!</definedName>
    <definedName name="______________AAA57" localSheetId="3">#REF!</definedName>
    <definedName name="______________AAA57">#REF!</definedName>
    <definedName name="______________aaa59" localSheetId="7">#REF!</definedName>
    <definedName name="______________aaa59" localSheetId="1">#REF!</definedName>
    <definedName name="______________aaa59" localSheetId="3">#REF!</definedName>
    <definedName name="______________aaa59">#REF!</definedName>
    <definedName name="______________AAA6" localSheetId="7">#REF!</definedName>
    <definedName name="______________AAA6" localSheetId="1">#REF!</definedName>
    <definedName name="______________AAA6" localSheetId="3">#REF!</definedName>
    <definedName name="______________AAA6">#REF!</definedName>
    <definedName name="______________AAA7" localSheetId="7">#REF!</definedName>
    <definedName name="______________AAA7" localSheetId="1">#REF!</definedName>
    <definedName name="______________AAA7" localSheetId="3">#REF!</definedName>
    <definedName name="______________AAA7">#REF!</definedName>
    <definedName name="______________AAD5" localSheetId="7">#REF!</definedName>
    <definedName name="______________AAD5" localSheetId="1">#REF!</definedName>
    <definedName name="______________AAD5" localSheetId="3">#REF!</definedName>
    <definedName name="______________AAD5">#REF!</definedName>
    <definedName name="______________aad55" localSheetId="7">#REF!</definedName>
    <definedName name="______________aad55" localSheetId="1">#REF!</definedName>
    <definedName name="______________aad55" localSheetId="3">#REF!</definedName>
    <definedName name="______________aad55">#REF!</definedName>
    <definedName name="______________AAD56" localSheetId="7">#REF!</definedName>
    <definedName name="______________AAD56" localSheetId="1">#REF!</definedName>
    <definedName name="______________AAD56" localSheetId="3">#REF!</definedName>
    <definedName name="______________AAD56">#REF!</definedName>
    <definedName name="______________AAD57" localSheetId="7">#REF!</definedName>
    <definedName name="______________AAD57" localSheetId="1">#REF!</definedName>
    <definedName name="______________AAD57" localSheetId="3">#REF!</definedName>
    <definedName name="______________AAD57">#REF!</definedName>
    <definedName name="______________ast1" localSheetId="7">#REF!</definedName>
    <definedName name="______________ast1" localSheetId="1">#REF!</definedName>
    <definedName name="______________ast1" localSheetId="3">#REF!</definedName>
    <definedName name="______________ast1">#REF!</definedName>
    <definedName name="______________ast2" localSheetId="7">#REF!</definedName>
    <definedName name="______________ast2" localSheetId="1">#REF!</definedName>
    <definedName name="______________ast2" localSheetId="3">#REF!</definedName>
    <definedName name="______________ast2">#REF!</definedName>
    <definedName name="______________bbb1" localSheetId="7">#REF!</definedName>
    <definedName name="______________bbb1" localSheetId="1">#REF!</definedName>
    <definedName name="______________bbb1" localSheetId="3">#REF!</definedName>
    <definedName name="______________bbb1">#REF!</definedName>
    <definedName name="______________bol1" localSheetId="7">#REF!</definedName>
    <definedName name="______________bol1" localSheetId="1">#REF!</definedName>
    <definedName name="______________bol1" localSheetId="3">#REF!</definedName>
    <definedName name="______________bol1">#REF!</definedName>
    <definedName name="______________ccc1" localSheetId="7">#REF!</definedName>
    <definedName name="______________ccc1" localSheetId="1">#REF!</definedName>
    <definedName name="______________ccc1" localSheetId="3">#REF!</definedName>
    <definedName name="______________ccc1">#REF!</definedName>
    <definedName name="______________COL14" localSheetId="7">#REF!</definedName>
    <definedName name="______________COL14" localSheetId="1">#REF!</definedName>
    <definedName name="______________COL14" localSheetId="3">#REF!</definedName>
    <definedName name="______________COL14">#REF!</definedName>
    <definedName name="______________COL15" localSheetId="7">#REF!</definedName>
    <definedName name="______________COL15" localSheetId="1">#REF!</definedName>
    <definedName name="______________COL15" localSheetId="3">#REF!</definedName>
    <definedName name="______________COL15">#REF!</definedName>
    <definedName name="______________COL16" localSheetId="7">#REF!</definedName>
    <definedName name="______________COL16" localSheetId="1">#REF!</definedName>
    <definedName name="______________COL16" localSheetId="3">#REF!</definedName>
    <definedName name="______________COL16">#REF!</definedName>
    <definedName name="______________ddd1" localSheetId="7">#REF!</definedName>
    <definedName name="______________ddd1" localSheetId="1">#REF!</definedName>
    <definedName name="______________ddd1" localSheetId="3">#REF!</definedName>
    <definedName name="______________ddd1">#REF!</definedName>
    <definedName name="______________eee1" localSheetId="7">#REF!</definedName>
    <definedName name="______________eee1" localSheetId="1">#REF!</definedName>
    <definedName name="______________eee1" localSheetId="3">#REF!</definedName>
    <definedName name="______________eee1">#REF!</definedName>
    <definedName name="______________exc1" localSheetId="7">#REF!</definedName>
    <definedName name="______________exc1" localSheetId="1">#REF!</definedName>
    <definedName name="______________exc1" localSheetId="3">#REF!</definedName>
    <definedName name="______________exc1">#REF!</definedName>
    <definedName name="______________exc11" localSheetId="7">#REF!</definedName>
    <definedName name="______________exc11" localSheetId="1">#REF!</definedName>
    <definedName name="______________exc11" localSheetId="3">#REF!</definedName>
    <definedName name="______________exc11">#REF!</definedName>
    <definedName name="______________exc2" localSheetId="7">#REF!</definedName>
    <definedName name="______________exc2" localSheetId="1">#REF!</definedName>
    <definedName name="______________exc2" localSheetId="3">#REF!</definedName>
    <definedName name="______________exc2">#REF!</definedName>
    <definedName name="______________EXC3" localSheetId="7">#REF!</definedName>
    <definedName name="______________EXC3" localSheetId="1">#REF!</definedName>
    <definedName name="______________EXC3" localSheetId="3">#REF!</definedName>
    <definedName name="______________EXC3">#REF!</definedName>
    <definedName name="______________EXC4" localSheetId="7">#REF!</definedName>
    <definedName name="______________EXC4" localSheetId="1">#REF!</definedName>
    <definedName name="______________EXC4" localSheetId="3">#REF!</definedName>
    <definedName name="______________EXC4">#REF!</definedName>
    <definedName name="______________fff1" localSheetId="7">#REF!</definedName>
    <definedName name="______________fff1" localSheetId="1">#REF!</definedName>
    <definedName name="______________fff1" localSheetId="3">#REF!</definedName>
    <definedName name="______________fff1">#REF!</definedName>
    <definedName name="______________foo1" localSheetId="7">#REF!</definedName>
    <definedName name="______________foo1" localSheetId="1">#REF!</definedName>
    <definedName name="______________foo1" localSheetId="3">#REF!</definedName>
    <definedName name="______________foo1">#REF!</definedName>
    <definedName name="______________foo2" localSheetId="7">#REF!</definedName>
    <definedName name="______________foo2" localSheetId="1">#REF!</definedName>
    <definedName name="______________foo2" localSheetId="3">#REF!</definedName>
    <definedName name="______________foo2">#REF!</definedName>
    <definedName name="______________foo3" localSheetId="7">#REF!</definedName>
    <definedName name="______________foo3" localSheetId="1">#REF!</definedName>
    <definedName name="______________foo3" localSheetId="3">#REF!</definedName>
    <definedName name="______________foo3">#REF!</definedName>
    <definedName name="______________FOO4" localSheetId="7">#REF!</definedName>
    <definedName name="______________FOO4" localSheetId="1">#REF!</definedName>
    <definedName name="______________FOO4" localSheetId="3">#REF!</definedName>
    <definedName name="______________FOO4">#REF!</definedName>
    <definedName name="______________ief1" localSheetId="7">#REF!</definedName>
    <definedName name="______________ief1" localSheetId="1">#REF!</definedName>
    <definedName name="______________ief1" localSheetId="3">#REF!</definedName>
    <definedName name="______________ief1">#REF!</definedName>
    <definedName name="______________ind1" localSheetId="7">#REF!</definedName>
    <definedName name="______________ind1" localSheetId="1">#REF!</definedName>
    <definedName name="______________ind1" localSheetId="3">#REF!</definedName>
    <definedName name="______________ind1">#REF!</definedName>
    <definedName name="______________IND11" localSheetId="7">#REF!</definedName>
    <definedName name="______________IND11" localSheetId="1">#REF!</definedName>
    <definedName name="______________IND11" localSheetId="3">#REF!</definedName>
    <definedName name="______________IND11">#REF!</definedName>
    <definedName name="______________IND31" localSheetId="7">#REF!</definedName>
    <definedName name="______________IND31" localSheetId="1">#REF!</definedName>
    <definedName name="______________IND31" localSheetId="3">#REF!</definedName>
    <definedName name="______________IND31">#REF!</definedName>
    <definedName name="______________IRS1" localSheetId="7">#REF!</definedName>
    <definedName name="______________IRS1" localSheetId="1">#REF!</definedName>
    <definedName name="______________IRS1" localSheetId="3">#REF!</definedName>
    <definedName name="______________IRS1">#REF!</definedName>
    <definedName name="______________KK1" localSheetId="7">#REF!</definedName>
    <definedName name="______________KK1" localSheetId="1">#REF!</definedName>
    <definedName name="______________KK1" localSheetId="3">#REF!</definedName>
    <definedName name="______________KK1">#REF!</definedName>
    <definedName name="______________KK2" localSheetId="7">#REF!</definedName>
    <definedName name="______________KK2" localSheetId="1">#REF!</definedName>
    <definedName name="______________KK2" localSheetId="3">#REF!</definedName>
    <definedName name="______________KK2">#REF!</definedName>
    <definedName name="______________kk3" localSheetId="7">#REF!</definedName>
    <definedName name="______________kk3" localSheetId="1">#REF!</definedName>
    <definedName name="______________kk3" localSheetId="3">#REF!</definedName>
    <definedName name="______________kk3">#REF!</definedName>
    <definedName name="______________kk4" localSheetId="7">#REF!</definedName>
    <definedName name="______________kk4" localSheetId="1">#REF!</definedName>
    <definedName name="______________kk4" localSheetId="3">#REF!</definedName>
    <definedName name="______________kk4">#REF!</definedName>
    <definedName name="______________lsc44" localSheetId="7">#REF!</definedName>
    <definedName name="______________lsc44" localSheetId="1">#REF!</definedName>
    <definedName name="______________lsc44" localSheetId="3">#REF!</definedName>
    <definedName name="______________lsc44">#REF!</definedName>
    <definedName name="______________MF1" localSheetId="7">#REF!</definedName>
    <definedName name="______________MF1" localSheetId="1">#REF!</definedName>
    <definedName name="______________MF1" localSheetId="3">#REF!</definedName>
    <definedName name="______________MF1">#REF!</definedName>
    <definedName name="______________MM1" localSheetId="7">#REF!</definedName>
    <definedName name="______________MM1" localSheetId="1">#REF!</definedName>
    <definedName name="______________MM1" localSheetId="3">#REF!</definedName>
    <definedName name="______________MM1">#REF!</definedName>
    <definedName name="______________MM2" localSheetId="7">#REF!</definedName>
    <definedName name="______________MM2" localSheetId="1">#REF!</definedName>
    <definedName name="______________MM2" localSheetId="3">#REF!</definedName>
    <definedName name="______________MM2">#REF!</definedName>
    <definedName name="______________pcc1" localSheetId="7">#REF!</definedName>
    <definedName name="______________pcc1" localSheetId="1">#REF!</definedName>
    <definedName name="______________pcc1" localSheetId="3">#REF!</definedName>
    <definedName name="______________pcc1">#REF!</definedName>
    <definedName name="______________pcc2" localSheetId="7">#REF!</definedName>
    <definedName name="______________pcc2" localSheetId="1">#REF!</definedName>
    <definedName name="______________pcc2" localSheetId="3">#REF!</definedName>
    <definedName name="______________pcc2">#REF!</definedName>
    <definedName name="______________pcc3" localSheetId="7">#REF!</definedName>
    <definedName name="______________pcc3" localSheetId="1">#REF!</definedName>
    <definedName name="______________pcc3" localSheetId="3">#REF!</definedName>
    <definedName name="______________pcc3">#REF!</definedName>
    <definedName name="______________PCC4" localSheetId="7">#REF!</definedName>
    <definedName name="______________PCC4" localSheetId="1">#REF!</definedName>
    <definedName name="______________PCC4" localSheetId="3">#REF!</definedName>
    <definedName name="______________PCC4">#REF!</definedName>
    <definedName name="______________plb1" localSheetId="7">#REF!</definedName>
    <definedName name="______________plb1" localSheetId="1">#REF!</definedName>
    <definedName name="______________plb1" localSheetId="3">#REF!</definedName>
    <definedName name="______________plb1">#REF!</definedName>
    <definedName name="______________plb2" localSheetId="7">#REF!</definedName>
    <definedName name="______________plb2" localSheetId="1">#REF!</definedName>
    <definedName name="______________plb2" localSheetId="3">#REF!</definedName>
    <definedName name="______________plb2">#REF!</definedName>
    <definedName name="______________plb3" localSheetId="7">#REF!</definedName>
    <definedName name="______________plb3" localSheetId="1">#REF!</definedName>
    <definedName name="______________plb3" localSheetId="3">#REF!</definedName>
    <definedName name="______________plb3">#REF!</definedName>
    <definedName name="______________plb4" localSheetId="7">#REF!</definedName>
    <definedName name="______________plb4" localSheetId="1">#REF!</definedName>
    <definedName name="______________plb4" localSheetId="3">#REF!</definedName>
    <definedName name="______________plb4">#REF!</definedName>
    <definedName name="______________S12" localSheetId="7">#REF!</definedName>
    <definedName name="______________S12" localSheetId="1">#REF!</definedName>
    <definedName name="______________S12" localSheetId="3">#REF!</definedName>
    <definedName name="______________S12">#REF!</definedName>
    <definedName name="______________sec1" localSheetId="7">#REF!</definedName>
    <definedName name="______________sec1" localSheetId="1">#REF!</definedName>
    <definedName name="______________sec1" localSheetId="3">#REF!</definedName>
    <definedName name="______________sec1">#REF!</definedName>
    <definedName name="______________sec111" localSheetId="7">#REF!</definedName>
    <definedName name="______________sec111" localSheetId="1">#REF!</definedName>
    <definedName name="______________sec111" localSheetId="3">#REF!</definedName>
    <definedName name="______________sec111">#REF!</definedName>
    <definedName name="______________SEC15" localSheetId="7">#REF!</definedName>
    <definedName name="______________SEC15" localSheetId="1">#REF!</definedName>
    <definedName name="______________SEC15" localSheetId="3">#REF!</definedName>
    <definedName name="______________SEC15">#REF!</definedName>
    <definedName name="______________Sec2" localSheetId="7">#REF!</definedName>
    <definedName name="______________Sec2" localSheetId="1">#REF!</definedName>
    <definedName name="______________Sec2" localSheetId="3">#REF!</definedName>
    <definedName name="______________Sec2">#REF!</definedName>
    <definedName name="______________sec22" localSheetId="7">#REF!</definedName>
    <definedName name="______________sec22" localSheetId="1">#REF!</definedName>
    <definedName name="______________sec22" localSheetId="3">#REF!</definedName>
    <definedName name="______________sec22">#REF!</definedName>
    <definedName name="______________SEC23" localSheetId="7">#REF!</definedName>
    <definedName name="______________SEC23" localSheetId="1">#REF!</definedName>
    <definedName name="______________SEC23" localSheetId="3">#REF!</definedName>
    <definedName name="______________SEC23">#REF!</definedName>
    <definedName name="______________sec3" localSheetId="7">#REF!</definedName>
    <definedName name="______________sec3" localSheetId="1">#REF!</definedName>
    <definedName name="______________sec3" localSheetId="3">#REF!</definedName>
    <definedName name="______________sec3">#REF!</definedName>
    <definedName name="______________SEC32" localSheetId="7">#REF!</definedName>
    <definedName name="______________SEC32" localSheetId="1">#REF!</definedName>
    <definedName name="______________SEC32" localSheetId="3">#REF!</definedName>
    <definedName name="______________SEC32">#REF!</definedName>
    <definedName name="______________sec33" localSheetId="7">#REF!</definedName>
    <definedName name="______________sec33" localSheetId="1">#REF!</definedName>
    <definedName name="______________sec33" localSheetId="3">#REF!</definedName>
    <definedName name="______________sec33">#REF!</definedName>
    <definedName name="______________Sec4" localSheetId="7">#REF!</definedName>
    <definedName name="______________Sec4" localSheetId="1">#REF!</definedName>
    <definedName name="______________Sec4" localSheetId="3">#REF!</definedName>
    <definedName name="______________Sec4">#REF!</definedName>
    <definedName name="______________sec45" localSheetId="7">#REF!</definedName>
    <definedName name="______________sec45" localSheetId="1">#REF!</definedName>
    <definedName name="______________sec45" localSheetId="3">#REF!</definedName>
    <definedName name="______________sec45">#REF!</definedName>
    <definedName name="______________SEC46" localSheetId="7">#REF!</definedName>
    <definedName name="______________SEC46" localSheetId="1">#REF!</definedName>
    <definedName name="______________SEC46" localSheetId="3">#REF!</definedName>
    <definedName name="______________SEC46">#REF!</definedName>
    <definedName name="______________sec5" localSheetId="7">#REF!</definedName>
    <definedName name="______________sec5" localSheetId="1">#REF!</definedName>
    <definedName name="______________sec5" localSheetId="3">#REF!</definedName>
    <definedName name="______________sec5">#REF!</definedName>
    <definedName name="______________sec55" localSheetId="7">#REF!</definedName>
    <definedName name="______________sec55" localSheetId="1">#REF!</definedName>
    <definedName name="______________sec55" localSheetId="3">#REF!</definedName>
    <definedName name="______________sec55">#REF!</definedName>
    <definedName name="______________SEC56" localSheetId="7">#REF!</definedName>
    <definedName name="______________SEC56" localSheetId="1">#REF!</definedName>
    <definedName name="______________SEC56" localSheetId="3">#REF!</definedName>
    <definedName name="______________SEC56">#REF!</definedName>
    <definedName name="______________sec6" localSheetId="7">#REF!</definedName>
    <definedName name="______________sec6" localSheetId="1">#REF!</definedName>
    <definedName name="______________sec6" localSheetId="3">#REF!</definedName>
    <definedName name="______________sec6">#REF!</definedName>
    <definedName name="______________sec66" localSheetId="7">#REF!</definedName>
    <definedName name="______________sec66" localSheetId="1">#REF!</definedName>
    <definedName name="______________sec66" localSheetId="3">#REF!</definedName>
    <definedName name="______________sec66">#REF!</definedName>
    <definedName name="______________SEC67" localSheetId="7">#REF!</definedName>
    <definedName name="______________SEC67" localSheetId="1">#REF!</definedName>
    <definedName name="______________SEC67" localSheetId="3">#REF!</definedName>
    <definedName name="______________SEC67">#REF!</definedName>
    <definedName name="______________sec7" localSheetId="7">#REF!</definedName>
    <definedName name="______________sec7" localSheetId="1">#REF!</definedName>
    <definedName name="______________sec7" localSheetId="3">#REF!</definedName>
    <definedName name="______________sec7">#REF!</definedName>
    <definedName name="______________sec71" localSheetId="7">#REF!</definedName>
    <definedName name="______________sec71" localSheetId="1">#REF!</definedName>
    <definedName name="______________sec71" localSheetId="3">#REF!</definedName>
    <definedName name="______________sec71">#REF!</definedName>
    <definedName name="______________SEC72" localSheetId="7">#REF!</definedName>
    <definedName name="______________SEC72" localSheetId="1">#REF!</definedName>
    <definedName name="______________SEC72" localSheetId="3">#REF!</definedName>
    <definedName name="______________SEC72">#REF!</definedName>
    <definedName name="______________SEC74" localSheetId="7">#REF!</definedName>
    <definedName name="______________SEC74" localSheetId="1">#REF!</definedName>
    <definedName name="______________SEC74" localSheetId="3">#REF!</definedName>
    <definedName name="______________SEC74">#REF!</definedName>
    <definedName name="______________SEC75" localSheetId="7">#REF!</definedName>
    <definedName name="______________SEC75" localSheetId="1">#REF!</definedName>
    <definedName name="______________SEC75" localSheetId="3">#REF!</definedName>
    <definedName name="______________SEC75">#REF!</definedName>
    <definedName name="______________SEC77" localSheetId="7">#REF!</definedName>
    <definedName name="______________SEC77" localSheetId="1">#REF!</definedName>
    <definedName name="______________SEC77" localSheetId="3">#REF!</definedName>
    <definedName name="______________SEC77">#REF!</definedName>
    <definedName name="______________sec777" localSheetId="7">#REF!</definedName>
    <definedName name="______________sec777" localSheetId="1">#REF!</definedName>
    <definedName name="______________sec777" localSheetId="3">#REF!</definedName>
    <definedName name="______________sec777">#REF!</definedName>
    <definedName name="______________sec78" localSheetId="7">#REF!</definedName>
    <definedName name="______________sec78" localSheetId="1">#REF!</definedName>
    <definedName name="______________sec78" localSheetId="3">#REF!</definedName>
    <definedName name="______________sec78">#REF!</definedName>
    <definedName name="______________sec79" localSheetId="7">#REF!</definedName>
    <definedName name="______________sec79" localSheetId="1">#REF!</definedName>
    <definedName name="______________sec79" localSheetId="3">#REF!</definedName>
    <definedName name="______________sec79">#REF!</definedName>
    <definedName name="______________sec8" localSheetId="7">#REF!</definedName>
    <definedName name="______________sec8" localSheetId="1">#REF!</definedName>
    <definedName name="______________sec8" localSheetId="3">#REF!</definedName>
    <definedName name="______________sec8">#REF!</definedName>
    <definedName name="______________sec81" localSheetId="7">#REF!</definedName>
    <definedName name="______________sec81" localSheetId="1">#REF!</definedName>
    <definedName name="______________sec81" localSheetId="3">#REF!</definedName>
    <definedName name="______________sec81">#REF!</definedName>
    <definedName name="______________SEC82" localSheetId="7">#REF!</definedName>
    <definedName name="______________SEC82" localSheetId="1">#REF!</definedName>
    <definedName name="______________SEC82" localSheetId="3">#REF!</definedName>
    <definedName name="______________SEC82">#REF!</definedName>
    <definedName name="______________SEC83" localSheetId="7">#REF!</definedName>
    <definedName name="______________SEC83" localSheetId="1">#REF!</definedName>
    <definedName name="______________SEC83" localSheetId="3">#REF!</definedName>
    <definedName name="______________SEC83">#REF!</definedName>
    <definedName name="______________SEC87" localSheetId="7">#REF!</definedName>
    <definedName name="______________SEC87" localSheetId="1">#REF!</definedName>
    <definedName name="______________SEC87" localSheetId="3">#REF!</definedName>
    <definedName name="______________SEC87">#REF!</definedName>
    <definedName name="______________SEC88" localSheetId="7">#REF!</definedName>
    <definedName name="______________SEC88" localSheetId="1">#REF!</definedName>
    <definedName name="______________SEC88" localSheetId="3">#REF!</definedName>
    <definedName name="______________SEC88">#REF!</definedName>
    <definedName name="______________sec888" localSheetId="7">#REF!</definedName>
    <definedName name="______________sec888" localSheetId="1">#REF!</definedName>
    <definedName name="______________sec888" localSheetId="3">#REF!</definedName>
    <definedName name="______________sec888">#REF!</definedName>
    <definedName name="______________sec89" localSheetId="7">#REF!</definedName>
    <definedName name="______________sec89" localSheetId="1">#REF!</definedName>
    <definedName name="______________sec89" localSheetId="3">#REF!</definedName>
    <definedName name="______________sec89">#REF!</definedName>
    <definedName name="______________sec899" localSheetId="7">#REF!</definedName>
    <definedName name="______________sec899" localSheetId="1">#REF!</definedName>
    <definedName name="______________sec899" localSheetId="3">#REF!</definedName>
    <definedName name="______________sec899">#REF!</definedName>
    <definedName name="______________SEC9" localSheetId="7">#REF!</definedName>
    <definedName name="______________SEC9" localSheetId="1">#REF!</definedName>
    <definedName name="______________SEC9" localSheetId="3">#REF!</definedName>
    <definedName name="______________SEC9">#REF!</definedName>
    <definedName name="______________SEC91" localSheetId="7">#REF!</definedName>
    <definedName name="______________SEC91" localSheetId="1">#REF!</definedName>
    <definedName name="______________SEC91" localSheetId="3">#REF!</definedName>
    <definedName name="______________SEC91">#REF!</definedName>
    <definedName name="______________ss2" localSheetId="7">#REF!</definedName>
    <definedName name="______________ss2" localSheetId="1">#REF!</definedName>
    <definedName name="______________ss2" localSheetId="3">#REF!</definedName>
    <definedName name="______________ss2">#REF!</definedName>
    <definedName name="______________tk1" localSheetId="7">#REF!</definedName>
    <definedName name="______________tk1" localSheetId="1">#REF!</definedName>
    <definedName name="______________tk1" localSheetId="3">#REF!</definedName>
    <definedName name="______________tk1">#REF!</definedName>
    <definedName name="______________xd1" localSheetId="7">#REF!</definedName>
    <definedName name="______________xd1" localSheetId="1">#REF!</definedName>
    <definedName name="______________xd1" localSheetId="3">#REF!</definedName>
    <definedName name="______________xd1">#REF!</definedName>
    <definedName name="______________XD2" localSheetId="7">#REF!</definedName>
    <definedName name="______________XD2" localSheetId="1">#REF!</definedName>
    <definedName name="______________XD2" localSheetId="3">#REF!</definedName>
    <definedName name="______________XD2">#REF!</definedName>
    <definedName name="______________xd3" localSheetId="7">#REF!</definedName>
    <definedName name="______________xd3" localSheetId="1">#REF!</definedName>
    <definedName name="______________xd3" localSheetId="3">#REF!</definedName>
    <definedName name="______________xd3">#REF!</definedName>
    <definedName name="______________zz1" localSheetId="7">#REF!</definedName>
    <definedName name="______________zz1" localSheetId="1">#REF!</definedName>
    <definedName name="______________zz1" localSheetId="3">#REF!</definedName>
    <definedName name="______________zz1">#REF!</definedName>
    <definedName name="_____________aaa1" localSheetId="7">#REF!</definedName>
    <definedName name="_____________aaa1" localSheetId="1">#REF!</definedName>
    <definedName name="_____________aaa1" localSheetId="3">#REF!</definedName>
    <definedName name="_____________aaa1">#REF!</definedName>
    <definedName name="_____________aaa10" localSheetId="7">#REF!</definedName>
    <definedName name="_____________aaa10" localSheetId="1">#REF!</definedName>
    <definedName name="_____________aaa10" localSheetId="3">#REF!</definedName>
    <definedName name="_____________aaa10">#REF!</definedName>
    <definedName name="_____________aaa11" localSheetId="7">#REF!</definedName>
    <definedName name="_____________aaa11" localSheetId="1">#REF!</definedName>
    <definedName name="_____________aaa11" localSheetId="3">#REF!</definedName>
    <definedName name="_____________aaa11">#REF!</definedName>
    <definedName name="_____________AAA12" localSheetId="7">#REF!</definedName>
    <definedName name="_____________AAA12" localSheetId="1">#REF!</definedName>
    <definedName name="_____________AAA12" localSheetId="3">#REF!</definedName>
    <definedName name="_____________AAA12">#REF!</definedName>
    <definedName name="_____________AAA21" localSheetId="7">#REF!</definedName>
    <definedName name="_____________AAA21" localSheetId="1">#REF!</definedName>
    <definedName name="_____________AAA21" localSheetId="3">#REF!</definedName>
    <definedName name="_____________AAA21">#REF!</definedName>
    <definedName name="_____________aaa5" localSheetId="7">#REF!</definedName>
    <definedName name="_____________aaa5" localSheetId="1">#REF!</definedName>
    <definedName name="_____________aaa5" localSheetId="3">#REF!</definedName>
    <definedName name="_____________aaa5">#REF!</definedName>
    <definedName name="_____________AAA51" localSheetId="7">#REF!</definedName>
    <definedName name="_____________AAA51" localSheetId="1">#REF!</definedName>
    <definedName name="_____________AAA51" localSheetId="3">#REF!</definedName>
    <definedName name="_____________AAA51">#REF!</definedName>
    <definedName name="_____________AAA53" localSheetId="7">#REF!</definedName>
    <definedName name="_____________AAA53" localSheetId="1">#REF!</definedName>
    <definedName name="_____________AAA53" localSheetId="3">#REF!</definedName>
    <definedName name="_____________AAA53">#REF!</definedName>
    <definedName name="_____________aaa54" localSheetId="7">#REF!</definedName>
    <definedName name="_____________aaa54" localSheetId="1">#REF!</definedName>
    <definedName name="_____________aaa54" localSheetId="3">#REF!</definedName>
    <definedName name="_____________aaa54">#REF!</definedName>
    <definedName name="_____________aaa545" localSheetId="7">#REF!</definedName>
    <definedName name="_____________aaa545" localSheetId="1">#REF!</definedName>
    <definedName name="_____________aaa545" localSheetId="3">#REF!</definedName>
    <definedName name="_____________aaa545">#REF!</definedName>
    <definedName name="_____________aaa55" localSheetId="7">#REF!</definedName>
    <definedName name="_____________aaa55" localSheetId="1">#REF!</definedName>
    <definedName name="_____________aaa55" localSheetId="3">#REF!</definedName>
    <definedName name="_____________aaa55">#REF!</definedName>
    <definedName name="_____________aaa56" localSheetId="7">#REF!</definedName>
    <definedName name="_____________aaa56" localSheetId="1">#REF!</definedName>
    <definedName name="_____________aaa56" localSheetId="3">#REF!</definedName>
    <definedName name="_____________aaa56">#REF!</definedName>
    <definedName name="_____________AAA57" localSheetId="7">#REF!</definedName>
    <definedName name="_____________AAA57" localSheetId="1">#REF!</definedName>
    <definedName name="_____________AAA57" localSheetId="3">#REF!</definedName>
    <definedName name="_____________AAA57">#REF!</definedName>
    <definedName name="_____________aaa59" localSheetId="7">#REF!</definedName>
    <definedName name="_____________aaa59" localSheetId="1">#REF!</definedName>
    <definedName name="_____________aaa59" localSheetId="3">#REF!</definedName>
    <definedName name="_____________aaa59">#REF!</definedName>
    <definedName name="_____________AAA6" localSheetId="7">#REF!</definedName>
    <definedName name="_____________AAA6" localSheetId="1">#REF!</definedName>
    <definedName name="_____________AAA6" localSheetId="3">#REF!</definedName>
    <definedName name="_____________AAA6">#REF!</definedName>
    <definedName name="_____________AAA7" localSheetId="7">#REF!</definedName>
    <definedName name="_____________AAA7" localSheetId="1">#REF!</definedName>
    <definedName name="_____________AAA7" localSheetId="3">#REF!</definedName>
    <definedName name="_____________AAA7">#REF!</definedName>
    <definedName name="_____________AAD5" localSheetId="7">#REF!</definedName>
    <definedName name="_____________AAD5" localSheetId="1">#REF!</definedName>
    <definedName name="_____________AAD5" localSheetId="3">#REF!</definedName>
    <definedName name="_____________AAD5">#REF!</definedName>
    <definedName name="_____________aad55" localSheetId="7">#REF!</definedName>
    <definedName name="_____________aad55" localSheetId="1">#REF!</definedName>
    <definedName name="_____________aad55" localSheetId="3">#REF!</definedName>
    <definedName name="_____________aad55">#REF!</definedName>
    <definedName name="_____________AAD56" localSheetId="7">#REF!</definedName>
    <definedName name="_____________AAD56" localSheetId="1">#REF!</definedName>
    <definedName name="_____________AAD56" localSheetId="3">#REF!</definedName>
    <definedName name="_____________AAD56">#REF!</definedName>
    <definedName name="_____________AAD57" localSheetId="7">#REF!</definedName>
    <definedName name="_____________AAD57" localSheetId="1">#REF!</definedName>
    <definedName name="_____________AAD57" localSheetId="3">#REF!</definedName>
    <definedName name="_____________AAD57">#REF!</definedName>
    <definedName name="_____________ast1" localSheetId="7">#REF!</definedName>
    <definedName name="_____________ast1" localSheetId="1">#REF!</definedName>
    <definedName name="_____________ast1" localSheetId="3">#REF!</definedName>
    <definedName name="_____________ast1">#REF!</definedName>
    <definedName name="_____________ast2" localSheetId="7">#REF!</definedName>
    <definedName name="_____________ast2" localSheetId="1">#REF!</definedName>
    <definedName name="_____________ast2" localSheetId="3">#REF!</definedName>
    <definedName name="_____________ast2">#REF!</definedName>
    <definedName name="_____________bbb1" localSheetId="7">#REF!</definedName>
    <definedName name="_____________bbb1" localSheetId="1">#REF!</definedName>
    <definedName name="_____________bbb1" localSheetId="3">#REF!</definedName>
    <definedName name="_____________bbb1">#REF!</definedName>
    <definedName name="_____________bol1" localSheetId="7">#REF!</definedName>
    <definedName name="_____________bol1" localSheetId="1">#REF!</definedName>
    <definedName name="_____________bol1" localSheetId="3">#REF!</definedName>
    <definedName name="_____________bol1">#REF!</definedName>
    <definedName name="_____________ccc1" localSheetId="7">#REF!</definedName>
    <definedName name="_____________ccc1" localSheetId="1">#REF!</definedName>
    <definedName name="_____________ccc1" localSheetId="3">#REF!</definedName>
    <definedName name="_____________ccc1">#REF!</definedName>
    <definedName name="_____________COL14" localSheetId="7">#REF!</definedName>
    <definedName name="_____________COL14" localSheetId="1">#REF!</definedName>
    <definedName name="_____________COL14" localSheetId="3">#REF!</definedName>
    <definedName name="_____________COL14">#REF!</definedName>
    <definedName name="_____________COL15" localSheetId="7">#REF!</definedName>
    <definedName name="_____________COL15" localSheetId="1">#REF!</definedName>
    <definedName name="_____________COL15" localSheetId="3">#REF!</definedName>
    <definedName name="_____________COL15">#REF!</definedName>
    <definedName name="_____________COL16" localSheetId="7">#REF!</definedName>
    <definedName name="_____________COL16" localSheetId="1">#REF!</definedName>
    <definedName name="_____________COL16" localSheetId="3">#REF!</definedName>
    <definedName name="_____________COL16">#REF!</definedName>
    <definedName name="_____________ddd1" localSheetId="7">#REF!</definedName>
    <definedName name="_____________ddd1" localSheetId="1">#REF!</definedName>
    <definedName name="_____________ddd1" localSheetId="3">#REF!</definedName>
    <definedName name="_____________ddd1">#REF!</definedName>
    <definedName name="_____________eee1" localSheetId="7">#REF!</definedName>
    <definedName name="_____________eee1" localSheetId="1">#REF!</definedName>
    <definedName name="_____________eee1" localSheetId="3">#REF!</definedName>
    <definedName name="_____________eee1">#REF!</definedName>
    <definedName name="_____________exc1" localSheetId="7">#REF!</definedName>
    <definedName name="_____________exc1" localSheetId="1">#REF!</definedName>
    <definedName name="_____________exc1" localSheetId="3">#REF!</definedName>
    <definedName name="_____________exc1">#REF!</definedName>
    <definedName name="_____________exc11" localSheetId="7">#REF!</definedName>
    <definedName name="_____________exc11" localSheetId="1">#REF!</definedName>
    <definedName name="_____________exc11" localSheetId="3">#REF!</definedName>
    <definedName name="_____________exc11">#REF!</definedName>
    <definedName name="_____________exc2" localSheetId="7">#REF!</definedName>
    <definedName name="_____________exc2" localSheetId="1">#REF!</definedName>
    <definedName name="_____________exc2" localSheetId="3">#REF!</definedName>
    <definedName name="_____________exc2">#REF!</definedName>
    <definedName name="_____________EXC3" localSheetId="7">#REF!</definedName>
    <definedName name="_____________EXC3" localSheetId="1">#REF!</definedName>
    <definedName name="_____________EXC3" localSheetId="3">#REF!</definedName>
    <definedName name="_____________EXC3">#REF!</definedName>
    <definedName name="_____________EXC4" localSheetId="7">#REF!</definedName>
    <definedName name="_____________EXC4" localSheetId="1">#REF!</definedName>
    <definedName name="_____________EXC4" localSheetId="3">#REF!</definedName>
    <definedName name="_____________EXC4">#REF!</definedName>
    <definedName name="_____________fff1" localSheetId="7">#REF!</definedName>
    <definedName name="_____________fff1" localSheetId="1">#REF!</definedName>
    <definedName name="_____________fff1" localSheetId="3">#REF!</definedName>
    <definedName name="_____________fff1">#REF!</definedName>
    <definedName name="_____________foo1" localSheetId="7">#REF!</definedName>
    <definedName name="_____________foo1" localSheetId="1">#REF!</definedName>
    <definedName name="_____________foo1" localSheetId="3">#REF!</definedName>
    <definedName name="_____________foo1">#REF!</definedName>
    <definedName name="_____________foo2" localSheetId="7">#REF!</definedName>
    <definedName name="_____________foo2" localSheetId="1">#REF!</definedName>
    <definedName name="_____________foo2" localSheetId="3">#REF!</definedName>
    <definedName name="_____________foo2">#REF!</definedName>
    <definedName name="_____________foo3" localSheetId="7">#REF!</definedName>
    <definedName name="_____________foo3" localSheetId="1">#REF!</definedName>
    <definedName name="_____________foo3" localSheetId="3">#REF!</definedName>
    <definedName name="_____________foo3">#REF!</definedName>
    <definedName name="_____________FOO4" localSheetId="7">#REF!</definedName>
    <definedName name="_____________FOO4" localSheetId="1">#REF!</definedName>
    <definedName name="_____________FOO4" localSheetId="3">#REF!</definedName>
    <definedName name="_____________FOO4">#REF!</definedName>
    <definedName name="_____________ief1" localSheetId="7">#REF!</definedName>
    <definedName name="_____________ief1" localSheetId="1">#REF!</definedName>
    <definedName name="_____________ief1" localSheetId="3">#REF!</definedName>
    <definedName name="_____________ief1">#REF!</definedName>
    <definedName name="_____________ind1" localSheetId="7">#REF!</definedName>
    <definedName name="_____________ind1" localSheetId="1">#REF!</definedName>
    <definedName name="_____________ind1" localSheetId="3">#REF!</definedName>
    <definedName name="_____________ind1">#REF!</definedName>
    <definedName name="_____________IND11" localSheetId="7">#REF!</definedName>
    <definedName name="_____________IND11" localSheetId="1">#REF!</definedName>
    <definedName name="_____________IND11" localSheetId="3">#REF!</definedName>
    <definedName name="_____________IND11">#REF!</definedName>
    <definedName name="_____________IND31" localSheetId="7">#REF!</definedName>
    <definedName name="_____________IND31" localSheetId="1">#REF!</definedName>
    <definedName name="_____________IND31" localSheetId="3">#REF!</definedName>
    <definedName name="_____________IND31">#REF!</definedName>
    <definedName name="_____________IRS1" localSheetId="7">#REF!</definedName>
    <definedName name="_____________IRS1" localSheetId="1">#REF!</definedName>
    <definedName name="_____________IRS1" localSheetId="3">#REF!</definedName>
    <definedName name="_____________IRS1">#REF!</definedName>
    <definedName name="_____________KK1" localSheetId="7">#REF!</definedName>
    <definedName name="_____________KK1" localSheetId="1">#REF!</definedName>
    <definedName name="_____________KK1" localSheetId="3">#REF!</definedName>
    <definedName name="_____________KK1">#REF!</definedName>
    <definedName name="_____________KK2" localSheetId="7">#REF!</definedName>
    <definedName name="_____________KK2" localSheetId="1">#REF!</definedName>
    <definedName name="_____________KK2" localSheetId="3">#REF!</definedName>
    <definedName name="_____________KK2">#REF!</definedName>
    <definedName name="_____________kk3" localSheetId="7">#REF!</definedName>
    <definedName name="_____________kk3" localSheetId="1">#REF!</definedName>
    <definedName name="_____________kk3" localSheetId="3">#REF!</definedName>
    <definedName name="_____________kk3">#REF!</definedName>
    <definedName name="_____________kk4" localSheetId="7">#REF!</definedName>
    <definedName name="_____________kk4" localSheetId="1">#REF!</definedName>
    <definedName name="_____________kk4" localSheetId="3">#REF!</definedName>
    <definedName name="_____________kk4">#REF!</definedName>
    <definedName name="_____________lsc44" localSheetId="7">#REF!</definedName>
    <definedName name="_____________lsc44" localSheetId="1">#REF!</definedName>
    <definedName name="_____________lsc44" localSheetId="3">#REF!</definedName>
    <definedName name="_____________lsc44">#REF!</definedName>
    <definedName name="_____________MF1" localSheetId="7">#REF!</definedName>
    <definedName name="_____________MF1" localSheetId="1">#REF!</definedName>
    <definedName name="_____________MF1" localSheetId="3">#REF!</definedName>
    <definedName name="_____________MF1">#REF!</definedName>
    <definedName name="_____________MM1" localSheetId="7">#REF!</definedName>
    <definedName name="_____________MM1" localSheetId="1">#REF!</definedName>
    <definedName name="_____________MM1" localSheetId="3">#REF!</definedName>
    <definedName name="_____________MM1">#REF!</definedName>
    <definedName name="_____________MM2" localSheetId="7">#REF!</definedName>
    <definedName name="_____________MM2" localSheetId="1">#REF!</definedName>
    <definedName name="_____________MM2" localSheetId="3">#REF!</definedName>
    <definedName name="_____________MM2">#REF!</definedName>
    <definedName name="_____________pcc1" localSheetId="7">#REF!</definedName>
    <definedName name="_____________pcc1" localSheetId="1">#REF!</definedName>
    <definedName name="_____________pcc1" localSheetId="3">#REF!</definedName>
    <definedName name="_____________pcc1">#REF!</definedName>
    <definedName name="_____________pcc2" localSheetId="7">#REF!</definedName>
    <definedName name="_____________pcc2" localSheetId="1">#REF!</definedName>
    <definedName name="_____________pcc2" localSheetId="3">#REF!</definedName>
    <definedName name="_____________pcc2">#REF!</definedName>
    <definedName name="_____________pcc3" localSheetId="7">#REF!</definedName>
    <definedName name="_____________pcc3" localSheetId="1">#REF!</definedName>
    <definedName name="_____________pcc3" localSheetId="3">#REF!</definedName>
    <definedName name="_____________pcc3">#REF!</definedName>
    <definedName name="_____________PCC4" localSheetId="7">#REF!</definedName>
    <definedName name="_____________PCC4" localSheetId="1">#REF!</definedName>
    <definedName name="_____________PCC4" localSheetId="3">#REF!</definedName>
    <definedName name="_____________PCC4">#REF!</definedName>
    <definedName name="_____________plb1" localSheetId="7">#REF!</definedName>
    <definedName name="_____________plb1" localSheetId="1">#REF!</definedName>
    <definedName name="_____________plb1" localSheetId="3">#REF!</definedName>
    <definedName name="_____________plb1">#REF!</definedName>
    <definedName name="_____________plb2" localSheetId="7">#REF!</definedName>
    <definedName name="_____________plb2" localSheetId="1">#REF!</definedName>
    <definedName name="_____________plb2" localSheetId="3">#REF!</definedName>
    <definedName name="_____________plb2">#REF!</definedName>
    <definedName name="_____________plb3" localSheetId="7">#REF!</definedName>
    <definedName name="_____________plb3" localSheetId="1">#REF!</definedName>
    <definedName name="_____________plb3" localSheetId="3">#REF!</definedName>
    <definedName name="_____________plb3">#REF!</definedName>
    <definedName name="_____________plb4" localSheetId="7">#REF!</definedName>
    <definedName name="_____________plb4" localSheetId="1">#REF!</definedName>
    <definedName name="_____________plb4" localSheetId="3">#REF!</definedName>
    <definedName name="_____________plb4">#REF!</definedName>
    <definedName name="_____________S12" localSheetId="7">#REF!</definedName>
    <definedName name="_____________S12" localSheetId="1">#REF!</definedName>
    <definedName name="_____________S12" localSheetId="3">#REF!</definedName>
    <definedName name="_____________S12">#REF!</definedName>
    <definedName name="_____________sec1" localSheetId="7">#REF!</definedName>
    <definedName name="_____________sec1" localSheetId="1">#REF!</definedName>
    <definedName name="_____________sec1" localSheetId="3">#REF!</definedName>
    <definedName name="_____________sec1">#REF!</definedName>
    <definedName name="_____________sec111" localSheetId="7">#REF!</definedName>
    <definedName name="_____________sec111" localSheetId="1">#REF!</definedName>
    <definedName name="_____________sec111" localSheetId="3">#REF!</definedName>
    <definedName name="_____________sec111">#REF!</definedName>
    <definedName name="_____________SEC15" localSheetId="7">#REF!</definedName>
    <definedName name="_____________SEC15" localSheetId="1">#REF!</definedName>
    <definedName name="_____________SEC15" localSheetId="3">#REF!</definedName>
    <definedName name="_____________SEC15">#REF!</definedName>
    <definedName name="_____________Sec2" localSheetId="7">#REF!</definedName>
    <definedName name="_____________Sec2" localSheetId="1">#REF!</definedName>
    <definedName name="_____________Sec2" localSheetId="3">#REF!</definedName>
    <definedName name="_____________Sec2">#REF!</definedName>
    <definedName name="_____________sec22" localSheetId="7">#REF!</definedName>
    <definedName name="_____________sec22" localSheetId="1">#REF!</definedName>
    <definedName name="_____________sec22" localSheetId="3">#REF!</definedName>
    <definedName name="_____________sec22">#REF!</definedName>
    <definedName name="_____________SEC23" localSheetId="7">#REF!</definedName>
    <definedName name="_____________SEC23" localSheetId="1">#REF!</definedName>
    <definedName name="_____________SEC23" localSheetId="3">#REF!</definedName>
    <definedName name="_____________SEC23">#REF!</definedName>
    <definedName name="_____________sec3" localSheetId="7">#REF!</definedName>
    <definedName name="_____________sec3" localSheetId="1">#REF!</definedName>
    <definedName name="_____________sec3" localSheetId="3">#REF!</definedName>
    <definedName name="_____________sec3">#REF!</definedName>
    <definedName name="_____________SEC32" localSheetId="7">#REF!</definedName>
    <definedName name="_____________SEC32" localSheetId="1">#REF!</definedName>
    <definedName name="_____________SEC32" localSheetId="3">#REF!</definedName>
    <definedName name="_____________SEC32">#REF!</definedName>
    <definedName name="_____________sec33" localSheetId="7">#REF!</definedName>
    <definedName name="_____________sec33" localSheetId="1">#REF!</definedName>
    <definedName name="_____________sec33" localSheetId="3">#REF!</definedName>
    <definedName name="_____________sec33">#REF!</definedName>
    <definedName name="_____________Sec4" localSheetId="7">#REF!</definedName>
    <definedName name="_____________Sec4" localSheetId="1">#REF!</definedName>
    <definedName name="_____________Sec4" localSheetId="3">#REF!</definedName>
    <definedName name="_____________Sec4">#REF!</definedName>
    <definedName name="_____________sec45" localSheetId="7">#REF!</definedName>
    <definedName name="_____________sec45" localSheetId="1">#REF!</definedName>
    <definedName name="_____________sec45" localSheetId="3">#REF!</definedName>
    <definedName name="_____________sec45">#REF!</definedName>
    <definedName name="_____________SEC46" localSheetId="7">#REF!</definedName>
    <definedName name="_____________SEC46" localSheetId="1">#REF!</definedName>
    <definedName name="_____________SEC46" localSheetId="3">#REF!</definedName>
    <definedName name="_____________SEC46">#REF!</definedName>
    <definedName name="_____________sec5" localSheetId="7">#REF!</definedName>
    <definedName name="_____________sec5" localSheetId="1">#REF!</definedName>
    <definedName name="_____________sec5" localSheetId="3">#REF!</definedName>
    <definedName name="_____________sec5">#REF!</definedName>
    <definedName name="_____________sec55" localSheetId="7">#REF!</definedName>
    <definedName name="_____________sec55" localSheetId="1">#REF!</definedName>
    <definedName name="_____________sec55" localSheetId="3">#REF!</definedName>
    <definedName name="_____________sec55">#REF!</definedName>
    <definedName name="_____________SEC56" localSheetId="7">#REF!</definedName>
    <definedName name="_____________SEC56" localSheetId="1">#REF!</definedName>
    <definedName name="_____________SEC56" localSheetId="3">#REF!</definedName>
    <definedName name="_____________SEC56">#REF!</definedName>
    <definedName name="_____________sec6" localSheetId="7">#REF!</definedName>
    <definedName name="_____________sec6" localSheetId="1">#REF!</definedName>
    <definedName name="_____________sec6" localSheetId="3">#REF!</definedName>
    <definedName name="_____________sec6">#REF!</definedName>
    <definedName name="_____________sec66" localSheetId="7">#REF!</definedName>
    <definedName name="_____________sec66" localSheetId="1">#REF!</definedName>
    <definedName name="_____________sec66" localSheetId="3">#REF!</definedName>
    <definedName name="_____________sec66">#REF!</definedName>
    <definedName name="_____________SEC67" localSheetId="7">#REF!</definedName>
    <definedName name="_____________SEC67" localSheetId="1">#REF!</definedName>
    <definedName name="_____________SEC67" localSheetId="3">#REF!</definedName>
    <definedName name="_____________SEC67">#REF!</definedName>
    <definedName name="_____________sec7" localSheetId="7">#REF!</definedName>
    <definedName name="_____________sec7" localSheetId="1">#REF!</definedName>
    <definedName name="_____________sec7" localSheetId="3">#REF!</definedName>
    <definedName name="_____________sec7">#REF!</definedName>
    <definedName name="_____________sec71" localSheetId="7">#REF!</definedName>
    <definedName name="_____________sec71" localSheetId="1">#REF!</definedName>
    <definedName name="_____________sec71" localSheetId="3">#REF!</definedName>
    <definedName name="_____________sec71">#REF!</definedName>
    <definedName name="_____________SEC72" localSheetId="7">#REF!</definedName>
    <definedName name="_____________SEC72" localSheetId="1">#REF!</definedName>
    <definedName name="_____________SEC72" localSheetId="3">#REF!</definedName>
    <definedName name="_____________SEC72">#REF!</definedName>
    <definedName name="_____________SEC74" localSheetId="7">#REF!</definedName>
    <definedName name="_____________SEC74" localSheetId="1">#REF!</definedName>
    <definedName name="_____________SEC74" localSheetId="3">#REF!</definedName>
    <definedName name="_____________SEC74">#REF!</definedName>
    <definedName name="_____________SEC75" localSheetId="7">#REF!</definedName>
    <definedName name="_____________SEC75" localSheetId="1">#REF!</definedName>
    <definedName name="_____________SEC75" localSheetId="3">#REF!</definedName>
    <definedName name="_____________SEC75">#REF!</definedName>
    <definedName name="_____________SEC77" localSheetId="7">#REF!</definedName>
    <definedName name="_____________SEC77" localSheetId="1">#REF!</definedName>
    <definedName name="_____________SEC77" localSheetId="3">#REF!</definedName>
    <definedName name="_____________SEC77">#REF!</definedName>
    <definedName name="_____________sec777" localSheetId="7">#REF!</definedName>
    <definedName name="_____________sec777" localSheetId="1">#REF!</definedName>
    <definedName name="_____________sec777" localSheetId="3">#REF!</definedName>
    <definedName name="_____________sec777">#REF!</definedName>
    <definedName name="_____________sec78" localSheetId="7">#REF!</definedName>
    <definedName name="_____________sec78" localSheetId="1">#REF!</definedName>
    <definedName name="_____________sec78" localSheetId="3">#REF!</definedName>
    <definedName name="_____________sec78">#REF!</definedName>
    <definedName name="_____________sec79" localSheetId="7">#REF!</definedName>
    <definedName name="_____________sec79" localSheetId="1">#REF!</definedName>
    <definedName name="_____________sec79" localSheetId="3">#REF!</definedName>
    <definedName name="_____________sec79">#REF!</definedName>
    <definedName name="_____________sec8" localSheetId="7">#REF!</definedName>
    <definedName name="_____________sec8" localSheetId="1">#REF!</definedName>
    <definedName name="_____________sec8" localSheetId="3">#REF!</definedName>
    <definedName name="_____________sec8">#REF!</definedName>
    <definedName name="_____________sec81" localSheetId="7">#REF!</definedName>
    <definedName name="_____________sec81" localSheetId="1">#REF!</definedName>
    <definedName name="_____________sec81" localSheetId="3">#REF!</definedName>
    <definedName name="_____________sec81">#REF!</definedName>
    <definedName name="_____________SEC82" localSheetId="7">#REF!</definedName>
    <definedName name="_____________SEC82" localSheetId="1">#REF!</definedName>
    <definedName name="_____________SEC82" localSheetId="3">#REF!</definedName>
    <definedName name="_____________SEC82">#REF!</definedName>
    <definedName name="_____________SEC83" localSheetId="7">#REF!</definedName>
    <definedName name="_____________SEC83" localSheetId="1">#REF!</definedName>
    <definedName name="_____________SEC83" localSheetId="3">#REF!</definedName>
    <definedName name="_____________SEC83">#REF!</definedName>
    <definedName name="_____________SEC87" localSheetId="7">#REF!</definedName>
    <definedName name="_____________SEC87" localSheetId="1">#REF!</definedName>
    <definedName name="_____________SEC87" localSheetId="3">#REF!</definedName>
    <definedName name="_____________SEC87">#REF!</definedName>
    <definedName name="_____________SEC88" localSheetId="7">#REF!</definedName>
    <definedName name="_____________SEC88" localSheetId="1">#REF!</definedName>
    <definedName name="_____________SEC88" localSheetId="3">#REF!</definedName>
    <definedName name="_____________SEC88">#REF!</definedName>
    <definedName name="_____________sec888" localSheetId="7">#REF!</definedName>
    <definedName name="_____________sec888" localSheetId="1">#REF!</definedName>
    <definedName name="_____________sec888" localSheetId="3">#REF!</definedName>
    <definedName name="_____________sec888">#REF!</definedName>
    <definedName name="_____________sec89" localSheetId="7">#REF!</definedName>
    <definedName name="_____________sec89" localSheetId="1">#REF!</definedName>
    <definedName name="_____________sec89" localSheetId="3">#REF!</definedName>
    <definedName name="_____________sec89">#REF!</definedName>
    <definedName name="_____________sec899" localSheetId="7">#REF!</definedName>
    <definedName name="_____________sec899" localSheetId="1">#REF!</definedName>
    <definedName name="_____________sec899" localSheetId="3">#REF!</definedName>
    <definedName name="_____________sec899">#REF!</definedName>
    <definedName name="_____________SEC9" localSheetId="7">#REF!</definedName>
    <definedName name="_____________SEC9" localSheetId="1">#REF!</definedName>
    <definedName name="_____________SEC9" localSheetId="3">#REF!</definedName>
    <definedName name="_____________SEC9">#REF!</definedName>
    <definedName name="_____________SEC91" localSheetId="7">#REF!</definedName>
    <definedName name="_____________SEC91" localSheetId="1">#REF!</definedName>
    <definedName name="_____________SEC91" localSheetId="3">#REF!</definedName>
    <definedName name="_____________SEC91">#REF!</definedName>
    <definedName name="_____________ss2" localSheetId="7">#REF!</definedName>
    <definedName name="_____________ss2" localSheetId="1">#REF!</definedName>
    <definedName name="_____________ss2" localSheetId="3">#REF!</definedName>
    <definedName name="_____________ss2">#REF!</definedName>
    <definedName name="_____________tk1" localSheetId="7">#REF!</definedName>
    <definedName name="_____________tk1" localSheetId="1">#REF!</definedName>
    <definedName name="_____________tk1" localSheetId="3">#REF!</definedName>
    <definedName name="_____________tk1">#REF!</definedName>
    <definedName name="_____________xd1" localSheetId="7">#REF!</definedName>
    <definedName name="_____________xd1" localSheetId="1">#REF!</definedName>
    <definedName name="_____________xd1" localSheetId="3">#REF!</definedName>
    <definedName name="_____________xd1">#REF!</definedName>
    <definedName name="_____________XD2" localSheetId="7">#REF!</definedName>
    <definedName name="_____________XD2" localSheetId="1">#REF!</definedName>
    <definedName name="_____________XD2" localSheetId="3">#REF!</definedName>
    <definedName name="_____________XD2">#REF!</definedName>
    <definedName name="_____________xd3" localSheetId="7">#REF!</definedName>
    <definedName name="_____________xd3" localSheetId="1">#REF!</definedName>
    <definedName name="_____________xd3" localSheetId="3">#REF!</definedName>
    <definedName name="_____________xd3">#REF!</definedName>
    <definedName name="_____________zz1" localSheetId="7">#REF!</definedName>
    <definedName name="_____________zz1" localSheetId="1">#REF!</definedName>
    <definedName name="_____________zz1" localSheetId="3">#REF!</definedName>
    <definedName name="_____________zz1">#REF!</definedName>
    <definedName name="____________aaa1" localSheetId="7">#REF!</definedName>
    <definedName name="____________aaa1" localSheetId="1">#REF!</definedName>
    <definedName name="____________aaa1" localSheetId="3">#REF!</definedName>
    <definedName name="____________aaa1">#REF!</definedName>
    <definedName name="____________aaa10" localSheetId="7">#REF!</definedName>
    <definedName name="____________aaa10" localSheetId="1">#REF!</definedName>
    <definedName name="____________aaa10" localSheetId="3">#REF!</definedName>
    <definedName name="____________aaa10">#REF!</definedName>
    <definedName name="____________aaa11" localSheetId="7">#REF!</definedName>
    <definedName name="____________aaa11" localSheetId="1">#REF!</definedName>
    <definedName name="____________aaa11" localSheetId="3">#REF!</definedName>
    <definedName name="____________aaa11">#REF!</definedName>
    <definedName name="____________AAA12" localSheetId="7">#REF!</definedName>
    <definedName name="____________AAA12" localSheetId="1">#REF!</definedName>
    <definedName name="____________AAA12" localSheetId="3">#REF!</definedName>
    <definedName name="____________AAA12">#REF!</definedName>
    <definedName name="____________AAA21" localSheetId="7">#REF!</definedName>
    <definedName name="____________AAA21" localSheetId="1">#REF!</definedName>
    <definedName name="____________AAA21" localSheetId="3">#REF!</definedName>
    <definedName name="____________AAA21">#REF!</definedName>
    <definedName name="____________aaa5" localSheetId="7">#REF!</definedName>
    <definedName name="____________aaa5" localSheetId="1">#REF!</definedName>
    <definedName name="____________aaa5" localSheetId="3">#REF!</definedName>
    <definedName name="____________aaa5">#REF!</definedName>
    <definedName name="____________AAA53" localSheetId="7">#REF!</definedName>
    <definedName name="____________AAA53" localSheetId="1">#REF!</definedName>
    <definedName name="____________AAA53" localSheetId="3">#REF!</definedName>
    <definedName name="____________AAA53">#REF!</definedName>
    <definedName name="____________aaa54" localSheetId="7">#REF!</definedName>
    <definedName name="____________aaa54" localSheetId="1">#REF!</definedName>
    <definedName name="____________aaa54" localSheetId="3">#REF!</definedName>
    <definedName name="____________aaa54">#REF!</definedName>
    <definedName name="____________aaa545" localSheetId="7">#REF!</definedName>
    <definedName name="____________aaa545" localSheetId="1">#REF!</definedName>
    <definedName name="____________aaa545" localSheetId="3">#REF!</definedName>
    <definedName name="____________aaa545">#REF!</definedName>
    <definedName name="____________aaa55" localSheetId="7">#REF!</definedName>
    <definedName name="____________aaa55" localSheetId="1">#REF!</definedName>
    <definedName name="____________aaa55" localSheetId="3">#REF!</definedName>
    <definedName name="____________aaa55">#REF!</definedName>
    <definedName name="____________aaa56" localSheetId="7">#REF!</definedName>
    <definedName name="____________aaa56" localSheetId="1">#REF!</definedName>
    <definedName name="____________aaa56" localSheetId="3">#REF!</definedName>
    <definedName name="____________aaa56">#REF!</definedName>
    <definedName name="____________AAA57" localSheetId="7">#REF!</definedName>
    <definedName name="____________AAA57" localSheetId="1">#REF!</definedName>
    <definedName name="____________AAA57" localSheetId="3">#REF!</definedName>
    <definedName name="____________AAA57">#REF!</definedName>
    <definedName name="____________aaa59" localSheetId="7">#REF!</definedName>
    <definedName name="____________aaa59" localSheetId="1">#REF!</definedName>
    <definedName name="____________aaa59" localSheetId="3">#REF!</definedName>
    <definedName name="____________aaa59">#REF!</definedName>
    <definedName name="____________aad55" localSheetId="7">#REF!</definedName>
    <definedName name="____________aad55" localSheetId="1">#REF!</definedName>
    <definedName name="____________aad55" localSheetId="3">#REF!</definedName>
    <definedName name="____________aad55">#REF!</definedName>
    <definedName name="____________AAD56" localSheetId="7">#REF!</definedName>
    <definedName name="____________AAD56" localSheetId="1">#REF!</definedName>
    <definedName name="____________AAD56" localSheetId="3">#REF!</definedName>
    <definedName name="____________AAD56">#REF!</definedName>
    <definedName name="____________AAD57" localSheetId="7">#REF!</definedName>
    <definedName name="____________AAD57" localSheetId="1">#REF!</definedName>
    <definedName name="____________AAD57" localSheetId="3">#REF!</definedName>
    <definedName name="____________AAD57">#REF!</definedName>
    <definedName name="____________ast1" localSheetId="7">#REF!</definedName>
    <definedName name="____________ast1" localSheetId="1">#REF!</definedName>
    <definedName name="____________ast1" localSheetId="3">#REF!</definedName>
    <definedName name="____________ast1">#REF!</definedName>
    <definedName name="____________ast2" localSheetId="7">#REF!</definedName>
    <definedName name="____________ast2" localSheetId="1">#REF!</definedName>
    <definedName name="____________ast2" localSheetId="3">#REF!</definedName>
    <definedName name="____________ast2">#REF!</definedName>
    <definedName name="____________bbb1" localSheetId="7">#REF!</definedName>
    <definedName name="____________bbb1" localSheetId="1">#REF!</definedName>
    <definedName name="____________bbb1" localSheetId="3">#REF!</definedName>
    <definedName name="____________bbb1">#REF!</definedName>
    <definedName name="____________bol1" localSheetId="7">#REF!</definedName>
    <definedName name="____________bol1" localSheetId="1">#REF!</definedName>
    <definedName name="____________bol1" localSheetId="3">#REF!</definedName>
    <definedName name="____________bol1">#REF!</definedName>
    <definedName name="____________ccc1" localSheetId="7">#REF!</definedName>
    <definedName name="____________ccc1" localSheetId="1">#REF!</definedName>
    <definedName name="____________ccc1" localSheetId="3">#REF!</definedName>
    <definedName name="____________ccc1">#REF!</definedName>
    <definedName name="____________COL14" localSheetId="7">#REF!</definedName>
    <definedName name="____________COL14" localSheetId="1">#REF!</definedName>
    <definedName name="____________COL14" localSheetId="3">#REF!</definedName>
    <definedName name="____________COL14">#REF!</definedName>
    <definedName name="____________COL15" localSheetId="7">#REF!</definedName>
    <definedName name="____________COL15" localSheetId="1">#REF!</definedName>
    <definedName name="____________COL15" localSheetId="3">#REF!</definedName>
    <definedName name="____________COL15">#REF!</definedName>
    <definedName name="____________COL16" localSheetId="7">#REF!</definedName>
    <definedName name="____________COL16" localSheetId="1">#REF!</definedName>
    <definedName name="____________COL16" localSheetId="3">#REF!</definedName>
    <definedName name="____________COL16">#REF!</definedName>
    <definedName name="____________ddd1" localSheetId="7">#REF!</definedName>
    <definedName name="____________ddd1" localSheetId="1">#REF!</definedName>
    <definedName name="____________ddd1" localSheetId="3">#REF!</definedName>
    <definedName name="____________ddd1">#REF!</definedName>
    <definedName name="____________eee1" localSheetId="7">#REF!</definedName>
    <definedName name="____________eee1" localSheetId="1">#REF!</definedName>
    <definedName name="____________eee1" localSheetId="3">#REF!</definedName>
    <definedName name="____________eee1">#REF!</definedName>
    <definedName name="____________exc1" localSheetId="7">#REF!</definedName>
    <definedName name="____________exc1" localSheetId="1">#REF!</definedName>
    <definedName name="____________exc1" localSheetId="3">#REF!</definedName>
    <definedName name="____________exc1">#REF!</definedName>
    <definedName name="____________exc11" localSheetId="7">#REF!</definedName>
    <definedName name="____________exc11" localSheetId="1">#REF!</definedName>
    <definedName name="____________exc11" localSheetId="3">#REF!</definedName>
    <definedName name="____________exc11">#REF!</definedName>
    <definedName name="____________exc2" localSheetId="7">#REF!</definedName>
    <definedName name="____________exc2" localSheetId="1">#REF!</definedName>
    <definedName name="____________exc2" localSheetId="3">#REF!</definedName>
    <definedName name="____________exc2">#REF!</definedName>
    <definedName name="____________EXC3" localSheetId="7">#REF!</definedName>
    <definedName name="____________EXC3" localSheetId="1">#REF!</definedName>
    <definedName name="____________EXC3" localSheetId="3">#REF!</definedName>
    <definedName name="____________EXC3">#REF!</definedName>
    <definedName name="____________EXC4" localSheetId="7">#REF!</definedName>
    <definedName name="____________EXC4" localSheetId="1">#REF!</definedName>
    <definedName name="____________EXC4" localSheetId="3">#REF!</definedName>
    <definedName name="____________EXC4">#REF!</definedName>
    <definedName name="____________fff1" localSheetId="7">#REF!</definedName>
    <definedName name="____________fff1" localSheetId="1">#REF!</definedName>
    <definedName name="____________fff1" localSheetId="3">#REF!</definedName>
    <definedName name="____________fff1">#REF!</definedName>
    <definedName name="____________foo1" localSheetId="7">#REF!</definedName>
    <definedName name="____________foo1" localSheetId="1">#REF!</definedName>
    <definedName name="____________foo1" localSheetId="3">#REF!</definedName>
    <definedName name="____________foo1">#REF!</definedName>
    <definedName name="____________foo2" localSheetId="7">#REF!</definedName>
    <definedName name="____________foo2" localSheetId="1">#REF!</definedName>
    <definedName name="____________foo2" localSheetId="3">#REF!</definedName>
    <definedName name="____________foo2">#REF!</definedName>
    <definedName name="____________foo3" localSheetId="7">#REF!</definedName>
    <definedName name="____________foo3" localSheetId="1">#REF!</definedName>
    <definedName name="____________foo3" localSheetId="3">#REF!</definedName>
    <definedName name="____________foo3">#REF!</definedName>
    <definedName name="____________FOO4" localSheetId="7">#REF!</definedName>
    <definedName name="____________FOO4" localSheetId="1">#REF!</definedName>
    <definedName name="____________FOO4" localSheetId="3">#REF!</definedName>
    <definedName name="____________FOO4">#REF!</definedName>
    <definedName name="____________ief1" localSheetId="7">#REF!</definedName>
    <definedName name="____________ief1" localSheetId="1">#REF!</definedName>
    <definedName name="____________ief1" localSheetId="3">#REF!</definedName>
    <definedName name="____________ief1">#REF!</definedName>
    <definedName name="____________ind1" localSheetId="7">#REF!</definedName>
    <definedName name="____________ind1" localSheetId="1">#REF!</definedName>
    <definedName name="____________ind1" localSheetId="3">#REF!</definedName>
    <definedName name="____________ind1">#REF!</definedName>
    <definedName name="____________IND11" localSheetId="7">#REF!</definedName>
    <definedName name="____________IND11" localSheetId="1">#REF!</definedName>
    <definedName name="____________IND11" localSheetId="3">#REF!</definedName>
    <definedName name="____________IND11">#REF!</definedName>
    <definedName name="____________IND31" localSheetId="7">#REF!</definedName>
    <definedName name="____________IND31" localSheetId="1">#REF!</definedName>
    <definedName name="____________IND31" localSheetId="3">#REF!</definedName>
    <definedName name="____________IND31">#REF!</definedName>
    <definedName name="____________IRS1" localSheetId="7">#REF!</definedName>
    <definedName name="____________IRS1" localSheetId="1">#REF!</definedName>
    <definedName name="____________IRS1" localSheetId="3">#REF!</definedName>
    <definedName name="____________IRS1">#REF!</definedName>
    <definedName name="____________KK1" localSheetId="7">#REF!</definedName>
    <definedName name="____________KK1" localSheetId="1">#REF!</definedName>
    <definedName name="____________KK1" localSheetId="3">#REF!</definedName>
    <definedName name="____________KK1">#REF!</definedName>
    <definedName name="____________KK2" localSheetId="7">#REF!</definedName>
    <definedName name="____________KK2" localSheetId="1">#REF!</definedName>
    <definedName name="____________KK2" localSheetId="3">#REF!</definedName>
    <definedName name="____________KK2">#REF!</definedName>
    <definedName name="____________kk3" localSheetId="7">#REF!</definedName>
    <definedName name="____________kk3" localSheetId="1">#REF!</definedName>
    <definedName name="____________kk3" localSheetId="3">#REF!</definedName>
    <definedName name="____________kk3">#REF!</definedName>
    <definedName name="____________kk4" localSheetId="7">#REF!</definedName>
    <definedName name="____________kk4" localSheetId="1">#REF!</definedName>
    <definedName name="____________kk4" localSheetId="3">#REF!</definedName>
    <definedName name="____________kk4">#REF!</definedName>
    <definedName name="____________lsc44" localSheetId="7">#REF!</definedName>
    <definedName name="____________lsc44" localSheetId="1">#REF!</definedName>
    <definedName name="____________lsc44" localSheetId="3">#REF!</definedName>
    <definedName name="____________lsc44">#REF!</definedName>
    <definedName name="____________MF1" localSheetId="7">#REF!</definedName>
    <definedName name="____________MF1" localSheetId="1">#REF!</definedName>
    <definedName name="____________MF1" localSheetId="3">#REF!</definedName>
    <definedName name="____________MF1">#REF!</definedName>
    <definedName name="____________MM1" localSheetId="7">#REF!</definedName>
    <definedName name="____________MM1" localSheetId="1">#REF!</definedName>
    <definedName name="____________MM1" localSheetId="3">#REF!</definedName>
    <definedName name="____________MM1">#REF!</definedName>
    <definedName name="____________MM2" localSheetId="7">#REF!</definedName>
    <definedName name="____________MM2" localSheetId="1">#REF!</definedName>
    <definedName name="____________MM2" localSheetId="3">#REF!</definedName>
    <definedName name="____________MM2">#REF!</definedName>
    <definedName name="____________pcc1" localSheetId="7">#REF!</definedName>
    <definedName name="____________pcc1" localSheetId="1">#REF!</definedName>
    <definedName name="____________pcc1" localSheetId="3">#REF!</definedName>
    <definedName name="____________pcc1">#REF!</definedName>
    <definedName name="____________pcc2" localSheetId="7">#REF!</definedName>
    <definedName name="____________pcc2" localSheetId="1">#REF!</definedName>
    <definedName name="____________pcc2" localSheetId="3">#REF!</definedName>
    <definedName name="____________pcc2">#REF!</definedName>
    <definedName name="____________pcc3" localSheetId="7">#REF!</definedName>
    <definedName name="____________pcc3" localSheetId="1">#REF!</definedName>
    <definedName name="____________pcc3" localSheetId="3">#REF!</definedName>
    <definedName name="____________pcc3">#REF!</definedName>
    <definedName name="____________PCC4" localSheetId="7">#REF!</definedName>
    <definedName name="____________PCC4" localSheetId="1">#REF!</definedName>
    <definedName name="____________PCC4" localSheetId="3">#REF!</definedName>
    <definedName name="____________PCC4">#REF!</definedName>
    <definedName name="____________plb1" localSheetId="7">#REF!</definedName>
    <definedName name="____________plb1" localSheetId="1">#REF!</definedName>
    <definedName name="____________plb1" localSheetId="3">#REF!</definedName>
    <definedName name="____________plb1">#REF!</definedName>
    <definedName name="____________plb2" localSheetId="7">#REF!</definedName>
    <definedName name="____________plb2" localSheetId="1">#REF!</definedName>
    <definedName name="____________plb2" localSheetId="3">#REF!</definedName>
    <definedName name="____________plb2">#REF!</definedName>
    <definedName name="____________plb3" localSheetId="7">#REF!</definedName>
    <definedName name="____________plb3" localSheetId="1">#REF!</definedName>
    <definedName name="____________plb3" localSheetId="3">#REF!</definedName>
    <definedName name="____________plb3">#REF!</definedName>
    <definedName name="____________plb4" localSheetId="7">#REF!</definedName>
    <definedName name="____________plb4" localSheetId="1">#REF!</definedName>
    <definedName name="____________plb4" localSheetId="3">#REF!</definedName>
    <definedName name="____________plb4">#REF!</definedName>
    <definedName name="____________S12" localSheetId="7">#REF!</definedName>
    <definedName name="____________S12" localSheetId="1">#REF!</definedName>
    <definedName name="____________S12" localSheetId="3">#REF!</definedName>
    <definedName name="____________S12">#REF!</definedName>
    <definedName name="____________sec1" localSheetId="7">#REF!</definedName>
    <definedName name="____________sec1" localSheetId="1">#REF!</definedName>
    <definedName name="____________sec1" localSheetId="3">#REF!</definedName>
    <definedName name="____________sec1">#REF!</definedName>
    <definedName name="____________sec111" localSheetId="7">#REF!</definedName>
    <definedName name="____________sec111" localSheetId="1">#REF!</definedName>
    <definedName name="____________sec111" localSheetId="3">#REF!</definedName>
    <definedName name="____________sec111">#REF!</definedName>
    <definedName name="____________SEC15" localSheetId="7">#REF!</definedName>
    <definedName name="____________SEC15" localSheetId="1">#REF!</definedName>
    <definedName name="____________SEC15" localSheetId="3">#REF!</definedName>
    <definedName name="____________SEC15">#REF!</definedName>
    <definedName name="____________Sec2" localSheetId="7">#REF!</definedName>
    <definedName name="____________Sec2" localSheetId="1">#REF!</definedName>
    <definedName name="____________Sec2" localSheetId="3">#REF!</definedName>
    <definedName name="____________Sec2">#REF!</definedName>
    <definedName name="____________sec22" localSheetId="7">#REF!</definedName>
    <definedName name="____________sec22" localSheetId="1">#REF!</definedName>
    <definedName name="____________sec22" localSheetId="3">#REF!</definedName>
    <definedName name="____________sec22">#REF!</definedName>
    <definedName name="____________SEC23" localSheetId="7">#REF!</definedName>
    <definedName name="____________SEC23" localSheetId="1">#REF!</definedName>
    <definedName name="____________SEC23" localSheetId="3">#REF!</definedName>
    <definedName name="____________SEC23">#REF!</definedName>
    <definedName name="____________sec3" localSheetId="7">#REF!</definedName>
    <definedName name="____________sec3" localSheetId="1">#REF!</definedName>
    <definedName name="____________sec3" localSheetId="3">#REF!</definedName>
    <definedName name="____________sec3">#REF!</definedName>
    <definedName name="____________SEC32" localSheetId="7">#REF!</definedName>
    <definedName name="____________SEC32" localSheetId="1">#REF!</definedName>
    <definedName name="____________SEC32" localSheetId="3">#REF!</definedName>
    <definedName name="____________SEC32">#REF!</definedName>
    <definedName name="____________sec33" localSheetId="7">#REF!</definedName>
    <definedName name="____________sec33" localSheetId="1">#REF!</definedName>
    <definedName name="____________sec33" localSheetId="3">#REF!</definedName>
    <definedName name="____________sec33">#REF!</definedName>
    <definedName name="____________Sec4" localSheetId="7">#REF!</definedName>
    <definedName name="____________Sec4" localSheetId="1">#REF!</definedName>
    <definedName name="____________Sec4" localSheetId="3">#REF!</definedName>
    <definedName name="____________Sec4">#REF!</definedName>
    <definedName name="____________sec45" localSheetId="7">#REF!</definedName>
    <definedName name="____________sec45" localSheetId="1">#REF!</definedName>
    <definedName name="____________sec45" localSheetId="3">#REF!</definedName>
    <definedName name="____________sec45">#REF!</definedName>
    <definedName name="____________SEC46" localSheetId="7">#REF!</definedName>
    <definedName name="____________SEC46" localSheetId="1">#REF!</definedName>
    <definedName name="____________SEC46" localSheetId="3">#REF!</definedName>
    <definedName name="____________SEC46">#REF!</definedName>
    <definedName name="____________sec5" localSheetId="7">#REF!</definedName>
    <definedName name="____________sec5" localSheetId="1">#REF!</definedName>
    <definedName name="____________sec5" localSheetId="3">#REF!</definedName>
    <definedName name="____________sec5">#REF!</definedName>
    <definedName name="____________sec55" localSheetId="7">#REF!</definedName>
    <definedName name="____________sec55" localSheetId="1">#REF!</definedName>
    <definedName name="____________sec55" localSheetId="3">#REF!</definedName>
    <definedName name="____________sec55">#REF!</definedName>
    <definedName name="____________SEC56" localSheetId="7">#REF!</definedName>
    <definedName name="____________SEC56" localSheetId="1">#REF!</definedName>
    <definedName name="____________SEC56" localSheetId="3">#REF!</definedName>
    <definedName name="____________SEC56">#REF!</definedName>
    <definedName name="____________sec6" localSheetId="7">#REF!</definedName>
    <definedName name="____________sec6" localSheetId="1">#REF!</definedName>
    <definedName name="____________sec6" localSheetId="3">#REF!</definedName>
    <definedName name="____________sec6">#REF!</definedName>
    <definedName name="____________sec66" localSheetId="7">#REF!</definedName>
    <definedName name="____________sec66" localSheetId="1">#REF!</definedName>
    <definedName name="____________sec66" localSheetId="3">#REF!</definedName>
    <definedName name="____________sec66">#REF!</definedName>
    <definedName name="____________SEC67" localSheetId="7">#REF!</definedName>
    <definedName name="____________SEC67" localSheetId="1">#REF!</definedName>
    <definedName name="____________SEC67" localSheetId="3">#REF!</definedName>
    <definedName name="____________SEC67">#REF!</definedName>
    <definedName name="____________sec7" localSheetId="7">#REF!</definedName>
    <definedName name="____________sec7" localSheetId="1">#REF!</definedName>
    <definedName name="____________sec7" localSheetId="3">#REF!</definedName>
    <definedName name="____________sec7">#REF!</definedName>
    <definedName name="____________sec71" localSheetId="7">#REF!</definedName>
    <definedName name="____________sec71" localSheetId="1">#REF!</definedName>
    <definedName name="____________sec71" localSheetId="3">#REF!</definedName>
    <definedName name="____________sec71">#REF!</definedName>
    <definedName name="____________SEC72" localSheetId="7">#REF!</definedName>
    <definedName name="____________SEC72" localSheetId="1">#REF!</definedName>
    <definedName name="____________SEC72" localSheetId="3">#REF!</definedName>
    <definedName name="____________SEC72">#REF!</definedName>
    <definedName name="____________SEC74" localSheetId="7">#REF!</definedName>
    <definedName name="____________SEC74" localSheetId="1">#REF!</definedName>
    <definedName name="____________SEC74" localSheetId="3">#REF!</definedName>
    <definedName name="____________SEC74">#REF!</definedName>
    <definedName name="____________SEC75" localSheetId="7">#REF!</definedName>
    <definedName name="____________SEC75" localSheetId="1">#REF!</definedName>
    <definedName name="____________SEC75" localSheetId="3">#REF!</definedName>
    <definedName name="____________SEC75">#REF!</definedName>
    <definedName name="____________SEC77" localSheetId="7">#REF!</definedName>
    <definedName name="____________SEC77" localSheetId="1">#REF!</definedName>
    <definedName name="____________SEC77" localSheetId="3">#REF!</definedName>
    <definedName name="____________SEC77">#REF!</definedName>
    <definedName name="____________sec777" localSheetId="7">#REF!</definedName>
    <definedName name="____________sec777" localSheetId="1">#REF!</definedName>
    <definedName name="____________sec777" localSheetId="3">#REF!</definedName>
    <definedName name="____________sec777">#REF!</definedName>
    <definedName name="____________sec78" localSheetId="7">#REF!</definedName>
    <definedName name="____________sec78" localSheetId="1">#REF!</definedName>
    <definedName name="____________sec78" localSheetId="3">#REF!</definedName>
    <definedName name="____________sec78">#REF!</definedName>
    <definedName name="____________sec79" localSheetId="7">#REF!</definedName>
    <definedName name="____________sec79" localSheetId="1">#REF!</definedName>
    <definedName name="____________sec79" localSheetId="3">#REF!</definedName>
    <definedName name="____________sec79">#REF!</definedName>
    <definedName name="____________sec8" localSheetId="7">#REF!</definedName>
    <definedName name="____________sec8" localSheetId="1">#REF!</definedName>
    <definedName name="____________sec8" localSheetId="3">#REF!</definedName>
    <definedName name="____________sec8">#REF!</definedName>
    <definedName name="____________sec81" localSheetId="7">#REF!</definedName>
    <definedName name="____________sec81" localSheetId="1">#REF!</definedName>
    <definedName name="____________sec81" localSheetId="3">#REF!</definedName>
    <definedName name="____________sec81">#REF!</definedName>
    <definedName name="____________SEC82" localSheetId="7">#REF!</definedName>
    <definedName name="____________SEC82" localSheetId="1">#REF!</definedName>
    <definedName name="____________SEC82" localSheetId="3">#REF!</definedName>
    <definedName name="____________SEC82">#REF!</definedName>
    <definedName name="____________SEC83" localSheetId="7">#REF!</definedName>
    <definedName name="____________SEC83" localSheetId="1">#REF!</definedName>
    <definedName name="____________SEC83" localSheetId="3">#REF!</definedName>
    <definedName name="____________SEC83">#REF!</definedName>
    <definedName name="____________SEC87" localSheetId="7">#REF!</definedName>
    <definedName name="____________SEC87" localSheetId="1">#REF!</definedName>
    <definedName name="____________SEC87" localSheetId="3">#REF!</definedName>
    <definedName name="____________SEC87">#REF!</definedName>
    <definedName name="____________SEC88" localSheetId="7">#REF!</definedName>
    <definedName name="____________SEC88" localSheetId="1">#REF!</definedName>
    <definedName name="____________SEC88" localSheetId="3">#REF!</definedName>
    <definedName name="____________SEC88">#REF!</definedName>
    <definedName name="____________sec888" localSheetId="7">#REF!</definedName>
    <definedName name="____________sec888" localSheetId="1">#REF!</definedName>
    <definedName name="____________sec888" localSheetId="3">#REF!</definedName>
    <definedName name="____________sec888">#REF!</definedName>
    <definedName name="____________sec89" localSheetId="7">#REF!</definedName>
    <definedName name="____________sec89" localSheetId="1">#REF!</definedName>
    <definedName name="____________sec89" localSheetId="3">#REF!</definedName>
    <definedName name="____________sec89">#REF!</definedName>
    <definedName name="____________sec899" localSheetId="7">#REF!</definedName>
    <definedName name="____________sec899" localSheetId="1">#REF!</definedName>
    <definedName name="____________sec899" localSheetId="3">#REF!</definedName>
    <definedName name="____________sec899">#REF!</definedName>
    <definedName name="____________SEC9" localSheetId="7">#REF!</definedName>
    <definedName name="____________SEC9" localSheetId="1">#REF!</definedName>
    <definedName name="____________SEC9" localSheetId="3">#REF!</definedName>
    <definedName name="____________SEC9">#REF!</definedName>
    <definedName name="____________SEC91" localSheetId="7">#REF!</definedName>
    <definedName name="____________SEC91" localSheetId="1">#REF!</definedName>
    <definedName name="____________SEC91" localSheetId="3">#REF!</definedName>
    <definedName name="____________SEC91">#REF!</definedName>
    <definedName name="____________ss2" localSheetId="7">#REF!</definedName>
    <definedName name="____________ss2" localSheetId="1">#REF!</definedName>
    <definedName name="____________ss2" localSheetId="3">#REF!</definedName>
    <definedName name="____________ss2">#REF!</definedName>
    <definedName name="____________tk1" localSheetId="7">#REF!</definedName>
    <definedName name="____________tk1" localSheetId="1">#REF!</definedName>
    <definedName name="____________tk1" localSheetId="3">#REF!</definedName>
    <definedName name="____________tk1">#REF!</definedName>
    <definedName name="____________xd1" localSheetId="7">#REF!</definedName>
    <definedName name="____________xd1" localSheetId="1">#REF!</definedName>
    <definedName name="____________xd1" localSheetId="3">#REF!</definedName>
    <definedName name="____________xd1">#REF!</definedName>
    <definedName name="____________XD2" localSheetId="7">#REF!</definedName>
    <definedName name="____________XD2" localSheetId="1">#REF!</definedName>
    <definedName name="____________XD2" localSheetId="3">#REF!</definedName>
    <definedName name="____________XD2">#REF!</definedName>
    <definedName name="____________xd3" localSheetId="7">#REF!</definedName>
    <definedName name="____________xd3" localSheetId="1">#REF!</definedName>
    <definedName name="____________xd3" localSheetId="3">#REF!</definedName>
    <definedName name="____________xd3">#REF!</definedName>
    <definedName name="____________zz1" localSheetId="7">#REF!</definedName>
    <definedName name="____________zz1" localSheetId="1">#REF!</definedName>
    <definedName name="____________zz1" localSheetId="3">#REF!</definedName>
    <definedName name="____________zz1">#REF!</definedName>
    <definedName name="___________A655600" localSheetId="7">#REF!</definedName>
    <definedName name="___________A655600" localSheetId="1">#REF!</definedName>
    <definedName name="___________A655600" localSheetId="3">#REF!</definedName>
    <definedName name="___________A655600">#REF!</definedName>
    <definedName name="___________aaa1" localSheetId="7">#REF!</definedName>
    <definedName name="___________aaa1" localSheetId="1">#REF!</definedName>
    <definedName name="___________aaa1" localSheetId="3">#REF!</definedName>
    <definedName name="___________aaa1">#REF!</definedName>
    <definedName name="___________aaa10" localSheetId="7">#REF!</definedName>
    <definedName name="___________aaa10" localSheetId="1">#REF!</definedName>
    <definedName name="___________aaa10" localSheetId="3">#REF!</definedName>
    <definedName name="___________aaa10">#REF!</definedName>
    <definedName name="___________aaa11" localSheetId="7">#REF!</definedName>
    <definedName name="___________aaa11" localSheetId="1">#REF!</definedName>
    <definedName name="___________aaa11" localSheetId="3">#REF!</definedName>
    <definedName name="___________aaa11">#REF!</definedName>
    <definedName name="___________AAA12" localSheetId="7">#REF!</definedName>
    <definedName name="___________AAA12" localSheetId="1">#REF!</definedName>
    <definedName name="___________AAA12" localSheetId="3">#REF!</definedName>
    <definedName name="___________AAA12">#REF!</definedName>
    <definedName name="___________AAA21" localSheetId="7">#REF!</definedName>
    <definedName name="___________AAA21" localSheetId="1">#REF!</definedName>
    <definedName name="___________AAA21" localSheetId="3">#REF!</definedName>
    <definedName name="___________AAA21">#REF!</definedName>
    <definedName name="___________aaa5" localSheetId="7">#REF!</definedName>
    <definedName name="___________aaa5" localSheetId="1">#REF!</definedName>
    <definedName name="___________aaa5" localSheetId="3">#REF!</definedName>
    <definedName name="___________aaa5">#REF!</definedName>
    <definedName name="___________AAA53" localSheetId="7">#REF!</definedName>
    <definedName name="___________AAA53" localSheetId="1">#REF!</definedName>
    <definedName name="___________AAA53" localSheetId="3">#REF!</definedName>
    <definedName name="___________AAA53">#REF!</definedName>
    <definedName name="___________aaa54" localSheetId="7">#REF!</definedName>
    <definedName name="___________aaa54" localSheetId="1">#REF!</definedName>
    <definedName name="___________aaa54" localSheetId="3">#REF!</definedName>
    <definedName name="___________aaa54">#REF!</definedName>
    <definedName name="___________aaa545" localSheetId="7">#REF!</definedName>
    <definedName name="___________aaa545" localSheetId="1">#REF!</definedName>
    <definedName name="___________aaa545" localSheetId="3">#REF!</definedName>
    <definedName name="___________aaa545">#REF!</definedName>
    <definedName name="___________aaa55" localSheetId="7">#REF!</definedName>
    <definedName name="___________aaa55" localSheetId="1">#REF!</definedName>
    <definedName name="___________aaa55" localSheetId="3">#REF!</definedName>
    <definedName name="___________aaa55">#REF!</definedName>
    <definedName name="___________aaa56" localSheetId="7">#REF!</definedName>
    <definedName name="___________aaa56" localSheetId="1">#REF!</definedName>
    <definedName name="___________aaa56" localSheetId="3">#REF!</definedName>
    <definedName name="___________aaa56">#REF!</definedName>
    <definedName name="___________AAA57" localSheetId="7">#REF!</definedName>
    <definedName name="___________AAA57" localSheetId="1">#REF!</definedName>
    <definedName name="___________AAA57" localSheetId="3">#REF!</definedName>
    <definedName name="___________AAA57">#REF!</definedName>
    <definedName name="___________aaa59" localSheetId="7">#REF!</definedName>
    <definedName name="___________aaa59" localSheetId="1">#REF!</definedName>
    <definedName name="___________aaa59" localSheetId="3">#REF!</definedName>
    <definedName name="___________aaa59">#REF!</definedName>
    <definedName name="___________aad55" localSheetId="7">#REF!</definedName>
    <definedName name="___________aad55" localSheetId="1">#REF!</definedName>
    <definedName name="___________aad55" localSheetId="3">#REF!</definedName>
    <definedName name="___________aad55">#REF!</definedName>
    <definedName name="___________AAD56" localSheetId="7">#REF!</definedName>
    <definedName name="___________AAD56" localSheetId="1">#REF!</definedName>
    <definedName name="___________AAD56" localSheetId="3">#REF!</definedName>
    <definedName name="___________AAD56">#REF!</definedName>
    <definedName name="___________AAD57" localSheetId="7">#REF!</definedName>
    <definedName name="___________AAD57" localSheetId="1">#REF!</definedName>
    <definedName name="___________AAD57" localSheetId="3">#REF!</definedName>
    <definedName name="___________AAD57">#REF!</definedName>
    <definedName name="___________ast1" localSheetId="7">#REF!</definedName>
    <definedName name="___________ast1" localSheetId="1">#REF!</definedName>
    <definedName name="___________ast1" localSheetId="3">#REF!</definedName>
    <definedName name="___________ast1">#REF!</definedName>
    <definedName name="___________ast2" localSheetId="7">#REF!</definedName>
    <definedName name="___________ast2" localSheetId="1">#REF!</definedName>
    <definedName name="___________ast2" localSheetId="3">#REF!</definedName>
    <definedName name="___________ast2">#REF!</definedName>
    <definedName name="___________bbb1" localSheetId="7">#REF!</definedName>
    <definedName name="___________bbb1" localSheetId="1">#REF!</definedName>
    <definedName name="___________bbb1" localSheetId="3">#REF!</definedName>
    <definedName name="___________bbb1">#REF!</definedName>
    <definedName name="___________bol1" localSheetId="7">#REF!</definedName>
    <definedName name="___________bol1" localSheetId="1">#REF!</definedName>
    <definedName name="___________bol1" localSheetId="3">#REF!</definedName>
    <definedName name="___________bol1">#REF!</definedName>
    <definedName name="___________ccc1" localSheetId="7">#REF!</definedName>
    <definedName name="___________ccc1" localSheetId="1">#REF!</definedName>
    <definedName name="___________ccc1" localSheetId="3">#REF!</definedName>
    <definedName name="___________ccc1">#REF!</definedName>
    <definedName name="___________COL14" localSheetId="7">#REF!</definedName>
    <definedName name="___________COL14" localSheetId="1">#REF!</definedName>
    <definedName name="___________COL14" localSheetId="3">#REF!</definedName>
    <definedName name="___________COL14">#REF!</definedName>
    <definedName name="___________COL15" localSheetId="7">#REF!</definedName>
    <definedName name="___________COL15" localSheetId="1">#REF!</definedName>
    <definedName name="___________COL15" localSheetId="3">#REF!</definedName>
    <definedName name="___________COL15">#REF!</definedName>
    <definedName name="___________COL16" localSheetId="7">#REF!</definedName>
    <definedName name="___________COL16" localSheetId="1">#REF!</definedName>
    <definedName name="___________COL16" localSheetId="3">#REF!</definedName>
    <definedName name="___________COL16">#REF!</definedName>
    <definedName name="___________ddd1" localSheetId="7">#REF!</definedName>
    <definedName name="___________ddd1" localSheetId="1">#REF!</definedName>
    <definedName name="___________ddd1" localSheetId="3">#REF!</definedName>
    <definedName name="___________ddd1">#REF!</definedName>
    <definedName name="___________eee1" localSheetId="7">#REF!</definedName>
    <definedName name="___________eee1" localSheetId="1">#REF!</definedName>
    <definedName name="___________eee1" localSheetId="3">#REF!</definedName>
    <definedName name="___________eee1">#REF!</definedName>
    <definedName name="___________exc1" localSheetId="7">#REF!</definedName>
    <definedName name="___________exc1" localSheetId="1">#REF!</definedName>
    <definedName name="___________exc1" localSheetId="3">#REF!</definedName>
    <definedName name="___________exc1">#REF!</definedName>
    <definedName name="___________exc11" localSheetId="7">#REF!</definedName>
    <definedName name="___________exc11" localSheetId="1">#REF!</definedName>
    <definedName name="___________exc11" localSheetId="3">#REF!</definedName>
    <definedName name="___________exc11">#REF!</definedName>
    <definedName name="___________exc2" localSheetId="7">#REF!</definedName>
    <definedName name="___________exc2" localSheetId="1">#REF!</definedName>
    <definedName name="___________exc2" localSheetId="3">#REF!</definedName>
    <definedName name="___________exc2">#REF!</definedName>
    <definedName name="___________EXC3" localSheetId="7">#REF!</definedName>
    <definedName name="___________EXC3" localSheetId="1">#REF!</definedName>
    <definedName name="___________EXC3" localSheetId="3">#REF!</definedName>
    <definedName name="___________EXC3">#REF!</definedName>
    <definedName name="___________EXC4" localSheetId="7">#REF!</definedName>
    <definedName name="___________EXC4" localSheetId="1">#REF!</definedName>
    <definedName name="___________EXC4" localSheetId="3">#REF!</definedName>
    <definedName name="___________EXC4">#REF!</definedName>
    <definedName name="___________fff1" localSheetId="7">#REF!</definedName>
    <definedName name="___________fff1" localSheetId="1">#REF!</definedName>
    <definedName name="___________fff1" localSheetId="3">#REF!</definedName>
    <definedName name="___________fff1">#REF!</definedName>
    <definedName name="___________foo1" localSheetId="7">#REF!</definedName>
    <definedName name="___________foo1" localSheetId="1">#REF!</definedName>
    <definedName name="___________foo1" localSheetId="3">#REF!</definedName>
    <definedName name="___________foo1">#REF!</definedName>
    <definedName name="___________foo2" localSheetId="7">#REF!</definedName>
    <definedName name="___________foo2" localSheetId="1">#REF!</definedName>
    <definedName name="___________foo2" localSheetId="3">#REF!</definedName>
    <definedName name="___________foo2">#REF!</definedName>
    <definedName name="___________foo3" localSheetId="7">#REF!</definedName>
    <definedName name="___________foo3" localSheetId="1">#REF!</definedName>
    <definedName name="___________foo3" localSheetId="3">#REF!</definedName>
    <definedName name="___________foo3">#REF!</definedName>
    <definedName name="___________FOO4" localSheetId="7">#REF!</definedName>
    <definedName name="___________FOO4" localSheetId="1">#REF!</definedName>
    <definedName name="___________FOO4" localSheetId="3">#REF!</definedName>
    <definedName name="___________FOO4">#REF!</definedName>
    <definedName name="___________ief1" localSheetId="7">#REF!</definedName>
    <definedName name="___________ief1" localSheetId="1">#REF!</definedName>
    <definedName name="___________ief1" localSheetId="3">#REF!</definedName>
    <definedName name="___________ief1">#REF!</definedName>
    <definedName name="___________ind1" localSheetId="7">#REF!</definedName>
    <definedName name="___________ind1" localSheetId="1">#REF!</definedName>
    <definedName name="___________ind1" localSheetId="3">#REF!</definedName>
    <definedName name="___________ind1">#REF!</definedName>
    <definedName name="___________IND11" localSheetId="7">#REF!</definedName>
    <definedName name="___________IND11" localSheetId="1">#REF!</definedName>
    <definedName name="___________IND11" localSheetId="3">#REF!</definedName>
    <definedName name="___________IND11">#REF!</definedName>
    <definedName name="___________IND31" localSheetId="7">#REF!</definedName>
    <definedName name="___________IND31" localSheetId="1">#REF!</definedName>
    <definedName name="___________IND31" localSheetId="3">#REF!</definedName>
    <definedName name="___________IND31">#REF!</definedName>
    <definedName name="___________IRS1" localSheetId="7">#REF!</definedName>
    <definedName name="___________IRS1" localSheetId="1">#REF!</definedName>
    <definedName name="___________IRS1" localSheetId="3">#REF!</definedName>
    <definedName name="___________IRS1">#REF!</definedName>
    <definedName name="___________KK1" localSheetId="7">#REF!</definedName>
    <definedName name="___________KK1" localSheetId="1">#REF!</definedName>
    <definedName name="___________KK1" localSheetId="3">#REF!</definedName>
    <definedName name="___________KK1">#REF!</definedName>
    <definedName name="___________KK2" localSheetId="7">#REF!</definedName>
    <definedName name="___________KK2" localSheetId="1">#REF!</definedName>
    <definedName name="___________KK2" localSheetId="3">#REF!</definedName>
    <definedName name="___________KK2">#REF!</definedName>
    <definedName name="___________kk3" localSheetId="7">#REF!</definedName>
    <definedName name="___________kk3" localSheetId="1">#REF!</definedName>
    <definedName name="___________kk3" localSheetId="3">#REF!</definedName>
    <definedName name="___________kk3">#REF!</definedName>
    <definedName name="___________kk4" localSheetId="7">#REF!</definedName>
    <definedName name="___________kk4" localSheetId="1">#REF!</definedName>
    <definedName name="___________kk4" localSheetId="3">#REF!</definedName>
    <definedName name="___________kk4">#REF!</definedName>
    <definedName name="___________lsc44" localSheetId="7">#REF!</definedName>
    <definedName name="___________lsc44" localSheetId="1">#REF!</definedName>
    <definedName name="___________lsc44" localSheetId="3">#REF!</definedName>
    <definedName name="___________lsc44">#REF!</definedName>
    <definedName name="___________MF1" localSheetId="7">#REF!</definedName>
    <definedName name="___________MF1" localSheetId="1">#REF!</definedName>
    <definedName name="___________MF1" localSheetId="3">#REF!</definedName>
    <definedName name="___________MF1">#REF!</definedName>
    <definedName name="___________MM1" localSheetId="7">#REF!</definedName>
    <definedName name="___________MM1" localSheetId="1">#REF!</definedName>
    <definedName name="___________MM1" localSheetId="3">#REF!</definedName>
    <definedName name="___________MM1">#REF!</definedName>
    <definedName name="___________MM2" localSheetId="7">#REF!</definedName>
    <definedName name="___________MM2" localSheetId="1">#REF!</definedName>
    <definedName name="___________MM2" localSheetId="3">#REF!</definedName>
    <definedName name="___________MM2">#REF!</definedName>
    <definedName name="___________pcc1" localSheetId="7">#REF!</definedName>
    <definedName name="___________pcc1" localSheetId="1">#REF!</definedName>
    <definedName name="___________pcc1" localSheetId="3">#REF!</definedName>
    <definedName name="___________pcc1">#REF!</definedName>
    <definedName name="___________pcc2" localSheetId="7">#REF!</definedName>
    <definedName name="___________pcc2" localSheetId="1">#REF!</definedName>
    <definedName name="___________pcc2" localSheetId="3">#REF!</definedName>
    <definedName name="___________pcc2">#REF!</definedName>
    <definedName name="___________pcc3" localSheetId="7">#REF!</definedName>
    <definedName name="___________pcc3" localSheetId="1">#REF!</definedName>
    <definedName name="___________pcc3" localSheetId="3">#REF!</definedName>
    <definedName name="___________pcc3">#REF!</definedName>
    <definedName name="___________PCC4" localSheetId="7">#REF!</definedName>
    <definedName name="___________PCC4" localSheetId="1">#REF!</definedName>
    <definedName name="___________PCC4" localSheetId="3">#REF!</definedName>
    <definedName name="___________PCC4">#REF!</definedName>
    <definedName name="___________plb1" localSheetId="7">#REF!</definedName>
    <definedName name="___________plb1" localSheetId="1">#REF!</definedName>
    <definedName name="___________plb1" localSheetId="3">#REF!</definedName>
    <definedName name="___________plb1">#REF!</definedName>
    <definedName name="___________plb2" localSheetId="7">#REF!</definedName>
    <definedName name="___________plb2" localSheetId="1">#REF!</definedName>
    <definedName name="___________plb2" localSheetId="3">#REF!</definedName>
    <definedName name="___________plb2">#REF!</definedName>
    <definedName name="___________plb3" localSheetId="7">#REF!</definedName>
    <definedName name="___________plb3" localSheetId="1">#REF!</definedName>
    <definedName name="___________plb3" localSheetId="3">#REF!</definedName>
    <definedName name="___________plb3">#REF!</definedName>
    <definedName name="___________plb4" localSheetId="7">#REF!</definedName>
    <definedName name="___________plb4" localSheetId="1">#REF!</definedName>
    <definedName name="___________plb4" localSheetId="3">#REF!</definedName>
    <definedName name="___________plb4">#REF!</definedName>
    <definedName name="___________S12" localSheetId="7">#REF!</definedName>
    <definedName name="___________S12" localSheetId="1">#REF!</definedName>
    <definedName name="___________S12" localSheetId="3">#REF!</definedName>
    <definedName name="___________S12">#REF!</definedName>
    <definedName name="___________sec1" localSheetId="7">#REF!</definedName>
    <definedName name="___________sec1" localSheetId="1">#REF!</definedName>
    <definedName name="___________sec1" localSheetId="3">#REF!</definedName>
    <definedName name="___________sec1">#REF!</definedName>
    <definedName name="___________sec111" localSheetId="7">#REF!</definedName>
    <definedName name="___________sec111" localSheetId="1">#REF!</definedName>
    <definedName name="___________sec111" localSheetId="3">#REF!</definedName>
    <definedName name="___________sec111">#REF!</definedName>
    <definedName name="___________SEC15" localSheetId="7">#REF!</definedName>
    <definedName name="___________SEC15" localSheetId="1">#REF!</definedName>
    <definedName name="___________SEC15" localSheetId="3">#REF!</definedName>
    <definedName name="___________SEC15">#REF!</definedName>
    <definedName name="___________Sec2" localSheetId="7">#REF!</definedName>
    <definedName name="___________Sec2" localSheetId="1">#REF!</definedName>
    <definedName name="___________Sec2" localSheetId="3">#REF!</definedName>
    <definedName name="___________Sec2">#REF!</definedName>
    <definedName name="___________sec22" localSheetId="7">#REF!</definedName>
    <definedName name="___________sec22" localSheetId="1">#REF!</definedName>
    <definedName name="___________sec22" localSheetId="3">#REF!</definedName>
    <definedName name="___________sec22">#REF!</definedName>
    <definedName name="___________SEC23" localSheetId="7">#REF!</definedName>
    <definedName name="___________SEC23" localSheetId="1">#REF!</definedName>
    <definedName name="___________SEC23" localSheetId="3">#REF!</definedName>
    <definedName name="___________SEC23">#REF!</definedName>
    <definedName name="___________sec3" localSheetId="7">#REF!</definedName>
    <definedName name="___________sec3" localSheetId="1">#REF!</definedName>
    <definedName name="___________sec3" localSheetId="3">#REF!</definedName>
    <definedName name="___________sec3">#REF!</definedName>
    <definedName name="___________SEC32" localSheetId="7">#REF!</definedName>
    <definedName name="___________SEC32" localSheetId="1">#REF!</definedName>
    <definedName name="___________SEC32" localSheetId="3">#REF!</definedName>
    <definedName name="___________SEC32">#REF!</definedName>
    <definedName name="___________sec33" localSheetId="7">#REF!</definedName>
    <definedName name="___________sec33" localSheetId="1">#REF!</definedName>
    <definedName name="___________sec33" localSheetId="3">#REF!</definedName>
    <definedName name="___________sec33">#REF!</definedName>
    <definedName name="___________Sec4" localSheetId="7">#REF!</definedName>
    <definedName name="___________Sec4" localSheetId="1">#REF!</definedName>
    <definedName name="___________Sec4" localSheetId="3">#REF!</definedName>
    <definedName name="___________Sec4">#REF!</definedName>
    <definedName name="___________sec45" localSheetId="7">#REF!</definedName>
    <definedName name="___________sec45" localSheetId="1">#REF!</definedName>
    <definedName name="___________sec45" localSheetId="3">#REF!</definedName>
    <definedName name="___________sec45">#REF!</definedName>
    <definedName name="___________SEC46" localSheetId="7">#REF!</definedName>
    <definedName name="___________SEC46" localSheetId="1">#REF!</definedName>
    <definedName name="___________SEC46" localSheetId="3">#REF!</definedName>
    <definedName name="___________SEC46">#REF!</definedName>
    <definedName name="___________sec5" localSheetId="7">#REF!</definedName>
    <definedName name="___________sec5" localSheetId="1">#REF!</definedName>
    <definedName name="___________sec5" localSheetId="3">#REF!</definedName>
    <definedName name="___________sec5">#REF!</definedName>
    <definedName name="___________sec55" localSheetId="7">#REF!</definedName>
    <definedName name="___________sec55" localSheetId="1">#REF!</definedName>
    <definedName name="___________sec55" localSheetId="3">#REF!</definedName>
    <definedName name="___________sec55">#REF!</definedName>
    <definedName name="___________SEC56" localSheetId="7">#REF!</definedName>
    <definedName name="___________SEC56" localSheetId="1">#REF!</definedName>
    <definedName name="___________SEC56" localSheetId="3">#REF!</definedName>
    <definedName name="___________SEC56">#REF!</definedName>
    <definedName name="___________sec6" localSheetId="7">#REF!</definedName>
    <definedName name="___________sec6" localSheetId="1">#REF!</definedName>
    <definedName name="___________sec6" localSheetId="3">#REF!</definedName>
    <definedName name="___________sec6">#REF!</definedName>
    <definedName name="___________sec66" localSheetId="7">#REF!</definedName>
    <definedName name="___________sec66" localSheetId="1">#REF!</definedName>
    <definedName name="___________sec66" localSheetId="3">#REF!</definedName>
    <definedName name="___________sec66">#REF!</definedName>
    <definedName name="___________SEC67" localSheetId="7">#REF!</definedName>
    <definedName name="___________SEC67" localSheetId="1">#REF!</definedName>
    <definedName name="___________SEC67" localSheetId="3">#REF!</definedName>
    <definedName name="___________SEC67">#REF!</definedName>
    <definedName name="___________sec7" localSheetId="7">#REF!</definedName>
    <definedName name="___________sec7" localSheetId="1">#REF!</definedName>
    <definedName name="___________sec7" localSheetId="3">#REF!</definedName>
    <definedName name="___________sec7">#REF!</definedName>
    <definedName name="___________sec71" localSheetId="7">#REF!</definedName>
    <definedName name="___________sec71" localSheetId="1">#REF!</definedName>
    <definedName name="___________sec71" localSheetId="3">#REF!</definedName>
    <definedName name="___________sec71">#REF!</definedName>
    <definedName name="___________SEC72" localSheetId="7">#REF!</definedName>
    <definedName name="___________SEC72" localSheetId="1">#REF!</definedName>
    <definedName name="___________SEC72" localSheetId="3">#REF!</definedName>
    <definedName name="___________SEC72">#REF!</definedName>
    <definedName name="___________SEC74" localSheetId="7">#REF!</definedName>
    <definedName name="___________SEC74" localSheetId="1">#REF!</definedName>
    <definedName name="___________SEC74" localSheetId="3">#REF!</definedName>
    <definedName name="___________SEC74">#REF!</definedName>
    <definedName name="___________SEC75" localSheetId="7">#REF!</definedName>
    <definedName name="___________SEC75" localSheetId="1">#REF!</definedName>
    <definedName name="___________SEC75" localSheetId="3">#REF!</definedName>
    <definedName name="___________SEC75">#REF!</definedName>
    <definedName name="___________SEC77" localSheetId="7">#REF!</definedName>
    <definedName name="___________SEC77" localSheetId="1">#REF!</definedName>
    <definedName name="___________SEC77" localSheetId="3">#REF!</definedName>
    <definedName name="___________SEC77">#REF!</definedName>
    <definedName name="___________sec777" localSheetId="7">#REF!</definedName>
    <definedName name="___________sec777" localSheetId="1">#REF!</definedName>
    <definedName name="___________sec777" localSheetId="3">#REF!</definedName>
    <definedName name="___________sec777">#REF!</definedName>
    <definedName name="___________sec78" localSheetId="7">#REF!</definedName>
    <definedName name="___________sec78" localSheetId="1">#REF!</definedName>
    <definedName name="___________sec78" localSheetId="3">#REF!</definedName>
    <definedName name="___________sec78">#REF!</definedName>
    <definedName name="___________sec79" localSheetId="7">#REF!</definedName>
    <definedName name="___________sec79" localSheetId="1">#REF!</definedName>
    <definedName name="___________sec79" localSheetId="3">#REF!</definedName>
    <definedName name="___________sec79">#REF!</definedName>
    <definedName name="___________sec8" localSheetId="7">#REF!</definedName>
    <definedName name="___________sec8" localSheetId="1">#REF!</definedName>
    <definedName name="___________sec8" localSheetId="3">#REF!</definedName>
    <definedName name="___________sec8">#REF!</definedName>
    <definedName name="___________sec81" localSheetId="7">#REF!</definedName>
    <definedName name="___________sec81" localSheetId="1">#REF!</definedName>
    <definedName name="___________sec81" localSheetId="3">#REF!</definedName>
    <definedName name="___________sec81">#REF!</definedName>
    <definedName name="___________SEC82" localSheetId="7">#REF!</definedName>
    <definedName name="___________SEC82" localSheetId="1">#REF!</definedName>
    <definedName name="___________SEC82" localSheetId="3">#REF!</definedName>
    <definedName name="___________SEC82">#REF!</definedName>
    <definedName name="___________SEC83" localSheetId="7">#REF!</definedName>
    <definedName name="___________SEC83" localSheetId="1">#REF!</definedName>
    <definedName name="___________SEC83" localSheetId="3">#REF!</definedName>
    <definedName name="___________SEC83">#REF!</definedName>
    <definedName name="___________SEC87" localSheetId="7">#REF!</definedName>
    <definedName name="___________SEC87" localSheetId="1">#REF!</definedName>
    <definedName name="___________SEC87" localSheetId="3">#REF!</definedName>
    <definedName name="___________SEC87">#REF!</definedName>
    <definedName name="___________SEC88" localSheetId="7">#REF!</definedName>
    <definedName name="___________SEC88" localSheetId="1">#REF!</definedName>
    <definedName name="___________SEC88" localSheetId="3">#REF!</definedName>
    <definedName name="___________SEC88">#REF!</definedName>
    <definedName name="___________sec888" localSheetId="7">#REF!</definedName>
    <definedName name="___________sec888" localSheetId="1">#REF!</definedName>
    <definedName name="___________sec888" localSheetId="3">#REF!</definedName>
    <definedName name="___________sec888">#REF!</definedName>
    <definedName name="___________sec89" localSheetId="7">#REF!</definedName>
    <definedName name="___________sec89" localSheetId="1">#REF!</definedName>
    <definedName name="___________sec89" localSheetId="3">#REF!</definedName>
    <definedName name="___________sec89">#REF!</definedName>
    <definedName name="___________sec899" localSheetId="7">#REF!</definedName>
    <definedName name="___________sec899" localSheetId="1">#REF!</definedName>
    <definedName name="___________sec899" localSheetId="3">#REF!</definedName>
    <definedName name="___________sec899">#REF!</definedName>
    <definedName name="___________SEC9" localSheetId="7">#REF!</definedName>
    <definedName name="___________SEC9" localSheetId="1">#REF!</definedName>
    <definedName name="___________SEC9" localSheetId="3">#REF!</definedName>
    <definedName name="___________SEC9">#REF!</definedName>
    <definedName name="___________SEC91" localSheetId="7">#REF!</definedName>
    <definedName name="___________SEC91" localSheetId="1">#REF!</definedName>
    <definedName name="___________SEC91" localSheetId="3">#REF!</definedName>
    <definedName name="___________SEC91">#REF!</definedName>
    <definedName name="___________SH1" localSheetId="7">#REF!</definedName>
    <definedName name="___________SH1" localSheetId="1">#REF!</definedName>
    <definedName name="___________SH1" localSheetId="3">#REF!</definedName>
    <definedName name="___________SH1">#REF!</definedName>
    <definedName name="___________SH2" localSheetId="7">#REF!</definedName>
    <definedName name="___________SH2" localSheetId="1">#REF!</definedName>
    <definedName name="___________SH2" localSheetId="3">#REF!</definedName>
    <definedName name="___________SH2">#REF!</definedName>
    <definedName name="___________SH3" localSheetId="7">#REF!</definedName>
    <definedName name="___________SH3" localSheetId="1">#REF!</definedName>
    <definedName name="___________SH3" localSheetId="3">#REF!</definedName>
    <definedName name="___________SH3">#REF!</definedName>
    <definedName name="___________SH4" localSheetId="7">#REF!</definedName>
    <definedName name="___________SH4" localSheetId="1">#REF!</definedName>
    <definedName name="___________SH4" localSheetId="3">#REF!</definedName>
    <definedName name="___________SH4">#REF!</definedName>
    <definedName name="___________SH5" localSheetId="7">#REF!</definedName>
    <definedName name="___________SH5" localSheetId="1">#REF!</definedName>
    <definedName name="___________SH5" localSheetId="3">#REF!</definedName>
    <definedName name="___________SH5">#REF!</definedName>
    <definedName name="___________ss2" localSheetId="7">#REF!</definedName>
    <definedName name="___________ss2" localSheetId="1">#REF!</definedName>
    <definedName name="___________ss2" localSheetId="3">#REF!</definedName>
    <definedName name="___________ss2">#REF!</definedName>
    <definedName name="___________tk1" localSheetId="7">#REF!</definedName>
    <definedName name="___________tk1" localSheetId="1">#REF!</definedName>
    <definedName name="___________tk1" localSheetId="3">#REF!</definedName>
    <definedName name="___________tk1">#REF!</definedName>
    <definedName name="___________xd1" localSheetId="7">#REF!</definedName>
    <definedName name="___________xd1" localSheetId="1">#REF!</definedName>
    <definedName name="___________xd1" localSheetId="3">#REF!</definedName>
    <definedName name="___________xd1">#REF!</definedName>
    <definedName name="___________XD2" localSheetId="7">#REF!</definedName>
    <definedName name="___________XD2" localSheetId="1">#REF!</definedName>
    <definedName name="___________XD2" localSheetId="3">#REF!</definedName>
    <definedName name="___________XD2">#REF!</definedName>
    <definedName name="___________xd3" localSheetId="7">#REF!</definedName>
    <definedName name="___________xd3" localSheetId="1">#REF!</definedName>
    <definedName name="___________xd3" localSheetId="3">#REF!</definedName>
    <definedName name="___________xd3">#REF!</definedName>
    <definedName name="___________zz1" localSheetId="7">#REF!</definedName>
    <definedName name="___________zz1" localSheetId="1">#REF!</definedName>
    <definedName name="___________zz1" localSheetId="3">#REF!</definedName>
    <definedName name="___________zz1">#REF!</definedName>
    <definedName name="__________A655600" localSheetId="7">#REF!</definedName>
    <definedName name="__________A655600" localSheetId="1">#REF!</definedName>
    <definedName name="__________A655600" localSheetId="3">#REF!</definedName>
    <definedName name="__________A655600">#REF!</definedName>
    <definedName name="__________aaa1" localSheetId="7">#REF!</definedName>
    <definedName name="__________aaa1" localSheetId="1">#REF!</definedName>
    <definedName name="__________aaa1" localSheetId="3">#REF!</definedName>
    <definedName name="__________aaa1">#REF!</definedName>
    <definedName name="__________aaa10" localSheetId="7">#REF!</definedName>
    <definedName name="__________aaa10" localSheetId="1">#REF!</definedName>
    <definedName name="__________aaa10" localSheetId="3">#REF!</definedName>
    <definedName name="__________aaa10">#REF!</definedName>
    <definedName name="__________aaa11" localSheetId="7">#REF!</definedName>
    <definedName name="__________aaa11" localSheetId="1">#REF!</definedName>
    <definedName name="__________aaa11" localSheetId="3">#REF!</definedName>
    <definedName name="__________aaa11">#REF!</definedName>
    <definedName name="__________AAA12" localSheetId="7">#REF!</definedName>
    <definedName name="__________AAA12" localSheetId="1">#REF!</definedName>
    <definedName name="__________AAA12" localSheetId="3">#REF!</definedName>
    <definedName name="__________AAA12">#REF!</definedName>
    <definedName name="__________AAA21" localSheetId="7">#REF!</definedName>
    <definedName name="__________AAA21" localSheetId="1">#REF!</definedName>
    <definedName name="__________AAA21" localSheetId="3">#REF!</definedName>
    <definedName name="__________AAA21">#REF!</definedName>
    <definedName name="__________aaa5" localSheetId="7">#REF!</definedName>
    <definedName name="__________aaa5" localSheetId="1">#REF!</definedName>
    <definedName name="__________aaa5" localSheetId="3">#REF!</definedName>
    <definedName name="__________aaa5">#REF!</definedName>
    <definedName name="__________AAA53" localSheetId="7">#REF!</definedName>
    <definedName name="__________AAA53" localSheetId="1">#REF!</definedName>
    <definedName name="__________AAA53" localSheetId="3">#REF!</definedName>
    <definedName name="__________AAA53">#REF!</definedName>
    <definedName name="__________aaa54" localSheetId="7">#REF!</definedName>
    <definedName name="__________aaa54" localSheetId="1">#REF!</definedName>
    <definedName name="__________aaa54" localSheetId="3">#REF!</definedName>
    <definedName name="__________aaa54">#REF!</definedName>
    <definedName name="__________aaa545" localSheetId="7">#REF!</definedName>
    <definedName name="__________aaa545" localSheetId="1">#REF!</definedName>
    <definedName name="__________aaa545" localSheetId="3">#REF!</definedName>
    <definedName name="__________aaa545">#REF!</definedName>
    <definedName name="__________aaa55" localSheetId="7">#REF!</definedName>
    <definedName name="__________aaa55" localSheetId="1">#REF!</definedName>
    <definedName name="__________aaa55" localSheetId="3">#REF!</definedName>
    <definedName name="__________aaa55">#REF!</definedName>
    <definedName name="__________aaa56" localSheetId="7">#REF!</definedName>
    <definedName name="__________aaa56" localSheetId="1">#REF!</definedName>
    <definedName name="__________aaa56" localSheetId="3">#REF!</definedName>
    <definedName name="__________aaa56">#REF!</definedName>
    <definedName name="__________AAA57" localSheetId="7">#REF!</definedName>
    <definedName name="__________AAA57" localSheetId="1">#REF!</definedName>
    <definedName name="__________AAA57" localSheetId="3">#REF!</definedName>
    <definedName name="__________AAA57">#REF!</definedName>
    <definedName name="__________aaa59" localSheetId="7">#REF!</definedName>
    <definedName name="__________aaa59" localSheetId="1">#REF!</definedName>
    <definedName name="__________aaa59" localSheetId="3">#REF!</definedName>
    <definedName name="__________aaa59">#REF!</definedName>
    <definedName name="__________aad55" localSheetId="7">#REF!</definedName>
    <definedName name="__________aad55" localSheetId="1">#REF!</definedName>
    <definedName name="__________aad55" localSheetId="3">#REF!</definedName>
    <definedName name="__________aad55">#REF!</definedName>
    <definedName name="__________AAD56" localSheetId="7">#REF!</definedName>
    <definedName name="__________AAD56" localSheetId="1">#REF!</definedName>
    <definedName name="__________AAD56" localSheetId="3">#REF!</definedName>
    <definedName name="__________AAD56">#REF!</definedName>
    <definedName name="__________AAD57" localSheetId="7">#REF!</definedName>
    <definedName name="__________AAD57" localSheetId="1">#REF!</definedName>
    <definedName name="__________AAD57" localSheetId="3">#REF!</definedName>
    <definedName name="__________AAD57">#REF!</definedName>
    <definedName name="__________ast1" localSheetId="7">#REF!</definedName>
    <definedName name="__________ast1" localSheetId="1">#REF!</definedName>
    <definedName name="__________ast1" localSheetId="3">#REF!</definedName>
    <definedName name="__________ast1">#REF!</definedName>
    <definedName name="__________ast2" localSheetId="7">#REF!</definedName>
    <definedName name="__________ast2" localSheetId="1">#REF!</definedName>
    <definedName name="__________ast2" localSheetId="3">#REF!</definedName>
    <definedName name="__________ast2">#REF!</definedName>
    <definedName name="__________bbb1" localSheetId="7">#REF!</definedName>
    <definedName name="__________bbb1" localSheetId="1">#REF!</definedName>
    <definedName name="__________bbb1" localSheetId="3">#REF!</definedName>
    <definedName name="__________bbb1">#REF!</definedName>
    <definedName name="__________bol1" localSheetId="7">#REF!</definedName>
    <definedName name="__________bol1" localSheetId="1">#REF!</definedName>
    <definedName name="__________bol1" localSheetId="3">#REF!</definedName>
    <definedName name="__________bol1">#REF!</definedName>
    <definedName name="__________ccc1" localSheetId="7">#REF!</definedName>
    <definedName name="__________ccc1" localSheetId="1">#REF!</definedName>
    <definedName name="__________ccc1" localSheetId="3">#REF!</definedName>
    <definedName name="__________ccc1">#REF!</definedName>
    <definedName name="__________COL14" localSheetId="7">#REF!</definedName>
    <definedName name="__________COL14" localSheetId="1">#REF!</definedName>
    <definedName name="__________COL14" localSheetId="3">#REF!</definedName>
    <definedName name="__________COL14">#REF!</definedName>
    <definedName name="__________COL15" localSheetId="7">#REF!</definedName>
    <definedName name="__________COL15" localSheetId="1">#REF!</definedName>
    <definedName name="__________COL15" localSheetId="3">#REF!</definedName>
    <definedName name="__________COL15">#REF!</definedName>
    <definedName name="__________COL16" localSheetId="7">#REF!</definedName>
    <definedName name="__________COL16" localSheetId="1">#REF!</definedName>
    <definedName name="__________COL16" localSheetId="3">#REF!</definedName>
    <definedName name="__________COL16">#REF!</definedName>
    <definedName name="__________ddd1" localSheetId="7">#REF!</definedName>
    <definedName name="__________ddd1" localSheetId="1">#REF!</definedName>
    <definedName name="__________ddd1" localSheetId="3">#REF!</definedName>
    <definedName name="__________ddd1">#REF!</definedName>
    <definedName name="__________eee1" localSheetId="7">#REF!</definedName>
    <definedName name="__________eee1" localSheetId="1">#REF!</definedName>
    <definedName name="__________eee1" localSheetId="3">#REF!</definedName>
    <definedName name="__________eee1">#REF!</definedName>
    <definedName name="__________exc1" localSheetId="7">#REF!</definedName>
    <definedName name="__________exc1" localSheetId="1">#REF!</definedName>
    <definedName name="__________exc1" localSheetId="3">#REF!</definedName>
    <definedName name="__________exc1">#REF!</definedName>
    <definedName name="__________exc11" localSheetId="7">#REF!</definedName>
    <definedName name="__________exc11" localSheetId="1">#REF!</definedName>
    <definedName name="__________exc11" localSheetId="3">#REF!</definedName>
    <definedName name="__________exc11">#REF!</definedName>
    <definedName name="__________exc2" localSheetId="7">#REF!</definedName>
    <definedName name="__________exc2" localSheetId="1">#REF!</definedName>
    <definedName name="__________exc2" localSheetId="3">#REF!</definedName>
    <definedName name="__________exc2">#REF!</definedName>
    <definedName name="__________EXC3" localSheetId="7">#REF!</definedName>
    <definedName name="__________EXC3" localSheetId="1">#REF!</definedName>
    <definedName name="__________EXC3" localSheetId="3">#REF!</definedName>
    <definedName name="__________EXC3">#REF!</definedName>
    <definedName name="__________EXC4" localSheetId="7">#REF!</definedName>
    <definedName name="__________EXC4" localSheetId="1">#REF!</definedName>
    <definedName name="__________EXC4" localSheetId="3">#REF!</definedName>
    <definedName name="__________EXC4">#REF!</definedName>
    <definedName name="__________fff1" localSheetId="7">#REF!</definedName>
    <definedName name="__________fff1" localSheetId="1">#REF!</definedName>
    <definedName name="__________fff1" localSheetId="3">#REF!</definedName>
    <definedName name="__________fff1">#REF!</definedName>
    <definedName name="__________foo1" localSheetId="7">#REF!</definedName>
    <definedName name="__________foo1" localSheetId="1">#REF!</definedName>
    <definedName name="__________foo1" localSheetId="3">#REF!</definedName>
    <definedName name="__________foo1">#REF!</definedName>
    <definedName name="__________foo2" localSheetId="7">#REF!</definedName>
    <definedName name="__________foo2" localSheetId="1">#REF!</definedName>
    <definedName name="__________foo2" localSheetId="3">#REF!</definedName>
    <definedName name="__________foo2">#REF!</definedName>
    <definedName name="__________foo3" localSheetId="7">#REF!</definedName>
    <definedName name="__________foo3" localSheetId="1">#REF!</definedName>
    <definedName name="__________foo3" localSheetId="3">#REF!</definedName>
    <definedName name="__________foo3">#REF!</definedName>
    <definedName name="__________FOO4" localSheetId="7">#REF!</definedName>
    <definedName name="__________FOO4" localSheetId="1">#REF!</definedName>
    <definedName name="__________FOO4" localSheetId="3">#REF!</definedName>
    <definedName name="__________FOO4">#REF!</definedName>
    <definedName name="__________ief1" localSheetId="7">#REF!</definedName>
    <definedName name="__________ief1" localSheetId="1">#REF!</definedName>
    <definedName name="__________ief1" localSheetId="3">#REF!</definedName>
    <definedName name="__________ief1">#REF!</definedName>
    <definedName name="__________ind1" localSheetId="7">#REF!</definedName>
    <definedName name="__________ind1" localSheetId="1">#REF!</definedName>
    <definedName name="__________ind1" localSheetId="3">#REF!</definedName>
    <definedName name="__________ind1">#REF!</definedName>
    <definedName name="__________IND11" localSheetId="7">#REF!</definedName>
    <definedName name="__________IND11" localSheetId="1">#REF!</definedName>
    <definedName name="__________IND11" localSheetId="3">#REF!</definedName>
    <definedName name="__________IND11">#REF!</definedName>
    <definedName name="__________IND31" localSheetId="7">#REF!</definedName>
    <definedName name="__________IND31" localSheetId="1">#REF!</definedName>
    <definedName name="__________IND31" localSheetId="3">#REF!</definedName>
    <definedName name="__________IND31">#REF!</definedName>
    <definedName name="__________IRS1" localSheetId="7">#REF!</definedName>
    <definedName name="__________IRS1" localSheetId="1">#REF!</definedName>
    <definedName name="__________IRS1" localSheetId="3">#REF!</definedName>
    <definedName name="__________IRS1">#REF!</definedName>
    <definedName name="__________Ki1" localSheetId="7">#REF!</definedName>
    <definedName name="__________Ki1" localSheetId="1">#REF!</definedName>
    <definedName name="__________Ki1" localSheetId="3">#REF!</definedName>
    <definedName name="__________Ki1">#REF!</definedName>
    <definedName name="__________Ki2" localSheetId="7">#REF!</definedName>
    <definedName name="__________Ki2" localSheetId="1">#REF!</definedName>
    <definedName name="__________Ki2" localSheetId="3">#REF!</definedName>
    <definedName name="__________Ki2">#REF!</definedName>
    <definedName name="__________KK1" localSheetId="7">#REF!</definedName>
    <definedName name="__________KK1" localSheetId="1">#REF!</definedName>
    <definedName name="__________KK1" localSheetId="3">#REF!</definedName>
    <definedName name="__________KK1">#REF!</definedName>
    <definedName name="__________KK2" localSheetId="7">#REF!</definedName>
    <definedName name="__________KK2" localSheetId="1">#REF!</definedName>
    <definedName name="__________KK2" localSheetId="3">#REF!</definedName>
    <definedName name="__________KK2">#REF!</definedName>
    <definedName name="__________kk3" localSheetId="7">#REF!</definedName>
    <definedName name="__________kk3" localSheetId="1">#REF!</definedName>
    <definedName name="__________kk3" localSheetId="3">#REF!</definedName>
    <definedName name="__________kk3">#REF!</definedName>
    <definedName name="__________kk4" localSheetId="7">#REF!</definedName>
    <definedName name="__________kk4" localSheetId="1">#REF!</definedName>
    <definedName name="__________kk4" localSheetId="3">#REF!</definedName>
    <definedName name="__________kk4">#REF!</definedName>
    <definedName name="__________lsc44" localSheetId="7">#REF!</definedName>
    <definedName name="__________lsc44" localSheetId="1">#REF!</definedName>
    <definedName name="__________lsc44" localSheetId="3">#REF!</definedName>
    <definedName name="__________lsc44">#REF!</definedName>
    <definedName name="__________MF1" localSheetId="7">#REF!</definedName>
    <definedName name="__________MF1" localSheetId="1">#REF!</definedName>
    <definedName name="__________MF1" localSheetId="3">#REF!</definedName>
    <definedName name="__________MF1">#REF!</definedName>
    <definedName name="__________MM1" localSheetId="7">#REF!</definedName>
    <definedName name="__________MM1" localSheetId="1">#REF!</definedName>
    <definedName name="__________MM1" localSheetId="3">#REF!</definedName>
    <definedName name="__________MM1">#REF!</definedName>
    <definedName name="__________MM2" localSheetId="7">#REF!</definedName>
    <definedName name="__________MM2" localSheetId="1">#REF!</definedName>
    <definedName name="__________MM2" localSheetId="3">#REF!</definedName>
    <definedName name="__________MM2">#REF!</definedName>
    <definedName name="__________pcc1" localSheetId="7">#REF!</definedName>
    <definedName name="__________pcc1" localSheetId="1">#REF!</definedName>
    <definedName name="__________pcc1" localSheetId="3">#REF!</definedName>
    <definedName name="__________pcc1">#REF!</definedName>
    <definedName name="__________pcc2" localSheetId="7">#REF!</definedName>
    <definedName name="__________pcc2" localSheetId="1">#REF!</definedName>
    <definedName name="__________pcc2" localSheetId="3">#REF!</definedName>
    <definedName name="__________pcc2">#REF!</definedName>
    <definedName name="__________pcc3" localSheetId="7">#REF!</definedName>
    <definedName name="__________pcc3" localSheetId="1">#REF!</definedName>
    <definedName name="__________pcc3" localSheetId="3">#REF!</definedName>
    <definedName name="__________pcc3">#REF!</definedName>
    <definedName name="__________PCC4" localSheetId="7">#REF!</definedName>
    <definedName name="__________PCC4" localSheetId="1">#REF!</definedName>
    <definedName name="__________PCC4" localSheetId="3">#REF!</definedName>
    <definedName name="__________PCC4">#REF!</definedName>
    <definedName name="__________plb1" localSheetId="7">#REF!</definedName>
    <definedName name="__________plb1" localSheetId="1">#REF!</definedName>
    <definedName name="__________plb1" localSheetId="3">#REF!</definedName>
    <definedName name="__________plb1">#REF!</definedName>
    <definedName name="__________plb2" localSheetId="7">#REF!</definedName>
    <definedName name="__________plb2" localSheetId="1">#REF!</definedName>
    <definedName name="__________plb2" localSheetId="3">#REF!</definedName>
    <definedName name="__________plb2">#REF!</definedName>
    <definedName name="__________plb3" localSheetId="7">#REF!</definedName>
    <definedName name="__________plb3" localSheetId="1">#REF!</definedName>
    <definedName name="__________plb3" localSheetId="3">#REF!</definedName>
    <definedName name="__________plb3">#REF!</definedName>
    <definedName name="__________plb4" localSheetId="7">#REF!</definedName>
    <definedName name="__________plb4" localSheetId="1">#REF!</definedName>
    <definedName name="__________plb4" localSheetId="3">#REF!</definedName>
    <definedName name="__________plb4">#REF!</definedName>
    <definedName name="__________S12" localSheetId="7">#REF!</definedName>
    <definedName name="__________S12" localSheetId="1">#REF!</definedName>
    <definedName name="__________S12" localSheetId="3">#REF!</definedName>
    <definedName name="__________S12">#REF!</definedName>
    <definedName name="__________sec1" localSheetId="7">#REF!</definedName>
    <definedName name="__________sec1" localSheetId="1">#REF!</definedName>
    <definedName name="__________sec1" localSheetId="3">#REF!</definedName>
    <definedName name="__________sec1">#REF!</definedName>
    <definedName name="__________sec111" localSheetId="7">#REF!</definedName>
    <definedName name="__________sec111" localSheetId="1">#REF!</definedName>
    <definedName name="__________sec111" localSheetId="3">#REF!</definedName>
    <definedName name="__________sec111">#REF!</definedName>
    <definedName name="__________SEC15" localSheetId="7">#REF!</definedName>
    <definedName name="__________SEC15" localSheetId="1">#REF!</definedName>
    <definedName name="__________SEC15" localSheetId="3">#REF!</definedName>
    <definedName name="__________SEC15">#REF!</definedName>
    <definedName name="__________Sec2" localSheetId="7">#REF!</definedName>
    <definedName name="__________Sec2" localSheetId="1">#REF!</definedName>
    <definedName name="__________Sec2" localSheetId="3">#REF!</definedName>
    <definedName name="__________Sec2">#REF!</definedName>
    <definedName name="__________sec22" localSheetId="7">#REF!</definedName>
    <definedName name="__________sec22" localSheetId="1">#REF!</definedName>
    <definedName name="__________sec22" localSheetId="3">#REF!</definedName>
    <definedName name="__________sec22">#REF!</definedName>
    <definedName name="__________SEC23" localSheetId="7">#REF!</definedName>
    <definedName name="__________SEC23" localSheetId="1">#REF!</definedName>
    <definedName name="__________SEC23" localSheetId="3">#REF!</definedName>
    <definedName name="__________SEC23">#REF!</definedName>
    <definedName name="__________sec3" localSheetId="7">#REF!</definedName>
    <definedName name="__________sec3" localSheetId="1">#REF!</definedName>
    <definedName name="__________sec3" localSheetId="3">#REF!</definedName>
    <definedName name="__________sec3">#REF!</definedName>
    <definedName name="__________SEC32" localSheetId="7">#REF!</definedName>
    <definedName name="__________SEC32" localSheetId="1">#REF!</definedName>
    <definedName name="__________SEC32" localSheetId="3">#REF!</definedName>
    <definedName name="__________SEC32">#REF!</definedName>
    <definedName name="__________sec33" localSheetId="7">#REF!</definedName>
    <definedName name="__________sec33" localSheetId="1">#REF!</definedName>
    <definedName name="__________sec33" localSheetId="3">#REF!</definedName>
    <definedName name="__________sec33">#REF!</definedName>
    <definedName name="__________Sec4" localSheetId="7">#REF!</definedName>
    <definedName name="__________Sec4" localSheetId="1">#REF!</definedName>
    <definedName name="__________Sec4" localSheetId="3">#REF!</definedName>
    <definedName name="__________Sec4">#REF!</definedName>
    <definedName name="__________sec45" localSheetId="7">#REF!</definedName>
    <definedName name="__________sec45" localSheetId="1">#REF!</definedName>
    <definedName name="__________sec45" localSheetId="3">#REF!</definedName>
    <definedName name="__________sec45">#REF!</definedName>
    <definedName name="__________SEC46" localSheetId="7">#REF!</definedName>
    <definedName name="__________SEC46" localSheetId="1">#REF!</definedName>
    <definedName name="__________SEC46" localSheetId="3">#REF!</definedName>
    <definedName name="__________SEC46">#REF!</definedName>
    <definedName name="__________sec5" localSheetId="7">#REF!</definedName>
    <definedName name="__________sec5" localSheetId="1">#REF!</definedName>
    <definedName name="__________sec5" localSheetId="3">#REF!</definedName>
    <definedName name="__________sec5">#REF!</definedName>
    <definedName name="__________sec55" localSheetId="7">#REF!</definedName>
    <definedName name="__________sec55" localSheetId="1">#REF!</definedName>
    <definedName name="__________sec55" localSheetId="3">#REF!</definedName>
    <definedName name="__________sec55">#REF!</definedName>
    <definedName name="__________SEC56" localSheetId="7">#REF!</definedName>
    <definedName name="__________SEC56" localSheetId="1">#REF!</definedName>
    <definedName name="__________SEC56" localSheetId="3">#REF!</definedName>
    <definedName name="__________SEC56">#REF!</definedName>
    <definedName name="__________sec6" localSheetId="7">#REF!</definedName>
    <definedName name="__________sec6" localSheetId="1">#REF!</definedName>
    <definedName name="__________sec6" localSheetId="3">#REF!</definedName>
    <definedName name="__________sec6">#REF!</definedName>
    <definedName name="__________sec66" localSheetId="7">#REF!</definedName>
    <definedName name="__________sec66" localSheetId="1">#REF!</definedName>
    <definedName name="__________sec66" localSheetId="3">#REF!</definedName>
    <definedName name="__________sec66">#REF!</definedName>
    <definedName name="__________SEC67" localSheetId="7">#REF!</definedName>
    <definedName name="__________SEC67" localSheetId="1">#REF!</definedName>
    <definedName name="__________SEC67" localSheetId="3">#REF!</definedName>
    <definedName name="__________SEC67">#REF!</definedName>
    <definedName name="__________sec7" localSheetId="7">#REF!</definedName>
    <definedName name="__________sec7" localSheetId="1">#REF!</definedName>
    <definedName name="__________sec7" localSheetId="3">#REF!</definedName>
    <definedName name="__________sec7">#REF!</definedName>
    <definedName name="__________sec71" localSheetId="7">#REF!</definedName>
    <definedName name="__________sec71" localSheetId="1">#REF!</definedName>
    <definedName name="__________sec71" localSheetId="3">#REF!</definedName>
    <definedName name="__________sec71">#REF!</definedName>
    <definedName name="__________SEC72" localSheetId="7">#REF!</definedName>
    <definedName name="__________SEC72" localSheetId="1">#REF!</definedName>
    <definedName name="__________SEC72" localSheetId="3">#REF!</definedName>
    <definedName name="__________SEC72">#REF!</definedName>
    <definedName name="__________SEC74" localSheetId="7">#REF!</definedName>
    <definedName name="__________SEC74" localSheetId="1">#REF!</definedName>
    <definedName name="__________SEC74" localSheetId="3">#REF!</definedName>
    <definedName name="__________SEC74">#REF!</definedName>
    <definedName name="__________SEC75" localSheetId="7">#REF!</definedName>
    <definedName name="__________SEC75" localSheetId="1">#REF!</definedName>
    <definedName name="__________SEC75" localSheetId="3">#REF!</definedName>
    <definedName name="__________SEC75">#REF!</definedName>
    <definedName name="__________SEC77" localSheetId="7">#REF!</definedName>
    <definedName name="__________SEC77" localSheetId="1">#REF!</definedName>
    <definedName name="__________SEC77" localSheetId="3">#REF!</definedName>
    <definedName name="__________SEC77">#REF!</definedName>
    <definedName name="__________sec777" localSheetId="7">#REF!</definedName>
    <definedName name="__________sec777" localSheetId="1">#REF!</definedName>
    <definedName name="__________sec777" localSheetId="3">#REF!</definedName>
    <definedName name="__________sec777">#REF!</definedName>
    <definedName name="__________sec78" localSheetId="7">#REF!</definedName>
    <definedName name="__________sec78" localSheetId="1">#REF!</definedName>
    <definedName name="__________sec78" localSheetId="3">#REF!</definedName>
    <definedName name="__________sec78">#REF!</definedName>
    <definedName name="__________sec79" localSheetId="7">#REF!</definedName>
    <definedName name="__________sec79" localSheetId="1">#REF!</definedName>
    <definedName name="__________sec79" localSheetId="3">#REF!</definedName>
    <definedName name="__________sec79">#REF!</definedName>
    <definedName name="__________sec8" localSheetId="7">#REF!</definedName>
    <definedName name="__________sec8" localSheetId="1">#REF!</definedName>
    <definedName name="__________sec8" localSheetId="3">#REF!</definedName>
    <definedName name="__________sec8">#REF!</definedName>
    <definedName name="__________sec81" localSheetId="7">#REF!</definedName>
    <definedName name="__________sec81" localSheetId="1">#REF!</definedName>
    <definedName name="__________sec81" localSheetId="3">#REF!</definedName>
    <definedName name="__________sec81">#REF!</definedName>
    <definedName name="__________SEC82" localSheetId="7">#REF!</definedName>
    <definedName name="__________SEC82" localSheetId="1">#REF!</definedName>
    <definedName name="__________SEC82" localSheetId="3">#REF!</definedName>
    <definedName name="__________SEC82">#REF!</definedName>
    <definedName name="__________SEC83" localSheetId="7">#REF!</definedName>
    <definedName name="__________SEC83" localSheetId="1">#REF!</definedName>
    <definedName name="__________SEC83" localSheetId="3">#REF!</definedName>
    <definedName name="__________SEC83">#REF!</definedName>
    <definedName name="__________SEC87" localSheetId="7">#REF!</definedName>
    <definedName name="__________SEC87" localSheetId="1">#REF!</definedName>
    <definedName name="__________SEC87" localSheetId="3">#REF!</definedName>
    <definedName name="__________SEC87">#REF!</definedName>
    <definedName name="__________SEC88" localSheetId="7">#REF!</definedName>
    <definedName name="__________SEC88" localSheetId="1">#REF!</definedName>
    <definedName name="__________SEC88" localSheetId="3">#REF!</definedName>
    <definedName name="__________SEC88">#REF!</definedName>
    <definedName name="__________sec888" localSheetId="7">#REF!</definedName>
    <definedName name="__________sec888" localSheetId="1">#REF!</definedName>
    <definedName name="__________sec888" localSheetId="3">#REF!</definedName>
    <definedName name="__________sec888">#REF!</definedName>
    <definedName name="__________sec89" localSheetId="7">#REF!</definedName>
    <definedName name="__________sec89" localSheetId="1">#REF!</definedName>
    <definedName name="__________sec89" localSheetId="3">#REF!</definedName>
    <definedName name="__________sec89">#REF!</definedName>
    <definedName name="__________sec899" localSheetId="7">#REF!</definedName>
    <definedName name="__________sec899" localSheetId="1">#REF!</definedName>
    <definedName name="__________sec899" localSheetId="3">#REF!</definedName>
    <definedName name="__________sec899">#REF!</definedName>
    <definedName name="__________SEC9" localSheetId="7">#REF!</definedName>
    <definedName name="__________SEC9" localSheetId="1">#REF!</definedName>
    <definedName name="__________SEC9" localSheetId="3">#REF!</definedName>
    <definedName name="__________SEC9">#REF!</definedName>
    <definedName name="__________SEC91" localSheetId="7">#REF!</definedName>
    <definedName name="__________SEC91" localSheetId="1">#REF!</definedName>
    <definedName name="__________SEC91" localSheetId="3">#REF!</definedName>
    <definedName name="__________SEC91">#REF!</definedName>
    <definedName name="__________SH1" localSheetId="7">#REF!</definedName>
    <definedName name="__________SH1" localSheetId="1">#REF!</definedName>
    <definedName name="__________SH1" localSheetId="3">#REF!</definedName>
    <definedName name="__________SH1">#REF!</definedName>
    <definedName name="__________SH2" localSheetId="7">#REF!</definedName>
    <definedName name="__________SH2" localSheetId="1">#REF!</definedName>
    <definedName name="__________SH2" localSheetId="3">#REF!</definedName>
    <definedName name="__________SH2">#REF!</definedName>
    <definedName name="__________SH3" localSheetId="7">#REF!</definedName>
    <definedName name="__________SH3" localSheetId="1">#REF!</definedName>
    <definedName name="__________SH3" localSheetId="3">#REF!</definedName>
    <definedName name="__________SH3">#REF!</definedName>
    <definedName name="__________SH4" localSheetId="7">#REF!</definedName>
    <definedName name="__________SH4" localSheetId="1">#REF!</definedName>
    <definedName name="__________SH4" localSheetId="3">#REF!</definedName>
    <definedName name="__________SH4">#REF!</definedName>
    <definedName name="__________SH5" localSheetId="7">#REF!</definedName>
    <definedName name="__________SH5" localSheetId="1">#REF!</definedName>
    <definedName name="__________SH5" localSheetId="3">#REF!</definedName>
    <definedName name="__________SH5">#REF!</definedName>
    <definedName name="__________SS2" localSheetId="7">#REF!</definedName>
    <definedName name="__________SS2" localSheetId="1">#REF!</definedName>
    <definedName name="__________SS2" localSheetId="3">#REF!</definedName>
    <definedName name="__________SS2">#REF!</definedName>
    <definedName name="__________tk1" localSheetId="7">#REF!</definedName>
    <definedName name="__________tk1" localSheetId="1">#REF!</definedName>
    <definedName name="__________tk1" localSheetId="3">#REF!</definedName>
    <definedName name="__________tk1">#REF!</definedName>
    <definedName name="__________xd1" localSheetId="7">#REF!</definedName>
    <definedName name="__________xd1" localSheetId="1">#REF!</definedName>
    <definedName name="__________xd1" localSheetId="3">#REF!</definedName>
    <definedName name="__________xd1">#REF!</definedName>
    <definedName name="__________XD2" localSheetId="7">#REF!</definedName>
    <definedName name="__________XD2" localSheetId="1">#REF!</definedName>
    <definedName name="__________XD2" localSheetId="3">#REF!</definedName>
    <definedName name="__________XD2">#REF!</definedName>
    <definedName name="__________xd3" localSheetId="7">#REF!</definedName>
    <definedName name="__________xd3" localSheetId="1">#REF!</definedName>
    <definedName name="__________xd3" localSheetId="3">#REF!</definedName>
    <definedName name="__________xd3">#REF!</definedName>
    <definedName name="__________zz1" localSheetId="7">#REF!</definedName>
    <definedName name="__________zz1" localSheetId="1">#REF!</definedName>
    <definedName name="__________zz1" localSheetId="3">#REF!</definedName>
    <definedName name="__________zz1">#REF!</definedName>
    <definedName name="_________A655600" localSheetId="7">#REF!</definedName>
    <definedName name="_________A655600" localSheetId="1">#REF!</definedName>
    <definedName name="_________A655600" localSheetId="3">#REF!</definedName>
    <definedName name="_________A655600">#REF!</definedName>
    <definedName name="_________aaa1" localSheetId="7">#REF!</definedName>
    <definedName name="_________aaa1" localSheetId="1">#REF!</definedName>
    <definedName name="_________aaa1" localSheetId="3">#REF!</definedName>
    <definedName name="_________aaa1">#REF!</definedName>
    <definedName name="_________aaa10" localSheetId="7">#REF!</definedName>
    <definedName name="_________aaa10" localSheetId="1">#REF!</definedName>
    <definedName name="_________aaa10" localSheetId="3">#REF!</definedName>
    <definedName name="_________aaa10">#REF!</definedName>
    <definedName name="_________aaa11" localSheetId="7">#REF!</definedName>
    <definedName name="_________aaa11" localSheetId="1">#REF!</definedName>
    <definedName name="_________aaa11" localSheetId="3">#REF!</definedName>
    <definedName name="_________aaa11">#REF!</definedName>
    <definedName name="_________AAA12" localSheetId="7">#REF!</definedName>
    <definedName name="_________AAA12" localSheetId="1">#REF!</definedName>
    <definedName name="_________AAA12" localSheetId="3">#REF!</definedName>
    <definedName name="_________AAA12">#REF!</definedName>
    <definedName name="_________AAA21" localSheetId="7">#REF!</definedName>
    <definedName name="_________AAA21" localSheetId="1">#REF!</definedName>
    <definedName name="_________AAA21" localSheetId="3">#REF!</definedName>
    <definedName name="_________AAA21">#REF!</definedName>
    <definedName name="_________aaa5" localSheetId="7">#REF!</definedName>
    <definedName name="_________aaa5" localSheetId="1">#REF!</definedName>
    <definedName name="_________aaa5" localSheetId="3">#REF!</definedName>
    <definedName name="_________aaa5">#REF!</definedName>
    <definedName name="_________AAA51" localSheetId="7">#REF!</definedName>
    <definedName name="_________AAA51" localSheetId="1">#REF!</definedName>
    <definedName name="_________AAA51" localSheetId="3">#REF!</definedName>
    <definedName name="_________AAA51">#REF!</definedName>
    <definedName name="_________AAA53" localSheetId="7">#REF!</definedName>
    <definedName name="_________AAA53" localSheetId="1">#REF!</definedName>
    <definedName name="_________AAA53" localSheetId="3">#REF!</definedName>
    <definedName name="_________AAA53">#REF!</definedName>
    <definedName name="_________aaa54" localSheetId="7">#REF!</definedName>
    <definedName name="_________aaa54" localSheetId="1">#REF!</definedName>
    <definedName name="_________aaa54" localSheetId="3">#REF!</definedName>
    <definedName name="_________aaa54">#REF!</definedName>
    <definedName name="_________aaa545" localSheetId="7">#REF!</definedName>
    <definedName name="_________aaa545" localSheetId="1">#REF!</definedName>
    <definedName name="_________aaa545" localSheetId="3">#REF!</definedName>
    <definedName name="_________aaa545">#REF!</definedName>
    <definedName name="_________aaa55" localSheetId="7">#REF!</definedName>
    <definedName name="_________aaa55" localSheetId="1">#REF!</definedName>
    <definedName name="_________aaa55" localSheetId="3">#REF!</definedName>
    <definedName name="_________aaa55">#REF!</definedName>
    <definedName name="_________aaa56" localSheetId="7">#REF!</definedName>
    <definedName name="_________aaa56" localSheetId="1">#REF!</definedName>
    <definedName name="_________aaa56" localSheetId="3">#REF!</definedName>
    <definedName name="_________aaa56">#REF!</definedName>
    <definedName name="_________AAA57" localSheetId="7">#REF!</definedName>
    <definedName name="_________AAA57" localSheetId="1">#REF!</definedName>
    <definedName name="_________AAA57" localSheetId="3">#REF!</definedName>
    <definedName name="_________AAA57">#REF!</definedName>
    <definedName name="_________aaa59" localSheetId="7">#REF!</definedName>
    <definedName name="_________aaa59" localSheetId="1">#REF!</definedName>
    <definedName name="_________aaa59" localSheetId="3">#REF!</definedName>
    <definedName name="_________aaa59">#REF!</definedName>
    <definedName name="_________AAA6" localSheetId="7">#REF!</definedName>
    <definedName name="_________AAA6" localSheetId="1">#REF!</definedName>
    <definedName name="_________AAA6" localSheetId="3">#REF!</definedName>
    <definedName name="_________AAA6">#REF!</definedName>
    <definedName name="_________AAA7" localSheetId="7">#REF!</definedName>
    <definedName name="_________AAA7" localSheetId="1">#REF!</definedName>
    <definedName name="_________AAA7" localSheetId="3">#REF!</definedName>
    <definedName name="_________AAA7">#REF!</definedName>
    <definedName name="_________AAD5" localSheetId="7">#REF!</definedName>
    <definedName name="_________AAD5" localSheetId="1">#REF!</definedName>
    <definedName name="_________AAD5" localSheetId="3">#REF!</definedName>
    <definedName name="_________AAD5">#REF!</definedName>
    <definedName name="_________aad55" localSheetId="7">#REF!</definedName>
    <definedName name="_________aad55" localSheetId="1">#REF!</definedName>
    <definedName name="_________aad55" localSheetId="3">#REF!</definedName>
    <definedName name="_________aad55">#REF!</definedName>
    <definedName name="_________AAD56" localSheetId="7">#REF!</definedName>
    <definedName name="_________AAD56" localSheetId="1">#REF!</definedName>
    <definedName name="_________AAD56" localSheetId="3">#REF!</definedName>
    <definedName name="_________AAD56">#REF!</definedName>
    <definedName name="_________AAD57" localSheetId="7">#REF!</definedName>
    <definedName name="_________AAD57" localSheetId="1">#REF!</definedName>
    <definedName name="_________AAD57" localSheetId="3">#REF!</definedName>
    <definedName name="_________AAD57">#REF!</definedName>
    <definedName name="_________ast1" localSheetId="7">#REF!</definedName>
    <definedName name="_________ast1" localSheetId="1">#REF!</definedName>
    <definedName name="_________ast1" localSheetId="3">#REF!</definedName>
    <definedName name="_________ast1">#REF!</definedName>
    <definedName name="_________ast2" localSheetId="7">#REF!</definedName>
    <definedName name="_________ast2" localSheetId="1">#REF!</definedName>
    <definedName name="_________ast2" localSheetId="3">#REF!</definedName>
    <definedName name="_________ast2">#REF!</definedName>
    <definedName name="_________bbb1" localSheetId="7">#REF!</definedName>
    <definedName name="_________bbb1" localSheetId="1">#REF!</definedName>
    <definedName name="_________bbb1" localSheetId="3">#REF!</definedName>
    <definedName name="_________bbb1">#REF!</definedName>
    <definedName name="_________bol1" localSheetId="7">#REF!</definedName>
    <definedName name="_________bol1" localSheetId="1">#REF!</definedName>
    <definedName name="_________bol1" localSheetId="3">#REF!</definedName>
    <definedName name="_________bol1">#REF!</definedName>
    <definedName name="_________ccc1" localSheetId="7">#REF!</definedName>
    <definedName name="_________ccc1" localSheetId="1">#REF!</definedName>
    <definedName name="_________ccc1" localSheetId="3">#REF!</definedName>
    <definedName name="_________ccc1">#REF!</definedName>
    <definedName name="_________COL14" localSheetId="7">#REF!</definedName>
    <definedName name="_________COL14" localSheetId="1">#REF!</definedName>
    <definedName name="_________COL14" localSheetId="3">#REF!</definedName>
    <definedName name="_________COL14">#REF!</definedName>
    <definedName name="_________COL15" localSheetId="7">#REF!</definedName>
    <definedName name="_________COL15" localSheetId="1">#REF!</definedName>
    <definedName name="_________COL15" localSheetId="3">#REF!</definedName>
    <definedName name="_________COL15">#REF!</definedName>
    <definedName name="_________COL16" localSheetId="7">#REF!</definedName>
    <definedName name="_________COL16" localSheetId="1">#REF!</definedName>
    <definedName name="_________COL16" localSheetId="3">#REF!</definedName>
    <definedName name="_________COL16">#REF!</definedName>
    <definedName name="_________ddd1" localSheetId="7">#REF!</definedName>
    <definedName name="_________ddd1" localSheetId="1">#REF!</definedName>
    <definedName name="_________ddd1" localSheetId="3">#REF!</definedName>
    <definedName name="_________ddd1">#REF!</definedName>
    <definedName name="_________eee1" localSheetId="7">#REF!</definedName>
    <definedName name="_________eee1" localSheetId="1">#REF!</definedName>
    <definedName name="_________eee1" localSheetId="3">#REF!</definedName>
    <definedName name="_________eee1">#REF!</definedName>
    <definedName name="_________exc1" localSheetId="7">#REF!</definedName>
    <definedName name="_________exc1" localSheetId="1">#REF!</definedName>
    <definedName name="_________exc1" localSheetId="3">#REF!</definedName>
    <definedName name="_________exc1">#REF!</definedName>
    <definedName name="_________exc11" localSheetId="7">#REF!</definedName>
    <definedName name="_________exc11" localSheetId="1">#REF!</definedName>
    <definedName name="_________exc11" localSheetId="3">#REF!</definedName>
    <definedName name="_________exc11">#REF!</definedName>
    <definedName name="_________exc2" localSheetId="7">#REF!</definedName>
    <definedName name="_________exc2" localSheetId="1">#REF!</definedName>
    <definedName name="_________exc2" localSheetId="3">#REF!</definedName>
    <definedName name="_________exc2">#REF!</definedName>
    <definedName name="_________EXC3" localSheetId="7">#REF!</definedName>
    <definedName name="_________EXC3" localSheetId="1">#REF!</definedName>
    <definedName name="_________EXC3" localSheetId="3">#REF!</definedName>
    <definedName name="_________EXC3">#REF!</definedName>
    <definedName name="_________EXC4" localSheetId="7">#REF!</definedName>
    <definedName name="_________EXC4" localSheetId="1">#REF!</definedName>
    <definedName name="_________EXC4" localSheetId="3">#REF!</definedName>
    <definedName name="_________EXC4">#REF!</definedName>
    <definedName name="_________fff1" localSheetId="7">#REF!</definedName>
    <definedName name="_________fff1" localSheetId="1">#REF!</definedName>
    <definedName name="_________fff1" localSheetId="3">#REF!</definedName>
    <definedName name="_________fff1">#REF!</definedName>
    <definedName name="_________foo1" localSheetId="7">#REF!</definedName>
    <definedName name="_________foo1" localSheetId="1">#REF!</definedName>
    <definedName name="_________foo1" localSheetId="3">#REF!</definedName>
    <definedName name="_________foo1">#REF!</definedName>
    <definedName name="_________foo2" localSheetId="7">#REF!</definedName>
    <definedName name="_________foo2" localSheetId="1">#REF!</definedName>
    <definedName name="_________foo2" localSheetId="3">#REF!</definedName>
    <definedName name="_________foo2">#REF!</definedName>
    <definedName name="_________foo3" localSheetId="7">#REF!</definedName>
    <definedName name="_________foo3" localSheetId="1">#REF!</definedName>
    <definedName name="_________foo3" localSheetId="3">#REF!</definedName>
    <definedName name="_________foo3">#REF!</definedName>
    <definedName name="_________FOO4" localSheetId="7">#REF!</definedName>
    <definedName name="_________FOO4" localSheetId="1">#REF!</definedName>
    <definedName name="_________FOO4" localSheetId="3">#REF!</definedName>
    <definedName name="_________FOO4">#REF!</definedName>
    <definedName name="_________ief1" localSheetId="7">#REF!</definedName>
    <definedName name="_________ief1" localSheetId="1">#REF!</definedName>
    <definedName name="_________ief1" localSheetId="3">#REF!</definedName>
    <definedName name="_________ief1">#REF!</definedName>
    <definedName name="_________ind1" localSheetId="7">#REF!</definedName>
    <definedName name="_________ind1" localSheetId="1">#REF!</definedName>
    <definedName name="_________ind1" localSheetId="3">#REF!</definedName>
    <definedName name="_________ind1">#REF!</definedName>
    <definedName name="_________IND11" localSheetId="7">#REF!</definedName>
    <definedName name="_________IND11" localSheetId="1">#REF!</definedName>
    <definedName name="_________IND11" localSheetId="3">#REF!</definedName>
    <definedName name="_________IND11">#REF!</definedName>
    <definedName name="_________IND31" localSheetId="7">#REF!</definedName>
    <definedName name="_________IND31" localSheetId="1">#REF!</definedName>
    <definedName name="_________IND31" localSheetId="3">#REF!</definedName>
    <definedName name="_________IND31">#REF!</definedName>
    <definedName name="_________IRS1" localSheetId="7">#REF!</definedName>
    <definedName name="_________IRS1" localSheetId="1">#REF!</definedName>
    <definedName name="_________IRS1" localSheetId="3">#REF!</definedName>
    <definedName name="_________IRS1">#REF!</definedName>
    <definedName name="_________Ki1" localSheetId="7">#REF!</definedName>
    <definedName name="_________Ki1" localSheetId="1">#REF!</definedName>
    <definedName name="_________Ki1" localSheetId="3">#REF!</definedName>
    <definedName name="_________Ki1">#REF!</definedName>
    <definedName name="_________Ki2" localSheetId="7">#REF!</definedName>
    <definedName name="_________Ki2" localSheetId="1">#REF!</definedName>
    <definedName name="_________Ki2" localSheetId="3">#REF!</definedName>
    <definedName name="_________Ki2">#REF!</definedName>
    <definedName name="_________KK1" localSheetId="7">#REF!</definedName>
    <definedName name="_________KK1" localSheetId="1">#REF!</definedName>
    <definedName name="_________KK1" localSheetId="3">#REF!</definedName>
    <definedName name="_________KK1">#REF!</definedName>
    <definedName name="_________KK2" localSheetId="7">#REF!</definedName>
    <definedName name="_________KK2" localSheetId="1">#REF!</definedName>
    <definedName name="_________KK2" localSheetId="3">#REF!</definedName>
    <definedName name="_________KK2">#REF!</definedName>
    <definedName name="_________kk3" localSheetId="7">#REF!</definedName>
    <definedName name="_________kk3" localSheetId="1">#REF!</definedName>
    <definedName name="_________kk3" localSheetId="3">#REF!</definedName>
    <definedName name="_________kk3">#REF!</definedName>
    <definedName name="_________kk4" localSheetId="7">#REF!</definedName>
    <definedName name="_________kk4" localSheetId="1">#REF!</definedName>
    <definedName name="_________kk4" localSheetId="3">#REF!</definedName>
    <definedName name="_________kk4">#REF!</definedName>
    <definedName name="_________lsc44" localSheetId="7">#REF!</definedName>
    <definedName name="_________lsc44" localSheetId="1">#REF!</definedName>
    <definedName name="_________lsc44" localSheetId="3">#REF!</definedName>
    <definedName name="_________lsc44">#REF!</definedName>
    <definedName name="_________MF1" localSheetId="7">#REF!</definedName>
    <definedName name="_________MF1" localSheetId="1">#REF!</definedName>
    <definedName name="_________MF1" localSheetId="3">#REF!</definedName>
    <definedName name="_________MF1">#REF!</definedName>
    <definedName name="_________MM1" localSheetId="7">#REF!</definedName>
    <definedName name="_________MM1" localSheetId="1">#REF!</definedName>
    <definedName name="_________MM1" localSheetId="3">#REF!</definedName>
    <definedName name="_________MM1">#REF!</definedName>
    <definedName name="_________MM2" localSheetId="7">#REF!</definedName>
    <definedName name="_________MM2" localSheetId="1">#REF!</definedName>
    <definedName name="_________MM2" localSheetId="3">#REF!</definedName>
    <definedName name="_________MM2">#REF!</definedName>
    <definedName name="_________pcc1" localSheetId="7">#REF!</definedName>
    <definedName name="_________pcc1" localSheetId="1">#REF!</definedName>
    <definedName name="_________pcc1" localSheetId="3">#REF!</definedName>
    <definedName name="_________pcc1">#REF!</definedName>
    <definedName name="_________pcc2" localSheetId="7">#REF!</definedName>
    <definedName name="_________pcc2" localSheetId="1">#REF!</definedName>
    <definedName name="_________pcc2" localSheetId="3">#REF!</definedName>
    <definedName name="_________pcc2">#REF!</definedName>
    <definedName name="_________pcc3" localSheetId="7">#REF!</definedName>
    <definedName name="_________pcc3" localSheetId="1">#REF!</definedName>
    <definedName name="_________pcc3" localSheetId="3">#REF!</definedName>
    <definedName name="_________pcc3">#REF!</definedName>
    <definedName name="_________PCC4" localSheetId="7">#REF!</definedName>
    <definedName name="_________PCC4" localSheetId="1">#REF!</definedName>
    <definedName name="_________PCC4" localSheetId="3">#REF!</definedName>
    <definedName name="_________PCC4">#REF!</definedName>
    <definedName name="_________plb1" localSheetId="7">#REF!</definedName>
    <definedName name="_________plb1" localSheetId="1">#REF!</definedName>
    <definedName name="_________plb1" localSheetId="3">#REF!</definedName>
    <definedName name="_________plb1">#REF!</definedName>
    <definedName name="_________plb2" localSheetId="7">#REF!</definedName>
    <definedName name="_________plb2" localSheetId="1">#REF!</definedName>
    <definedName name="_________plb2" localSheetId="3">#REF!</definedName>
    <definedName name="_________plb2">#REF!</definedName>
    <definedName name="_________plb3" localSheetId="7">#REF!</definedName>
    <definedName name="_________plb3" localSheetId="1">#REF!</definedName>
    <definedName name="_________plb3" localSheetId="3">#REF!</definedName>
    <definedName name="_________plb3">#REF!</definedName>
    <definedName name="_________plb4" localSheetId="7">#REF!</definedName>
    <definedName name="_________plb4" localSheetId="1">#REF!</definedName>
    <definedName name="_________plb4" localSheetId="3">#REF!</definedName>
    <definedName name="_________plb4">#REF!</definedName>
    <definedName name="_________S12" localSheetId="7">#REF!</definedName>
    <definedName name="_________S12" localSheetId="1">#REF!</definedName>
    <definedName name="_________S12" localSheetId="3">#REF!</definedName>
    <definedName name="_________S12">#REF!</definedName>
    <definedName name="_________sec1" localSheetId="7">#REF!</definedName>
    <definedName name="_________sec1" localSheetId="1">#REF!</definedName>
    <definedName name="_________sec1" localSheetId="3">#REF!</definedName>
    <definedName name="_________sec1">#REF!</definedName>
    <definedName name="_________sec111" localSheetId="7">#REF!</definedName>
    <definedName name="_________sec111" localSheetId="1">#REF!</definedName>
    <definedName name="_________sec111" localSheetId="3">#REF!</definedName>
    <definedName name="_________sec111">#REF!</definedName>
    <definedName name="_________SEC15" localSheetId="7">#REF!</definedName>
    <definedName name="_________SEC15" localSheetId="1">#REF!</definedName>
    <definedName name="_________SEC15" localSheetId="3">#REF!</definedName>
    <definedName name="_________SEC15">#REF!</definedName>
    <definedName name="_________Sec2" localSheetId="7">#REF!</definedName>
    <definedName name="_________Sec2" localSheetId="1">#REF!</definedName>
    <definedName name="_________Sec2" localSheetId="3">#REF!</definedName>
    <definedName name="_________Sec2">#REF!</definedName>
    <definedName name="_________sec22" localSheetId="7">#REF!</definedName>
    <definedName name="_________sec22" localSheetId="1">#REF!</definedName>
    <definedName name="_________sec22" localSheetId="3">#REF!</definedName>
    <definedName name="_________sec22">#REF!</definedName>
    <definedName name="_________SEC23" localSheetId="7">#REF!</definedName>
    <definedName name="_________SEC23" localSheetId="1">#REF!</definedName>
    <definedName name="_________SEC23" localSheetId="3">#REF!</definedName>
    <definedName name="_________SEC23">#REF!</definedName>
    <definedName name="_________sec3" localSheetId="7">#REF!</definedName>
    <definedName name="_________sec3" localSheetId="1">#REF!</definedName>
    <definedName name="_________sec3" localSheetId="3">#REF!</definedName>
    <definedName name="_________sec3">#REF!</definedName>
    <definedName name="_________SEC32" localSheetId="7">#REF!</definedName>
    <definedName name="_________SEC32" localSheetId="1">#REF!</definedName>
    <definedName name="_________SEC32" localSheetId="3">#REF!</definedName>
    <definedName name="_________SEC32">#REF!</definedName>
    <definedName name="_________sec33" localSheetId="7">#REF!</definedName>
    <definedName name="_________sec33" localSheetId="1">#REF!</definedName>
    <definedName name="_________sec33" localSheetId="3">#REF!</definedName>
    <definedName name="_________sec33">#REF!</definedName>
    <definedName name="_________Sec4" localSheetId="7">#REF!</definedName>
    <definedName name="_________Sec4" localSheetId="1">#REF!</definedName>
    <definedName name="_________Sec4" localSheetId="3">#REF!</definedName>
    <definedName name="_________Sec4">#REF!</definedName>
    <definedName name="_________sec45" localSheetId="7">#REF!</definedName>
    <definedName name="_________sec45" localSheetId="1">#REF!</definedName>
    <definedName name="_________sec45" localSheetId="3">#REF!</definedName>
    <definedName name="_________sec45">#REF!</definedName>
    <definedName name="_________SEC46" localSheetId="7">#REF!</definedName>
    <definedName name="_________SEC46" localSheetId="1">#REF!</definedName>
    <definedName name="_________SEC46" localSheetId="3">#REF!</definedName>
    <definedName name="_________SEC46">#REF!</definedName>
    <definedName name="_________sec5" localSheetId="7">#REF!</definedName>
    <definedName name="_________sec5" localSheetId="1">#REF!</definedName>
    <definedName name="_________sec5" localSheetId="3">#REF!</definedName>
    <definedName name="_________sec5">#REF!</definedName>
    <definedName name="_________sec55" localSheetId="7">#REF!</definedName>
    <definedName name="_________sec55" localSheetId="1">#REF!</definedName>
    <definedName name="_________sec55" localSheetId="3">#REF!</definedName>
    <definedName name="_________sec55">#REF!</definedName>
    <definedName name="_________SEC56" localSheetId="7">#REF!</definedName>
    <definedName name="_________SEC56" localSheetId="1">#REF!</definedName>
    <definedName name="_________SEC56" localSheetId="3">#REF!</definedName>
    <definedName name="_________SEC56">#REF!</definedName>
    <definedName name="_________sec6" localSheetId="7">#REF!</definedName>
    <definedName name="_________sec6" localSheetId="1">#REF!</definedName>
    <definedName name="_________sec6" localSheetId="3">#REF!</definedName>
    <definedName name="_________sec6">#REF!</definedName>
    <definedName name="_________sec66" localSheetId="7">#REF!</definedName>
    <definedName name="_________sec66" localSheetId="1">#REF!</definedName>
    <definedName name="_________sec66" localSheetId="3">#REF!</definedName>
    <definedName name="_________sec66">#REF!</definedName>
    <definedName name="_________SEC67" localSheetId="7">#REF!</definedName>
    <definedName name="_________SEC67" localSheetId="1">#REF!</definedName>
    <definedName name="_________SEC67" localSheetId="3">#REF!</definedName>
    <definedName name="_________SEC67">#REF!</definedName>
    <definedName name="_________sec7" localSheetId="7">#REF!</definedName>
    <definedName name="_________sec7" localSheetId="1">#REF!</definedName>
    <definedName name="_________sec7" localSheetId="3">#REF!</definedName>
    <definedName name="_________sec7">#REF!</definedName>
    <definedName name="_________sec71" localSheetId="7">#REF!</definedName>
    <definedName name="_________sec71" localSheetId="1">#REF!</definedName>
    <definedName name="_________sec71" localSheetId="3">#REF!</definedName>
    <definedName name="_________sec71">#REF!</definedName>
    <definedName name="_________SEC72" localSheetId="7">#REF!</definedName>
    <definedName name="_________SEC72" localSheetId="1">#REF!</definedName>
    <definedName name="_________SEC72" localSheetId="3">#REF!</definedName>
    <definedName name="_________SEC72">#REF!</definedName>
    <definedName name="_________SEC74" localSheetId="7">#REF!</definedName>
    <definedName name="_________SEC74" localSheetId="1">#REF!</definedName>
    <definedName name="_________SEC74" localSheetId="3">#REF!</definedName>
    <definedName name="_________SEC74">#REF!</definedName>
    <definedName name="_________SEC75" localSheetId="7">#REF!</definedName>
    <definedName name="_________SEC75" localSheetId="1">#REF!</definedName>
    <definedName name="_________SEC75" localSheetId="3">#REF!</definedName>
    <definedName name="_________SEC75">#REF!</definedName>
    <definedName name="_________SEC77" localSheetId="7">#REF!</definedName>
    <definedName name="_________SEC77" localSheetId="1">#REF!</definedName>
    <definedName name="_________SEC77" localSheetId="3">#REF!</definedName>
    <definedName name="_________SEC77">#REF!</definedName>
    <definedName name="_________sec777" localSheetId="7">#REF!</definedName>
    <definedName name="_________sec777" localSheetId="1">#REF!</definedName>
    <definedName name="_________sec777" localSheetId="3">#REF!</definedName>
    <definedName name="_________sec777">#REF!</definedName>
    <definedName name="_________sec78" localSheetId="7">#REF!</definedName>
    <definedName name="_________sec78" localSheetId="1">#REF!</definedName>
    <definedName name="_________sec78" localSheetId="3">#REF!</definedName>
    <definedName name="_________sec78">#REF!</definedName>
    <definedName name="_________sec79" localSheetId="7">#REF!</definedName>
    <definedName name="_________sec79" localSheetId="1">#REF!</definedName>
    <definedName name="_________sec79" localSheetId="3">#REF!</definedName>
    <definedName name="_________sec79">#REF!</definedName>
    <definedName name="_________sec8" localSheetId="7">#REF!</definedName>
    <definedName name="_________sec8" localSheetId="1">#REF!</definedName>
    <definedName name="_________sec8" localSheetId="3">#REF!</definedName>
    <definedName name="_________sec8">#REF!</definedName>
    <definedName name="_________sec81" localSheetId="7">#REF!</definedName>
    <definedName name="_________sec81" localSheetId="1">#REF!</definedName>
    <definedName name="_________sec81" localSheetId="3">#REF!</definedName>
    <definedName name="_________sec81">#REF!</definedName>
    <definedName name="_________SEC82" localSheetId="7">#REF!</definedName>
    <definedName name="_________SEC82" localSheetId="1">#REF!</definedName>
    <definedName name="_________SEC82" localSheetId="3">#REF!</definedName>
    <definedName name="_________SEC82">#REF!</definedName>
    <definedName name="_________SEC83" localSheetId="7">#REF!</definedName>
    <definedName name="_________SEC83" localSheetId="1">#REF!</definedName>
    <definedName name="_________SEC83" localSheetId="3">#REF!</definedName>
    <definedName name="_________SEC83">#REF!</definedName>
    <definedName name="_________SEC87" localSheetId="7">#REF!</definedName>
    <definedName name="_________SEC87" localSheetId="1">#REF!</definedName>
    <definedName name="_________SEC87" localSheetId="3">#REF!</definedName>
    <definedName name="_________SEC87">#REF!</definedName>
    <definedName name="_________SEC88" localSheetId="7">#REF!</definedName>
    <definedName name="_________SEC88" localSheetId="1">#REF!</definedName>
    <definedName name="_________SEC88" localSheetId="3">#REF!</definedName>
    <definedName name="_________SEC88">#REF!</definedName>
    <definedName name="_________sec888" localSheetId="7">#REF!</definedName>
    <definedName name="_________sec888" localSheetId="1">#REF!</definedName>
    <definedName name="_________sec888" localSheetId="3">#REF!</definedName>
    <definedName name="_________sec888">#REF!</definedName>
    <definedName name="_________sec89" localSheetId="7">#REF!</definedName>
    <definedName name="_________sec89" localSheetId="1">#REF!</definedName>
    <definedName name="_________sec89" localSheetId="3">#REF!</definedName>
    <definedName name="_________sec89">#REF!</definedName>
    <definedName name="_________sec899" localSheetId="7">#REF!</definedName>
    <definedName name="_________sec899" localSheetId="1">#REF!</definedName>
    <definedName name="_________sec899" localSheetId="3">#REF!</definedName>
    <definedName name="_________sec899">#REF!</definedName>
    <definedName name="_________SEC9" localSheetId="7">#REF!</definedName>
    <definedName name="_________SEC9" localSheetId="1">#REF!</definedName>
    <definedName name="_________SEC9" localSheetId="3">#REF!</definedName>
    <definedName name="_________SEC9">#REF!</definedName>
    <definedName name="_________SEC91" localSheetId="7">#REF!</definedName>
    <definedName name="_________SEC91" localSheetId="1">#REF!</definedName>
    <definedName name="_________SEC91" localSheetId="3">#REF!</definedName>
    <definedName name="_________SEC91">#REF!</definedName>
    <definedName name="_________SH1" localSheetId="7">#REF!</definedName>
    <definedName name="_________SH1" localSheetId="1">#REF!</definedName>
    <definedName name="_________SH1" localSheetId="3">#REF!</definedName>
    <definedName name="_________SH1">#REF!</definedName>
    <definedName name="_________SH2" localSheetId="7">#REF!</definedName>
    <definedName name="_________SH2" localSheetId="1">#REF!</definedName>
    <definedName name="_________SH2" localSheetId="3">#REF!</definedName>
    <definedName name="_________SH2">#REF!</definedName>
    <definedName name="_________SH3" localSheetId="7">#REF!</definedName>
    <definedName name="_________SH3" localSheetId="1">#REF!</definedName>
    <definedName name="_________SH3" localSheetId="3">#REF!</definedName>
    <definedName name="_________SH3">#REF!</definedName>
    <definedName name="_________SH4" localSheetId="7">#REF!</definedName>
    <definedName name="_________SH4" localSheetId="1">#REF!</definedName>
    <definedName name="_________SH4" localSheetId="3">#REF!</definedName>
    <definedName name="_________SH4">#REF!</definedName>
    <definedName name="_________SH5" localSheetId="7">#REF!</definedName>
    <definedName name="_________SH5" localSheetId="1">#REF!</definedName>
    <definedName name="_________SH5" localSheetId="3">#REF!</definedName>
    <definedName name="_________SH5">#REF!</definedName>
    <definedName name="_________SS2" localSheetId="7">#REF!</definedName>
    <definedName name="_________SS2" localSheetId="1">#REF!</definedName>
    <definedName name="_________SS2" localSheetId="3">#REF!</definedName>
    <definedName name="_________SS2">#REF!</definedName>
    <definedName name="_________tk1" localSheetId="7">#REF!</definedName>
    <definedName name="_________tk1" localSheetId="1">#REF!</definedName>
    <definedName name="_________tk1" localSheetId="3">#REF!</definedName>
    <definedName name="_________tk1">#REF!</definedName>
    <definedName name="_________xd1" localSheetId="7">#REF!</definedName>
    <definedName name="_________xd1" localSheetId="1">#REF!</definedName>
    <definedName name="_________xd1" localSheetId="3">#REF!</definedName>
    <definedName name="_________xd1">#REF!</definedName>
    <definedName name="_________XD2" localSheetId="7">#REF!</definedName>
    <definedName name="_________XD2" localSheetId="1">#REF!</definedName>
    <definedName name="_________XD2" localSheetId="3">#REF!</definedName>
    <definedName name="_________XD2">#REF!</definedName>
    <definedName name="_________xd3" localSheetId="7">#REF!</definedName>
    <definedName name="_________xd3" localSheetId="1">#REF!</definedName>
    <definedName name="_________xd3" localSheetId="3">#REF!</definedName>
    <definedName name="_________xd3">#REF!</definedName>
    <definedName name="_________zz1" localSheetId="7">#REF!</definedName>
    <definedName name="_________zz1" localSheetId="1">#REF!</definedName>
    <definedName name="_________zz1" localSheetId="3">#REF!</definedName>
    <definedName name="_________zz1">#REF!</definedName>
    <definedName name="________A655600" localSheetId="7">#REF!</definedName>
    <definedName name="________A655600" localSheetId="1">#REF!</definedName>
    <definedName name="________A655600" localSheetId="3">#REF!</definedName>
    <definedName name="________A655600">#REF!</definedName>
    <definedName name="________aaa1" localSheetId="7">#REF!</definedName>
    <definedName name="________aaa1" localSheetId="1">#REF!</definedName>
    <definedName name="________aaa1" localSheetId="3">#REF!</definedName>
    <definedName name="________aaa1">#REF!</definedName>
    <definedName name="________aaa10" localSheetId="7">#REF!</definedName>
    <definedName name="________aaa10" localSheetId="1">#REF!</definedName>
    <definedName name="________aaa10" localSheetId="3">#REF!</definedName>
    <definedName name="________aaa10">#REF!</definedName>
    <definedName name="________aaa11" localSheetId="7">#REF!</definedName>
    <definedName name="________aaa11" localSheetId="1">#REF!</definedName>
    <definedName name="________aaa11" localSheetId="3">#REF!</definedName>
    <definedName name="________aaa11">#REF!</definedName>
    <definedName name="________AAA12" localSheetId="7">#REF!</definedName>
    <definedName name="________AAA12" localSheetId="1">#REF!</definedName>
    <definedName name="________AAA12" localSheetId="3">#REF!</definedName>
    <definedName name="________AAA12">#REF!</definedName>
    <definedName name="________AAA21" localSheetId="7">#REF!</definedName>
    <definedName name="________AAA21" localSheetId="1">#REF!</definedName>
    <definedName name="________AAA21" localSheetId="3">#REF!</definedName>
    <definedName name="________AAA21">#REF!</definedName>
    <definedName name="________aaa5" localSheetId="7">#REF!</definedName>
    <definedName name="________aaa5" localSheetId="1">#REF!</definedName>
    <definedName name="________aaa5" localSheetId="3">#REF!</definedName>
    <definedName name="________aaa5">#REF!</definedName>
    <definedName name="________AAA51" localSheetId="7">#REF!</definedName>
    <definedName name="________AAA51" localSheetId="1">#REF!</definedName>
    <definedName name="________AAA51" localSheetId="3">#REF!</definedName>
    <definedName name="________AAA51">#REF!</definedName>
    <definedName name="________AAA53" localSheetId="7">#REF!</definedName>
    <definedName name="________AAA53" localSheetId="1">#REF!</definedName>
    <definedName name="________AAA53" localSheetId="3">#REF!</definedName>
    <definedName name="________AAA53">#REF!</definedName>
    <definedName name="________aaa54" localSheetId="7">#REF!</definedName>
    <definedName name="________aaa54" localSheetId="1">#REF!</definedName>
    <definedName name="________aaa54" localSheetId="3">#REF!</definedName>
    <definedName name="________aaa54">#REF!</definedName>
    <definedName name="________aaa545" localSheetId="7">#REF!</definedName>
    <definedName name="________aaa545" localSheetId="1">#REF!</definedName>
    <definedName name="________aaa545" localSheetId="3">#REF!</definedName>
    <definedName name="________aaa545">#REF!</definedName>
    <definedName name="________aaa55" localSheetId="7">#REF!</definedName>
    <definedName name="________aaa55" localSheetId="1">#REF!</definedName>
    <definedName name="________aaa55" localSheetId="3">#REF!</definedName>
    <definedName name="________aaa55">#REF!</definedName>
    <definedName name="________aaa56" localSheetId="7">#REF!</definedName>
    <definedName name="________aaa56" localSheetId="1">#REF!</definedName>
    <definedName name="________aaa56" localSheetId="3">#REF!</definedName>
    <definedName name="________aaa56">#REF!</definedName>
    <definedName name="________AAA57" localSheetId="7">#REF!</definedName>
    <definedName name="________AAA57" localSheetId="1">#REF!</definedName>
    <definedName name="________AAA57" localSheetId="3">#REF!</definedName>
    <definedName name="________AAA57">#REF!</definedName>
    <definedName name="________aaa59" localSheetId="7">#REF!</definedName>
    <definedName name="________aaa59" localSheetId="1">#REF!</definedName>
    <definedName name="________aaa59" localSheetId="3">#REF!</definedName>
    <definedName name="________aaa59">#REF!</definedName>
    <definedName name="________AAA6" localSheetId="7">#REF!</definedName>
    <definedName name="________AAA6" localSheetId="1">#REF!</definedName>
    <definedName name="________AAA6" localSheetId="3">#REF!</definedName>
    <definedName name="________AAA6">#REF!</definedName>
    <definedName name="________AAA7" localSheetId="7">#REF!</definedName>
    <definedName name="________AAA7" localSheetId="1">#REF!</definedName>
    <definedName name="________AAA7" localSheetId="3">#REF!</definedName>
    <definedName name="________AAA7">#REF!</definedName>
    <definedName name="________AAD5" localSheetId="7">#REF!</definedName>
    <definedName name="________AAD5" localSheetId="1">#REF!</definedName>
    <definedName name="________AAD5" localSheetId="3">#REF!</definedName>
    <definedName name="________AAD5">#REF!</definedName>
    <definedName name="________aad55" localSheetId="7">#REF!</definedName>
    <definedName name="________aad55" localSheetId="1">#REF!</definedName>
    <definedName name="________aad55" localSheetId="3">#REF!</definedName>
    <definedName name="________aad55">#REF!</definedName>
    <definedName name="________AAD56" localSheetId="7">#REF!</definedName>
    <definedName name="________AAD56" localSheetId="1">#REF!</definedName>
    <definedName name="________AAD56" localSheetId="3">#REF!</definedName>
    <definedName name="________AAD56">#REF!</definedName>
    <definedName name="________AAD57" localSheetId="7">#REF!</definedName>
    <definedName name="________AAD57" localSheetId="1">#REF!</definedName>
    <definedName name="________AAD57" localSheetId="3">#REF!</definedName>
    <definedName name="________AAD57">#REF!</definedName>
    <definedName name="________ast1" localSheetId="7">#REF!</definedName>
    <definedName name="________ast1" localSheetId="1">#REF!</definedName>
    <definedName name="________ast1" localSheetId="3">#REF!</definedName>
    <definedName name="________ast1">#REF!</definedName>
    <definedName name="________ast2" localSheetId="7">#REF!</definedName>
    <definedName name="________ast2" localSheetId="1">#REF!</definedName>
    <definedName name="________ast2" localSheetId="3">#REF!</definedName>
    <definedName name="________ast2">#REF!</definedName>
    <definedName name="________bbb1" localSheetId="7">#REF!</definedName>
    <definedName name="________bbb1" localSheetId="1">#REF!</definedName>
    <definedName name="________bbb1" localSheetId="3">#REF!</definedName>
    <definedName name="________bbb1">#REF!</definedName>
    <definedName name="________bol1" localSheetId="7">#REF!</definedName>
    <definedName name="________bol1" localSheetId="1">#REF!</definedName>
    <definedName name="________bol1" localSheetId="3">#REF!</definedName>
    <definedName name="________bol1">#REF!</definedName>
    <definedName name="________can430">40.73</definedName>
    <definedName name="________can435">43.3</definedName>
    <definedName name="________ccc1" localSheetId="7">#REF!</definedName>
    <definedName name="________ccc1" localSheetId="1">#REF!</definedName>
    <definedName name="________ccc1" localSheetId="3">#REF!</definedName>
    <definedName name="________ccc1">#REF!</definedName>
    <definedName name="________COL1" localSheetId="7">#REF!</definedName>
    <definedName name="________COL1" localSheetId="1">#REF!</definedName>
    <definedName name="________COL1" localSheetId="3">#REF!</definedName>
    <definedName name="________COL1">#REF!</definedName>
    <definedName name="________COL14" localSheetId="7">#REF!</definedName>
    <definedName name="________COL14" localSheetId="1">#REF!</definedName>
    <definedName name="________COL14" localSheetId="3">#REF!</definedName>
    <definedName name="________COL14">#REF!</definedName>
    <definedName name="________COL15" localSheetId="7">#REF!</definedName>
    <definedName name="________COL15" localSheetId="1">#REF!</definedName>
    <definedName name="________COL15" localSheetId="3">#REF!</definedName>
    <definedName name="________COL15">#REF!</definedName>
    <definedName name="________COL16" localSheetId="7">#REF!</definedName>
    <definedName name="________COL16" localSheetId="1">#REF!</definedName>
    <definedName name="________COL16" localSheetId="3">#REF!</definedName>
    <definedName name="________COL16">#REF!</definedName>
    <definedName name="________ddd1" localSheetId="7">#REF!</definedName>
    <definedName name="________ddd1" localSheetId="1">#REF!</definedName>
    <definedName name="________ddd1" localSheetId="3">#REF!</definedName>
    <definedName name="________ddd1">#REF!</definedName>
    <definedName name="________eee1" localSheetId="7">#REF!</definedName>
    <definedName name="________eee1" localSheetId="1">#REF!</definedName>
    <definedName name="________eee1" localSheetId="3">#REF!</definedName>
    <definedName name="________eee1">#REF!</definedName>
    <definedName name="________exc1" localSheetId="7">#REF!</definedName>
    <definedName name="________exc1" localSheetId="1">#REF!</definedName>
    <definedName name="________exc1" localSheetId="3">#REF!</definedName>
    <definedName name="________exc1">#REF!</definedName>
    <definedName name="________exc11" localSheetId="7">#REF!</definedName>
    <definedName name="________exc11" localSheetId="1">#REF!</definedName>
    <definedName name="________exc11" localSheetId="3">#REF!</definedName>
    <definedName name="________exc11">#REF!</definedName>
    <definedName name="________exc2" localSheetId="7">#REF!</definedName>
    <definedName name="________exc2" localSheetId="1">#REF!</definedName>
    <definedName name="________exc2" localSheetId="3">#REF!</definedName>
    <definedName name="________exc2">#REF!</definedName>
    <definedName name="________EXC3" localSheetId="7">#REF!</definedName>
    <definedName name="________EXC3" localSheetId="1">#REF!</definedName>
    <definedName name="________EXC3" localSheetId="3">#REF!</definedName>
    <definedName name="________EXC3">#REF!</definedName>
    <definedName name="________EXC4" localSheetId="7">#REF!</definedName>
    <definedName name="________EXC4" localSheetId="1">#REF!</definedName>
    <definedName name="________EXC4" localSheetId="3">#REF!</definedName>
    <definedName name="________EXC4">#REF!</definedName>
    <definedName name="________fff1" localSheetId="7">#REF!</definedName>
    <definedName name="________fff1" localSheetId="1">#REF!</definedName>
    <definedName name="________fff1" localSheetId="3">#REF!</definedName>
    <definedName name="________fff1">#REF!</definedName>
    <definedName name="________flx200" localSheetId="7">#REF!</definedName>
    <definedName name="________flx200" localSheetId="1">#REF!</definedName>
    <definedName name="________flx200" localSheetId="3">#REF!</definedName>
    <definedName name="________flx200">#REF!</definedName>
    <definedName name="________flx250" localSheetId="7">#REF!</definedName>
    <definedName name="________flx250" localSheetId="1">#REF!</definedName>
    <definedName name="________flx250" localSheetId="3">#REF!</definedName>
    <definedName name="________flx250">#REF!</definedName>
    <definedName name="________flx300" localSheetId="7">#REF!</definedName>
    <definedName name="________flx300" localSheetId="1">#REF!</definedName>
    <definedName name="________flx300" localSheetId="3">#REF!</definedName>
    <definedName name="________flx300">#REF!</definedName>
    <definedName name="________foo1" localSheetId="7">#REF!</definedName>
    <definedName name="________foo1" localSheetId="1">#REF!</definedName>
    <definedName name="________foo1" localSheetId="3">#REF!</definedName>
    <definedName name="________foo1">#REF!</definedName>
    <definedName name="________foo2" localSheetId="7">#REF!</definedName>
    <definedName name="________foo2" localSheetId="1">#REF!</definedName>
    <definedName name="________foo2" localSheetId="3">#REF!</definedName>
    <definedName name="________foo2">#REF!</definedName>
    <definedName name="________foo3" localSheetId="7">#REF!</definedName>
    <definedName name="________foo3" localSheetId="1">#REF!</definedName>
    <definedName name="________foo3" localSheetId="3">#REF!</definedName>
    <definedName name="________foo3">#REF!</definedName>
    <definedName name="________FOO4" localSheetId="7">#REF!</definedName>
    <definedName name="________FOO4" localSheetId="1">#REF!</definedName>
    <definedName name="________FOO4" localSheetId="3">#REF!</definedName>
    <definedName name="________FOO4">#REF!</definedName>
    <definedName name="________ief1" localSheetId="7">#REF!</definedName>
    <definedName name="________ief1" localSheetId="1">#REF!</definedName>
    <definedName name="________ief1" localSheetId="3">#REF!</definedName>
    <definedName name="________ief1">#REF!</definedName>
    <definedName name="________ind1" localSheetId="7">#REF!</definedName>
    <definedName name="________ind1" localSheetId="1">#REF!</definedName>
    <definedName name="________ind1" localSheetId="3">#REF!</definedName>
    <definedName name="________ind1">#REF!</definedName>
    <definedName name="________IND11" localSheetId="7">#REF!</definedName>
    <definedName name="________IND11" localSheetId="1">#REF!</definedName>
    <definedName name="________IND11" localSheetId="3">#REF!</definedName>
    <definedName name="________IND11">#REF!</definedName>
    <definedName name="________IND31" localSheetId="7">#REF!</definedName>
    <definedName name="________IND31" localSheetId="1">#REF!</definedName>
    <definedName name="________IND31" localSheetId="3">#REF!</definedName>
    <definedName name="________IND31">#REF!</definedName>
    <definedName name="________IRS1" localSheetId="7">#REF!</definedName>
    <definedName name="________IRS1" localSheetId="1">#REF!</definedName>
    <definedName name="________IRS1" localSheetId="3">#REF!</definedName>
    <definedName name="________IRS1">#REF!</definedName>
    <definedName name="________Ki1" localSheetId="7">#REF!</definedName>
    <definedName name="________Ki1" localSheetId="1">#REF!</definedName>
    <definedName name="________Ki1" localSheetId="3">#REF!</definedName>
    <definedName name="________Ki1">#REF!</definedName>
    <definedName name="________Ki2" localSheetId="7">#REF!</definedName>
    <definedName name="________Ki2" localSheetId="1">#REF!</definedName>
    <definedName name="________Ki2" localSheetId="3">#REF!</definedName>
    <definedName name="________Ki2">#REF!</definedName>
    <definedName name="________KK1" localSheetId="7">#REF!</definedName>
    <definedName name="________KK1" localSheetId="1">#REF!</definedName>
    <definedName name="________KK1" localSheetId="3">#REF!</definedName>
    <definedName name="________KK1">#REF!</definedName>
    <definedName name="________KK2" localSheetId="7">#REF!</definedName>
    <definedName name="________KK2" localSheetId="1">#REF!</definedName>
    <definedName name="________KK2" localSheetId="3">#REF!</definedName>
    <definedName name="________KK2">#REF!</definedName>
    <definedName name="________kk3" localSheetId="7">#REF!</definedName>
    <definedName name="________kk3" localSheetId="1">#REF!</definedName>
    <definedName name="________kk3" localSheetId="3">#REF!</definedName>
    <definedName name="________kk3">#REF!</definedName>
    <definedName name="________kk4" localSheetId="7">#REF!</definedName>
    <definedName name="________kk4" localSheetId="1">#REF!</definedName>
    <definedName name="________kk4" localSheetId="3">#REF!</definedName>
    <definedName name="________kk4">#REF!</definedName>
    <definedName name="________lsc44" localSheetId="7">#REF!</definedName>
    <definedName name="________lsc44" localSheetId="1">#REF!</definedName>
    <definedName name="________lsc44" localSheetId="3">#REF!</definedName>
    <definedName name="________lsc44">#REF!</definedName>
    <definedName name="________MAN1" localSheetId="7">#REF!</definedName>
    <definedName name="________MAN1" localSheetId="1">#REF!</definedName>
    <definedName name="________MAN1" localSheetId="3">#REF!</definedName>
    <definedName name="________MAN1">#REF!</definedName>
    <definedName name="________MF1" localSheetId="7">#REF!</definedName>
    <definedName name="________MF1" localSheetId="1">#REF!</definedName>
    <definedName name="________MF1" localSheetId="3">#REF!</definedName>
    <definedName name="________MF1">#REF!</definedName>
    <definedName name="________MM1" localSheetId="7">#REF!</definedName>
    <definedName name="________MM1" localSheetId="1">#REF!</definedName>
    <definedName name="________MM1" localSheetId="3">#REF!</definedName>
    <definedName name="________MM1">#REF!</definedName>
    <definedName name="________MM2" localSheetId="7">#REF!</definedName>
    <definedName name="________MM2" localSheetId="1">#REF!</definedName>
    <definedName name="________MM2" localSheetId="3">#REF!</definedName>
    <definedName name="________MM2">#REF!</definedName>
    <definedName name="________PB1" localSheetId="7">#REF!</definedName>
    <definedName name="________PB1" localSheetId="1">#REF!</definedName>
    <definedName name="________PB1" localSheetId="3">#REF!</definedName>
    <definedName name="________PB1">#REF!</definedName>
    <definedName name="________pcc1" localSheetId="7">#REF!</definedName>
    <definedName name="________pcc1" localSheetId="1">#REF!</definedName>
    <definedName name="________pcc1" localSheetId="3">#REF!</definedName>
    <definedName name="________pcc1">#REF!</definedName>
    <definedName name="________pcc2" localSheetId="7">#REF!</definedName>
    <definedName name="________pcc2" localSheetId="1">#REF!</definedName>
    <definedName name="________pcc2" localSheetId="3">#REF!</definedName>
    <definedName name="________pcc2">#REF!</definedName>
    <definedName name="________pcc3" localSheetId="7">#REF!</definedName>
    <definedName name="________pcc3" localSheetId="1">#REF!</definedName>
    <definedName name="________pcc3" localSheetId="3">#REF!</definedName>
    <definedName name="________pcc3">#REF!</definedName>
    <definedName name="________PCC4" localSheetId="7">#REF!</definedName>
    <definedName name="________PCC4" localSheetId="1">#REF!</definedName>
    <definedName name="________PCC4" localSheetId="3">#REF!</definedName>
    <definedName name="________PCC4">#REF!</definedName>
    <definedName name="________plb1" localSheetId="7">#REF!</definedName>
    <definedName name="________plb1" localSheetId="1">#REF!</definedName>
    <definedName name="________plb1" localSheetId="3">#REF!</definedName>
    <definedName name="________plb1">#REF!</definedName>
    <definedName name="________plb2" localSheetId="7">#REF!</definedName>
    <definedName name="________plb2" localSheetId="1">#REF!</definedName>
    <definedName name="________plb2" localSheetId="3">#REF!</definedName>
    <definedName name="________plb2">#REF!</definedName>
    <definedName name="________plb3" localSheetId="7">#REF!</definedName>
    <definedName name="________plb3" localSheetId="1">#REF!</definedName>
    <definedName name="________plb3" localSheetId="3">#REF!</definedName>
    <definedName name="________plb3">#REF!</definedName>
    <definedName name="________plb4" localSheetId="7">#REF!</definedName>
    <definedName name="________plb4" localSheetId="1">#REF!</definedName>
    <definedName name="________plb4" localSheetId="3">#REF!</definedName>
    <definedName name="________plb4">#REF!</definedName>
    <definedName name="________S12" localSheetId="7">#REF!</definedName>
    <definedName name="________S12" localSheetId="1">#REF!</definedName>
    <definedName name="________S12" localSheetId="3">#REF!</definedName>
    <definedName name="________S12">#REF!</definedName>
    <definedName name="________sec1" localSheetId="7">#REF!</definedName>
    <definedName name="________sec1" localSheetId="1">#REF!</definedName>
    <definedName name="________sec1" localSheetId="3">#REF!</definedName>
    <definedName name="________sec1">#REF!</definedName>
    <definedName name="________sec111" localSheetId="7">#REF!</definedName>
    <definedName name="________sec111" localSheetId="1">#REF!</definedName>
    <definedName name="________sec111" localSheetId="3">#REF!</definedName>
    <definedName name="________sec111">#REF!</definedName>
    <definedName name="________SEC15" localSheetId="7">#REF!</definedName>
    <definedName name="________SEC15" localSheetId="1">#REF!</definedName>
    <definedName name="________SEC15" localSheetId="3">#REF!</definedName>
    <definedName name="________SEC15">#REF!</definedName>
    <definedName name="________Sec2" localSheetId="7">#REF!</definedName>
    <definedName name="________Sec2" localSheetId="1">#REF!</definedName>
    <definedName name="________Sec2" localSheetId="3">#REF!</definedName>
    <definedName name="________Sec2">#REF!</definedName>
    <definedName name="________sec22" localSheetId="7">#REF!</definedName>
    <definedName name="________sec22" localSheetId="1">#REF!</definedName>
    <definedName name="________sec22" localSheetId="3">#REF!</definedName>
    <definedName name="________sec22">#REF!</definedName>
    <definedName name="________SEC23" localSheetId="7">#REF!</definedName>
    <definedName name="________SEC23" localSheetId="1">#REF!</definedName>
    <definedName name="________SEC23" localSheetId="3">#REF!</definedName>
    <definedName name="________SEC23">#REF!</definedName>
    <definedName name="________SEC24" localSheetId="7">#REF!</definedName>
    <definedName name="________SEC24" localSheetId="1">#REF!</definedName>
    <definedName name="________SEC24" localSheetId="3">#REF!</definedName>
    <definedName name="________SEC24">#REF!</definedName>
    <definedName name="________sec3" localSheetId="7">#REF!</definedName>
    <definedName name="________sec3" localSheetId="1">#REF!</definedName>
    <definedName name="________sec3" localSheetId="3">#REF!</definedName>
    <definedName name="________sec3">#REF!</definedName>
    <definedName name="________SEC32" localSheetId="7">#REF!</definedName>
    <definedName name="________SEC32" localSheetId="1">#REF!</definedName>
    <definedName name="________SEC32" localSheetId="3">#REF!</definedName>
    <definedName name="________SEC32">#REF!</definedName>
    <definedName name="________sec33" localSheetId="7">#REF!</definedName>
    <definedName name="________sec33" localSheetId="1">#REF!</definedName>
    <definedName name="________sec33" localSheetId="3">#REF!</definedName>
    <definedName name="________sec33">#REF!</definedName>
    <definedName name="________Sec4" localSheetId="7">#REF!</definedName>
    <definedName name="________Sec4" localSheetId="1">#REF!</definedName>
    <definedName name="________Sec4" localSheetId="3">#REF!</definedName>
    <definedName name="________Sec4">#REF!</definedName>
    <definedName name="________sec45" localSheetId="7">#REF!</definedName>
    <definedName name="________sec45" localSheetId="1">#REF!</definedName>
    <definedName name="________sec45" localSheetId="3">#REF!</definedName>
    <definedName name="________sec45">#REF!</definedName>
    <definedName name="________SEC46" localSheetId="7">#REF!</definedName>
    <definedName name="________SEC46" localSheetId="1">#REF!</definedName>
    <definedName name="________SEC46" localSheetId="3">#REF!</definedName>
    <definedName name="________SEC46">#REF!</definedName>
    <definedName name="________sec5" localSheetId="7">#REF!</definedName>
    <definedName name="________sec5" localSheetId="1">#REF!</definedName>
    <definedName name="________sec5" localSheetId="3">#REF!</definedName>
    <definedName name="________sec5">#REF!</definedName>
    <definedName name="________sec55" localSheetId="7">#REF!</definedName>
    <definedName name="________sec55" localSheetId="1">#REF!</definedName>
    <definedName name="________sec55" localSheetId="3">#REF!</definedName>
    <definedName name="________sec55">#REF!</definedName>
    <definedName name="________SEC56" localSheetId="7">#REF!</definedName>
    <definedName name="________SEC56" localSheetId="1">#REF!</definedName>
    <definedName name="________SEC56" localSheetId="3">#REF!</definedName>
    <definedName name="________SEC56">#REF!</definedName>
    <definedName name="________sec6" localSheetId="7">#REF!</definedName>
    <definedName name="________sec6" localSheetId="1">#REF!</definedName>
    <definedName name="________sec6" localSheetId="3">#REF!</definedName>
    <definedName name="________sec6">#REF!</definedName>
    <definedName name="________sec66" localSheetId="7">#REF!</definedName>
    <definedName name="________sec66" localSheetId="1">#REF!</definedName>
    <definedName name="________sec66" localSheetId="3">#REF!</definedName>
    <definedName name="________sec66">#REF!</definedName>
    <definedName name="________SEC67" localSheetId="7">#REF!</definedName>
    <definedName name="________SEC67" localSheetId="1">#REF!</definedName>
    <definedName name="________SEC67" localSheetId="3">#REF!</definedName>
    <definedName name="________SEC67">#REF!</definedName>
    <definedName name="________sec7" localSheetId="7">#REF!</definedName>
    <definedName name="________sec7" localSheetId="1">#REF!</definedName>
    <definedName name="________sec7" localSheetId="3">#REF!</definedName>
    <definedName name="________sec7">#REF!</definedName>
    <definedName name="________sec71" localSheetId="7">#REF!</definedName>
    <definedName name="________sec71" localSheetId="1">#REF!</definedName>
    <definedName name="________sec71" localSheetId="3">#REF!</definedName>
    <definedName name="________sec71">#REF!</definedName>
    <definedName name="________SEC72" localSheetId="7">#REF!</definedName>
    <definedName name="________SEC72" localSheetId="1">#REF!</definedName>
    <definedName name="________SEC72" localSheetId="3">#REF!</definedName>
    <definedName name="________SEC72">#REF!</definedName>
    <definedName name="________SEC74" localSheetId="7">#REF!</definedName>
    <definedName name="________SEC74" localSheetId="1">#REF!</definedName>
    <definedName name="________SEC74" localSheetId="3">#REF!</definedName>
    <definedName name="________SEC74">#REF!</definedName>
    <definedName name="________SEC75" localSheetId="7">#REF!</definedName>
    <definedName name="________SEC75" localSheetId="1">#REF!</definedName>
    <definedName name="________SEC75" localSheetId="3">#REF!</definedName>
    <definedName name="________SEC75">#REF!</definedName>
    <definedName name="________SEC77" localSheetId="7">#REF!</definedName>
    <definedName name="________SEC77" localSheetId="1">#REF!</definedName>
    <definedName name="________SEC77" localSheetId="3">#REF!</definedName>
    <definedName name="________SEC77">#REF!</definedName>
    <definedName name="________sec777" localSheetId="7">#REF!</definedName>
    <definedName name="________sec777" localSheetId="1">#REF!</definedName>
    <definedName name="________sec777" localSheetId="3">#REF!</definedName>
    <definedName name="________sec777">#REF!</definedName>
    <definedName name="________sec78" localSheetId="7">#REF!</definedName>
    <definedName name="________sec78" localSheetId="1">#REF!</definedName>
    <definedName name="________sec78" localSheetId="3">#REF!</definedName>
    <definedName name="________sec78">#REF!</definedName>
    <definedName name="________sec79" localSheetId="7">#REF!</definedName>
    <definedName name="________sec79" localSheetId="1">#REF!</definedName>
    <definedName name="________sec79" localSheetId="3">#REF!</definedName>
    <definedName name="________sec79">#REF!</definedName>
    <definedName name="________sec8" localSheetId="7">#REF!</definedName>
    <definedName name="________sec8" localSheetId="1">#REF!</definedName>
    <definedName name="________sec8" localSheetId="3">#REF!</definedName>
    <definedName name="________sec8">#REF!</definedName>
    <definedName name="________sec81" localSheetId="7">#REF!</definedName>
    <definedName name="________sec81" localSheetId="1">#REF!</definedName>
    <definedName name="________sec81" localSheetId="3">#REF!</definedName>
    <definedName name="________sec81">#REF!</definedName>
    <definedName name="________SEC82" localSheetId="7">#REF!</definedName>
    <definedName name="________SEC82" localSheetId="1">#REF!</definedName>
    <definedName name="________SEC82" localSheetId="3">#REF!</definedName>
    <definedName name="________SEC82">#REF!</definedName>
    <definedName name="________SEC83" localSheetId="7">#REF!</definedName>
    <definedName name="________SEC83" localSheetId="1">#REF!</definedName>
    <definedName name="________SEC83" localSheetId="3">#REF!</definedName>
    <definedName name="________SEC83">#REF!</definedName>
    <definedName name="________SEC87" localSheetId="7">#REF!</definedName>
    <definedName name="________SEC87" localSheetId="1">#REF!</definedName>
    <definedName name="________SEC87" localSheetId="3">#REF!</definedName>
    <definedName name="________SEC87">#REF!</definedName>
    <definedName name="________SEC88" localSheetId="7">#REF!</definedName>
    <definedName name="________SEC88" localSheetId="1">#REF!</definedName>
    <definedName name="________SEC88" localSheetId="3">#REF!</definedName>
    <definedName name="________SEC88">#REF!</definedName>
    <definedName name="________sec888" localSheetId="7">#REF!</definedName>
    <definedName name="________sec888" localSheetId="1">#REF!</definedName>
    <definedName name="________sec888" localSheetId="3">#REF!</definedName>
    <definedName name="________sec888">#REF!</definedName>
    <definedName name="________sec89" localSheetId="7">#REF!</definedName>
    <definedName name="________sec89" localSheetId="1">#REF!</definedName>
    <definedName name="________sec89" localSheetId="3">#REF!</definedName>
    <definedName name="________sec89">#REF!</definedName>
    <definedName name="________sec899" localSheetId="7">#REF!</definedName>
    <definedName name="________sec899" localSheetId="1">#REF!</definedName>
    <definedName name="________sec899" localSheetId="3">#REF!</definedName>
    <definedName name="________sec899">#REF!</definedName>
    <definedName name="________SEC9" localSheetId="7">#REF!</definedName>
    <definedName name="________SEC9" localSheetId="1">#REF!</definedName>
    <definedName name="________SEC9" localSheetId="3">#REF!</definedName>
    <definedName name="________SEC9">#REF!</definedName>
    <definedName name="________SEC91" localSheetId="7">#REF!</definedName>
    <definedName name="________SEC91" localSheetId="1">#REF!</definedName>
    <definedName name="________SEC91" localSheetId="3">#REF!</definedName>
    <definedName name="________SEC91">#REF!</definedName>
    <definedName name="________SH1" localSheetId="7">#REF!</definedName>
    <definedName name="________SH1" localSheetId="1">#REF!</definedName>
    <definedName name="________SH1" localSheetId="3">#REF!</definedName>
    <definedName name="________SH1">#REF!</definedName>
    <definedName name="________SH2" localSheetId="7">#REF!</definedName>
    <definedName name="________SH2" localSheetId="1">#REF!</definedName>
    <definedName name="________SH2" localSheetId="3">#REF!</definedName>
    <definedName name="________SH2">#REF!</definedName>
    <definedName name="________SH3" localSheetId="7">#REF!</definedName>
    <definedName name="________SH3" localSheetId="1">#REF!</definedName>
    <definedName name="________SH3" localSheetId="3">#REF!</definedName>
    <definedName name="________SH3">#REF!</definedName>
    <definedName name="________SH4" localSheetId="7">#REF!</definedName>
    <definedName name="________SH4" localSheetId="1">#REF!</definedName>
    <definedName name="________SH4" localSheetId="3">#REF!</definedName>
    <definedName name="________SH4">#REF!</definedName>
    <definedName name="________SH5" localSheetId="7">#REF!</definedName>
    <definedName name="________SH5" localSheetId="1">#REF!</definedName>
    <definedName name="________SH5" localSheetId="3">#REF!</definedName>
    <definedName name="________SH5">#REF!</definedName>
    <definedName name="________SS2" localSheetId="7">#REF!</definedName>
    <definedName name="________SS2" localSheetId="1">#REF!</definedName>
    <definedName name="________SS2" localSheetId="3">#REF!</definedName>
    <definedName name="________SS2">#REF!</definedName>
    <definedName name="________tk1" localSheetId="7">#REF!</definedName>
    <definedName name="________tk1" localSheetId="1">#REF!</definedName>
    <definedName name="________tk1" localSheetId="3">#REF!</definedName>
    <definedName name="________tk1">#REF!</definedName>
    <definedName name="________xd1" localSheetId="7">#REF!</definedName>
    <definedName name="________xd1" localSheetId="1">#REF!</definedName>
    <definedName name="________xd1" localSheetId="3">#REF!</definedName>
    <definedName name="________xd1">#REF!</definedName>
    <definedName name="________XD2" localSheetId="7">#REF!</definedName>
    <definedName name="________XD2" localSheetId="1">#REF!</definedName>
    <definedName name="________XD2" localSheetId="3">#REF!</definedName>
    <definedName name="________XD2">#REF!</definedName>
    <definedName name="________xd3" localSheetId="7">#REF!</definedName>
    <definedName name="________xd3" localSheetId="1">#REF!</definedName>
    <definedName name="________xd3" localSheetId="3">#REF!</definedName>
    <definedName name="________xd3">#REF!</definedName>
    <definedName name="________zz1" localSheetId="7">#REF!</definedName>
    <definedName name="________zz1" localSheetId="1">#REF!</definedName>
    <definedName name="________zz1" localSheetId="3">#REF!</definedName>
    <definedName name="________zz1">#REF!</definedName>
    <definedName name="_______a65537" localSheetId="7">#REF!</definedName>
    <definedName name="_______a65537" localSheetId="1">#REF!</definedName>
    <definedName name="_______a65537" localSheetId="3">#REF!</definedName>
    <definedName name="_______a65537">#REF!</definedName>
    <definedName name="_______A65555" localSheetId="7">#REF!</definedName>
    <definedName name="_______A65555" localSheetId="1">#REF!</definedName>
    <definedName name="_______A65555" localSheetId="3">#REF!</definedName>
    <definedName name="_______A65555">#REF!</definedName>
    <definedName name="_______A655600" localSheetId="7">#REF!</definedName>
    <definedName name="_______A655600" localSheetId="1">#REF!</definedName>
    <definedName name="_______A655600" localSheetId="3">#REF!</definedName>
    <definedName name="_______A655600">#REF!</definedName>
    <definedName name="_______A65658" localSheetId="7">#REF!</definedName>
    <definedName name="_______A65658" localSheetId="1">#REF!</definedName>
    <definedName name="_______A65658" localSheetId="3">#REF!</definedName>
    <definedName name="_______A65658">#REF!</definedName>
    <definedName name="_______aaa1" localSheetId="7">#REF!</definedName>
    <definedName name="_______aaa1" localSheetId="1">#REF!</definedName>
    <definedName name="_______aaa1" localSheetId="3">#REF!</definedName>
    <definedName name="_______aaa1">#REF!</definedName>
    <definedName name="_______aaa10" localSheetId="7">#REF!</definedName>
    <definedName name="_______aaa10" localSheetId="1">#REF!</definedName>
    <definedName name="_______aaa10" localSheetId="3">#REF!</definedName>
    <definedName name="_______aaa10">#REF!</definedName>
    <definedName name="_______aaa11" localSheetId="7">#REF!</definedName>
    <definedName name="_______aaa11" localSheetId="1">#REF!</definedName>
    <definedName name="_______aaa11" localSheetId="3">#REF!</definedName>
    <definedName name="_______aaa11">#REF!</definedName>
    <definedName name="_______AAA12" localSheetId="7">#REF!</definedName>
    <definedName name="_______AAA12" localSheetId="1">#REF!</definedName>
    <definedName name="_______AAA12" localSheetId="3">#REF!</definedName>
    <definedName name="_______AAA12">#REF!</definedName>
    <definedName name="_______AAA21" localSheetId="7">#REF!</definedName>
    <definedName name="_______AAA21" localSheetId="1">#REF!</definedName>
    <definedName name="_______AAA21" localSheetId="3">#REF!</definedName>
    <definedName name="_______AAA21">#REF!</definedName>
    <definedName name="_______aaa23" localSheetId="7">#REF!</definedName>
    <definedName name="_______aaa23" localSheetId="1">#REF!</definedName>
    <definedName name="_______aaa23" localSheetId="3">#REF!</definedName>
    <definedName name="_______aaa23">#REF!</definedName>
    <definedName name="_______aaa34" localSheetId="7">#REF!</definedName>
    <definedName name="_______aaa34" localSheetId="1">#REF!</definedName>
    <definedName name="_______aaa34" localSheetId="3">#REF!</definedName>
    <definedName name="_______aaa34">#REF!</definedName>
    <definedName name="_______aaa5" localSheetId="7">#REF!</definedName>
    <definedName name="_______aaa5" localSheetId="1">#REF!</definedName>
    <definedName name="_______aaa5" localSheetId="3">#REF!</definedName>
    <definedName name="_______aaa5">#REF!</definedName>
    <definedName name="_______AAA51" localSheetId="7">#REF!</definedName>
    <definedName name="_______AAA51" localSheetId="1">#REF!</definedName>
    <definedName name="_______AAA51" localSheetId="3">#REF!</definedName>
    <definedName name="_______AAA51">#REF!</definedName>
    <definedName name="_______AAA53" localSheetId="7">#REF!</definedName>
    <definedName name="_______AAA53" localSheetId="1">#REF!</definedName>
    <definedName name="_______AAA53" localSheetId="3">#REF!</definedName>
    <definedName name="_______AAA53">#REF!</definedName>
    <definedName name="_______aaa54" localSheetId="7">#REF!</definedName>
    <definedName name="_______aaa54" localSheetId="1">#REF!</definedName>
    <definedName name="_______aaa54" localSheetId="3">#REF!</definedName>
    <definedName name="_______aaa54">#REF!</definedName>
    <definedName name="_______aaa545" localSheetId="7">#REF!</definedName>
    <definedName name="_______aaa545" localSheetId="1">#REF!</definedName>
    <definedName name="_______aaa545" localSheetId="3">#REF!</definedName>
    <definedName name="_______aaa545">#REF!</definedName>
    <definedName name="_______aaa55" localSheetId="7">#REF!</definedName>
    <definedName name="_______aaa55" localSheetId="1">#REF!</definedName>
    <definedName name="_______aaa55" localSheetId="3">#REF!</definedName>
    <definedName name="_______aaa55">#REF!</definedName>
    <definedName name="_______aaa56" localSheetId="7">#REF!</definedName>
    <definedName name="_______aaa56" localSheetId="1">#REF!</definedName>
    <definedName name="_______aaa56" localSheetId="3">#REF!</definedName>
    <definedName name="_______aaa56">#REF!</definedName>
    <definedName name="_______AAA57" localSheetId="7">#REF!</definedName>
    <definedName name="_______AAA57" localSheetId="1">#REF!</definedName>
    <definedName name="_______AAA57" localSheetId="3">#REF!</definedName>
    <definedName name="_______AAA57">#REF!</definedName>
    <definedName name="_______aaa59" localSheetId="7">#REF!</definedName>
    <definedName name="_______aaa59" localSheetId="1">#REF!</definedName>
    <definedName name="_______aaa59" localSheetId="3">#REF!</definedName>
    <definedName name="_______aaa59">#REF!</definedName>
    <definedName name="_______AAA6" localSheetId="7">#REF!</definedName>
    <definedName name="_______AAA6" localSheetId="1">#REF!</definedName>
    <definedName name="_______AAA6" localSheetId="3">#REF!</definedName>
    <definedName name="_______AAA6">#REF!</definedName>
    <definedName name="_______AAA66" localSheetId="7">#REF!</definedName>
    <definedName name="_______AAA66" localSheetId="1">#REF!</definedName>
    <definedName name="_______AAA66" localSheetId="3">#REF!</definedName>
    <definedName name="_______AAA66">#REF!</definedName>
    <definedName name="_______AAA69" localSheetId="7">#REF!</definedName>
    <definedName name="_______AAA69" localSheetId="1">#REF!</definedName>
    <definedName name="_______AAA69" localSheetId="3">#REF!</definedName>
    <definedName name="_______AAA69">#REF!</definedName>
    <definedName name="_______AAA7" localSheetId="7">#REF!</definedName>
    <definedName name="_______AAA7" localSheetId="1">#REF!</definedName>
    <definedName name="_______AAA7" localSheetId="3">#REF!</definedName>
    <definedName name="_______AAA7">#REF!</definedName>
    <definedName name="_______AAD5" localSheetId="7">#REF!</definedName>
    <definedName name="_______AAD5" localSheetId="1">#REF!</definedName>
    <definedName name="_______AAD5" localSheetId="3">#REF!</definedName>
    <definedName name="_______AAD5">#REF!</definedName>
    <definedName name="_______aad55" localSheetId="7">#REF!</definedName>
    <definedName name="_______aad55" localSheetId="1">#REF!</definedName>
    <definedName name="_______aad55" localSheetId="3">#REF!</definedName>
    <definedName name="_______aad55">#REF!</definedName>
    <definedName name="_______AAD56" localSheetId="7">#REF!</definedName>
    <definedName name="_______AAD56" localSheetId="1">#REF!</definedName>
    <definedName name="_______AAD56" localSheetId="3">#REF!</definedName>
    <definedName name="_______AAD56">#REF!</definedName>
    <definedName name="_______AAD57" localSheetId="7">#REF!</definedName>
    <definedName name="_______AAD57" localSheetId="1">#REF!</definedName>
    <definedName name="_______AAD57" localSheetId="3">#REF!</definedName>
    <definedName name="_______AAD57">#REF!</definedName>
    <definedName name="_______ast1" localSheetId="7">#REF!</definedName>
    <definedName name="_______ast1" localSheetId="1">#REF!</definedName>
    <definedName name="_______ast1" localSheetId="3">#REF!</definedName>
    <definedName name="_______ast1">#REF!</definedName>
    <definedName name="_______ast2" localSheetId="7">#REF!</definedName>
    <definedName name="_______ast2" localSheetId="1">#REF!</definedName>
    <definedName name="_______ast2" localSheetId="3">#REF!</definedName>
    <definedName name="_______ast2">#REF!</definedName>
    <definedName name="_______b111121" localSheetId="7">#REF!</definedName>
    <definedName name="_______b111121" localSheetId="1">#REF!</definedName>
    <definedName name="_______b111121" localSheetId="3">#REF!</definedName>
    <definedName name="_______b111121">#REF!</definedName>
    <definedName name="_______bbb1" localSheetId="7">#REF!</definedName>
    <definedName name="_______bbb1" localSheetId="1">#REF!</definedName>
    <definedName name="_______bbb1" localSheetId="3">#REF!</definedName>
    <definedName name="_______bbb1">#REF!</definedName>
    <definedName name="_______bol1" localSheetId="7">#REF!</definedName>
    <definedName name="_______bol1" localSheetId="1">#REF!</definedName>
    <definedName name="_______bol1" localSheetId="3">#REF!</definedName>
    <definedName name="_______bol1">#REF!</definedName>
    <definedName name="_______can430">40.73</definedName>
    <definedName name="_______can435">43.3</definedName>
    <definedName name="_______ccc1" localSheetId="7">#REF!</definedName>
    <definedName name="_______ccc1" localSheetId="1">#REF!</definedName>
    <definedName name="_______ccc1" localSheetId="3">#REF!</definedName>
    <definedName name="_______ccc1">#REF!</definedName>
    <definedName name="_______COL14" localSheetId="7">#REF!</definedName>
    <definedName name="_______COL14" localSheetId="1">#REF!</definedName>
    <definedName name="_______COL14" localSheetId="3">#REF!</definedName>
    <definedName name="_______COL14">#REF!</definedName>
    <definedName name="_______COL15" localSheetId="7">#REF!</definedName>
    <definedName name="_______COL15" localSheetId="1">#REF!</definedName>
    <definedName name="_______COL15" localSheetId="3">#REF!</definedName>
    <definedName name="_______COL15">#REF!</definedName>
    <definedName name="_______COL16" localSheetId="7">#REF!</definedName>
    <definedName name="_______COL16" localSheetId="1">#REF!</definedName>
    <definedName name="_______COL16" localSheetId="3">#REF!</definedName>
    <definedName name="_______COL16">#REF!</definedName>
    <definedName name="_______Ctr10" localSheetId="7">#REF!</definedName>
    <definedName name="_______Ctr10" localSheetId="1">#REF!</definedName>
    <definedName name="_______Ctr10" localSheetId="3">#REF!</definedName>
    <definedName name="_______Ctr10">#REF!</definedName>
    <definedName name="_______ddd1" localSheetId="7">#REF!</definedName>
    <definedName name="_______ddd1" localSheetId="1">#REF!</definedName>
    <definedName name="_______ddd1" localSheetId="3">#REF!</definedName>
    <definedName name="_______ddd1">#REF!</definedName>
    <definedName name="_______eee1" localSheetId="7">#REF!</definedName>
    <definedName name="_______eee1" localSheetId="1">#REF!</definedName>
    <definedName name="_______eee1" localSheetId="3">#REF!</definedName>
    <definedName name="_______eee1">#REF!</definedName>
    <definedName name="_______exc1" localSheetId="7">#REF!</definedName>
    <definedName name="_______exc1" localSheetId="1">#REF!</definedName>
    <definedName name="_______exc1" localSheetId="3">#REF!</definedName>
    <definedName name="_______exc1">#REF!</definedName>
    <definedName name="_______exc11" localSheetId="7">#REF!</definedName>
    <definedName name="_______exc11" localSheetId="1">#REF!</definedName>
    <definedName name="_______exc11" localSheetId="3">#REF!</definedName>
    <definedName name="_______exc11">#REF!</definedName>
    <definedName name="_______exc2" localSheetId="7">#REF!</definedName>
    <definedName name="_______exc2" localSheetId="1">#REF!</definedName>
    <definedName name="_______exc2" localSheetId="3">#REF!</definedName>
    <definedName name="_______exc2">#REF!</definedName>
    <definedName name="_______EXC3" localSheetId="7">#REF!</definedName>
    <definedName name="_______EXC3" localSheetId="1">#REF!</definedName>
    <definedName name="_______EXC3" localSheetId="3">#REF!</definedName>
    <definedName name="_______EXC3">#REF!</definedName>
    <definedName name="_______EXC4" localSheetId="7">#REF!</definedName>
    <definedName name="_______EXC4" localSheetId="1">#REF!</definedName>
    <definedName name="_______EXC4" localSheetId="3">#REF!</definedName>
    <definedName name="_______EXC4">#REF!</definedName>
    <definedName name="_______fff1" localSheetId="7">#REF!</definedName>
    <definedName name="_______fff1" localSheetId="1">#REF!</definedName>
    <definedName name="_______fff1" localSheetId="3">#REF!</definedName>
    <definedName name="_______fff1">#REF!</definedName>
    <definedName name="_______flx200" localSheetId="7">#REF!</definedName>
    <definedName name="_______flx200" localSheetId="1">#REF!</definedName>
    <definedName name="_______flx200" localSheetId="3">#REF!</definedName>
    <definedName name="_______flx200">#REF!</definedName>
    <definedName name="_______flx250" localSheetId="7">#REF!</definedName>
    <definedName name="_______flx250" localSheetId="1">#REF!</definedName>
    <definedName name="_______flx250" localSheetId="3">#REF!</definedName>
    <definedName name="_______flx250">#REF!</definedName>
    <definedName name="_______flx300" localSheetId="7">#REF!</definedName>
    <definedName name="_______flx300" localSheetId="1">#REF!</definedName>
    <definedName name="_______flx300" localSheetId="3">#REF!</definedName>
    <definedName name="_______flx300">#REF!</definedName>
    <definedName name="_______foo1" localSheetId="7">#REF!</definedName>
    <definedName name="_______foo1" localSheetId="1">#REF!</definedName>
    <definedName name="_______foo1" localSheetId="3">#REF!</definedName>
    <definedName name="_______foo1">#REF!</definedName>
    <definedName name="_______foo2" localSheetId="7">#REF!</definedName>
    <definedName name="_______foo2" localSheetId="1">#REF!</definedName>
    <definedName name="_______foo2" localSheetId="3">#REF!</definedName>
    <definedName name="_______foo2">#REF!</definedName>
    <definedName name="_______foo3" localSheetId="7">#REF!</definedName>
    <definedName name="_______foo3" localSheetId="1">#REF!</definedName>
    <definedName name="_______foo3" localSheetId="3">#REF!</definedName>
    <definedName name="_______foo3">#REF!</definedName>
    <definedName name="_______FOO4" localSheetId="7">#REF!</definedName>
    <definedName name="_______FOO4" localSheetId="1">#REF!</definedName>
    <definedName name="_______FOO4" localSheetId="3">#REF!</definedName>
    <definedName name="_______FOO4">#REF!</definedName>
    <definedName name="_______ief1" localSheetId="7">#REF!</definedName>
    <definedName name="_______ief1" localSheetId="1">#REF!</definedName>
    <definedName name="_______ief1" localSheetId="3">#REF!</definedName>
    <definedName name="_______ief1">#REF!</definedName>
    <definedName name="_______ind1" localSheetId="7">#REF!</definedName>
    <definedName name="_______ind1" localSheetId="1">#REF!</definedName>
    <definedName name="_______ind1" localSheetId="3">#REF!</definedName>
    <definedName name="_______ind1">#REF!</definedName>
    <definedName name="_______IND11" localSheetId="7">#REF!</definedName>
    <definedName name="_______IND11" localSheetId="1">#REF!</definedName>
    <definedName name="_______IND11" localSheetId="3">#REF!</definedName>
    <definedName name="_______IND11">#REF!</definedName>
    <definedName name="_______IND31" localSheetId="7">#REF!</definedName>
    <definedName name="_______IND31" localSheetId="1">#REF!</definedName>
    <definedName name="_______IND31" localSheetId="3">#REF!</definedName>
    <definedName name="_______IND31">#REF!</definedName>
    <definedName name="_______IRS1" localSheetId="7">#REF!</definedName>
    <definedName name="_______IRS1" localSheetId="1">#REF!</definedName>
    <definedName name="_______IRS1" localSheetId="3">#REF!</definedName>
    <definedName name="_______IRS1">#REF!</definedName>
    <definedName name="_______Ki1" localSheetId="7">#REF!</definedName>
    <definedName name="_______Ki1" localSheetId="1">#REF!</definedName>
    <definedName name="_______Ki1" localSheetId="3">#REF!</definedName>
    <definedName name="_______Ki1">#REF!</definedName>
    <definedName name="_______Ki2" localSheetId="7">#REF!</definedName>
    <definedName name="_______Ki2" localSheetId="1">#REF!</definedName>
    <definedName name="_______Ki2" localSheetId="3">#REF!</definedName>
    <definedName name="_______Ki2">#REF!</definedName>
    <definedName name="_______KK1" localSheetId="7">#REF!</definedName>
    <definedName name="_______KK1" localSheetId="1">#REF!</definedName>
    <definedName name="_______KK1" localSheetId="3">#REF!</definedName>
    <definedName name="_______KK1">#REF!</definedName>
    <definedName name="_______KK2" localSheetId="7">#REF!</definedName>
    <definedName name="_______KK2" localSheetId="1">#REF!</definedName>
    <definedName name="_______KK2" localSheetId="3">#REF!</definedName>
    <definedName name="_______KK2">#REF!</definedName>
    <definedName name="_______kk3" localSheetId="7">#REF!</definedName>
    <definedName name="_______kk3" localSheetId="1">#REF!</definedName>
    <definedName name="_______kk3" localSheetId="3">#REF!</definedName>
    <definedName name="_______kk3">#REF!</definedName>
    <definedName name="_______kk4" localSheetId="7">#REF!</definedName>
    <definedName name="_______kk4" localSheetId="1">#REF!</definedName>
    <definedName name="_______kk4" localSheetId="3">#REF!</definedName>
    <definedName name="_______kk4">#REF!</definedName>
    <definedName name="_______lsc44" localSheetId="7">#REF!</definedName>
    <definedName name="_______lsc44" localSheetId="1">#REF!</definedName>
    <definedName name="_______lsc44" localSheetId="3">#REF!</definedName>
    <definedName name="_______lsc44">#REF!</definedName>
    <definedName name="_______MAN1" localSheetId="7">#REF!</definedName>
    <definedName name="_______MAN1" localSheetId="1">#REF!</definedName>
    <definedName name="_______MAN1" localSheetId="3">#REF!</definedName>
    <definedName name="_______MAN1">#REF!</definedName>
    <definedName name="_______MF1" localSheetId="7">#REF!</definedName>
    <definedName name="_______MF1" localSheetId="1">#REF!</definedName>
    <definedName name="_______MF1" localSheetId="3">#REF!</definedName>
    <definedName name="_______MF1">#REF!</definedName>
    <definedName name="_______MM1" localSheetId="7">#REF!</definedName>
    <definedName name="_______MM1" localSheetId="1">#REF!</definedName>
    <definedName name="_______MM1" localSheetId="3">#REF!</definedName>
    <definedName name="_______MM1">#REF!</definedName>
    <definedName name="_______MM2" localSheetId="7">#REF!</definedName>
    <definedName name="_______MM2" localSheetId="1">#REF!</definedName>
    <definedName name="_______MM2" localSheetId="3">#REF!</definedName>
    <definedName name="_______MM2">#REF!</definedName>
    <definedName name="_______NN1" localSheetId="7">#REF!</definedName>
    <definedName name="_______NN1" localSheetId="1">#REF!</definedName>
    <definedName name="_______NN1" localSheetId="3">#REF!</definedName>
    <definedName name="_______NN1">#REF!</definedName>
    <definedName name="_______PB1" localSheetId="7">#REF!</definedName>
    <definedName name="_______PB1" localSheetId="1">#REF!</definedName>
    <definedName name="_______PB1" localSheetId="3">#REF!</definedName>
    <definedName name="_______PB1">#REF!</definedName>
    <definedName name="_______pcc1" localSheetId="7">#REF!</definedName>
    <definedName name="_______pcc1" localSheetId="1">#REF!</definedName>
    <definedName name="_______pcc1" localSheetId="3">#REF!</definedName>
    <definedName name="_______pcc1">#REF!</definedName>
    <definedName name="_______pcc2" localSheetId="7">#REF!</definedName>
    <definedName name="_______pcc2" localSheetId="1">#REF!</definedName>
    <definedName name="_______pcc2" localSheetId="3">#REF!</definedName>
    <definedName name="_______pcc2">#REF!</definedName>
    <definedName name="_______pcc3" localSheetId="7">#REF!</definedName>
    <definedName name="_______pcc3" localSheetId="1">#REF!</definedName>
    <definedName name="_______pcc3" localSheetId="3">#REF!</definedName>
    <definedName name="_______pcc3">#REF!</definedName>
    <definedName name="_______PCC4" localSheetId="7">#REF!</definedName>
    <definedName name="_______PCC4" localSheetId="1">#REF!</definedName>
    <definedName name="_______PCC4" localSheetId="3">#REF!</definedName>
    <definedName name="_______PCC4">#REF!</definedName>
    <definedName name="_______plb1" localSheetId="7">#REF!</definedName>
    <definedName name="_______plb1" localSheetId="1">#REF!</definedName>
    <definedName name="_______plb1" localSheetId="3">#REF!</definedName>
    <definedName name="_______plb1">#REF!</definedName>
    <definedName name="_______plb2" localSheetId="7">#REF!</definedName>
    <definedName name="_______plb2" localSheetId="1">#REF!</definedName>
    <definedName name="_______plb2" localSheetId="3">#REF!</definedName>
    <definedName name="_______plb2">#REF!</definedName>
    <definedName name="_______plb3" localSheetId="7">#REF!</definedName>
    <definedName name="_______plb3" localSheetId="1">#REF!</definedName>
    <definedName name="_______plb3" localSheetId="3">#REF!</definedName>
    <definedName name="_______plb3">#REF!</definedName>
    <definedName name="_______plb4" localSheetId="7">#REF!</definedName>
    <definedName name="_______plb4" localSheetId="1">#REF!</definedName>
    <definedName name="_______plb4" localSheetId="3">#REF!</definedName>
    <definedName name="_______plb4">#REF!</definedName>
    <definedName name="_______S12" localSheetId="7">#REF!</definedName>
    <definedName name="_______S12" localSheetId="1">#REF!</definedName>
    <definedName name="_______S12" localSheetId="3">#REF!</definedName>
    <definedName name="_______S12">#REF!</definedName>
    <definedName name="_______sec1" localSheetId="7">#REF!</definedName>
    <definedName name="_______sec1" localSheetId="1">#REF!</definedName>
    <definedName name="_______sec1" localSheetId="3">#REF!</definedName>
    <definedName name="_______sec1">#REF!</definedName>
    <definedName name="_______sec111" localSheetId="7">#REF!</definedName>
    <definedName name="_______sec111" localSheetId="1">#REF!</definedName>
    <definedName name="_______sec111" localSheetId="3">#REF!</definedName>
    <definedName name="_______sec111">#REF!</definedName>
    <definedName name="_______SEC15" localSheetId="7">#REF!</definedName>
    <definedName name="_______SEC15" localSheetId="1">#REF!</definedName>
    <definedName name="_______SEC15" localSheetId="3">#REF!</definedName>
    <definedName name="_______SEC15">#REF!</definedName>
    <definedName name="_______Sec2" localSheetId="7">#REF!</definedName>
    <definedName name="_______Sec2" localSheetId="1">#REF!</definedName>
    <definedName name="_______Sec2" localSheetId="3">#REF!</definedName>
    <definedName name="_______Sec2">#REF!</definedName>
    <definedName name="_______sec22" localSheetId="7">#REF!</definedName>
    <definedName name="_______sec22" localSheetId="1">#REF!</definedName>
    <definedName name="_______sec22" localSheetId="3">#REF!</definedName>
    <definedName name="_______sec22">#REF!</definedName>
    <definedName name="_______SEC23" localSheetId="7">#REF!</definedName>
    <definedName name="_______SEC23" localSheetId="1">#REF!</definedName>
    <definedName name="_______SEC23" localSheetId="3">#REF!</definedName>
    <definedName name="_______SEC23">#REF!</definedName>
    <definedName name="_______SEC24" localSheetId="7">#REF!</definedName>
    <definedName name="_______SEC24" localSheetId="1">#REF!</definedName>
    <definedName name="_______SEC24" localSheetId="3">#REF!</definedName>
    <definedName name="_______SEC24">#REF!</definedName>
    <definedName name="_______sec3" localSheetId="7">#REF!</definedName>
    <definedName name="_______sec3" localSheetId="1">#REF!</definedName>
    <definedName name="_______sec3" localSheetId="3">#REF!</definedName>
    <definedName name="_______sec3">#REF!</definedName>
    <definedName name="_______SEC32" localSheetId="7">#REF!</definedName>
    <definedName name="_______SEC32" localSheetId="1">#REF!</definedName>
    <definedName name="_______SEC32" localSheetId="3">#REF!</definedName>
    <definedName name="_______SEC32">#REF!</definedName>
    <definedName name="_______sec33" localSheetId="7">#REF!</definedName>
    <definedName name="_______sec33" localSheetId="1">#REF!</definedName>
    <definedName name="_______sec33" localSheetId="3">#REF!</definedName>
    <definedName name="_______sec33">#REF!</definedName>
    <definedName name="_______Sec4" localSheetId="7">#REF!</definedName>
    <definedName name="_______Sec4" localSheetId="1">#REF!</definedName>
    <definedName name="_______Sec4" localSheetId="3">#REF!</definedName>
    <definedName name="_______Sec4">#REF!</definedName>
    <definedName name="_______sec45" localSheetId="7">#REF!</definedName>
    <definedName name="_______sec45" localSheetId="1">#REF!</definedName>
    <definedName name="_______sec45" localSheetId="3">#REF!</definedName>
    <definedName name="_______sec45">#REF!</definedName>
    <definedName name="_______SEC46" localSheetId="7">#REF!</definedName>
    <definedName name="_______SEC46" localSheetId="1">#REF!</definedName>
    <definedName name="_______SEC46" localSheetId="3">#REF!</definedName>
    <definedName name="_______SEC46">#REF!</definedName>
    <definedName name="_______sec5" localSheetId="7">#REF!</definedName>
    <definedName name="_______sec5" localSheetId="1">#REF!</definedName>
    <definedName name="_______sec5" localSheetId="3">#REF!</definedName>
    <definedName name="_______sec5">#REF!</definedName>
    <definedName name="_______sec55" localSheetId="7">#REF!</definedName>
    <definedName name="_______sec55" localSheetId="1">#REF!</definedName>
    <definedName name="_______sec55" localSheetId="3">#REF!</definedName>
    <definedName name="_______sec55">#REF!</definedName>
    <definedName name="_______SEC56" localSheetId="7">#REF!</definedName>
    <definedName name="_______SEC56" localSheetId="1">#REF!</definedName>
    <definedName name="_______SEC56" localSheetId="3">#REF!</definedName>
    <definedName name="_______SEC56">#REF!</definedName>
    <definedName name="_______sec6" localSheetId="7">#REF!</definedName>
    <definedName name="_______sec6" localSheetId="1">#REF!</definedName>
    <definedName name="_______sec6" localSheetId="3">#REF!</definedName>
    <definedName name="_______sec6">#REF!</definedName>
    <definedName name="_______sec66" localSheetId="7">#REF!</definedName>
    <definedName name="_______sec66" localSheetId="1">#REF!</definedName>
    <definedName name="_______sec66" localSheetId="3">#REF!</definedName>
    <definedName name="_______sec66">#REF!</definedName>
    <definedName name="_______SEC67" localSheetId="7">#REF!</definedName>
    <definedName name="_______SEC67" localSheetId="1">#REF!</definedName>
    <definedName name="_______SEC67" localSheetId="3">#REF!</definedName>
    <definedName name="_______SEC67">#REF!</definedName>
    <definedName name="_______sec7" localSheetId="7">#REF!</definedName>
    <definedName name="_______sec7" localSheetId="1">#REF!</definedName>
    <definedName name="_______sec7" localSheetId="3">#REF!</definedName>
    <definedName name="_______sec7">#REF!</definedName>
    <definedName name="_______sec71" localSheetId="7">#REF!</definedName>
    <definedName name="_______sec71" localSheetId="1">#REF!</definedName>
    <definedName name="_______sec71" localSheetId="3">#REF!</definedName>
    <definedName name="_______sec71">#REF!</definedName>
    <definedName name="_______SEC72" localSheetId="7">#REF!</definedName>
    <definedName name="_______SEC72" localSheetId="1">#REF!</definedName>
    <definedName name="_______SEC72" localSheetId="3">#REF!</definedName>
    <definedName name="_______SEC72">#REF!</definedName>
    <definedName name="_______SEC74" localSheetId="7">#REF!</definedName>
    <definedName name="_______SEC74" localSheetId="1">#REF!</definedName>
    <definedName name="_______SEC74" localSheetId="3">#REF!</definedName>
    <definedName name="_______SEC74">#REF!</definedName>
    <definedName name="_______SEC75" localSheetId="7">#REF!</definedName>
    <definedName name="_______SEC75" localSheetId="1">#REF!</definedName>
    <definedName name="_______SEC75" localSheetId="3">#REF!</definedName>
    <definedName name="_______SEC75">#REF!</definedName>
    <definedName name="_______SEC77" localSheetId="7">#REF!</definedName>
    <definedName name="_______SEC77" localSheetId="1">#REF!</definedName>
    <definedName name="_______SEC77" localSheetId="3">#REF!</definedName>
    <definedName name="_______SEC77">#REF!</definedName>
    <definedName name="_______sec777" localSheetId="7">#REF!</definedName>
    <definedName name="_______sec777" localSheetId="1">#REF!</definedName>
    <definedName name="_______sec777" localSheetId="3">#REF!</definedName>
    <definedName name="_______sec777">#REF!</definedName>
    <definedName name="_______sec78" localSheetId="7">#REF!</definedName>
    <definedName name="_______sec78" localSheetId="1">#REF!</definedName>
    <definedName name="_______sec78" localSheetId="3">#REF!</definedName>
    <definedName name="_______sec78">#REF!</definedName>
    <definedName name="_______sec79" localSheetId="7">#REF!</definedName>
    <definedName name="_______sec79" localSheetId="1">#REF!</definedName>
    <definedName name="_______sec79" localSheetId="3">#REF!</definedName>
    <definedName name="_______sec79">#REF!</definedName>
    <definedName name="_______sec8" localSheetId="7">#REF!</definedName>
    <definedName name="_______sec8" localSheetId="1">#REF!</definedName>
    <definedName name="_______sec8" localSheetId="3">#REF!</definedName>
    <definedName name="_______sec8">#REF!</definedName>
    <definedName name="_______sec81" localSheetId="7">#REF!</definedName>
    <definedName name="_______sec81" localSheetId="1">#REF!</definedName>
    <definedName name="_______sec81" localSheetId="3">#REF!</definedName>
    <definedName name="_______sec81">#REF!</definedName>
    <definedName name="_______SEC82" localSheetId="7">#REF!</definedName>
    <definedName name="_______SEC82" localSheetId="1">#REF!</definedName>
    <definedName name="_______SEC82" localSheetId="3">#REF!</definedName>
    <definedName name="_______SEC82">#REF!</definedName>
    <definedName name="_______SEC83" localSheetId="7">#REF!</definedName>
    <definedName name="_______SEC83" localSheetId="1">#REF!</definedName>
    <definedName name="_______SEC83" localSheetId="3">#REF!</definedName>
    <definedName name="_______SEC83">#REF!</definedName>
    <definedName name="_______SEC87" localSheetId="7">#REF!</definedName>
    <definedName name="_______SEC87" localSheetId="1">#REF!</definedName>
    <definedName name="_______SEC87" localSheetId="3">#REF!</definedName>
    <definedName name="_______SEC87">#REF!</definedName>
    <definedName name="_______SEC88" localSheetId="7">#REF!</definedName>
    <definedName name="_______SEC88" localSheetId="1">#REF!</definedName>
    <definedName name="_______SEC88" localSheetId="3">#REF!</definedName>
    <definedName name="_______SEC88">#REF!</definedName>
    <definedName name="_______sec888" localSheetId="7">#REF!</definedName>
    <definedName name="_______sec888" localSheetId="1">#REF!</definedName>
    <definedName name="_______sec888" localSheetId="3">#REF!</definedName>
    <definedName name="_______sec888">#REF!</definedName>
    <definedName name="_______sec89" localSheetId="7">#REF!</definedName>
    <definedName name="_______sec89" localSheetId="1">#REF!</definedName>
    <definedName name="_______sec89" localSheetId="3">#REF!</definedName>
    <definedName name="_______sec89">#REF!</definedName>
    <definedName name="_______sec899" localSheetId="7">#REF!</definedName>
    <definedName name="_______sec899" localSheetId="1">#REF!</definedName>
    <definedName name="_______sec899" localSheetId="3">#REF!</definedName>
    <definedName name="_______sec899">#REF!</definedName>
    <definedName name="_______SEC9" localSheetId="7">#REF!</definedName>
    <definedName name="_______SEC9" localSheetId="1">#REF!</definedName>
    <definedName name="_______SEC9" localSheetId="3">#REF!</definedName>
    <definedName name="_______SEC9">#REF!</definedName>
    <definedName name="_______SEC91" localSheetId="7">#REF!</definedName>
    <definedName name="_______SEC91" localSheetId="1">#REF!</definedName>
    <definedName name="_______SEC91" localSheetId="3">#REF!</definedName>
    <definedName name="_______SEC91">#REF!</definedName>
    <definedName name="_______SH1" localSheetId="7">#REF!</definedName>
    <definedName name="_______SH1" localSheetId="1">#REF!</definedName>
    <definedName name="_______SH1" localSheetId="3">#REF!</definedName>
    <definedName name="_______SH1">#REF!</definedName>
    <definedName name="_______SH2" localSheetId="7">#REF!</definedName>
    <definedName name="_______SH2" localSheetId="1">#REF!</definedName>
    <definedName name="_______SH2" localSheetId="3">#REF!</definedName>
    <definedName name="_______SH2">#REF!</definedName>
    <definedName name="_______SH3" localSheetId="7">#REF!</definedName>
    <definedName name="_______SH3" localSheetId="1">#REF!</definedName>
    <definedName name="_______SH3" localSheetId="3">#REF!</definedName>
    <definedName name="_______SH3">#REF!</definedName>
    <definedName name="_______SH4" localSheetId="7">#REF!</definedName>
    <definedName name="_______SH4" localSheetId="1">#REF!</definedName>
    <definedName name="_______SH4" localSheetId="3">#REF!</definedName>
    <definedName name="_______SH4">#REF!</definedName>
    <definedName name="_______SH5" localSheetId="7">#REF!</definedName>
    <definedName name="_______SH5" localSheetId="1">#REF!</definedName>
    <definedName name="_______SH5" localSheetId="3">#REF!</definedName>
    <definedName name="_______SH5">#REF!</definedName>
    <definedName name="_______SS2" localSheetId="7">#REF!</definedName>
    <definedName name="_______SS2" localSheetId="1">#REF!</definedName>
    <definedName name="_______SS2" localSheetId="3">#REF!</definedName>
    <definedName name="_______SS2">#REF!</definedName>
    <definedName name="_______TB2" localSheetId="7">#REF!</definedName>
    <definedName name="_______TB2" localSheetId="1">#REF!</definedName>
    <definedName name="_______TB2" localSheetId="3">#REF!</definedName>
    <definedName name="_______TB2">#REF!</definedName>
    <definedName name="_______tk1" localSheetId="7">#REF!</definedName>
    <definedName name="_______tk1" localSheetId="1">#REF!</definedName>
    <definedName name="_______tk1" localSheetId="3">#REF!</definedName>
    <definedName name="_______tk1">#REF!</definedName>
    <definedName name="_______xd1" localSheetId="7">#REF!</definedName>
    <definedName name="_______xd1" localSheetId="1">#REF!</definedName>
    <definedName name="_______xd1" localSheetId="3">#REF!</definedName>
    <definedName name="_______xd1">#REF!</definedName>
    <definedName name="_______XD2" localSheetId="7">#REF!</definedName>
    <definedName name="_______XD2" localSheetId="1">#REF!</definedName>
    <definedName name="_______XD2" localSheetId="3">#REF!</definedName>
    <definedName name="_______XD2">#REF!</definedName>
    <definedName name="_______xd3" localSheetId="7">#REF!</definedName>
    <definedName name="_______xd3" localSheetId="1">#REF!</definedName>
    <definedName name="_______xd3" localSheetId="3">#REF!</definedName>
    <definedName name="_______xd3">#REF!</definedName>
    <definedName name="_______zz1" localSheetId="7">#REF!</definedName>
    <definedName name="_______zz1" localSheetId="1">#REF!</definedName>
    <definedName name="_______zz1" localSheetId="3">#REF!</definedName>
    <definedName name="_______zz1">#REF!</definedName>
    <definedName name="______a65537" localSheetId="7">#REF!</definedName>
    <definedName name="______a65537" localSheetId="1">#REF!</definedName>
    <definedName name="______a65537" localSheetId="3">#REF!</definedName>
    <definedName name="______a65537">#REF!</definedName>
    <definedName name="______A65555" localSheetId="7">#REF!</definedName>
    <definedName name="______A65555" localSheetId="1">#REF!</definedName>
    <definedName name="______A65555" localSheetId="3">#REF!</definedName>
    <definedName name="______A65555">#REF!</definedName>
    <definedName name="______A655600" localSheetId="7">#REF!</definedName>
    <definedName name="______A655600" localSheetId="1">#REF!</definedName>
    <definedName name="______A655600" localSheetId="3">#REF!</definedName>
    <definedName name="______A655600">#REF!</definedName>
    <definedName name="______A65658" localSheetId="7">#REF!</definedName>
    <definedName name="______A65658" localSheetId="1">#REF!</definedName>
    <definedName name="______A65658" localSheetId="3">#REF!</definedName>
    <definedName name="______A65658">#REF!</definedName>
    <definedName name="______aaa1" localSheetId="7">#REF!</definedName>
    <definedName name="______aaa1" localSheetId="1">#REF!</definedName>
    <definedName name="______aaa1" localSheetId="3">#REF!</definedName>
    <definedName name="______aaa1">#REF!</definedName>
    <definedName name="______aaa10" localSheetId="7">#REF!</definedName>
    <definedName name="______aaa10" localSheetId="1">#REF!</definedName>
    <definedName name="______aaa10" localSheetId="3">#REF!</definedName>
    <definedName name="______aaa10">#REF!</definedName>
    <definedName name="______aaa11" localSheetId="7">#REF!</definedName>
    <definedName name="______aaa11" localSheetId="1">#REF!</definedName>
    <definedName name="______aaa11" localSheetId="3">#REF!</definedName>
    <definedName name="______aaa11">#REF!</definedName>
    <definedName name="______AAA12" localSheetId="7">#REF!</definedName>
    <definedName name="______AAA12" localSheetId="1">#REF!</definedName>
    <definedName name="______AAA12" localSheetId="3">#REF!</definedName>
    <definedName name="______AAA12">#REF!</definedName>
    <definedName name="______AAA21" localSheetId="7">#REF!</definedName>
    <definedName name="______AAA21" localSheetId="1">#REF!</definedName>
    <definedName name="______AAA21" localSheetId="3">#REF!</definedName>
    <definedName name="______AAA21">#REF!</definedName>
    <definedName name="______aaa23" localSheetId="7">#REF!</definedName>
    <definedName name="______aaa23" localSheetId="1">#REF!</definedName>
    <definedName name="______aaa23" localSheetId="3">#REF!</definedName>
    <definedName name="______aaa23">#REF!</definedName>
    <definedName name="______aaa34" localSheetId="7">#REF!</definedName>
    <definedName name="______aaa34" localSheetId="1">#REF!</definedName>
    <definedName name="______aaa34" localSheetId="3">#REF!</definedName>
    <definedName name="______aaa34">#REF!</definedName>
    <definedName name="______aaa5" localSheetId="7">#REF!</definedName>
    <definedName name="______aaa5" localSheetId="1">#REF!</definedName>
    <definedName name="______aaa5" localSheetId="3">#REF!</definedName>
    <definedName name="______aaa5">#REF!</definedName>
    <definedName name="______AAA51" localSheetId="7">#REF!</definedName>
    <definedName name="______AAA51" localSheetId="1">#REF!</definedName>
    <definedName name="______AAA51" localSheetId="3">#REF!</definedName>
    <definedName name="______AAA51">#REF!</definedName>
    <definedName name="______AAA53" localSheetId="7">#REF!</definedName>
    <definedName name="______AAA53" localSheetId="1">#REF!</definedName>
    <definedName name="______AAA53" localSheetId="3">#REF!</definedName>
    <definedName name="______AAA53">#REF!</definedName>
    <definedName name="______aaa54" localSheetId="7">#REF!</definedName>
    <definedName name="______aaa54" localSheetId="1">#REF!</definedName>
    <definedName name="______aaa54" localSheetId="3">#REF!</definedName>
    <definedName name="______aaa54">#REF!</definedName>
    <definedName name="______aaa545" localSheetId="7">#REF!</definedName>
    <definedName name="______aaa545" localSheetId="1">#REF!</definedName>
    <definedName name="______aaa545" localSheetId="3">#REF!</definedName>
    <definedName name="______aaa545">#REF!</definedName>
    <definedName name="______aaa55" localSheetId="7">#REF!</definedName>
    <definedName name="______aaa55" localSheetId="1">#REF!</definedName>
    <definedName name="______aaa55" localSheetId="3">#REF!</definedName>
    <definedName name="______aaa55">#REF!</definedName>
    <definedName name="______aaa56" localSheetId="7">#REF!</definedName>
    <definedName name="______aaa56" localSheetId="1">#REF!</definedName>
    <definedName name="______aaa56" localSheetId="3">#REF!</definedName>
    <definedName name="______aaa56">#REF!</definedName>
    <definedName name="______AAA57" localSheetId="7">#REF!</definedName>
    <definedName name="______AAA57" localSheetId="1">#REF!</definedName>
    <definedName name="______AAA57" localSheetId="3">#REF!</definedName>
    <definedName name="______AAA57">#REF!</definedName>
    <definedName name="______aaa59" localSheetId="7">#REF!</definedName>
    <definedName name="______aaa59" localSheetId="1">#REF!</definedName>
    <definedName name="______aaa59" localSheetId="3">#REF!</definedName>
    <definedName name="______aaa59">#REF!</definedName>
    <definedName name="______AAA6" localSheetId="7">#REF!</definedName>
    <definedName name="______AAA6" localSheetId="1">#REF!</definedName>
    <definedName name="______AAA6" localSheetId="3">#REF!</definedName>
    <definedName name="______AAA6">#REF!</definedName>
    <definedName name="______AAA66" localSheetId="7">#REF!</definedName>
    <definedName name="______AAA66" localSheetId="1">#REF!</definedName>
    <definedName name="______AAA66" localSheetId="3">#REF!</definedName>
    <definedName name="______AAA66">#REF!</definedName>
    <definedName name="______AAA69" localSheetId="7">#REF!</definedName>
    <definedName name="______AAA69" localSheetId="1">#REF!</definedName>
    <definedName name="______AAA69" localSheetId="3">#REF!</definedName>
    <definedName name="______AAA69">#REF!</definedName>
    <definedName name="______AAA7" localSheetId="7">#REF!</definedName>
    <definedName name="______AAA7" localSheetId="1">#REF!</definedName>
    <definedName name="______AAA7" localSheetId="3">#REF!</definedName>
    <definedName name="______AAA7">#REF!</definedName>
    <definedName name="______AAD5" localSheetId="7">#REF!</definedName>
    <definedName name="______AAD5" localSheetId="1">#REF!</definedName>
    <definedName name="______AAD5" localSheetId="3">#REF!</definedName>
    <definedName name="______AAD5">#REF!</definedName>
    <definedName name="______aad55" localSheetId="7">#REF!</definedName>
    <definedName name="______aad55" localSheetId="1">#REF!</definedName>
    <definedName name="______aad55" localSheetId="3">#REF!</definedName>
    <definedName name="______aad55">#REF!</definedName>
    <definedName name="______AAD56" localSheetId="7">#REF!</definedName>
    <definedName name="______AAD56" localSheetId="1">#REF!</definedName>
    <definedName name="______AAD56" localSheetId="3">#REF!</definedName>
    <definedName name="______AAD56">#REF!</definedName>
    <definedName name="______AAD57" localSheetId="7">#REF!</definedName>
    <definedName name="______AAD57" localSheetId="1">#REF!</definedName>
    <definedName name="______AAD57" localSheetId="3">#REF!</definedName>
    <definedName name="______AAD57">#REF!</definedName>
    <definedName name="______ast1" localSheetId="7">#REF!</definedName>
    <definedName name="______ast1" localSheetId="1">#REF!</definedName>
    <definedName name="______ast1" localSheetId="3">#REF!</definedName>
    <definedName name="______ast1">#REF!</definedName>
    <definedName name="______ast2" localSheetId="7">#REF!</definedName>
    <definedName name="______ast2" localSheetId="1">#REF!</definedName>
    <definedName name="______ast2" localSheetId="3">#REF!</definedName>
    <definedName name="______ast2">#REF!</definedName>
    <definedName name="______b111121" localSheetId="7">#REF!</definedName>
    <definedName name="______b111121" localSheetId="1">#REF!</definedName>
    <definedName name="______b111121" localSheetId="3">#REF!</definedName>
    <definedName name="______b111121">#REF!</definedName>
    <definedName name="______bbb1" localSheetId="7">#REF!</definedName>
    <definedName name="______bbb1" localSheetId="1">#REF!</definedName>
    <definedName name="______bbb1" localSheetId="3">#REF!</definedName>
    <definedName name="______bbb1">#REF!</definedName>
    <definedName name="______bol1" localSheetId="7">#REF!</definedName>
    <definedName name="______bol1" localSheetId="1">#REF!</definedName>
    <definedName name="______bol1" localSheetId="3">#REF!</definedName>
    <definedName name="______bol1">#REF!</definedName>
    <definedName name="______can430">40.73</definedName>
    <definedName name="______can435">43.3</definedName>
    <definedName name="______ccc1" localSheetId="7">#REF!</definedName>
    <definedName name="______ccc1" localSheetId="1">#REF!</definedName>
    <definedName name="______ccc1" localSheetId="3">#REF!</definedName>
    <definedName name="______ccc1">#REF!</definedName>
    <definedName name="______COL1" localSheetId="7">#REF!</definedName>
    <definedName name="______COL1" localSheetId="1">#REF!</definedName>
    <definedName name="______COL1" localSheetId="3">#REF!</definedName>
    <definedName name="______COL1">#REF!</definedName>
    <definedName name="______COL14" localSheetId="7">#REF!</definedName>
    <definedName name="______COL14" localSheetId="1">#REF!</definedName>
    <definedName name="______COL14" localSheetId="3">#REF!</definedName>
    <definedName name="______COL14">#REF!</definedName>
    <definedName name="______COL15" localSheetId="7">#REF!</definedName>
    <definedName name="______COL15" localSheetId="1">#REF!</definedName>
    <definedName name="______COL15" localSheetId="3">#REF!</definedName>
    <definedName name="______COL15">#REF!</definedName>
    <definedName name="______COL16" localSheetId="7">#REF!</definedName>
    <definedName name="______COL16" localSheetId="1">#REF!</definedName>
    <definedName name="______COL16" localSheetId="3">#REF!</definedName>
    <definedName name="______COL16">#REF!</definedName>
    <definedName name="______Ctr10" localSheetId="7">#REF!</definedName>
    <definedName name="______Ctr10" localSheetId="1">#REF!</definedName>
    <definedName name="______Ctr10" localSheetId="3">#REF!</definedName>
    <definedName name="______Ctr10">#REF!</definedName>
    <definedName name="______ddd1" localSheetId="7">#REF!</definedName>
    <definedName name="______ddd1" localSheetId="1">#REF!</definedName>
    <definedName name="______ddd1" localSheetId="3">#REF!</definedName>
    <definedName name="______ddd1">#REF!</definedName>
    <definedName name="______Doc1" localSheetId="7">#REF!</definedName>
    <definedName name="______Doc1" localSheetId="1">#REF!</definedName>
    <definedName name="______Doc1" localSheetId="3">#REF!</definedName>
    <definedName name="______Doc1">#REF!</definedName>
    <definedName name="______eee1" localSheetId="7">#REF!</definedName>
    <definedName name="______eee1" localSheetId="1">#REF!</definedName>
    <definedName name="______eee1" localSheetId="3">#REF!</definedName>
    <definedName name="______eee1">#REF!</definedName>
    <definedName name="______exc1" localSheetId="7">#REF!</definedName>
    <definedName name="______exc1" localSheetId="1">#REF!</definedName>
    <definedName name="______exc1" localSheetId="3">#REF!</definedName>
    <definedName name="______exc1">#REF!</definedName>
    <definedName name="______exc11" localSheetId="7">#REF!</definedName>
    <definedName name="______exc11" localSheetId="1">#REF!</definedName>
    <definedName name="______exc11" localSheetId="3">#REF!</definedName>
    <definedName name="______exc11">#REF!</definedName>
    <definedName name="______exc2" localSheetId="7">#REF!</definedName>
    <definedName name="______exc2" localSheetId="1">#REF!</definedName>
    <definedName name="______exc2" localSheetId="3">#REF!</definedName>
    <definedName name="______exc2">#REF!</definedName>
    <definedName name="______EXC3" localSheetId="7">#REF!</definedName>
    <definedName name="______EXC3" localSheetId="1">#REF!</definedName>
    <definedName name="______EXC3" localSheetId="3">#REF!</definedName>
    <definedName name="______EXC3">#REF!</definedName>
    <definedName name="______EXC4" localSheetId="7">#REF!</definedName>
    <definedName name="______EXC4" localSheetId="1">#REF!</definedName>
    <definedName name="______EXC4" localSheetId="3">#REF!</definedName>
    <definedName name="______EXC4">#REF!</definedName>
    <definedName name="______fff1" localSheetId="7">#REF!</definedName>
    <definedName name="______fff1" localSheetId="1">#REF!</definedName>
    <definedName name="______fff1" localSheetId="3">#REF!</definedName>
    <definedName name="______fff1">#REF!</definedName>
    <definedName name="______flx200" localSheetId="7">#REF!</definedName>
    <definedName name="______flx200" localSheetId="1">#REF!</definedName>
    <definedName name="______flx200" localSheetId="3">#REF!</definedName>
    <definedName name="______flx200">#REF!</definedName>
    <definedName name="______flx250" localSheetId="7">#REF!</definedName>
    <definedName name="______flx250" localSheetId="1">#REF!</definedName>
    <definedName name="______flx250" localSheetId="3">#REF!</definedName>
    <definedName name="______flx250">#REF!</definedName>
    <definedName name="______flx300" localSheetId="7">#REF!</definedName>
    <definedName name="______flx300" localSheetId="1">#REF!</definedName>
    <definedName name="______flx300" localSheetId="3">#REF!</definedName>
    <definedName name="______flx300">#REF!</definedName>
    <definedName name="______foo1" localSheetId="7">#REF!</definedName>
    <definedName name="______foo1" localSheetId="1">#REF!</definedName>
    <definedName name="______foo1" localSheetId="3">#REF!</definedName>
    <definedName name="______foo1">#REF!</definedName>
    <definedName name="______foo2" localSheetId="7">#REF!</definedName>
    <definedName name="______foo2" localSheetId="1">#REF!</definedName>
    <definedName name="______foo2" localSheetId="3">#REF!</definedName>
    <definedName name="______foo2">#REF!</definedName>
    <definedName name="______foo3" localSheetId="7">#REF!</definedName>
    <definedName name="______foo3" localSheetId="1">#REF!</definedName>
    <definedName name="______foo3" localSheetId="3">#REF!</definedName>
    <definedName name="______foo3">#REF!</definedName>
    <definedName name="______FOO4" localSheetId="7">#REF!</definedName>
    <definedName name="______FOO4" localSheetId="1">#REF!</definedName>
    <definedName name="______FOO4" localSheetId="3">#REF!</definedName>
    <definedName name="______FOO4">#REF!</definedName>
    <definedName name="______ief1" localSheetId="7">#REF!</definedName>
    <definedName name="______ief1" localSheetId="1">#REF!</definedName>
    <definedName name="______ief1" localSheetId="3">#REF!</definedName>
    <definedName name="______ief1">#REF!</definedName>
    <definedName name="______ind1" localSheetId="7">#REF!</definedName>
    <definedName name="______ind1" localSheetId="1">#REF!</definedName>
    <definedName name="______ind1" localSheetId="3">#REF!</definedName>
    <definedName name="______ind1">#REF!</definedName>
    <definedName name="______IND11" localSheetId="7">#REF!</definedName>
    <definedName name="______IND11" localSheetId="1">#REF!</definedName>
    <definedName name="______IND11" localSheetId="3">#REF!</definedName>
    <definedName name="______IND11">#REF!</definedName>
    <definedName name="______IND31" localSheetId="7">#REF!</definedName>
    <definedName name="______IND31" localSheetId="1">#REF!</definedName>
    <definedName name="______IND31" localSheetId="3">#REF!</definedName>
    <definedName name="______IND31">#REF!</definedName>
    <definedName name="______IRS1" localSheetId="7">#REF!</definedName>
    <definedName name="______IRS1" localSheetId="1">#REF!</definedName>
    <definedName name="______IRS1" localSheetId="3">#REF!</definedName>
    <definedName name="______IRS1">#REF!</definedName>
    <definedName name="______Ki1" localSheetId="7">#REF!</definedName>
    <definedName name="______Ki1" localSheetId="1">#REF!</definedName>
    <definedName name="______Ki1" localSheetId="3">#REF!</definedName>
    <definedName name="______Ki1">#REF!</definedName>
    <definedName name="______Ki2" localSheetId="7">#REF!</definedName>
    <definedName name="______Ki2" localSheetId="1">#REF!</definedName>
    <definedName name="______Ki2" localSheetId="3">#REF!</definedName>
    <definedName name="______Ki2">#REF!</definedName>
    <definedName name="______KK1" localSheetId="7">#REF!</definedName>
    <definedName name="______KK1" localSheetId="1">#REF!</definedName>
    <definedName name="______KK1" localSheetId="3">#REF!</definedName>
    <definedName name="______KK1">#REF!</definedName>
    <definedName name="______KK2" localSheetId="7">#REF!</definedName>
    <definedName name="______KK2" localSheetId="1">#REF!</definedName>
    <definedName name="______KK2" localSheetId="3">#REF!</definedName>
    <definedName name="______KK2">#REF!</definedName>
    <definedName name="______kk3" localSheetId="7">#REF!</definedName>
    <definedName name="______kk3" localSheetId="1">#REF!</definedName>
    <definedName name="______kk3" localSheetId="3">#REF!</definedName>
    <definedName name="______kk3">#REF!</definedName>
    <definedName name="______kk4" localSheetId="7">#REF!</definedName>
    <definedName name="______kk4" localSheetId="1">#REF!</definedName>
    <definedName name="______kk4" localSheetId="3">#REF!</definedName>
    <definedName name="______kk4">#REF!</definedName>
    <definedName name="______lsc44" localSheetId="7">#REF!</definedName>
    <definedName name="______lsc44" localSheetId="1">#REF!</definedName>
    <definedName name="______lsc44" localSheetId="3">#REF!</definedName>
    <definedName name="______lsc44">#REF!</definedName>
    <definedName name="______MAN1" localSheetId="7">#REF!</definedName>
    <definedName name="______MAN1" localSheetId="1">#REF!</definedName>
    <definedName name="______MAN1" localSheetId="3">#REF!</definedName>
    <definedName name="______MAN1">#REF!</definedName>
    <definedName name="______MF1" localSheetId="7">#REF!</definedName>
    <definedName name="______MF1" localSheetId="1">#REF!</definedName>
    <definedName name="______MF1" localSheetId="3">#REF!</definedName>
    <definedName name="______MF1">#REF!</definedName>
    <definedName name="______MM1" localSheetId="7">#REF!</definedName>
    <definedName name="______MM1" localSheetId="1">#REF!</definedName>
    <definedName name="______MM1" localSheetId="3">#REF!</definedName>
    <definedName name="______MM1">#REF!</definedName>
    <definedName name="______MM2" localSheetId="7">#REF!</definedName>
    <definedName name="______MM2" localSheetId="1">#REF!</definedName>
    <definedName name="______MM2" localSheetId="3">#REF!</definedName>
    <definedName name="______MM2">#REF!</definedName>
    <definedName name="______NN1" localSheetId="7">#REF!</definedName>
    <definedName name="______NN1" localSheetId="1">#REF!</definedName>
    <definedName name="______NN1" localSheetId="3">#REF!</definedName>
    <definedName name="______NN1">#REF!</definedName>
    <definedName name="______PB1" localSheetId="7">#REF!</definedName>
    <definedName name="______PB1" localSheetId="1">#REF!</definedName>
    <definedName name="______PB1" localSheetId="3">#REF!</definedName>
    <definedName name="______PB1">#REF!</definedName>
    <definedName name="______pcc1" localSheetId="7">#REF!</definedName>
    <definedName name="______pcc1" localSheetId="1">#REF!</definedName>
    <definedName name="______pcc1" localSheetId="3">#REF!</definedName>
    <definedName name="______pcc1">#REF!</definedName>
    <definedName name="______pcc2" localSheetId="7">#REF!</definedName>
    <definedName name="______pcc2" localSheetId="1">#REF!</definedName>
    <definedName name="______pcc2" localSheetId="3">#REF!</definedName>
    <definedName name="______pcc2">#REF!</definedName>
    <definedName name="______pcc3" localSheetId="7">#REF!</definedName>
    <definedName name="______pcc3" localSheetId="1">#REF!</definedName>
    <definedName name="______pcc3" localSheetId="3">#REF!</definedName>
    <definedName name="______pcc3">#REF!</definedName>
    <definedName name="______PCC4" localSheetId="7">#REF!</definedName>
    <definedName name="______PCC4" localSheetId="1">#REF!</definedName>
    <definedName name="______PCC4" localSheetId="3">#REF!</definedName>
    <definedName name="______PCC4">#REF!</definedName>
    <definedName name="______plb1" localSheetId="7">#REF!</definedName>
    <definedName name="______plb1" localSheetId="1">#REF!</definedName>
    <definedName name="______plb1" localSheetId="3">#REF!</definedName>
    <definedName name="______plb1">#REF!</definedName>
    <definedName name="______plb2" localSheetId="7">#REF!</definedName>
    <definedName name="______plb2" localSheetId="1">#REF!</definedName>
    <definedName name="______plb2" localSheetId="3">#REF!</definedName>
    <definedName name="______plb2">#REF!</definedName>
    <definedName name="______plb3" localSheetId="7">#REF!</definedName>
    <definedName name="______plb3" localSheetId="1">#REF!</definedName>
    <definedName name="______plb3" localSheetId="3">#REF!</definedName>
    <definedName name="______plb3">#REF!</definedName>
    <definedName name="______plb4" localSheetId="7">#REF!</definedName>
    <definedName name="______plb4" localSheetId="1">#REF!</definedName>
    <definedName name="______plb4" localSheetId="3">#REF!</definedName>
    <definedName name="______plb4">#REF!</definedName>
    <definedName name="______rab20" localSheetId="7">#REF!</definedName>
    <definedName name="______rab20" localSheetId="1">#REF!</definedName>
    <definedName name="______rab20" localSheetId="3">#REF!</definedName>
    <definedName name="______rab20">#REF!</definedName>
    <definedName name="______S12" localSheetId="7">#REF!</definedName>
    <definedName name="______S12" localSheetId="1">#REF!</definedName>
    <definedName name="______S12" localSheetId="3">#REF!</definedName>
    <definedName name="______S12">#REF!</definedName>
    <definedName name="______sec1" localSheetId="7">#REF!</definedName>
    <definedName name="______sec1" localSheetId="1">#REF!</definedName>
    <definedName name="______sec1" localSheetId="3">#REF!</definedName>
    <definedName name="______sec1">#REF!</definedName>
    <definedName name="______sec111" localSheetId="7">#REF!</definedName>
    <definedName name="______sec111" localSheetId="1">#REF!</definedName>
    <definedName name="______sec111" localSheetId="3">#REF!</definedName>
    <definedName name="______sec111">#REF!</definedName>
    <definedName name="______SEC15" localSheetId="7">#REF!</definedName>
    <definedName name="______SEC15" localSheetId="1">#REF!</definedName>
    <definedName name="______SEC15" localSheetId="3">#REF!</definedName>
    <definedName name="______SEC15">#REF!</definedName>
    <definedName name="______Sec2" localSheetId="7">#REF!</definedName>
    <definedName name="______Sec2" localSheetId="1">#REF!</definedName>
    <definedName name="______Sec2" localSheetId="3">#REF!</definedName>
    <definedName name="______Sec2">#REF!</definedName>
    <definedName name="______sec22" localSheetId="7">#REF!</definedName>
    <definedName name="______sec22" localSheetId="1">#REF!</definedName>
    <definedName name="______sec22" localSheetId="3">#REF!</definedName>
    <definedName name="______sec22">#REF!</definedName>
    <definedName name="______SEC23" localSheetId="7">#REF!</definedName>
    <definedName name="______SEC23" localSheetId="1">#REF!</definedName>
    <definedName name="______SEC23" localSheetId="3">#REF!</definedName>
    <definedName name="______SEC23">#REF!</definedName>
    <definedName name="______sec3" localSheetId="7">#REF!</definedName>
    <definedName name="______sec3" localSheetId="1">#REF!</definedName>
    <definedName name="______sec3" localSheetId="3">#REF!</definedName>
    <definedName name="______sec3">#REF!</definedName>
    <definedName name="______SEC32" localSheetId="7">#REF!</definedName>
    <definedName name="______SEC32" localSheetId="1">#REF!</definedName>
    <definedName name="______SEC32" localSheetId="3">#REF!</definedName>
    <definedName name="______SEC32">#REF!</definedName>
    <definedName name="______sec33" localSheetId="7">#REF!</definedName>
    <definedName name="______sec33" localSheetId="1">#REF!</definedName>
    <definedName name="______sec33" localSheetId="3">#REF!</definedName>
    <definedName name="______sec33">#REF!</definedName>
    <definedName name="______Sec4" localSheetId="7">#REF!</definedName>
    <definedName name="______Sec4" localSheetId="1">#REF!</definedName>
    <definedName name="______Sec4" localSheetId="3">#REF!</definedName>
    <definedName name="______Sec4">#REF!</definedName>
    <definedName name="______sec45" localSheetId="7">#REF!</definedName>
    <definedName name="______sec45" localSheetId="1">#REF!</definedName>
    <definedName name="______sec45" localSheetId="3">#REF!</definedName>
    <definedName name="______sec45">#REF!</definedName>
    <definedName name="______SEC46" localSheetId="7">#REF!</definedName>
    <definedName name="______SEC46" localSheetId="1">#REF!</definedName>
    <definedName name="______SEC46" localSheetId="3">#REF!</definedName>
    <definedName name="______SEC46">#REF!</definedName>
    <definedName name="______sec5" localSheetId="7">#REF!</definedName>
    <definedName name="______sec5" localSheetId="1">#REF!</definedName>
    <definedName name="______sec5" localSheetId="3">#REF!</definedName>
    <definedName name="______sec5">#REF!</definedName>
    <definedName name="______sec55" localSheetId="7">#REF!</definedName>
    <definedName name="______sec55" localSheetId="1">#REF!</definedName>
    <definedName name="______sec55" localSheetId="3">#REF!</definedName>
    <definedName name="______sec55">#REF!</definedName>
    <definedName name="______SEC56" localSheetId="7">#REF!</definedName>
    <definedName name="______SEC56" localSheetId="1">#REF!</definedName>
    <definedName name="______SEC56" localSheetId="3">#REF!</definedName>
    <definedName name="______SEC56">#REF!</definedName>
    <definedName name="______sec6" localSheetId="7">#REF!</definedName>
    <definedName name="______sec6" localSheetId="1">#REF!</definedName>
    <definedName name="______sec6" localSheetId="3">#REF!</definedName>
    <definedName name="______sec6">#REF!</definedName>
    <definedName name="______sec66" localSheetId="7">#REF!</definedName>
    <definedName name="______sec66" localSheetId="1">#REF!</definedName>
    <definedName name="______sec66" localSheetId="3">#REF!</definedName>
    <definedName name="______sec66">#REF!</definedName>
    <definedName name="______SEC67" localSheetId="7">#REF!</definedName>
    <definedName name="______SEC67" localSheetId="1">#REF!</definedName>
    <definedName name="______SEC67" localSheetId="3">#REF!</definedName>
    <definedName name="______SEC67">#REF!</definedName>
    <definedName name="______sec7" localSheetId="7">#REF!</definedName>
    <definedName name="______sec7" localSheetId="1">#REF!</definedName>
    <definedName name="______sec7" localSheetId="3">#REF!</definedName>
    <definedName name="______sec7">#REF!</definedName>
    <definedName name="______sec71" localSheetId="7">#REF!</definedName>
    <definedName name="______sec71" localSheetId="1">#REF!</definedName>
    <definedName name="______sec71" localSheetId="3">#REF!</definedName>
    <definedName name="______sec71">#REF!</definedName>
    <definedName name="______SEC72" localSheetId="7">#REF!</definedName>
    <definedName name="______SEC72" localSheetId="1">#REF!</definedName>
    <definedName name="______SEC72" localSheetId="3">#REF!</definedName>
    <definedName name="______SEC72">#REF!</definedName>
    <definedName name="______SEC74" localSheetId="7">#REF!</definedName>
    <definedName name="______SEC74" localSheetId="1">#REF!</definedName>
    <definedName name="______SEC74" localSheetId="3">#REF!</definedName>
    <definedName name="______SEC74">#REF!</definedName>
    <definedName name="______SEC75" localSheetId="7">#REF!</definedName>
    <definedName name="______SEC75" localSheetId="1">#REF!</definedName>
    <definedName name="______SEC75" localSheetId="3">#REF!</definedName>
    <definedName name="______SEC75">#REF!</definedName>
    <definedName name="______SEC77" localSheetId="7">#REF!</definedName>
    <definedName name="______SEC77" localSheetId="1">#REF!</definedName>
    <definedName name="______SEC77" localSheetId="3">#REF!</definedName>
    <definedName name="______SEC77">#REF!</definedName>
    <definedName name="______sec777" localSheetId="7">#REF!</definedName>
    <definedName name="______sec777" localSheetId="1">#REF!</definedName>
    <definedName name="______sec777" localSheetId="3">#REF!</definedName>
    <definedName name="______sec777">#REF!</definedName>
    <definedName name="______sec78" localSheetId="7">#REF!</definedName>
    <definedName name="______sec78" localSheetId="1">#REF!</definedName>
    <definedName name="______sec78" localSheetId="3">#REF!</definedName>
    <definedName name="______sec78">#REF!</definedName>
    <definedName name="______sec79" localSheetId="7">#REF!</definedName>
    <definedName name="______sec79" localSheetId="1">#REF!</definedName>
    <definedName name="______sec79" localSheetId="3">#REF!</definedName>
    <definedName name="______sec79">#REF!</definedName>
    <definedName name="______sec8" localSheetId="7">#REF!</definedName>
    <definedName name="______sec8" localSheetId="1">#REF!</definedName>
    <definedName name="______sec8" localSheetId="3">#REF!</definedName>
    <definedName name="______sec8">#REF!</definedName>
    <definedName name="______sec81" localSheetId="7">#REF!</definedName>
    <definedName name="______sec81" localSheetId="1">#REF!</definedName>
    <definedName name="______sec81" localSheetId="3">#REF!</definedName>
    <definedName name="______sec81">#REF!</definedName>
    <definedName name="______SEC82" localSheetId="7">#REF!</definedName>
    <definedName name="______SEC82" localSheetId="1">#REF!</definedName>
    <definedName name="______SEC82" localSheetId="3">#REF!</definedName>
    <definedName name="______SEC82">#REF!</definedName>
    <definedName name="______SEC83" localSheetId="7">#REF!</definedName>
    <definedName name="______SEC83" localSheetId="1">#REF!</definedName>
    <definedName name="______SEC83" localSheetId="3">#REF!</definedName>
    <definedName name="______SEC83">#REF!</definedName>
    <definedName name="______SEC87" localSheetId="7">#REF!</definedName>
    <definedName name="______SEC87" localSheetId="1">#REF!</definedName>
    <definedName name="______SEC87" localSheetId="3">#REF!</definedName>
    <definedName name="______SEC87">#REF!</definedName>
    <definedName name="______SEC88" localSheetId="7">#REF!</definedName>
    <definedName name="______SEC88" localSheetId="1">#REF!</definedName>
    <definedName name="______SEC88" localSheetId="3">#REF!</definedName>
    <definedName name="______SEC88">#REF!</definedName>
    <definedName name="______sec888" localSheetId="7">#REF!</definedName>
    <definedName name="______sec888" localSheetId="1">#REF!</definedName>
    <definedName name="______sec888" localSheetId="3">#REF!</definedName>
    <definedName name="______sec888">#REF!</definedName>
    <definedName name="______sec89" localSheetId="7">#REF!</definedName>
    <definedName name="______sec89" localSheetId="1">#REF!</definedName>
    <definedName name="______sec89" localSheetId="3">#REF!</definedName>
    <definedName name="______sec89">#REF!</definedName>
    <definedName name="______sec899" localSheetId="7">#REF!</definedName>
    <definedName name="______sec899" localSheetId="1">#REF!</definedName>
    <definedName name="______sec899" localSheetId="3">#REF!</definedName>
    <definedName name="______sec899">#REF!</definedName>
    <definedName name="______SEC9" localSheetId="7">#REF!</definedName>
    <definedName name="______SEC9" localSheetId="1">#REF!</definedName>
    <definedName name="______SEC9" localSheetId="3">#REF!</definedName>
    <definedName name="______SEC9">#REF!</definedName>
    <definedName name="______SEC91" localSheetId="7">#REF!</definedName>
    <definedName name="______SEC91" localSheetId="1">#REF!</definedName>
    <definedName name="______SEC91" localSheetId="3">#REF!</definedName>
    <definedName name="______SEC91">#REF!</definedName>
    <definedName name="______SH1" localSheetId="7">#REF!</definedName>
    <definedName name="______SH1" localSheetId="1">#REF!</definedName>
    <definedName name="______SH1" localSheetId="3">#REF!</definedName>
    <definedName name="______SH1">#REF!</definedName>
    <definedName name="______SH2" localSheetId="7">#REF!</definedName>
    <definedName name="______SH2" localSheetId="1">#REF!</definedName>
    <definedName name="______SH2" localSheetId="3">#REF!</definedName>
    <definedName name="______SH2">#REF!</definedName>
    <definedName name="______SH3" localSheetId="7">#REF!</definedName>
    <definedName name="______SH3" localSheetId="1">#REF!</definedName>
    <definedName name="______SH3" localSheetId="3">#REF!</definedName>
    <definedName name="______SH3">#REF!</definedName>
    <definedName name="______SH4" localSheetId="7">#REF!</definedName>
    <definedName name="______SH4" localSheetId="1">#REF!</definedName>
    <definedName name="______SH4" localSheetId="3">#REF!</definedName>
    <definedName name="______SH4">#REF!</definedName>
    <definedName name="______SH5" localSheetId="7">#REF!</definedName>
    <definedName name="______SH5" localSheetId="1">#REF!</definedName>
    <definedName name="______SH5" localSheetId="3">#REF!</definedName>
    <definedName name="______SH5">#REF!</definedName>
    <definedName name="______SS2" localSheetId="7">#REF!</definedName>
    <definedName name="______SS2" localSheetId="1">#REF!</definedName>
    <definedName name="______SS2" localSheetId="3">#REF!</definedName>
    <definedName name="______SS2">#REF!</definedName>
    <definedName name="______tk1" localSheetId="7">#REF!</definedName>
    <definedName name="______tk1" localSheetId="1">#REF!</definedName>
    <definedName name="______tk1" localSheetId="3">#REF!</definedName>
    <definedName name="______tk1">#REF!</definedName>
    <definedName name="______xd1" localSheetId="7">#REF!</definedName>
    <definedName name="______xd1" localSheetId="1">#REF!</definedName>
    <definedName name="______xd1" localSheetId="3">#REF!</definedName>
    <definedName name="______xd1">#REF!</definedName>
    <definedName name="______XD2" localSheetId="7">#REF!</definedName>
    <definedName name="______XD2" localSheetId="1">#REF!</definedName>
    <definedName name="______XD2" localSheetId="3">#REF!</definedName>
    <definedName name="______XD2">#REF!</definedName>
    <definedName name="______xd3" localSheetId="7">#REF!</definedName>
    <definedName name="______xd3" localSheetId="1">#REF!</definedName>
    <definedName name="______xd3" localSheetId="3">#REF!</definedName>
    <definedName name="______xd3">#REF!</definedName>
    <definedName name="______zz1" localSheetId="7">#REF!</definedName>
    <definedName name="______zz1" localSheetId="1">#REF!</definedName>
    <definedName name="______zz1" localSheetId="3">#REF!</definedName>
    <definedName name="______zz1">#REF!</definedName>
    <definedName name="_____a1" localSheetId="7">#REF!</definedName>
    <definedName name="_____a1" localSheetId="1">#REF!</definedName>
    <definedName name="_____a1" localSheetId="3">#REF!</definedName>
    <definedName name="_____a1">#REF!</definedName>
    <definedName name="_____A2" localSheetId="7">#REF!</definedName>
    <definedName name="_____A2" localSheetId="1">#REF!</definedName>
    <definedName name="_____A2" localSheetId="3">#REF!</definedName>
    <definedName name="_____A2">#REF!</definedName>
    <definedName name="_____a65537" localSheetId="7">#REF!</definedName>
    <definedName name="_____a65537" localSheetId="1">#REF!</definedName>
    <definedName name="_____a65537" localSheetId="3">#REF!</definedName>
    <definedName name="_____a65537">#REF!</definedName>
    <definedName name="_____A65555" localSheetId="7">#REF!</definedName>
    <definedName name="_____A65555" localSheetId="1">#REF!</definedName>
    <definedName name="_____A65555" localSheetId="3">#REF!</definedName>
    <definedName name="_____A65555">#REF!</definedName>
    <definedName name="_____A655600" localSheetId="7">#REF!</definedName>
    <definedName name="_____A655600" localSheetId="1">#REF!</definedName>
    <definedName name="_____A655600" localSheetId="3">#REF!</definedName>
    <definedName name="_____A655600">#REF!</definedName>
    <definedName name="_____A65658" localSheetId="7">#REF!</definedName>
    <definedName name="_____A65658" localSheetId="1">#REF!</definedName>
    <definedName name="_____A65658" localSheetId="3">#REF!</definedName>
    <definedName name="_____A65658">#REF!</definedName>
    <definedName name="_____a999999" localSheetId="7">#REF!</definedName>
    <definedName name="_____a999999" localSheetId="1">#REF!</definedName>
    <definedName name="_____a999999" localSheetId="3">#REF!</definedName>
    <definedName name="_____a999999">#REF!</definedName>
    <definedName name="_____aaa1" localSheetId="7">#REF!</definedName>
    <definedName name="_____aaa1" localSheetId="1">#REF!</definedName>
    <definedName name="_____aaa1" localSheetId="3">#REF!</definedName>
    <definedName name="_____aaa1">#REF!</definedName>
    <definedName name="_____aaa10" localSheetId="7">#REF!</definedName>
    <definedName name="_____aaa10" localSheetId="1">#REF!</definedName>
    <definedName name="_____aaa10" localSheetId="3">#REF!</definedName>
    <definedName name="_____aaa10">#REF!</definedName>
    <definedName name="_____aaa11" localSheetId="7">#REF!</definedName>
    <definedName name="_____aaa11" localSheetId="1">#REF!</definedName>
    <definedName name="_____aaa11" localSheetId="3">#REF!</definedName>
    <definedName name="_____aaa11">#REF!</definedName>
    <definedName name="_____AAA12" localSheetId="7">#REF!</definedName>
    <definedName name="_____AAA12" localSheetId="1">#REF!</definedName>
    <definedName name="_____AAA12" localSheetId="3">#REF!</definedName>
    <definedName name="_____AAA12">#REF!</definedName>
    <definedName name="_____AAA21" localSheetId="7">#REF!</definedName>
    <definedName name="_____AAA21" localSheetId="1">#REF!</definedName>
    <definedName name="_____AAA21" localSheetId="3">#REF!</definedName>
    <definedName name="_____AAA21">#REF!</definedName>
    <definedName name="_____aaa23" localSheetId="7">#REF!</definedName>
    <definedName name="_____aaa23" localSheetId="1">#REF!</definedName>
    <definedName name="_____aaa23" localSheetId="3">#REF!</definedName>
    <definedName name="_____aaa23">#REF!</definedName>
    <definedName name="_____aaa34" localSheetId="7">#REF!</definedName>
    <definedName name="_____aaa34" localSheetId="1">#REF!</definedName>
    <definedName name="_____aaa34" localSheetId="3">#REF!</definedName>
    <definedName name="_____aaa34">#REF!</definedName>
    <definedName name="_____aaa5" localSheetId="7">#REF!</definedName>
    <definedName name="_____aaa5" localSheetId="1">#REF!</definedName>
    <definedName name="_____aaa5" localSheetId="3">#REF!</definedName>
    <definedName name="_____aaa5">#REF!</definedName>
    <definedName name="_____AAA51" localSheetId="7">#REF!</definedName>
    <definedName name="_____AAA51" localSheetId="1">#REF!</definedName>
    <definedName name="_____AAA51" localSheetId="3">#REF!</definedName>
    <definedName name="_____AAA51">#REF!</definedName>
    <definedName name="_____AAA53" localSheetId="7">#REF!</definedName>
    <definedName name="_____AAA53" localSheetId="1">#REF!</definedName>
    <definedName name="_____AAA53" localSheetId="3">#REF!</definedName>
    <definedName name="_____AAA53">#REF!</definedName>
    <definedName name="_____aaa54" localSheetId="7">#REF!</definedName>
    <definedName name="_____aaa54" localSheetId="1">#REF!</definedName>
    <definedName name="_____aaa54" localSheetId="3">#REF!</definedName>
    <definedName name="_____aaa54">#REF!</definedName>
    <definedName name="_____aaa545" localSheetId="7">#REF!</definedName>
    <definedName name="_____aaa545" localSheetId="1">#REF!</definedName>
    <definedName name="_____aaa545" localSheetId="3">#REF!</definedName>
    <definedName name="_____aaa545">#REF!</definedName>
    <definedName name="_____aaa55" localSheetId="7">#REF!</definedName>
    <definedName name="_____aaa55" localSheetId="1">#REF!</definedName>
    <definedName name="_____aaa55" localSheetId="3">#REF!</definedName>
    <definedName name="_____aaa55">#REF!</definedName>
    <definedName name="_____aaa56" localSheetId="7">#REF!</definedName>
    <definedName name="_____aaa56" localSheetId="1">#REF!</definedName>
    <definedName name="_____aaa56" localSheetId="3">#REF!</definedName>
    <definedName name="_____aaa56">#REF!</definedName>
    <definedName name="_____AAA57" localSheetId="7">#REF!</definedName>
    <definedName name="_____AAA57" localSheetId="1">#REF!</definedName>
    <definedName name="_____AAA57" localSheetId="3">#REF!</definedName>
    <definedName name="_____AAA57">#REF!</definedName>
    <definedName name="_____aaa59" localSheetId="7">#REF!</definedName>
    <definedName name="_____aaa59" localSheetId="1">#REF!</definedName>
    <definedName name="_____aaa59" localSheetId="3">#REF!</definedName>
    <definedName name="_____aaa59">#REF!</definedName>
    <definedName name="_____AAA6" localSheetId="7">#REF!</definedName>
    <definedName name="_____AAA6" localSheetId="1">#REF!</definedName>
    <definedName name="_____AAA6" localSheetId="3">#REF!</definedName>
    <definedName name="_____AAA6">#REF!</definedName>
    <definedName name="_____AAA66" localSheetId="7">#REF!</definedName>
    <definedName name="_____AAA66" localSheetId="1">#REF!</definedName>
    <definedName name="_____AAA66" localSheetId="3">#REF!</definedName>
    <definedName name="_____AAA66">#REF!</definedName>
    <definedName name="_____AAA69" localSheetId="7">#REF!</definedName>
    <definedName name="_____AAA69" localSheetId="1">#REF!</definedName>
    <definedName name="_____AAA69" localSheetId="3">#REF!</definedName>
    <definedName name="_____AAA69">#REF!</definedName>
    <definedName name="_____AAA7" localSheetId="7">#REF!</definedName>
    <definedName name="_____AAA7" localSheetId="1">#REF!</definedName>
    <definedName name="_____AAA7" localSheetId="3">#REF!</definedName>
    <definedName name="_____AAA7">#REF!</definedName>
    <definedName name="_____aad55" localSheetId="7">#REF!</definedName>
    <definedName name="_____aad55" localSheetId="1">#REF!</definedName>
    <definedName name="_____aad55" localSheetId="3">#REF!</definedName>
    <definedName name="_____aad55">#REF!</definedName>
    <definedName name="_____AAD56" localSheetId="7">#REF!</definedName>
    <definedName name="_____AAD56" localSheetId="1">#REF!</definedName>
    <definedName name="_____AAD56" localSheetId="3">#REF!</definedName>
    <definedName name="_____AAD56">#REF!</definedName>
    <definedName name="_____AAD57" localSheetId="7">#REF!</definedName>
    <definedName name="_____AAD57" localSheetId="1">#REF!</definedName>
    <definedName name="_____AAD57" localSheetId="3">#REF!</definedName>
    <definedName name="_____AAD57">#REF!</definedName>
    <definedName name="_____ast1" localSheetId="7">#REF!</definedName>
    <definedName name="_____ast1" localSheetId="1">#REF!</definedName>
    <definedName name="_____ast1" localSheetId="3">#REF!</definedName>
    <definedName name="_____ast1">#REF!</definedName>
    <definedName name="_____ast2" localSheetId="7">#REF!</definedName>
    <definedName name="_____ast2" localSheetId="1">#REF!</definedName>
    <definedName name="_____ast2" localSheetId="3">#REF!</definedName>
    <definedName name="_____ast2">#REF!</definedName>
    <definedName name="_____b111121" localSheetId="7">#REF!</definedName>
    <definedName name="_____b111121" localSheetId="1">#REF!</definedName>
    <definedName name="_____b111121" localSheetId="3">#REF!</definedName>
    <definedName name="_____b111121">#REF!</definedName>
    <definedName name="_____bbb1" localSheetId="7">#REF!</definedName>
    <definedName name="_____bbb1" localSheetId="1">#REF!</definedName>
    <definedName name="_____bbb1" localSheetId="3">#REF!</definedName>
    <definedName name="_____bbb1">#REF!</definedName>
    <definedName name="_____bol1" localSheetId="7">#REF!</definedName>
    <definedName name="_____bol1" localSheetId="1">#REF!</definedName>
    <definedName name="_____bol1" localSheetId="3">#REF!</definedName>
    <definedName name="_____bol1">#REF!</definedName>
    <definedName name="_____can430">40.73</definedName>
    <definedName name="_____can435">43.3</definedName>
    <definedName name="_____ccc1" localSheetId="7">#REF!</definedName>
    <definedName name="_____ccc1" localSheetId="1">#REF!</definedName>
    <definedName name="_____ccc1" localSheetId="3">#REF!</definedName>
    <definedName name="_____ccc1">#REF!</definedName>
    <definedName name="_____COL1" localSheetId="7">#REF!</definedName>
    <definedName name="_____COL1" localSheetId="1">#REF!</definedName>
    <definedName name="_____COL1" localSheetId="3">#REF!</definedName>
    <definedName name="_____COL1">#REF!</definedName>
    <definedName name="_____COL14" localSheetId="7">#REF!</definedName>
    <definedName name="_____COL14" localSheetId="1">#REF!</definedName>
    <definedName name="_____COL14" localSheetId="3">#REF!</definedName>
    <definedName name="_____COL14">#REF!</definedName>
    <definedName name="_____COL15" localSheetId="7">#REF!</definedName>
    <definedName name="_____COL15" localSheetId="1">#REF!</definedName>
    <definedName name="_____COL15" localSheetId="3">#REF!</definedName>
    <definedName name="_____COL15">#REF!</definedName>
    <definedName name="_____COL16" localSheetId="7">#REF!</definedName>
    <definedName name="_____COL16" localSheetId="1">#REF!</definedName>
    <definedName name="_____COL16" localSheetId="3">#REF!</definedName>
    <definedName name="_____COL16">#REF!</definedName>
    <definedName name="_____Ctr10" localSheetId="7">#REF!</definedName>
    <definedName name="_____Ctr10" localSheetId="1">#REF!</definedName>
    <definedName name="_____Ctr10" localSheetId="3">#REF!</definedName>
    <definedName name="_____Ctr10">#REF!</definedName>
    <definedName name="_____ddd1" localSheetId="7">#REF!</definedName>
    <definedName name="_____ddd1" localSheetId="1">#REF!</definedName>
    <definedName name="_____ddd1" localSheetId="3">#REF!</definedName>
    <definedName name="_____ddd1">#REF!</definedName>
    <definedName name="_____Doc1" localSheetId="7">#REF!</definedName>
    <definedName name="_____Doc1" localSheetId="1">#REF!</definedName>
    <definedName name="_____Doc1" localSheetId="3">#REF!</definedName>
    <definedName name="_____Doc1">#REF!</definedName>
    <definedName name="_____eee1" localSheetId="7">#REF!</definedName>
    <definedName name="_____eee1" localSheetId="1">#REF!</definedName>
    <definedName name="_____eee1" localSheetId="3">#REF!</definedName>
    <definedName name="_____eee1">#REF!</definedName>
    <definedName name="_____esc1" localSheetId="7">#REF!</definedName>
    <definedName name="_____esc1" localSheetId="1">#REF!</definedName>
    <definedName name="_____esc1" localSheetId="3">#REF!</definedName>
    <definedName name="_____esc1">#REF!</definedName>
    <definedName name="_____exc1" localSheetId="7">#REF!</definedName>
    <definedName name="_____exc1" localSheetId="1">#REF!</definedName>
    <definedName name="_____exc1" localSheetId="3">#REF!</definedName>
    <definedName name="_____exc1">#REF!</definedName>
    <definedName name="_____exc11" localSheetId="7">#REF!</definedName>
    <definedName name="_____exc11" localSheetId="1">#REF!</definedName>
    <definedName name="_____exc11" localSheetId="3">#REF!</definedName>
    <definedName name="_____exc11">#REF!</definedName>
    <definedName name="_____exc2" localSheetId="7">#REF!</definedName>
    <definedName name="_____exc2" localSheetId="1">#REF!</definedName>
    <definedName name="_____exc2" localSheetId="3">#REF!</definedName>
    <definedName name="_____exc2">#REF!</definedName>
    <definedName name="_____EXC3" localSheetId="7">#REF!</definedName>
    <definedName name="_____EXC3" localSheetId="1">#REF!</definedName>
    <definedName name="_____EXC3" localSheetId="3">#REF!</definedName>
    <definedName name="_____EXC3">#REF!</definedName>
    <definedName name="_____EXC4" localSheetId="7">#REF!</definedName>
    <definedName name="_____EXC4" localSheetId="1">#REF!</definedName>
    <definedName name="_____EXC4" localSheetId="3">#REF!</definedName>
    <definedName name="_____EXC4">#REF!</definedName>
    <definedName name="_____fff1" localSheetId="7">#REF!</definedName>
    <definedName name="_____fff1" localSheetId="1">#REF!</definedName>
    <definedName name="_____fff1" localSheetId="3">#REF!</definedName>
    <definedName name="_____fff1">#REF!</definedName>
    <definedName name="_____flx200" localSheetId="7">#REF!</definedName>
    <definedName name="_____flx200" localSheetId="1">#REF!</definedName>
    <definedName name="_____flx200" localSheetId="3">#REF!</definedName>
    <definedName name="_____flx200">#REF!</definedName>
    <definedName name="_____flx250" localSheetId="7">#REF!</definedName>
    <definedName name="_____flx250" localSheetId="1">#REF!</definedName>
    <definedName name="_____flx250" localSheetId="3">#REF!</definedName>
    <definedName name="_____flx250">#REF!</definedName>
    <definedName name="_____flx300" localSheetId="7">#REF!</definedName>
    <definedName name="_____flx300" localSheetId="1">#REF!</definedName>
    <definedName name="_____flx300" localSheetId="3">#REF!</definedName>
    <definedName name="_____flx300">#REF!</definedName>
    <definedName name="_____foo1" localSheetId="7">#REF!</definedName>
    <definedName name="_____foo1" localSheetId="1">#REF!</definedName>
    <definedName name="_____foo1" localSheetId="3">#REF!</definedName>
    <definedName name="_____foo1">#REF!</definedName>
    <definedName name="_____foo2" localSheetId="7">#REF!</definedName>
    <definedName name="_____foo2" localSheetId="1">#REF!</definedName>
    <definedName name="_____foo2" localSheetId="3">#REF!</definedName>
    <definedName name="_____foo2">#REF!</definedName>
    <definedName name="_____foo3" localSheetId="7">#REF!</definedName>
    <definedName name="_____foo3" localSheetId="1">#REF!</definedName>
    <definedName name="_____foo3" localSheetId="3">#REF!</definedName>
    <definedName name="_____foo3">#REF!</definedName>
    <definedName name="_____FOO4" localSheetId="7">#REF!</definedName>
    <definedName name="_____FOO4" localSheetId="1">#REF!</definedName>
    <definedName name="_____FOO4" localSheetId="3">#REF!</definedName>
    <definedName name="_____FOO4">#REF!</definedName>
    <definedName name="_____ief1" localSheetId="7">#REF!</definedName>
    <definedName name="_____ief1" localSheetId="1">#REF!</definedName>
    <definedName name="_____ief1" localSheetId="3">#REF!</definedName>
    <definedName name="_____ief1">#REF!</definedName>
    <definedName name="_____ind1" localSheetId="7">#REF!</definedName>
    <definedName name="_____ind1" localSheetId="1">#REF!</definedName>
    <definedName name="_____ind1" localSheetId="3">#REF!</definedName>
    <definedName name="_____ind1">#REF!</definedName>
    <definedName name="_____IND11" localSheetId="7">#REF!</definedName>
    <definedName name="_____IND11" localSheetId="1">#REF!</definedName>
    <definedName name="_____IND11" localSheetId="3">#REF!</definedName>
    <definedName name="_____IND11">#REF!</definedName>
    <definedName name="_____IND31" localSheetId="7">#REF!</definedName>
    <definedName name="_____IND31" localSheetId="1">#REF!</definedName>
    <definedName name="_____IND31" localSheetId="3">#REF!</definedName>
    <definedName name="_____IND31">#REF!</definedName>
    <definedName name="_____IRS1" localSheetId="7">#REF!</definedName>
    <definedName name="_____IRS1" localSheetId="1">#REF!</definedName>
    <definedName name="_____IRS1" localSheetId="3">#REF!</definedName>
    <definedName name="_____IRS1">#REF!</definedName>
    <definedName name="_____Ki1" localSheetId="7">#REF!</definedName>
    <definedName name="_____Ki1" localSheetId="1">#REF!</definedName>
    <definedName name="_____Ki1" localSheetId="3">#REF!</definedName>
    <definedName name="_____Ki1">#REF!</definedName>
    <definedName name="_____Ki2" localSheetId="7">#REF!</definedName>
    <definedName name="_____Ki2" localSheetId="1">#REF!</definedName>
    <definedName name="_____Ki2" localSheetId="3">#REF!</definedName>
    <definedName name="_____Ki2">#REF!</definedName>
    <definedName name="_____KK1" localSheetId="7">#REF!</definedName>
    <definedName name="_____KK1" localSheetId="1">#REF!</definedName>
    <definedName name="_____KK1" localSheetId="3">#REF!</definedName>
    <definedName name="_____KK1">#REF!</definedName>
    <definedName name="_____KK2" localSheetId="7">#REF!</definedName>
    <definedName name="_____KK2" localSheetId="1">#REF!</definedName>
    <definedName name="_____KK2" localSheetId="3">#REF!</definedName>
    <definedName name="_____KK2">#REF!</definedName>
    <definedName name="_____kk3" localSheetId="7">#REF!</definedName>
    <definedName name="_____kk3" localSheetId="1">#REF!</definedName>
    <definedName name="_____kk3" localSheetId="3">#REF!</definedName>
    <definedName name="_____kk3">#REF!</definedName>
    <definedName name="_____kk4" localSheetId="7">#REF!</definedName>
    <definedName name="_____kk4" localSheetId="1">#REF!</definedName>
    <definedName name="_____kk4" localSheetId="3">#REF!</definedName>
    <definedName name="_____kk4">#REF!</definedName>
    <definedName name="_____lsc44" localSheetId="7">#REF!</definedName>
    <definedName name="_____lsc44" localSheetId="1">#REF!</definedName>
    <definedName name="_____lsc44" localSheetId="3">#REF!</definedName>
    <definedName name="_____lsc44">#REF!</definedName>
    <definedName name="_____MAN1" localSheetId="7">#REF!</definedName>
    <definedName name="_____MAN1" localSheetId="1">#REF!</definedName>
    <definedName name="_____MAN1" localSheetId="3">#REF!</definedName>
    <definedName name="_____MAN1">#REF!</definedName>
    <definedName name="_____MF1" localSheetId="7">#REF!</definedName>
    <definedName name="_____MF1" localSheetId="1">#REF!</definedName>
    <definedName name="_____MF1" localSheetId="3">#REF!</definedName>
    <definedName name="_____MF1">#REF!</definedName>
    <definedName name="_____mix1" localSheetId="7">#REF!</definedName>
    <definedName name="_____mix1" localSheetId="1">#REF!</definedName>
    <definedName name="_____mix1" localSheetId="3">#REF!</definedName>
    <definedName name="_____mix1">#REF!</definedName>
    <definedName name="_____mix2" localSheetId="7">#REF!</definedName>
    <definedName name="_____mix2" localSheetId="1">#REF!</definedName>
    <definedName name="_____mix2" localSheetId="3">#REF!</definedName>
    <definedName name="_____mix2">#REF!</definedName>
    <definedName name="_____miy1" localSheetId="7">#REF!</definedName>
    <definedName name="_____miy1" localSheetId="1">#REF!</definedName>
    <definedName name="_____miy1" localSheetId="3">#REF!</definedName>
    <definedName name="_____miy1">#REF!</definedName>
    <definedName name="_____miy2" localSheetId="7">#REF!</definedName>
    <definedName name="_____miy2" localSheetId="1">#REF!</definedName>
    <definedName name="_____miy2" localSheetId="3">#REF!</definedName>
    <definedName name="_____miy2">#REF!</definedName>
    <definedName name="_____MM1" localSheetId="7">#REF!</definedName>
    <definedName name="_____MM1" localSheetId="1">#REF!</definedName>
    <definedName name="_____MM1" localSheetId="3">#REF!</definedName>
    <definedName name="_____MM1">#REF!</definedName>
    <definedName name="_____MM2" localSheetId="7">#REF!</definedName>
    <definedName name="_____MM2" localSheetId="1">#REF!</definedName>
    <definedName name="_____MM2" localSheetId="3">#REF!</definedName>
    <definedName name="_____MM2">#REF!</definedName>
    <definedName name="_____mnk1" localSheetId="7">#REF!</definedName>
    <definedName name="_____mnk1" localSheetId="1">#REF!</definedName>
    <definedName name="_____mnk1" localSheetId="3">#REF!</definedName>
    <definedName name="_____mnk1">#REF!</definedName>
    <definedName name="_____mux1" localSheetId="7">#REF!</definedName>
    <definedName name="_____mux1" localSheetId="1">#REF!</definedName>
    <definedName name="_____mux1" localSheetId="3">#REF!</definedName>
    <definedName name="_____mux1">#REF!</definedName>
    <definedName name="_____muy1" localSheetId="7">#REF!</definedName>
    <definedName name="_____muy1" localSheetId="1">#REF!</definedName>
    <definedName name="_____muy1" localSheetId="3">#REF!</definedName>
    <definedName name="_____muy1">#REF!</definedName>
    <definedName name="_____NN1" localSheetId="7">#REF!</definedName>
    <definedName name="_____NN1" localSheetId="1">#REF!</definedName>
    <definedName name="_____NN1" localSheetId="3">#REF!</definedName>
    <definedName name="_____NN1">#REF!</definedName>
    <definedName name="_____pan1" localSheetId="7">#REF!</definedName>
    <definedName name="_____pan1" localSheetId="1">#REF!</definedName>
    <definedName name="_____pan1" localSheetId="3">#REF!</definedName>
    <definedName name="_____pan1">#REF!</definedName>
    <definedName name="_____PAN2" localSheetId="7">#REF!</definedName>
    <definedName name="_____PAN2" localSheetId="1">#REF!</definedName>
    <definedName name="_____PAN2" localSheetId="3">#REF!</definedName>
    <definedName name="_____PAN2">#REF!</definedName>
    <definedName name="_____PB1" localSheetId="7">#REF!</definedName>
    <definedName name="_____PB1" localSheetId="1">#REF!</definedName>
    <definedName name="_____PB1" localSheetId="3">#REF!</definedName>
    <definedName name="_____PB1">#REF!</definedName>
    <definedName name="_____pcc1" localSheetId="7">#REF!</definedName>
    <definedName name="_____pcc1" localSheetId="1">#REF!</definedName>
    <definedName name="_____pcc1" localSheetId="3">#REF!</definedName>
    <definedName name="_____pcc1">#REF!</definedName>
    <definedName name="_____pcc2" localSheetId="7">#REF!</definedName>
    <definedName name="_____pcc2" localSheetId="1">#REF!</definedName>
    <definedName name="_____pcc2" localSheetId="3">#REF!</definedName>
    <definedName name="_____pcc2">#REF!</definedName>
    <definedName name="_____pcc3" localSheetId="7">#REF!</definedName>
    <definedName name="_____pcc3" localSheetId="1">#REF!</definedName>
    <definedName name="_____pcc3" localSheetId="3">#REF!</definedName>
    <definedName name="_____pcc3">#REF!</definedName>
    <definedName name="_____PCC4" localSheetId="7">#REF!</definedName>
    <definedName name="_____PCC4" localSheetId="1">#REF!</definedName>
    <definedName name="_____PCC4" localSheetId="3">#REF!</definedName>
    <definedName name="_____PCC4">#REF!</definedName>
    <definedName name="_____plb1" localSheetId="7">#REF!</definedName>
    <definedName name="_____plb1" localSheetId="1">#REF!</definedName>
    <definedName name="_____plb1" localSheetId="3">#REF!</definedName>
    <definedName name="_____plb1">#REF!</definedName>
    <definedName name="_____plb2" localSheetId="7">#REF!</definedName>
    <definedName name="_____plb2" localSheetId="1">#REF!</definedName>
    <definedName name="_____plb2" localSheetId="3">#REF!</definedName>
    <definedName name="_____plb2">#REF!</definedName>
    <definedName name="_____plb3" localSheetId="7">#REF!</definedName>
    <definedName name="_____plb3" localSheetId="1">#REF!</definedName>
    <definedName name="_____plb3" localSheetId="3">#REF!</definedName>
    <definedName name="_____plb3">#REF!</definedName>
    <definedName name="_____plb4" localSheetId="7">#REF!</definedName>
    <definedName name="_____plb4" localSheetId="1">#REF!</definedName>
    <definedName name="_____plb4" localSheetId="3">#REF!</definedName>
    <definedName name="_____plb4">#REF!</definedName>
    <definedName name="_____rab20" localSheetId="7">#REF!</definedName>
    <definedName name="_____rab20" localSheetId="1">#REF!</definedName>
    <definedName name="_____rab20" localSheetId="3">#REF!</definedName>
    <definedName name="_____rab20">#REF!</definedName>
    <definedName name="_____Re1" localSheetId="7">#REF!</definedName>
    <definedName name="_____Re1" localSheetId="1">#REF!</definedName>
    <definedName name="_____Re1" localSheetId="3">#REF!</definedName>
    <definedName name="_____Re1">#REF!</definedName>
    <definedName name="_____Rs1" localSheetId="7">#REF!</definedName>
    <definedName name="_____Rs1" localSheetId="1">#REF!</definedName>
    <definedName name="_____Rs1" localSheetId="3">#REF!</definedName>
    <definedName name="_____Rs1">#REF!</definedName>
    <definedName name="_____S12" localSheetId="7">#REF!</definedName>
    <definedName name="_____S12" localSheetId="1">#REF!</definedName>
    <definedName name="_____S12" localSheetId="3">#REF!</definedName>
    <definedName name="_____S12">#REF!</definedName>
    <definedName name="_____s41" localSheetId="5" hidden="1">{"form-D1",#N/A,FALSE,"FORM-D1";"form-D1_amt",#N/A,FALSE,"FORM-D1"}</definedName>
    <definedName name="_____s41" localSheetId="2" hidden="1">{"form-D1",#N/A,FALSE,"FORM-D1";"form-D1_amt",#N/A,FALSE,"FORM-D1"}</definedName>
    <definedName name="_____s41_1" localSheetId="5" hidden="1">{"form-D1",#N/A,FALSE,"FORM-D1";"form-D1_amt",#N/A,FALSE,"FORM-D1"}</definedName>
    <definedName name="_____s41_1" localSheetId="2" hidden="1">{"form-D1",#N/A,FALSE,"FORM-D1";"form-D1_amt",#N/A,FALSE,"FORM-D1"}</definedName>
    <definedName name="_____sec111" localSheetId="7">#REF!</definedName>
    <definedName name="_____sec111" localSheetId="1">#REF!</definedName>
    <definedName name="_____sec111" localSheetId="3">#REF!</definedName>
    <definedName name="_____sec111">#REF!</definedName>
    <definedName name="_____SEC15" localSheetId="7">#REF!</definedName>
    <definedName name="_____SEC15" localSheetId="1">#REF!</definedName>
    <definedName name="_____SEC15" localSheetId="3">#REF!</definedName>
    <definedName name="_____SEC15">#REF!</definedName>
    <definedName name="_____Sec2" localSheetId="7">#REF!</definedName>
    <definedName name="_____Sec2" localSheetId="1">#REF!</definedName>
    <definedName name="_____Sec2" localSheetId="3">#REF!</definedName>
    <definedName name="_____Sec2">#REF!</definedName>
    <definedName name="_____sec22" localSheetId="7">#REF!</definedName>
    <definedName name="_____sec22" localSheetId="1">#REF!</definedName>
    <definedName name="_____sec22" localSheetId="3">#REF!</definedName>
    <definedName name="_____sec22">#REF!</definedName>
    <definedName name="_____SEC23" localSheetId="7">#REF!</definedName>
    <definedName name="_____SEC23" localSheetId="1">#REF!</definedName>
    <definedName name="_____SEC23" localSheetId="3">#REF!</definedName>
    <definedName name="_____SEC23">#REF!</definedName>
    <definedName name="_____SEC24" localSheetId="7">#REF!</definedName>
    <definedName name="_____SEC24" localSheetId="1">#REF!</definedName>
    <definedName name="_____SEC24" localSheetId="3">#REF!</definedName>
    <definedName name="_____SEC24">#REF!</definedName>
    <definedName name="_____sec3" localSheetId="7">#REF!</definedName>
    <definedName name="_____sec3" localSheetId="1">#REF!</definedName>
    <definedName name="_____sec3" localSheetId="3">#REF!</definedName>
    <definedName name="_____sec3">#REF!</definedName>
    <definedName name="_____SEC32" localSheetId="7">#REF!</definedName>
    <definedName name="_____SEC32" localSheetId="1">#REF!</definedName>
    <definedName name="_____SEC32" localSheetId="3">#REF!</definedName>
    <definedName name="_____SEC32">#REF!</definedName>
    <definedName name="_____sec33" localSheetId="7">#REF!</definedName>
    <definedName name="_____sec33" localSheetId="1">#REF!</definedName>
    <definedName name="_____sec33" localSheetId="3">#REF!</definedName>
    <definedName name="_____sec33">#REF!</definedName>
    <definedName name="_____Sec4" localSheetId="7">#REF!</definedName>
    <definedName name="_____Sec4" localSheetId="1">#REF!</definedName>
    <definedName name="_____Sec4" localSheetId="3">#REF!</definedName>
    <definedName name="_____Sec4">#REF!</definedName>
    <definedName name="_____sec45" localSheetId="7">#REF!</definedName>
    <definedName name="_____sec45" localSheetId="1">#REF!</definedName>
    <definedName name="_____sec45" localSheetId="3">#REF!</definedName>
    <definedName name="_____sec45">#REF!</definedName>
    <definedName name="_____SEC46" localSheetId="7">#REF!</definedName>
    <definedName name="_____SEC46" localSheetId="1">#REF!</definedName>
    <definedName name="_____SEC46" localSheetId="3">#REF!</definedName>
    <definedName name="_____SEC46">#REF!</definedName>
    <definedName name="_____sec5" localSheetId="7">#REF!</definedName>
    <definedName name="_____sec5" localSheetId="1">#REF!</definedName>
    <definedName name="_____sec5" localSheetId="3">#REF!</definedName>
    <definedName name="_____sec5">#REF!</definedName>
    <definedName name="_____sec55" localSheetId="7">#REF!</definedName>
    <definedName name="_____sec55" localSheetId="1">#REF!</definedName>
    <definedName name="_____sec55" localSheetId="3">#REF!</definedName>
    <definedName name="_____sec55">#REF!</definedName>
    <definedName name="_____SEC56" localSheetId="7">#REF!</definedName>
    <definedName name="_____SEC56" localSheetId="1">#REF!</definedName>
    <definedName name="_____SEC56" localSheetId="3">#REF!</definedName>
    <definedName name="_____SEC56">#REF!</definedName>
    <definedName name="_____sec6" localSheetId="7">#REF!</definedName>
    <definedName name="_____sec6" localSheetId="1">#REF!</definedName>
    <definedName name="_____sec6" localSheetId="3">#REF!</definedName>
    <definedName name="_____sec6">#REF!</definedName>
    <definedName name="_____sec66" localSheetId="7">#REF!</definedName>
    <definedName name="_____sec66" localSheetId="1">#REF!</definedName>
    <definedName name="_____sec66" localSheetId="3">#REF!</definedName>
    <definedName name="_____sec66">#REF!</definedName>
    <definedName name="_____SEC67" localSheetId="7">#REF!</definedName>
    <definedName name="_____SEC67" localSheetId="1">#REF!</definedName>
    <definedName name="_____SEC67" localSheetId="3">#REF!</definedName>
    <definedName name="_____SEC67">#REF!</definedName>
    <definedName name="_____sec7" localSheetId="7">#REF!</definedName>
    <definedName name="_____sec7" localSheetId="1">#REF!</definedName>
    <definedName name="_____sec7" localSheetId="3">#REF!</definedName>
    <definedName name="_____sec7">#REF!</definedName>
    <definedName name="_____sec71" localSheetId="7">#REF!</definedName>
    <definedName name="_____sec71" localSheetId="1">#REF!</definedName>
    <definedName name="_____sec71" localSheetId="3">#REF!</definedName>
    <definedName name="_____sec71">#REF!</definedName>
    <definedName name="_____SEC72" localSheetId="7">#REF!</definedName>
    <definedName name="_____SEC72" localSheetId="1">#REF!</definedName>
    <definedName name="_____SEC72" localSheetId="3">#REF!</definedName>
    <definedName name="_____SEC72">#REF!</definedName>
    <definedName name="_____SEC74" localSheetId="7">#REF!</definedName>
    <definedName name="_____SEC74" localSheetId="1">#REF!</definedName>
    <definedName name="_____SEC74" localSheetId="3">#REF!</definedName>
    <definedName name="_____SEC74">#REF!</definedName>
    <definedName name="_____SEC75" localSheetId="7">#REF!</definedName>
    <definedName name="_____SEC75" localSheetId="1">#REF!</definedName>
    <definedName name="_____SEC75" localSheetId="3">#REF!</definedName>
    <definedName name="_____SEC75">#REF!</definedName>
    <definedName name="_____SEC77" localSheetId="7">#REF!</definedName>
    <definedName name="_____SEC77" localSheetId="1">#REF!</definedName>
    <definedName name="_____SEC77" localSheetId="3">#REF!</definedName>
    <definedName name="_____SEC77">#REF!</definedName>
    <definedName name="_____sec777" localSheetId="7">#REF!</definedName>
    <definedName name="_____sec777" localSheetId="1">#REF!</definedName>
    <definedName name="_____sec777" localSheetId="3">#REF!</definedName>
    <definedName name="_____sec777">#REF!</definedName>
    <definedName name="_____sec78" localSheetId="7">#REF!</definedName>
    <definedName name="_____sec78" localSheetId="1">#REF!</definedName>
    <definedName name="_____sec78" localSheetId="3">#REF!</definedName>
    <definedName name="_____sec78">#REF!</definedName>
    <definedName name="_____sec79" localSheetId="7">#REF!</definedName>
    <definedName name="_____sec79" localSheetId="1">#REF!</definedName>
    <definedName name="_____sec79" localSheetId="3">#REF!</definedName>
    <definedName name="_____sec79">#REF!</definedName>
    <definedName name="_____sec8" localSheetId="7">#REF!</definedName>
    <definedName name="_____sec8" localSheetId="1">#REF!</definedName>
    <definedName name="_____sec8" localSheetId="3">#REF!</definedName>
    <definedName name="_____sec8">#REF!</definedName>
    <definedName name="_____sec81" localSheetId="7">#REF!</definedName>
    <definedName name="_____sec81" localSheetId="1">#REF!</definedName>
    <definedName name="_____sec81" localSheetId="3">#REF!</definedName>
    <definedName name="_____sec81">#REF!</definedName>
    <definedName name="_____SEC82" localSheetId="7">#REF!</definedName>
    <definedName name="_____SEC82" localSheetId="1">#REF!</definedName>
    <definedName name="_____SEC82" localSheetId="3">#REF!</definedName>
    <definedName name="_____SEC82">#REF!</definedName>
    <definedName name="_____SEC83" localSheetId="7">#REF!</definedName>
    <definedName name="_____SEC83" localSheetId="1">#REF!</definedName>
    <definedName name="_____SEC83" localSheetId="3">#REF!</definedName>
    <definedName name="_____SEC83">#REF!</definedName>
    <definedName name="_____SEC87" localSheetId="7">#REF!</definedName>
    <definedName name="_____SEC87" localSheetId="1">#REF!</definedName>
    <definedName name="_____SEC87" localSheetId="3">#REF!</definedName>
    <definedName name="_____SEC87">#REF!</definedName>
    <definedName name="_____SEC88" localSheetId="7">#REF!</definedName>
    <definedName name="_____SEC88" localSheetId="1">#REF!</definedName>
    <definedName name="_____SEC88" localSheetId="3">#REF!</definedName>
    <definedName name="_____SEC88">#REF!</definedName>
    <definedName name="_____sec888" localSheetId="7">#REF!</definedName>
    <definedName name="_____sec888" localSheetId="1">#REF!</definedName>
    <definedName name="_____sec888" localSheetId="3">#REF!</definedName>
    <definedName name="_____sec888">#REF!</definedName>
    <definedName name="_____sec89" localSheetId="7">#REF!</definedName>
    <definedName name="_____sec89" localSheetId="1">#REF!</definedName>
    <definedName name="_____sec89" localSheetId="3">#REF!</definedName>
    <definedName name="_____sec89">#REF!</definedName>
    <definedName name="_____sec899" localSheetId="7">#REF!</definedName>
    <definedName name="_____sec899" localSheetId="1">#REF!</definedName>
    <definedName name="_____sec899" localSheetId="3">#REF!</definedName>
    <definedName name="_____sec899">#REF!</definedName>
    <definedName name="_____SEC9" localSheetId="7">#REF!</definedName>
    <definedName name="_____SEC9" localSheetId="1">#REF!</definedName>
    <definedName name="_____SEC9" localSheetId="3">#REF!</definedName>
    <definedName name="_____SEC9">#REF!</definedName>
    <definedName name="_____SEC91" localSheetId="7">#REF!</definedName>
    <definedName name="_____SEC91" localSheetId="1">#REF!</definedName>
    <definedName name="_____SEC91" localSheetId="3">#REF!</definedName>
    <definedName name="_____SEC91">#REF!</definedName>
    <definedName name="_____SH1" localSheetId="7">#REF!</definedName>
    <definedName name="_____SH1" localSheetId="1">#REF!</definedName>
    <definedName name="_____SH1" localSheetId="3">#REF!</definedName>
    <definedName name="_____SH1">#REF!</definedName>
    <definedName name="_____SH2" localSheetId="7">#REF!</definedName>
    <definedName name="_____SH2" localSheetId="1">#REF!</definedName>
    <definedName name="_____SH2" localSheetId="3">#REF!</definedName>
    <definedName name="_____SH2">#REF!</definedName>
    <definedName name="_____SH3" localSheetId="7">#REF!</definedName>
    <definedName name="_____SH3" localSheetId="1">#REF!</definedName>
    <definedName name="_____SH3" localSheetId="3">#REF!</definedName>
    <definedName name="_____SH3">#REF!</definedName>
    <definedName name="_____SH4" localSheetId="7">#REF!</definedName>
    <definedName name="_____SH4" localSheetId="1">#REF!</definedName>
    <definedName name="_____SH4" localSheetId="3">#REF!</definedName>
    <definedName name="_____SH4">#REF!</definedName>
    <definedName name="_____SH5" localSheetId="7">#REF!</definedName>
    <definedName name="_____SH5" localSheetId="1">#REF!</definedName>
    <definedName name="_____SH5" localSheetId="3">#REF!</definedName>
    <definedName name="_____SH5">#REF!</definedName>
    <definedName name="_____ss2" localSheetId="7">#REF!</definedName>
    <definedName name="_____ss2" localSheetId="1">#REF!</definedName>
    <definedName name="_____ss2" localSheetId="3">#REF!</definedName>
    <definedName name="_____ss2">#REF!</definedName>
    <definedName name="_____tk1" localSheetId="7">#REF!</definedName>
    <definedName name="_____tk1" localSheetId="1">#REF!</definedName>
    <definedName name="_____tk1" localSheetId="3">#REF!</definedName>
    <definedName name="_____tk1">#REF!</definedName>
    <definedName name="_____xd1" localSheetId="7">#REF!</definedName>
    <definedName name="_____xd1" localSheetId="1">#REF!</definedName>
    <definedName name="_____xd1" localSheetId="3">#REF!</definedName>
    <definedName name="_____xd1">#REF!</definedName>
    <definedName name="_____XD2" localSheetId="7">#REF!</definedName>
    <definedName name="_____XD2" localSheetId="1">#REF!</definedName>
    <definedName name="_____XD2" localSheetId="3">#REF!</definedName>
    <definedName name="_____XD2">#REF!</definedName>
    <definedName name="_____xd3" localSheetId="7">#REF!</definedName>
    <definedName name="_____xd3" localSheetId="1">#REF!</definedName>
    <definedName name="_____xd3" localSheetId="3">#REF!</definedName>
    <definedName name="_____xd3">#REF!</definedName>
    <definedName name="_____zz1" localSheetId="7">#REF!</definedName>
    <definedName name="_____zz1" localSheetId="1">#REF!</definedName>
    <definedName name="_____zz1" localSheetId="3">#REF!</definedName>
    <definedName name="_____zz1">#REF!</definedName>
    <definedName name="____a1" localSheetId="7">#REF!</definedName>
    <definedName name="____a1" localSheetId="1">#REF!</definedName>
    <definedName name="____a1" localSheetId="3">#REF!</definedName>
    <definedName name="____a1">#REF!</definedName>
    <definedName name="____A2" localSheetId="7">#REF!</definedName>
    <definedName name="____A2" localSheetId="1">#REF!</definedName>
    <definedName name="____A2" localSheetId="3">#REF!</definedName>
    <definedName name="____A2">#REF!</definedName>
    <definedName name="____a65537" localSheetId="7">#REF!</definedName>
    <definedName name="____a65537" localSheetId="1">#REF!</definedName>
    <definedName name="____a65537" localSheetId="3">#REF!</definedName>
    <definedName name="____a65537">#REF!</definedName>
    <definedName name="____A65555" localSheetId="7">#REF!</definedName>
    <definedName name="____A65555" localSheetId="1">#REF!</definedName>
    <definedName name="____A65555" localSheetId="3">#REF!</definedName>
    <definedName name="____A65555">#REF!</definedName>
    <definedName name="____A655600" localSheetId="7">#REF!</definedName>
    <definedName name="____A655600" localSheetId="1">#REF!</definedName>
    <definedName name="____A655600" localSheetId="3">#REF!</definedName>
    <definedName name="____A655600">#REF!</definedName>
    <definedName name="____A65658" localSheetId="7">#REF!</definedName>
    <definedName name="____A65658" localSheetId="1">#REF!</definedName>
    <definedName name="____A65658" localSheetId="3">#REF!</definedName>
    <definedName name="____A65658">#REF!</definedName>
    <definedName name="____a999999" localSheetId="7">#REF!</definedName>
    <definedName name="____a999999" localSheetId="1">#REF!</definedName>
    <definedName name="____a999999" localSheetId="3">#REF!</definedName>
    <definedName name="____a999999">#REF!</definedName>
    <definedName name="____aaa1" localSheetId="7">#REF!</definedName>
    <definedName name="____aaa1" localSheetId="1">#REF!</definedName>
    <definedName name="____aaa1" localSheetId="3">#REF!</definedName>
    <definedName name="____aaa1">#REF!</definedName>
    <definedName name="____aaa10" localSheetId="7">#REF!</definedName>
    <definedName name="____aaa10" localSheetId="1">#REF!</definedName>
    <definedName name="____aaa10" localSheetId="3">#REF!</definedName>
    <definedName name="____aaa10">#REF!</definedName>
    <definedName name="____aaa11" localSheetId="7">#REF!</definedName>
    <definedName name="____aaa11" localSheetId="1">#REF!</definedName>
    <definedName name="____aaa11" localSheetId="3">#REF!</definedName>
    <definedName name="____aaa11">#REF!</definedName>
    <definedName name="____AAA12" localSheetId="7">#REF!</definedName>
    <definedName name="____AAA12" localSheetId="1">#REF!</definedName>
    <definedName name="____AAA12" localSheetId="3">#REF!</definedName>
    <definedName name="____AAA12">#REF!</definedName>
    <definedName name="____AAA21" localSheetId="7">#REF!</definedName>
    <definedName name="____AAA21" localSheetId="1">#REF!</definedName>
    <definedName name="____AAA21" localSheetId="3">#REF!</definedName>
    <definedName name="____AAA21">#REF!</definedName>
    <definedName name="____aaa23" localSheetId="7">#REF!</definedName>
    <definedName name="____aaa23" localSheetId="1">#REF!</definedName>
    <definedName name="____aaa23" localSheetId="3">#REF!</definedName>
    <definedName name="____aaa23">#REF!</definedName>
    <definedName name="____aaa34" localSheetId="7">#REF!</definedName>
    <definedName name="____aaa34" localSheetId="1">#REF!</definedName>
    <definedName name="____aaa34" localSheetId="3">#REF!</definedName>
    <definedName name="____aaa34">#REF!</definedName>
    <definedName name="____aaa5" localSheetId="7">#REF!</definedName>
    <definedName name="____aaa5" localSheetId="1">#REF!</definedName>
    <definedName name="____aaa5" localSheetId="3">#REF!</definedName>
    <definedName name="____aaa5">#REF!</definedName>
    <definedName name="____AAA53" localSheetId="7">#REF!</definedName>
    <definedName name="____AAA53" localSheetId="1">#REF!</definedName>
    <definedName name="____AAA53" localSheetId="3">#REF!</definedName>
    <definedName name="____AAA53">#REF!</definedName>
    <definedName name="____aaa54" localSheetId="7">#REF!</definedName>
    <definedName name="____aaa54" localSheetId="1">#REF!</definedName>
    <definedName name="____aaa54" localSheetId="3">#REF!</definedName>
    <definedName name="____aaa54">#REF!</definedName>
    <definedName name="____aaa545" localSheetId="7">#REF!</definedName>
    <definedName name="____aaa545" localSheetId="1">#REF!</definedName>
    <definedName name="____aaa545" localSheetId="3">#REF!</definedName>
    <definedName name="____aaa545">#REF!</definedName>
    <definedName name="____aaa55" localSheetId="7">#REF!</definedName>
    <definedName name="____aaa55" localSheetId="1">#REF!</definedName>
    <definedName name="____aaa55" localSheetId="3">#REF!</definedName>
    <definedName name="____aaa55">#REF!</definedName>
    <definedName name="____aaa56" localSheetId="7">#REF!</definedName>
    <definedName name="____aaa56" localSheetId="1">#REF!</definedName>
    <definedName name="____aaa56" localSheetId="3">#REF!</definedName>
    <definedName name="____aaa56">#REF!</definedName>
    <definedName name="____AAA57" localSheetId="7">#REF!</definedName>
    <definedName name="____AAA57" localSheetId="1">#REF!</definedName>
    <definedName name="____AAA57" localSheetId="3">#REF!</definedName>
    <definedName name="____AAA57">#REF!</definedName>
    <definedName name="____aaa59" localSheetId="7">#REF!</definedName>
    <definedName name="____aaa59" localSheetId="1">#REF!</definedName>
    <definedName name="____aaa59" localSheetId="3">#REF!</definedName>
    <definedName name="____aaa59">#REF!</definedName>
    <definedName name="____AAA66" localSheetId="7">#REF!</definedName>
    <definedName name="____AAA66" localSheetId="1">#REF!</definedName>
    <definedName name="____AAA66" localSheetId="3">#REF!</definedName>
    <definedName name="____AAA66">#REF!</definedName>
    <definedName name="____AAA69" localSheetId="7">#REF!</definedName>
    <definedName name="____AAA69" localSheetId="1">#REF!</definedName>
    <definedName name="____AAA69" localSheetId="3">#REF!</definedName>
    <definedName name="____AAA69">#REF!</definedName>
    <definedName name="____aad55" localSheetId="7">#REF!</definedName>
    <definedName name="____aad55" localSheetId="1">#REF!</definedName>
    <definedName name="____aad55" localSheetId="3">#REF!</definedName>
    <definedName name="____aad55">#REF!</definedName>
    <definedName name="____AAD56" localSheetId="7">#REF!</definedName>
    <definedName name="____AAD56" localSheetId="1">#REF!</definedName>
    <definedName name="____AAD56" localSheetId="3">#REF!</definedName>
    <definedName name="____AAD56">#REF!</definedName>
    <definedName name="____AAD57" localSheetId="7">#REF!</definedName>
    <definedName name="____AAD57" localSheetId="1">#REF!</definedName>
    <definedName name="____AAD57" localSheetId="3">#REF!</definedName>
    <definedName name="____AAD57">#REF!</definedName>
    <definedName name="____ast1" localSheetId="7">#REF!</definedName>
    <definedName name="____ast1" localSheetId="1">#REF!</definedName>
    <definedName name="____ast1" localSheetId="3">#REF!</definedName>
    <definedName name="____ast1">#REF!</definedName>
    <definedName name="____ast2" localSheetId="7">#REF!</definedName>
    <definedName name="____ast2" localSheetId="1">#REF!</definedName>
    <definedName name="____ast2" localSheetId="3">#REF!</definedName>
    <definedName name="____ast2">#REF!</definedName>
    <definedName name="____b111121" localSheetId="7">#REF!</definedName>
    <definedName name="____b111121" localSheetId="1">#REF!</definedName>
    <definedName name="____b111121" localSheetId="3">#REF!</definedName>
    <definedName name="____b111121">#REF!</definedName>
    <definedName name="____bbb1" localSheetId="7">#REF!</definedName>
    <definedName name="____bbb1" localSheetId="1">#REF!</definedName>
    <definedName name="____bbb1" localSheetId="3">#REF!</definedName>
    <definedName name="____bbb1">#REF!</definedName>
    <definedName name="____bol1" localSheetId="7">#REF!</definedName>
    <definedName name="____bol1" localSheetId="1">#REF!</definedName>
    <definedName name="____bol1" localSheetId="3">#REF!</definedName>
    <definedName name="____bol1">#REF!</definedName>
    <definedName name="____can430">40.73</definedName>
    <definedName name="____can435">43.3</definedName>
    <definedName name="____ccc1" localSheetId="7">#REF!</definedName>
    <definedName name="____ccc1" localSheetId="1">#REF!</definedName>
    <definedName name="____ccc1" localSheetId="3">#REF!</definedName>
    <definedName name="____ccc1">#REF!</definedName>
    <definedName name="____COL1" localSheetId="7">#REF!</definedName>
    <definedName name="____COL1" localSheetId="1">#REF!</definedName>
    <definedName name="____COL1" localSheetId="3">#REF!</definedName>
    <definedName name="____COL1">#REF!</definedName>
    <definedName name="____COL14" localSheetId="7">#REF!</definedName>
    <definedName name="____COL14" localSheetId="1">#REF!</definedName>
    <definedName name="____COL14" localSheetId="3">#REF!</definedName>
    <definedName name="____COL14">#REF!</definedName>
    <definedName name="____COL15" localSheetId="7">#REF!</definedName>
    <definedName name="____COL15" localSheetId="1">#REF!</definedName>
    <definedName name="____COL15" localSheetId="3">#REF!</definedName>
    <definedName name="____COL15">#REF!</definedName>
    <definedName name="____COL16" localSheetId="7">#REF!</definedName>
    <definedName name="____COL16" localSheetId="1">#REF!</definedName>
    <definedName name="____COL16" localSheetId="3">#REF!</definedName>
    <definedName name="____COL16">#REF!</definedName>
    <definedName name="____Ctr10" localSheetId="7">#REF!</definedName>
    <definedName name="____Ctr10" localSheetId="1">#REF!</definedName>
    <definedName name="____Ctr10" localSheetId="3">#REF!</definedName>
    <definedName name="____Ctr10">#REF!</definedName>
    <definedName name="____ddd1" localSheetId="7">#REF!</definedName>
    <definedName name="____ddd1" localSheetId="1">#REF!</definedName>
    <definedName name="____ddd1" localSheetId="3">#REF!</definedName>
    <definedName name="____ddd1">#REF!</definedName>
    <definedName name="____eee1" localSheetId="7">#REF!</definedName>
    <definedName name="____eee1" localSheetId="1">#REF!</definedName>
    <definedName name="____eee1" localSheetId="3">#REF!</definedName>
    <definedName name="____eee1">#REF!</definedName>
    <definedName name="____esc1" localSheetId="7">#REF!</definedName>
    <definedName name="____esc1" localSheetId="1">#REF!</definedName>
    <definedName name="____esc1" localSheetId="3">#REF!</definedName>
    <definedName name="____esc1">#REF!</definedName>
    <definedName name="____exc1" localSheetId="7">#REF!</definedName>
    <definedName name="____exc1" localSheetId="1">#REF!</definedName>
    <definedName name="____exc1" localSheetId="3">#REF!</definedName>
    <definedName name="____exc1">#REF!</definedName>
    <definedName name="____exc11" localSheetId="7">#REF!</definedName>
    <definedName name="____exc11" localSheetId="1">#REF!</definedName>
    <definedName name="____exc11" localSheetId="3">#REF!</definedName>
    <definedName name="____exc11">#REF!</definedName>
    <definedName name="____exc2" localSheetId="7">#REF!</definedName>
    <definedName name="____exc2" localSheetId="1">#REF!</definedName>
    <definedName name="____exc2" localSheetId="3">#REF!</definedName>
    <definedName name="____exc2">#REF!</definedName>
    <definedName name="____EXC3" localSheetId="7">#REF!</definedName>
    <definedName name="____EXC3" localSheetId="1">#REF!</definedName>
    <definedName name="____EXC3" localSheetId="3">#REF!</definedName>
    <definedName name="____EXC3">#REF!</definedName>
    <definedName name="____EXC4" localSheetId="7">#REF!</definedName>
    <definedName name="____EXC4" localSheetId="1">#REF!</definedName>
    <definedName name="____EXC4" localSheetId="3">#REF!</definedName>
    <definedName name="____EXC4">#REF!</definedName>
    <definedName name="____fff1" localSheetId="7">#REF!</definedName>
    <definedName name="____fff1" localSheetId="1">#REF!</definedName>
    <definedName name="____fff1" localSheetId="3">#REF!</definedName>
    <definedName name="____fff1">#REF!</definedName>
    <definedName name="____flx200" localSheetId="7">#REF!</definedName>
    <definedName name="____flx200" localSheetId="1">#REF!</definedName>
    <definedName name="____flx200" localSheetId="3">#REF!</definedName>
    <definedName name="____flx200">#REF!</definedName>
    <definedName name="____flx250" localSheetId="7">#REF!</definedName>
    <definedName name="____flx250" localSheetId="1">#REF!</definedName>
    <definedName name="____flx250" localSheetId="3">#REF!</definedName>
    <definedName name="____flx250">#REF!</definedName>
    <definedName name="____flx300" localSheetId="7">#REF!</definedName>
    <definedName name="____flx300" localSheetId="1">#REF!</definedName>
    <definedName name="____flx300" localSheetId="3">#REF!</definedName>
    <definedName name="____flx300">#REF!</definedName>
    <definedName name="____foo1" localSheetId="7">#REF!</definedName>
    <definedName name="____foo1" localSheetId="1">#REF!</definedName>
    <definedName name="____foo1" localSheetId="3">#REF!</definedName>
    <definedName name="____foo1">#REF!</definedName>
    <definedName name="____foo2" localSheetId="7">#REF!</definedName>
    <definedName name="____foo2" localSheetId="1">#REF!</definedName>
    <definedName name="____foo2" localSheetId="3">#REF!</definedName>
    <definedName name="____foo2">#REF!</definedName>
    <definedName name="____foo3" localSheetId="7">#REF!</definedName>
    <definedName name="____foo3" localSheetId="1">#REF!</definedName>
    <definedName name="____foo3" localSheetId="3">#REF!</definedName>
    <definedName name="____foo3">#REF!</definedName>
    <definedName name="____FOO4" localSheetId="7">#REF!</definedName>
    <definedName name="____FOO4" localSheetId="1">#REF!</definedName>
    <definedName name="____FOO4" localSheetId="3">#REF!</definedName>
    <definedName name="____FOO4">#REF!</definedName>
    <definedName name="____ief1" localSheetId="7">#REF!</definedName>
    <definedName name="____ief1" localSheetId="1">#REF!</definedName>
    <definedName name="____ief1" localSheetId="3">#REF!</definedName>
    <definedName name="____ief1">#REF!</definedName>
    <definedName name="____ind1" localSheetId="7">#REF!</definedName>
    <definedName name="____ind1" localSheetId="1">#REF!</definedName>
    <definedName name="____ind1" localSheetId="3">#REF!</definedName>
    <definedName name="____ind1">#REF!</definedName>
    <definedName name="____IND11" localSheetId="7">#REF!</definedName>
    <definedName name="____IND11" localSheetId="1">#REF!</definedName>
    <definedName name="____IND11" localSheetId="3">#REF!</definedName>
    <definedName name="____IND11">#REF!</definedName>
    <definedName name="____IND31" localSheetId="7">#REF!</definedName>
    <definedName name="____IND31" localSheetId="1">#REF!</definedName>
    <definedName name="____IND31" localSheetId="3">#REF!</definedName>
    <definedName name="____IND31">#REF!</definedName>
    <definedName name="____IRS1" localSheetId="7">#REF!</definedName>
    <definedName name="____IRS1" localSheetId="1">#REF!</definedName>
    <definedName name="____IRS1" localSheetId="3">#REF!</definedName>
    <definedName name="____IRS1">#REF!</definedName>
    <definedName name="____Ki1" localSheetId="7">#REF!</definedName>
    <definedName name="____Ki1" localSheetId="1">#REF!</definedName>
    <definedName name="____Ki1" localSheetId="3">#REF!</definedName>
    <definedName name="____Ki1">#REF!</definedName>
    <definedName name="____Ki2" localSheetId="7">#REF!</definedName>
    <definedName name="____Ki2" localSheetId="1">#REF!</definedName>
    <definedName name="____Ki2" localSheetId="3">#REF!</definedName>
    <definedName name="____Ki2">#REF!</definedName>
    <definedName name="____KK1" localSheetId="7">#REF!</definedName>
    <definedName name="____KK1" localSheetId="1">#REF!</definedName>
    <definedName name="____KK1" localSheetId="3">#REF!</definedName>
    <definedName name="____KK1">#REF!</definedName>
    <definedName name="____KK2" localSheetId="7">#REF!</definedName>
    <definedName name="____KK2" localSheetId="1">#REF!</definedName>
    <definedName name="____KK2" localSheetId="3">#REF!</definedName>
    <definedName name="____KK2">#REF!</definedName>
    <definedName name="____kk3" localSheetId="7">#REF!</definedName>
    <definedName name="____kk3" localSheetId="1">#REF!</definedName>
    <definedName name="____kk3" localSheetId="3">#REF!</definedName>
    <definedName name="____kk3">#REF!</definedName>
    <definedName name="____kk4" localSheetId="7">#REF!</definedName>
    <definedName name="____kk4" localSheetId="1">#REF!</definedName>
    <definedName name="____kk4" localSheetId="3">#REF!</definedName>
    <definedName name="____kk4">#REF!</definedName>
    <definedName name="____lsc44" localSheetId="7">#REF!</definedName>
    <definedName name="____lsc44" localSheetId="1">#REF!</definedName>
    <definedName name="____lsc44" localSheetId="3">#REF!</definedName>
    <definedName name="____lsc44">#REF!</definedName>
    <definedName name="____MAN1" localSheetId="7">#REF!</definedName>
    <definedName name="____MAN1" localSheetId="1">#REF!</definedName>
    <definedName name="____MAN1" localSheetId="3">#REF!</definedName>
    <definedName name="____MAN1">#REF!</definedName>
    <definedName name="____MF1" localSheetId="7">#REF!</definedName>
    <definedName name="____MF1" localSheetId="1">#REF!</definedName>
    <definedName name="____MF1" localSheetId="3">#REF!</definedName>
    <definedName name="____MF1">#REF!</definedName>
    <definedName name="____mix1" localSheetId="7">#REF!</definedName>
    <definedName name="____mix1" localSheetId="1">#REF!</definedName>
    <definedName name="____mix1" localSheetId="3">#REF!</definedName>
    <definedName name="____mix1">#REF!</definedName>
    <definedName name="____mix2" localSheetId="7">#REF!</definedName>
    <definedName name="____mix2" localSheetId="1">#REF!</definedName>
    <definedName name="____mix2" localSheetId="3">#REF!</definedName>
    <definedName name="____mix2">#REF!</definedName>
    <definedName name="____miy1" localSheetId="7">#REF!</definedName>
    <definedName name="____miy1" localSheetId="1">#REF!</definedName>
    <definedName name="____miy1" localSheetId="3">#REF!</definedName>
    <definedName name="____miy1">#REF!</definedName>
    <definedName name="____miy2" localSheetId="7">#REF!</definedName>
    <definedName name="____miy2" localSheetId="1">#REF!</definedName>
    <definedName name="____miy2" localSheetId="3">#REF!</definedName>
    <definedName name="____miy2">#REF!</definedName>
    <definedName name="____MM1" localSheetId="7">#REF!</definedName>
    <definedName name="____MM1" localSheetId="1">#REF!</definedName>
    <definedName name="____MM1" localSheetId="3">#REF!</definedName>
    <definedName name="____MM1">#REF!</definedName>
    <definedName name="____MM2" localSheetId="7">#REF!</definedName>
    <definedName name="____MM2" localSheetId="1">#REF!</definedName>
    <definedName name="____MM2" localSheetId="3">#REF!</definedName>
    <definedName name="____MM2">#REF!</definedName>
    <definedName name="____mnk1" localSheetId="7">#REF!</definedName>
    <definedName name="____mnk1" localSheetId="1">#REF!</definedName>
    <definedName name="____mnk1" localSheetId="3">#REF!</definedName>
    <definedName name="____mnk1">#REF!</definedName>
    <definedName name="____mux1" localSheetId="7">#REF!</definedName>
    <definedName name="____mux1" localSheetId="1">#REF!</definedName>
    <definedName name="____mux1" localSheetId="3">#REF!</definedName>
    <definedName name="____mux1">#REF!</definedName>
    <definedName name="____muy1" localSheetId="7">#REF!</definedName>
    <definedName name="____muy1" localSheetId="1">#REF!</definedName>
    <definedName name="____muy1" localSheetId="3">#REF!</definedName>
    <definedName name="____muy1">#REF!</definedName>
    <definedName name="____NN1" localSheetId="7">#REF!</definedName>
    <definedName name="____NN1" localSheetId="1">#REF!</definedName>
    <definedName name="____NN1" localSheetId="3">#REF!</definedName>
    <definedName name="____NN1">#REF!</definedName>
    <definedName name="____ns1" localSheetId="5" hidden="1">{#N/A,#N/A,FALSE,"COVER1.XLS ";#N/A,#N/A,FALSE,"RACT1.XLS";#N/A,#N/A,FALSE,"RACT2.XLS";#N/A,#N/A,FALSE,"ECCMP";#N/A,#N/A,FALSE,"WELDER.XLS"}</definedName>
    <definedName name="____ns1" localSheetId="2" hidden="1">{#N/A,#N/A,FALSE,"COVER1.XLS ";#N/A,#N/A,FALSE,"RACT1.XLS";#N/A,#N/A,FALSE,"RACT2.XLS";#N/A,#N/A,FALSE,"ECCMP";#N/A,#N/A,FALSE,"WELDER.XLS"}</definedName>
    <definedName name="____PAN2" localSheetId="7">#REF!</definedName>
    <definedName name="____PAN2" localSheetId="1">#REF!</definedName>
    <definedName name="____PAN2" localSheetId="3">#REF!</definedName>
    <definedName name="____PAN2">#REF!</definedName>
    <definedName name="____PB1" localSheetId="7">#REF!</definedName>
    <definedName name="____PB1" localSheetId="1">#REF!</definedName>
    <definedName name="____PB1" localSheetId="3">#REF!</definedName>
    <definedName name="____PB1">#REF!</definedName>
    <definedName name="____pcc1" localSheetId="7">#REF!</definedName>
    <definedName name="____pcc1" localSheetId="1">#REF!</definedName>
    <definedName name="____pcc1" localSheetId="3">#REF!</definedName>
    <definedName name="____pcc1">#REF!</definedName>
    <definedName name="____pcc2" localSheetId="7">#REF!</definedName>
    <definedName name="____pcc2" localSheetId="1">#REF!</definedName>
    <definedName name="____pcc2" localSheetId="3">#REF!</definedName>
    <definedName name="____pcc2">#REF!</definedName>
    <definedName name="____pcc3" localSheetId="7">#REF!</definedName>
    <definedName name="____pcc3" localSheetId="1">#REF!</definedName>
    <definedName name="____pcc3" localSheetId="3">#REF!</definedName>
    <definedName name="____pcc3">#REF!</definedName>
    <definedName name="____PCC4" localSheetId="7">#REF!</definedName>
    <definedName name="____PCC4" localSheetId="1">#REF!</definedName>
    <definedName name="____PCC4" localSheetId="3">#REF!</definedName>
    <definedName name="____PCC4">#REF!</definedName>
    <definedName name="____plb1" localSheetId="7">#REF!</definedName>
    <definedName name="____plb1" localSheetId="1">#REF!</definedName>
    <definedName name="____plb1" localSheetId="3">#REF!</definedName>
    <definedName name="____plb1">#REF!</definedName>
    <definedName name="____plb2" localSheetId="7">#REF!</definedName>
    <definedName name="____plb2" localSheetId="1">#REF!</definedName>
    <definedName name="____plb2" localSheetId="3">#REF!</definedName>
    <definedName name="____plb2">#REF!</definedName>
    <definedName name="____plb3" localSheetId="7">#REF!</definedName>
    <definedName name="____plb3" localSheetId="1">#REF!</definedName>
    <definedName name="____plb3" localSheetId="3">#REF!</definedName>
    <definedName name="____plb3">#REF!</definedName>
    <definedName name="____plb4" localSheetId="7">#REF!</definedName>
    <definedName name="____plb4" localSheetId="1">#REF!</definedName>
    <definedName name="____plb4" localSheetId="3">#REF!</definedName>
    <definedName name="____plb4">#REF!</definedName>
    <definedName name="____rab20" localSheetId="7">#REF!</definedName>
    <definedName name="____rab20" localSheetId="1">#REF!</definedName>
    <definedName name="____rab20" localSheetId="3">#REF!</definedName>
    <definedName name="____rab20">#REF!</definedName>
    <definedName name="____Re1" localSheetId="7">#REF!</definedName>
    <definedName name="____Re1" localSheetId="1">#REF!</definedName>
    <definedName name="____Re1" localSheetId="3">#REF!</definedName>
    <definedName name="____Re1">#REF!</definedName>
    <definedName name="____Rs1" localSheetId="7">#REF!</definedName>
    <definedName name="____Rs1" localSheetId="1">#REF!</definedName>
    <definedName name="____Rs1" localSheetId="3">#REF!</definedName>
    <definedName name="____Rs1">#REF!</definedName>
    <definedName name="____S12" localSheetId="7">#REF!</definedName>
    <definedName name="____S12" localSheetId="1">#REF!</definedName>
    <definedName name="____S12" localSheetId="3">#REF!</definedName>
    <definedName name="____S12">#REF!</definedName>
    <definedName name="____s41" localSheetId="5" hidden="1">{"form-D1",#N/A,FALSE,"FORM-D1";"form-D1_amt",#N/A,FALSE,"FORM-D1"}</definedName>
    <definedName name="____s41" localSheetId="2" hidden="1">{"form-D1",#N/A,FALSE,"FORM-D1";"form-D1_amt",#N/A,FALSE,"FORM-D1"}</definedName>
    <definedName name="____s41_1" localSheetId="5" hidden="1">{"form-D1",#N/A,FALSE,"FORM-D1";"form-D1_amt",#N/A,FALSE,"FORM-D1"}</definedName>
    <definedName name="____s41_1" localSheetId="2" hidden="1">{"form-D1",#N/A,FALSE,"FORM-D1";"form-D1_amt",#N/A,FALSE,"FORM-D1"}</definedName>
    <definedName name="____sec111" localSheetId="7">#REF!</definedName>
    <definedName name="____sec111" localSheetId="1">#REF!</definedName>
    <definedName name="____sec111" localSheetId="3">#REF!</definedName>
    <definedName name="____sec111">#REF!</definedName>
    <definedName name="____SEC15" localSheetId="7">#REF!</definedName>
    <definedName name="____SEC15" localSheetId="1">#REF!</definedName>
    <definedName name="____SEC15" localSheetId="3">#REF!</definedName>
    <definedName name="____SEC15">#REF!</definedName>
    <definedName name="____Sec2" localSheetId="7">#REF!</definedName>
    <definedName name="____Sec2" localSheetId="1">#REF!</definedName>
    <definedName name="____Sec2" localSheetId="3">#REF!</definedName>
    <definedName name="____Sec2">#REF!</definedName>
    <definedName name="____sec22" localSheetId="7">#REF!</definedName>
    <definedName name="____sec22" localSheetId="1">#REF!</definedName>
    <definedName name="____sec22" localSheetId="3">#REF!</definedName>
    <definedName name="____sec22">#REF!</definedName>
    <definedName name="____SEC23" localSheetId="7">#REF!</definedName>
    <definedName name="____SEC23" localSheetId="1">#REF!</definedName>
    <definedName name="____SEC23" localSheetId="3">#REF!</definedName>
    <definedName name="____SEC23">#REF!</definedName>
    <definedName name="____SEC24" localSheetId="7">#REF!</definedName>
    <definedName name="____SEC24" localSheetId="1">#REF!</definedName>
    <definedName name="____SEC24" localSheetId="3">#REF!</definedName>
    <definedName name="____SEC24">#REF!</definedName>
    <definedName name="____sec3" localSheetId="7">#REF!</definedName>
    <definedName name="____sec3" localSheetId="1">#REF!</definedName>
    <definedName name="____sec3" localSheetId="3">#REF!</definedName>
    <definedName name="____sec3">#REF!</definedName>
    <definedName name="____SEC32" localSheetId="7">#REF!</definedName>
    <definedName name="____SEC32" localSheetId="1">#REF!</definedName>
    <definedName name="____SEC32" localSheetId="3">#REF!</definedName>
    <definedName name="____SEC32">#REF!</definedName>
    <definedName name="____sec33" localSheetId="7">#REF!</definedName>
    <definedName name="____sec33" localSheetId="1">#REF!</definedName>
    <definedName name="____sec33" localSheetId="3">#REF!</definedName>
    <definedName name="____sec33">#REF!</definedName>
    <definedName name="____Sec4" localSheetId="7">#REF!</definedName>
    <definedName name="____Sec4" localSheetId="1">#REF!</definedName>
    <definedName name="____Sec4" localSheetId="3">#REF!</definedName>
    <definedName name="____Sec4">#REF!</definedName>
    <definedName name="____sec45" localSheetId="7">#REF!</definedName>
    <definedName name="____sec45" localSheetId="1">#REF!</definedName>
    <definedName name="____sec45" localSheetId="3">#REF!</definedName>
    <definedName name="____sec45">#REF!</definedName>
    <definedName name="____SEC46" localSheetId="7">#REF!</definedName>
    <definedName name="____SEC46" localSheetId="1">#REF!</definedName>
    <definedName name="____SEC46" localSheetId="3">#REF!</definedName>
    <definedName name="____SEC46">#REF!</definedName>
    <definedName name="____sec5" localSheetId="7">#REF!</definedName>
    <definedName name="____sec5" localSheetId="1">#REF!</definedName>
    <definedName name="____sec5" localSheetId="3">#REF!</definedName>
    <definedName name="____sec5">#REF!</definedName>
    <definedName name="____sec55" localSheetId="7">#REF!</definedName>
    <definedName name="____sec55" localSheetId="1">#REF!</definedName>
    <definedName name="____sec55" localSheetId="3">#REF!</definedName>
    <definedName name="____sec55">#REF!</definedName>
    <definedName name="____SEC56" localSheetId="7">#REF!</definedName>
    <definedName name="____SEC56" localSheetId="1">#REF!</definedName>
    <definedName name="____SEC56" localSheetId="3">#REF!</definedName>
    <definedName name="____SEC56">#REF!</definedName>
    <definedName name="____sec6" localSheetId="7">#REF!</definedName>
    <definedName name="____sec6" localSheetId="1">#REF!</definedName>
    <definedName name="____sec6" localSheetId="3">#REF!</definedName>
    <definedName name="____sec6">#REF!</definedName>
    <definedName name="____sec66" localSheetId="7">#REF!</definedName>
    <definedName name="____sec66" localSheetId="1">#REF!</definedName>
    <definedName name="____sec66" localSheetId="3">#REF!</definedName>
    <definedName name="____sec66">#REF!</definedName>
    <definedName name="____SEC67" localSheetId="7">#REF!</definedName>
    <definedName name="____SEC67" localSheetId="1">#REF!</definedName>
    <definedName name="____SEC67" localSheetId="3">#REF!</definedName>
    <definedName name="____SEC67">#REF!</definedName>
    <definedName name="____sec7" localSheetId="7">#REF!</definedName>
    <definedName name="____sec7" localSheetId="1">#REF!</definedName>
    <definedName name="____sec7" localSheetId="3">#REF!</definedName>
    <definedName name="____sec7">#REF!</definedName>
    <definedName name="____sec71" localSheetId="7">#REF!</definedName>
    <definedName name="____sec71" localSheetId="1">#REF!</definedName>
    <definedName name="____sec71" localSheetId="3">#REF!</definedName>
    <definedName name="____sec71">#REF!</definedName>
    <definedName name="____SEC72" localSheetId="7">#REF!</definedName>
    <definedName name="____SEC72" localSheetId="1">#REF!</definedName>
    <definedName name="____SEC72" localSheetId="3">#REF!</definedName>
    <definedName name="____SEC72">#REF!</definedName>
    <definedName name="____SEC74" localSheetId="7">#REF!</definedName>
    <definedName name="____SEC74" localSheetId="1">#REF!</definedName>
    <definedName name="____SEC74" localSheetId="3">#REF!</definedName>
    <definedName name="____SEC74">#REF!</definedName>
    <definedName name="____SEC75" localSheetId="7">#REF!</definedName>
    <definedName name="____SEC75" localSheetId="1">#REF!</definedName>
    <definedName name="____SEC75" localSheetId="3">#REF!</definedName>
    <definedName name="____SEC75">#REF!</definedName>
    <definedName name="____SEC77" localSheetId="7">#REF!</definedName>
    <definedName name="____SEC77" localSheetId="1">#REF!</definedName>
    <definedName name="____SEC77" localSheetId="3">#REF!</definedName>
    <definedName name="____SEC77">#REF!</definedName>
    <definedName name="____sec777" localSheetId="7">#REF!</definedName>
    <definedName name="____sec777" localSheetId="1">#REF!</definedName>
    <definedName name="____sec777" localSheetId="3">#REF!</definedName>
    <definedName name="____sec777">#REF!</definedName>
    <definedName name="____sec78" localSheetId="7">#REF!</definedName>
    <definedName name="____sec78" localSheetId="1">#REF!</definedName>
    <definedName name="____sec78" localSheetId="3">#REF!</definedName>
    <definedName name="____sec78">#REF!</definedName>
    <definedName name="____sec79" localSheetId="7">#REF!</definedName>
    <definedName name="____sec79" localSheetId="1">#REF!</definedName>
    <definedName name="____sec79" localSheetId="3">#REF!</definedName>
    <definedName name="____sec79">#REF!</definedName>
    <definedName name="____sec8" localSheetId="7">#REF!</definedName>
    <definedName name="____sec8" localSheetId="1">#REF!</definedName>
    <definedName name="____sec8" localSheetId="3">#REF!</definedName>
    <definedName name="____sec8">#REF!</definedName>
    <definedName name="____sec81" localSheetId="7">#REF!</definedName>
    <definedName name="____sec81" localSheetId="1">#REF!</definedName>
    <definedName name="____sec81" localSheetId="3">#REF!</definedName>
    <definedName name="____sec81">#REF!</definedName>
    <definedName name="____SEC82" localSheetId="7">#REF!</definedName>
    <definedName name="____SEC82" localSheetId="1">#REF!</definedName>
    <definedName name="____SEC82" localSheetId="3">#REF!</definedName>
    <definedName name="____SEC82">#REF!</definedName>
    <definedName name="____SEC83" localSheetId="7">#REF!</definedName>
    <definedName name="____SEC83" localSheetId="1">#REF!</definedName>
    <definedName name="____SEC83" localSheetId="3">#REF!</definedName>
    <definedName name="____SEC83">#REF!</definedName>
    <definedName name="____SEC87" localSheetId="7">#REF!</definedName>
    <definedName name="____SEC87" localSheetId="1">#REF!</definedName>
    <definedName name="____SEC87" localSheetId="3">#REF!</definedName>
    <definedName name="____SEC87">#REF!</definedName>
    <definedName name="____SEC88" localSheetId="7">#REF!</definedName>
    <definedName name="____SEC88" localSheetId="1">#REF!</definedName>
    <definedName name="____SEC88" localSheetId="3">#REF!</definedName>
    <definedName name="____SEC88">#REF!</definedName>
    <definedName name="____sec888" localSheetId="7">#REF!</definedName>
    <definedName name="____sec888" localSheetId="1">#REF!</definedName>
    <definedName name="____sec888" localSheetId="3">#REF!</definedName>
    <definedName name="____sec888">#REF!</definedName>
    <definedName name="____sec89" localSheetId="7">#REF!</definedName>
    <definedName name="____sec89" localSheetId="1">#REF!</definedName>
    <definedName name="____sec89" localSheetId="3">#REF!</definedName>
    <definedName name="____sec89">#REF!</definedName>
    <definedName name="____sec899" localSheetId="7">#REF!</definedName>
    <definedName name="____sec899" localSheetId="1">#REF!</definedName>
    <definedName name="____sec899" localSheetId="3">#REF!</definedName>
    <definedName name="____sec899">#REF!</definedName>
    <definedName name="____SEC9" localSheetId="7">#REF!</definedName>
    <definedName name="____SEC9" localSheetId="1">#REF!</definedName>
    <definedName name="____SEC9" localSheetId="3">#REF!</definedName>
    <definedName name="____SEC9">#REF!</definedName>
    <definedName name="____SEC91" localSheetId="7">#REF!</definedName>
    <definedName name="____SEC91" localSheetId="1">#REF!</definedName>
    <definedName name="____SEC91" localSheetId="3">#REF!</definedName>
    <definedName name="____SEC91">#REF!</definedName>
    <definedName name="____SH1" localSheetId="7">#REF!</definedName>
    <definedName name="____SH1" localSheetId="1">#REF!</definedName>
    <definedName name="____SH1" localSheetId="3">#REF!</definedName>
    <definedName name="____SH1">#REF!</definedName>
    <definedName name="____SH2" localSheetId="7">#REF!</definedName>
    <definedName name="____SH2" localSheetId="1">#REF!</definedName>
    <definedName name="____SH2" localSheetId="3">#REF!</definedName>
    <definedName name="____SH2">#REF!</definedName>
    <definedName name="____SH3" localSheetId="7">#REF!</definedName>
    <definedName name="____SH3" localSheetId="1">#REF!</definedName>
    <definedName name="____SH3" localSheetId="3">#REF!</definedName>
    <definedName name="____SH3">#REF!</definedName>
    <definedName name="____SH4" localSheetId="7">#REF!</definedName>
    <definedName name="____SH4" localSheetId="1">#REF!</definedName>
    <definedName name="____SH4" localSheetId="3">#REF!</definedName>
    <definedName name="____SH4">#REF!</definedName>
    <definedName name="____SH5" localSheetId="7">#REF!</definedName>
    <definedName name="____SH5" localSheetId="1">#REF!</definedName>
    <definedName name="____SH5" localSheetId="3">#REF!</definedName>
    <definedName name="____SH5">#REF!</definedName>
    <definedName name="____ss2" localSheetId="7">#REF!</definedName>
    <definedName name="____ss2" localSheetId="1">#REF!</definedName>
    <definedName name="____ss2" localSheetId="3">#REF!</definedName>
    <definedName name="____ss2">#REF!</definedName>
    <definedName name="____TB2" localSheetId="7">#REF!</definedName>
    <definedName name="____TB2" localSheetId="1">#REF!</definedName>
    <definedName name="____TB2" localSheetId="3">#REF!</definedName>
    <definedName name="____TB2">#REF!</definedName>
    <definedName name="____tk1" localSheetId="7">#REF!</definedName>
    <definedName name="____tk1" localSheetId="1">#REF!</definedName>
    <definedName name="____tk1" localSheetId="3">#REF!</definedName>
    <definedName name="____tk1">#REF!</definedName>
    <definedName name="____xd1" localSheetId="7">#REF!</definedName>
    <definedName name="____xd1" localSheetId="1">#REF!</definedName>
    <definedName name="____xd1" localSheetId="3">#REF!</definedName>
    <definedName name="____xd1">#REF!</definedName>
    <definedName name="____XD2" localSheetId="7">#REF!</definedName>
    <definedName name="____XD2" localSheetId="1">#REF!</definedName>
    <definedName name="____XD2" localSheetId="3">#REF!</definedName>
    <definedName name="____XD2">#REF!</definedName>
    <definedName name="____xd3" localSheetId="7">#REF!</definedName>
    <definedName name="____xd3" localSheetId="1">#REF!</definedName>
    <definedName name="____xd3" localSheetId="3">#REF!</definedName>
    <definedName name="____xd3">#REF!</definedName>
    <definedName name="____zz1" localSheetId="7">#REF!</definedName>
    <definedName name="____zz1" localSheetId="1">#REF!</definedName>
    <definedName name="____zz1" localSheetId="3">#REF!</definedName>
    <definedName name="____zz1">#REF!</definedName>
    <definedName name="___a1" localSheetId="7">#REF!</definedName>
    <definedName name="___a1" localSheetId="1">#REF!</definedName>
    <definedName name="___a1" localSheetId="3">#REF!</definedName>
    <definedName name="___a1">#REF!</definedName>
    <definedName name="___A2" localSheetId="7">#REF!</definedName>
    <definedName name="___A2" localSheetId="1">#REF!</definedName>
    <definedName name="___A2" localSheetId="3">#REF!</definedName>
    <definedName name="___A2">#REF!</definedName>
    <definedName name="___a65537" localSheetId="7">#REF!</definedName>
    <definedName name="___a65537" localSheetId="1">#REF!</definedName>
    <definedName name="___a65537" localSheetId="3">#REF!</definedName>
    <definedName name="___a65537">#REF!</definedName>
    <definedName name="___A65555" localSheetId="7">#REF!</definedName>
    <definedName name="___A65555" localSheetId="1">#REF!</definedName>
    <definedName name="___A65555" localSheetId="3">#REF!</definedName>
    <definedName name="___A65555">#REF!</definedName>
    <definedName name="___A655600" localSheetId="7">#REF!</definedName>
    <definedName name="___A655600" localSheetId="1">#REF!</definedName>
    <definedName name="___A655600" localSheetId="3">#REF!</definedName>
    <definedName name="___A655600">#REF!</definedName>
    <definedName name="___A65658" localSheetId="7">#REF!</definedName>
    <definedName name="___A65658" localSheetId="1">#REF!</definedName>
    <definedName name="___A65658" localSheetId="3">#REF!</definedName>
    <definedName name="___A65658">#REF!</definedName>
    <definedName name="___a999999" localSheetId="7">#REF!</definedName>
    <definedName name="___a999999" localSheetId="1">#REF!</definedName>
    <definedName name="___a999999" localSheetId="3">#REF!</definedName>
    <definedName name="___a999999">#REF!</definedName>
    <definedName name="___aaa1" localSheetId="7">#REF!</definedName>
    <definedName name="___aaa1" localSheetId="1">#REF!</definedName>
    <definedName name="___aaa1" localSheetId="3">#REF!</definedName>
    <definedName name="___aaa1">#REF!</definedName>
    <definedName name="___aaa10" localSheetId="7">#REF!</definedName>
    <definedName name="___aaa10" localSheetId="1">#REF!</definedName>
    <definedName name="___aaa10" localSheetId="3">#REF!</definedName>
    <definedName name="___aaa10">#REF!</definedName>
    <definedName name="___aaa11" localSheetId="7">#REF!</definedName>
    <definedName name="___aaa11" localSheetId="1">#REF!</definedName>
    <definedName name="___aaa11" localSheetId="3">#REF!</definedName>
    <definedName name="___aaa11">#REF!</definedName>
    <definedName name="___AAA12" localSheetId="7">#REF!</definedName>
    <definedName name="___AAA12" localSheetId="1">#REF!</definedName>
    <definedName name="___AAA12" localSheetId="3">#REF!</definedName>
    <definedName name="___AAA12">#REF!</definedName>
    <definedName name="___AAA21" localSheetId="7">#REF!</definedName>
    <definedName name="___AAA21" localSheetId="1">#REF!</definedName>
    <definedName name="___AAA21" localSheetId="3">#REF!</definedName>
    <definedName name="___AAA21">#REF!</definedName>
    <definedName name="___aaa23" localSheetId="7">#REF!</definedName>
    <definedName name="___aaa23" localSheetId="1">#REF!</definedName>
    <definedName name="___aaa23" localSheetId="3">#REF!</definedName>
    <definedName name="___aaa23">#REF!</definedName>
    <definedName name="___aaa34" localSheetId="7">#REF!</definedName>
    <definedName name="___aaa34" localSheetId="1">#REF!</definedName>
    <definedName name="___aaa34" localSheetId="3">#REF!</definedName>
    <definedName name="___aaa34">#REF!</definedName>
    <definedName name="___aaa5" localSheetId="7">#REF!</definedName>
    <definedName name="___aaa5" localSheetId="1">#REF!</definedName>
    <definedName name="___aaa5" localSheetId="3">#REF!</definedName>
    <definedName name="___aaa5">#REF!</definedName>
    <definedName name="___AAA53" localSheetId="7">#REF!</definedName>
    <definedName name="___AAA53" localSheetId="1">#REF!</definedName>
    <definedName name="___AAA53" localSheetId="3">#REF!</definedName>
    <definedName name="___AAA53">#REF!</definedName>
    <definedName name="___aaa54" localSheetId="7">#REF!</definedName>
    <definedName name="___aaa54" localSheetId="1">#REF!</definedName>
    <definedName name="___aaa54" localSheetId="3">#REF!</definedName>
    <definedName name="___aaa54">#REF!</definedName>
    <definedName name="___aaa545" localSheetId="7">#REF!</definedName>
    <definedName name="___aaa545" localSheetId="1">#REF!</definedName>
    <definedName name="___aaa545" localSheetId="3">#REF!</definedName>
    <definedName name="___aaa545">#REF!</definedName>
    <definedName name="___aaa55" localSheetId="7">#REF!</definedName>
    <definedName name="___aaa55" localSheetId="1">#REF!</definedName>
    <definedName name="___aaa55" localSheetId="3">#REF!</definedName>
    <definedName name="___aaa55">#REF!</definedName>
    <definedName name="___aaa56" localSheetId="7">#REF!</definedName>
    <definedName name="___aaa56" localSheetId="1">#REF!</definedName>
    <definedName name="___aaa56" localSheetId="3">#REF!</definedName>
    <definedName name="___aaa56">#REF!</definedName>
    <definedName name="___AAA57" localSheetId="7">#REF!</definedName>
    <definedName name="___AAA57" localSheetId="1">#REF!</definedName>
    <definedName name="___AAA57" localSheetId="3">#REF!</definedName>
    <definedName name="___AAA57">#REF!</definedName>
    <definedName name="___aaa59" localSheetId="7">#REF!</definedName>
    <definedName name="___aaa59" localSheetId="1">#REF!</definedName>
    <definedName name="___aaa59" localSheetId="3">#REF!</definedName>
    <definedName name="___aaa59">#REF!</definedName>
    <definedName name="___AAA66" localSheetId="7">#REF!</definedName>
    <definedName name="___AAA66" localSheetId="1">#REF!</definedName>
    <definedName name="___AAA66" localSheetId="3">#REF!</definedName>
    <definedName name="___AAA66">#REF!</definedName>
    <definedName name="___AAA69" localSheetId="7">#REF!</definedName>
    <definedName name="___AAA69" localSheetId="1">#REF!</definedName>
    <definedName name="___AAA69" localSheetId="3">#REF!</definedName>
    <definedName name="___AAA69">#REF!</definedName>
    <definedName name="___AAD5" localSheetId="7">#REF!</definedName>
    <definedName name="___AAD5" localSheetId="1">#REF!</definedName>
    <definedName name="___AAD5" localSheetId="3">#REF!</definedName>
    <definedName name="___AAD5">#REF!</definedName>
    <definedName name="___aad55" localSheetId="7">#REF!</definedName>
    <definedName name="___aad55" localSheetId="1">#REF!</definedName>
    <definedName name="___aad55" localSheetId="3">#REF!</definedName>
    <definedName name="___aad55">#REF!</definedName>
    <definedName name="___AAD56" localSheetId="7">#REF!</definedName>
    <definedName name="___AAD56" localSheetId="1">#REF!</definedName>
    <definedName name="___AAD56" localSheetId="3">#REF!</definedName>
    <definedName name="___AAD56">#REF!</definedName>
    <definedName name="___AAD57" localSheetId="7">#REF!</definedName>
    <definedName name="___AAD57" localSheetId="1">#REF!</definedName>
    <definedName name="___AAD57" localSheetId="3">#REF!</definedName>
    <definedName name="___AAD57">#REF!</definedName>
    <definedName name="___ast1" localSheetId="7">#REF!</definedName>
    <definedName name="___ast1" localSheetId="1">#REF!</definedName>
    <definedName name="___ast1" localSheetId="3">#REF!</definedName>
    <definedName name="___ast1">#REF!</definedName>
    <definedName name="___ast2" localSheetId="7">#REF!</definedName>
    <definedName name="___ast2" localSheetId="1">#REF!</definedName>
    <definedName name="___ast2" localSheetId="3">#REF!</definedName>
    <definedName name="___ast2">#REF!</definedName>
    <definedName name="___b111121" localSheetId="7">#REF!</definedName>
    <definedName name="___b111121" localSheetId="1">#REF!</definedName>
    <definedName name="___b111121" localSheetId="3">#REF!</definedName>
    <definedName name="___b111121">#REF!</definedName>
    <definedName name="___bbb1" localSheetId="7">#REF!</definedName>
    <definedName name="___bbb1" localSheetId="1">#REF!</definedName>
    <definedName name="___bbb1" localSheetId="3">#REF!</definedName>
    <definedName name="___bbb1">#REF!</definedName>
    <definedName name="___bol1" localSheetId="7">#REF!</definedName>
    <definedName name="___bol1" localSheetId="1">#REF!</definedName>
    <definedName name="___bol1" localSheetId="3">#REF!</definedName>
    <definedName name="___bol1">#REF!</definedName>
    <definedName name="___can430">40.73</definedName>
    <definedName name="___can435">43.3</definedName>
    <definedName name="___ccc1" localSheetId="7">#REF!</definedName>
    <definedName name="___ccc1" localSheetId="1">#REF!</definedName>
    <definedName name="___ccc1" localSheetId="3">#REF!</definedName>
    <definedName name="___ccc1">#REF!</definedName>
    <definedName name="___COL1" localSheetId="7">#REF!</definedName>
    <definedName name="___COL1" localSheetId="1">#REF!</definedName>
    <definedName name="___COL1" localSheetId="3">#REF!</definedName>
    <definedName name="___COL1">#REF!</definedName>
    <definedName name="___COL14" localSheetId="7">#REF!</definedName>
    <definedName name="___COL14" localSheetId="1">#REF!</definedName>
    <definedName name="___COL14" localSheetId="3">#REF!</definedName>
    <definedName name="___COL14">#REF!</definedName>
    <definedName name="___COL15" localSheetId="7">#REF!</definedName>
    <definedName name="___COL15" localSheetId="1">#REF!</definedName>
    <definedName name="___COL15" localSheetId="3">#REF!</definedName>
    <definedName name="___COL15">#REF!</definedName>
    <definedName name="___COL16" localSheetId="7">#REF!</definedName>
    <definedName name="___COL16" localSheetId="1">#REF!</definedName>
    <definedName name="___COL16" localSheetId="3">#REF!</definedName>
    <definedName name="___COL16">#REF!</definedName>
    <definedName name="___Ctr10" localSheetId="7">#REF!</definedName>
    <definedName name="___Ctr10" localSheetId="1">#REF!</definedName>
    <definedName name="___Ctr10" localSheetId="3">#REF!</definedName>
    <definedName name="___Ctr10">#REF!</definedName>
    <definedName name="___ddd1" localSheetId="7">#REF!</definedName>
    <definedName name="___ddd1" localSheetId="1">#REF!</definedName>
    <definedName name="___ddd1" localSheetId="3">#REF!</definedName>
    <definedName name="___ddd1">#REF!</definedName>
    <definedName name="___dk1" localSheetId="5" hidden="1">{#N/A,#N/A,FALSE,"COVER.XLS";#N/A,#N/A,FALSE,"RACT1.XLS";#N/A,#N/A,FALSE,"RACT2.XLS";#N/A,#N/A,FALSE,"ECCMP";#N/A,#N/A,FALSE,"WELDER.XLS"}</definedName>
    <definedName name="___dk1" localSheetId="2" hidden="1">{#N/A,#N/A,FALSE,"COVER.XLS";#N/A,#N/A,FALSE,"RACT1.XLS";#N/A,#N/A,FALSE,"RACT2.XLS";#N/A,#N/A,FALSE,"ECCMP";#N/A,#N/A,FALSE,"WELDER.XLS"}</definedName>
    <definedName name="___eee1" localSheetId="7">#REF!</definedName>
    <definedName name="___eee1" localSheetId="1">#REF!</definedName>
    <definedName name="___eee1" localSheetId="3">#REF!</definedName>
    <definedName name="___eee1">#REF!</definedName>
    <definedName name="___esc1" localSheetId="7">#REF!</definedName>
    <definedName name="___esc1" localSheetId="1">#REF!</definedName>
    <definedName name="___esc1" localSheetId="3">#REF!</definedName>
    <definedName name="___esc1">#REF!</definedName>
    <definedName name="___exc1" localSheetId="7">#REF!</definedName>
    <definedName name="___exc1" localSheetId="1">#REF!</definedName>
    <definedName name="___exc1" localSheetId="3">#REF!</definedName>
    <definedName name="___exc1">#REF!</definedName>
    <definedName name="___exc11" localSheetId="7">#REF!</definedName>
    <definedName name="___exc11" localSheetId="1">#REF!</definedName>
    <definedName name="___exc11" localSheetId="3">#REF!</definedName>
    <definedName name="___exc11">#REF!</definedName>
    <definedName name="___exc2" localSheetId="7">#REF!</definedName>
    <definedName name="___exc2" localSheetId="1">#REF!</definedName>
    <definedName name="___exc2" localSheetId="3">#REF!</definedName>
    <definedName name="___exc2">#REF!</definedName>
    <definedName name="___EXC3" localSheetId="7">#REF!</definedName>
    <definedName name="___EXC3" localSheetId="1">#REF!</definedName>
    <definedName name="___EXC3" localSheetId="3">#REF!</definedName>
    <definedName name="___EXC3">#REF!</definedName>
    <definedName name="___EXC4" localSheetId="7">#REF!</definedName>
    <definedName name="___EXC4" localSheetId="1">#REF!</definedName>
    <definedName name="___EXC4" localSheetId="3">#REF!</definedName>
    <definedName name="___EXC4">#REF!</definedName>
    <definedName name="___fco2" localSheetId="5" hidden="1">{#N/A,#N/A,FALSE,"gc (2)"}</definedName>
    <definedName name="___fco2" localSheetId="2" hidden="1">{#N/A,#N/A,FALSE,"gc (2)"}</definedName>
    <definedName name="___flx200" localSheetId="7">#REF!</definedName>
    <definedName name="___flx200" localSheetId="1">#REF!</definedName>
    <definedName name="___flx200" localSheetId="3">#REF!</definedName>
    <definedName name="___flx200">#REF!</definedName>
    <definedName name="___flx250" localSheetId="7">#REF!</definedName>
    <definedName name="___flx250" localSheetId="1">#REF!</definedName>
    <definedName name="___flx250" localSheetId="3">#REF!</definedName>
    <definedName name="___flx250">#REF!</definedName>
    <definedName name="___flx300" localSheetId="7">#REF!</definedName>
    <definedName name="___flx300" localSheetId="1">#REF!</definedName>
    <definedName name="___flx300" localSheetId="3">#REF!</definedName>
    <definedName name="___flx300">#REF!</definedName>
    <definedName name="___foo1" localSheetId="7">#REF!</definedName>
    <definedName name="___foo1" localSheetId="1">#REF!</definedName>
    <definedName name="___foo1" localSheetId="3">#REF!</definedName>
    <definedName name="___foo1">#REF!</definedName>
    <definedName name="___foo2" localSheetId="7">#REF!</definedName>
    <definedName name="___foo2" localSheetId="1">#REF!</definedName>
    <definedName name="___foo2" localSheetId="3">#REF!</definedName>
    <definedName name="___foo2">#REF!</definedName>
    <definedName name="___foo3" localSheetId="7">#REF!</definedName>
    <definedName name="___foo3" localSheetId="1">#REF!</definedName>
    <definedName name="___foo3" localSheetId="3">#REF!</definedName>
    <definedName name="___foo3">#REF!</definedName>
    <definedName name="___FOO4" localSheetId="7">#REF!</definedName>
    <definedName name="___FOO4" localSheetId="1">#REF!</definedName>
    <definedName name="___FOO4" localSheetId="3">#REF!</definedName>
    <definedName name="___FOO4">#REF!</definedName>
    <definedName name="___hp10" localSheetId="5" hidden="1">{#N/A,#N/A,TRUE,"Front";#N/A,#N/A,TRUE,"Simple Letter";#N/A,#N/A,TRUE,"Inside";#N/A,#N/A,TRUE,"Contents";#N/A,#N/A,TRUE,"Basis";#N/A,#N/A,TRUE,"Inclusions";#N/A,#N/A,TRUE,"Exclusions";#N/A,#N/A,TRUE,"Areas";#N/A,#N/A,TRUE,"Summary";#N/A,#N/A,TRUE,"Detail"}</definedName>
    <definedName name="___hp10" localSheetId="2" hidden="1">{#N/A,#N/A,TRUE,"Front";#N/A,#N/A,TRUE,"Simple Letter";#N/A,#N/A,TRUE,"Inside";#N/A,#N/A,TRUE,"Contents";#N/A,#N/A,TRUE,"Basis";#N/A,#N/A,TRUE,"Inclusions";#N/A,#N/A,TRUE,"Exclusions";#N/A,#N/A,TRUE,"Areas";#N/A,#N/A,TRUE,"Summary";#N/A,#N/A,TRUE,"Detail"}</definedName>
    <definedName name="___ind1" localSheetId="7">#REF!</definedName>
    <definedName name="___ind1" localSheetId="1">#REF!</definedName>
    <definedName name="___ind1" localSheetId="3">#REF!</definedName>
    <definedName name="___ind1">#REF!</definedName>
    <definedName name="___IND11" localSheetId="7">#REF!</definedName>
    <definedName name="___IND11" localSheetId="1">#REF!</definedName>
    <definedName name="___IND11" localSheetId="3">#REF!</definedName>
    <definedName name="___IND11">#REF!</definedName>
    <definedName name="___IND31" localSheetId="7">#REF!</definedName>
    <definedName name="___IND31" localSheetId="1">#REF!</definedName>
    <definedName name="___IND31" localSheetId="3">#REF!</definedName>
    <definedName name="___IND31">#REF!</definedName>
    <definedName name="___IRS1" localSheetId="7">#REF!</definedName>
    <definedName name="___IRS1" localSheetId="1">#REF!</definedName>
    <definedName name="___IRS1" localSheetId="3">#REF!</definedName>
    <definedName name="___IRS1">#REF!</definedName>
    <definedName name="___key2" localSheetId="7" hidden="1">#REF!</definedName>
    <definedName name="___key2" localSheetId="1" hidden="1">#REF!</definedName>
    <definedName name="___key2" localSheetId="3" hidden="1">#REF!</definedName>
    <definedName name="___key2" hidden="1">#REF!</definedName>
    <definedName name="___Ki1" localSheetId="7">#REF!</definedName>
    <definedName name="___Ki1" localSheetId="1">#REF!</definedName>
    <definedName name="___Ki1" localSheetId="3">#REF!</definedName>
    <definedName name="___Ki1">#REF!</definedName>
    <definedName name="___Ki2" localSheetId="7">#REF!</definedName>
    <definedName name="___Ki2" localSheetId="1">#REF!</definedName>
    <definedName name="___Ki2" localSheetId="3">#REF!</definedName>
    <definedName name="___Ki2">#REF!</definedName>
    <definedName name="___KK1" localSheetId="7">#REF!</definedName>
    <definedName name="___KK1" localSheetId="1">#REF!</definedName>
    <definedName name="___KK1" localSheetId="3">#REF!</definedName>
    <definedName name="___KK1">#REF!</definedName>
    <definedName name="___KK2" localSheetId="7">#REF!</definedName>
    <definedName name="___KK2" localSheetId="1">#REF!</definedName>
    <definedName name="___KK2" localSheetId="3">#REF!</definedName>
    <definedName name="___KK2">#REF!</definedName>
    <definedName name="___kk3" localSheetId="7">#REF!</definedName>
    <definedName name="___kk3" localSheetId="1">#REF!</definedName>
    <definedName name="___kk3" localSheetId="3">#REF!</definedName>
    <definedName name="___kk3">#REF!</definedName>
    <definedName name="___kk4" localSheetId="7">#REF!</definedName>
    <definedName name="___kk4" localSheetId="1">#REF!</definedName>
    <definedName name="___kk4" localSheetId="3">#REF!</definedName>
    <definedName name="___kk4">#REF!</definedName>
    <definedName name="___kvs1" localSheetId="5" hidden="1">{#N/A,#N/A,FALSE,"COVER1.XLS ";#N/A,#N/A,FALSE,"RACT1.XLS";#N/A,#N/A,FALSE,"RACT2.XLS";#N/A,#N/A,FALSE,"ECCMP";#N/A,#N/A,FALSE,"WELDER.XLS"}</definedName>
    <definedName name="___kvs1" localSheetId="2" hidden="1">{#N/A,#N/A,FALSE,"COVER1.XLS ";#N/A,#N/A,FALSE,"RACT1.XLS";#N/A,#N/A,FALSE,"RACT2.XLS";#N/A,#N/A,FALSE,"ECCMP";#N/A,#N/A,FALSE,"WELDER.XLS"}</definedName>
    <definedName name="___kvs2" localSheetId="5" hidden="1">{#N/A,#N/A,FALSE,"COVER1.XLS ";#N/A,#N/A,FALSE,"RACT1.XLS";#N/A,#N/A,FALSE,"RACT2.XLS";#N/A,#N/A,FALSE,"ECCMP";#N/A,#N/A,FALSE,"WELDER.XLS"}</definedName>
    <definedName name="___kvs2" localSheetId="2" hidden="1">{#N/A,#N/A,FALSE,"COVER1.XLS ";#N/A,#N/A,FALSE,"RACT1.XLS";#N/A,#N/A,FALSE,"RACT2.XLS";#N/A,#N/A,FALSE,"ECCMP";#N/A,#N/A,FALSE,"WELDER.XLS"}</definedName>
    <definedName name="___kvs5" localSheetId="5" hidden="1">{#N/A,#N/A,FALSE,"COVER.XLS";#N/A,#N/A,FALSE,"RACT1.XLS";#N/A,#N/A,FALSE,"RACT2.XLS";#N/A,#N/A,FALSE,"ECCMP";#N/A,#N/A,FALSE,"WELDER.XLS"}</definedName>
    <definedName name="___kvs5" localSheetId="2" hidden="1">{#N/A,#N/A,FALSE,"COVER.XLS";#N/A,#N/A,FALSE,"RACT1.XLS";#N/A,#N/A,FALSE,"RACT2.XLS";#N/A,#N/A,FALSE,"ECCMP";#N/A,#N/A,FALSE,"WELDER.XLS"}</definedName>
    <definedName name="___kvs8" localSheetId="5" hidden="1">{#N/A,#N/A,FALSE,"COVER1.XLS ";#N/A,#N/A,FALSE,"RACT1.XLS";#N/A,#N/A,FALSE,"RACT2.XLS";#N/A,#N/A,FALSE,"ECCMP";#N/A,#N/A,FALSE,"WELDER.XLS"}</definedName>
    <definedName name="___kvs8" localSheetId="2" hidden="1">{#N/A,#N/A,FALSE,"COVER1.XLS ";#N/A,#N/A,FALSE,"RACT1.XLS";#N/A,#N/A,FALSE,"RACT2.XLS";#N/A,#N/A,FALSE,"ECCMP";#N/A,#N/A,FALSE,"WELDER.XLS"}</definedName>
    <definedName name="___lk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AN1" localSheetId="7">#REF!</definedName>
    <definedName name="___MAN1" localSheetId="1">#REF!</definedName>
    <definedName name="___MAN1" localSheetId="3">#REF!</definedName>
    <definedName name="___MAN1">#REF!</definedName>
    <definedName name="___MF1" localSheetId="7">#REF!</definedName>
    <definedName name="___MF1" localSheetId="1">#REF!</definedName>
    <definedName name="___MF1" localSheetId="3">#REF!</definedName>
    <definedName name="___MF1">#REF!</definedName>
    <definedName name="___mix1" localSheetId="7">#REF!</definedName>
    <definedName name="___mix1" localSheetId="1">#REF!</definedName>
    <definedName name="___mix1" localSheetId="3">#REF!</definedName>
    <definedName name="___mix1">#REF!</definedName>
    <definedName name="___mix2" localSheetId="7">#REF!</definedName>
    <definedName name="___mix2" localSheetId="1">#REF!</definedName>
    <definedName name="___mix2" localSheetId="3">#REF!</definedName>
    <definedName name="___mix2">#REF!</definedName>
    <definedName name="___miy1" localSheetId="7">#REF!</definedName>
    <definedName name="___miy1" localSheetId="1">#REF!</definedName>
    <definedName name="___miy1" localSheetId="3">#REF!</definedName>
    <definedName name="___miy1">#REF!</definedName>
    <definedName name="___miy2" localSheetId="7">#REF!</definedName>
    <definedName name="___miy2" localSheetId="1">#REF!</definedName>
    <definedName name="___miy2" localSheetId="3">#REF!</definedName>
    <definedName name="___miy2">#REF!</definedName>
    <definedName name="___MM1" localSheetId="7">#REF!</definedName>
    <definedName name="___MM1" localSheetId="1">#REF!</definedName>
    <definedName name="___MM1" localSheetId="3">#REF!</definedName>
    <definedName name="___MM1">#REF!</definedName>
    <definedName name="___MM2" localSheetId="7">#REF!</definedName>
    <definedName name="___MM2" localSheetId="1">#REF!</definedName>
    <definedName name="___MM2" localSheetId="3">#REF!</definedName>
    <definedName name="___MM2">#REF!</definedName>
    <definedName name="___mnk1" localSheetId="7">#REF!</definedName>
    <definedName name="___mnk1" localSheetId="1">#REF!</definedName>
    <definedName name="___mnk1" localSheetId="3">#REF!</definedName>
    <definedName name="___mnk1">#REF!</definedName>
    <definedName name="___mux1" localSheetId="7">#REF!</definedName>
    <definedName name="___mux1" localSheetId="1">#REF!</definedName>
    <definedName name="___mux1" localSheetId="3">#REF!</definedName>
    <definedName name="___mux1">#REF!</definedName>
    <definedName name="___muy1" localSheetId="7">#REF!</definedName>
    <definedName name="___muy1" localSheetId="1">#REF!</definedName>
    <definedName name="___muy1" localSheetId="3">#REF!</definedName>
    <definedName name="___muy1">#REF!</definedName>
    <definedName name="___NN1" localSheetId="7">#REF!</definedName>
    <definedName name="___NN1" localSheetId="1">#REF!</definedName>
    <definedName name="___NN1" localSheetId="3">#REF!</definedName>
    <definedName name="___NN1">#REF!</definedName>
    <definedName name="___ns1" localSheetId="5" hidden="1">{#N/A,#N/A,FALSE,"COVER1.XLS ";#N/A,#N/A,FALSE,"RACT1.XLS";#N/A,#N/A,FALSE,"RACT2.XLS";#N/A,#N/A,FALSE,"ECCMP";#N/A,#N/A,FALSE,"WELDER.XLS"}</definedName>
    <definedName name="___ns1" localSheetId="2" hidden="1">{#N/A,#N/A,FALSE,"COVER1.XLS ";#N/A,#N/A,FALSE,"RACT1.XLS";#N/A,#N/A,FALSE,"RACT2.XLS";#N/A,#N/A,FALSE,"ECCMP";#N/A,#N/A,FALSE,"WELDER.XLS"}</definedName>
    <definedName name="___pan1" localSheetId="7">#REF!</definedName>
    <definedName name="___pan1" localSheetId="1">#REF!</definedName>
    <definedName name="___pan1" localSheetId="3">#REF!</definedName>
    <definedName name="___pan1">#REF!</definedName>
    <definedName name="___PAN2" localSheetId="7">#REF!</definedName>
    <definedName name="___PAN2" localSheetId="1">#REF!</definedName>
    <definedName name="___PAN2" localSheetId="3">#REF!</definedName>
    <definedName name="___PAN2">#REF!</definedName>
    <definedName name="___PB1" localSheetId="7">#REF!</definedName>
    <definedName name="___PB1" localSheetId="1">#REF!</definedName>
    <definedName name="___PB1" localSheetId="3">#REF!</definedName>
    <definedName name="___PB1">#REF!</definedName>
    <definedName name="___pcc1" localSheetId="7">#REF!</definedName>
    <definedName name="___pcc1" localSheetId="1">#REF!</definedName>
    <definedName name="___pcc1" localSheetId="3">#REF!</definedName>
    <definedName name="___pcc1">#REF!</definedName>
    <definedName name="___pcc2" localSheetId="7">#REF!</definedName>
    <definedName name="___pcc2" localSheetId="1">#REF!</definedName>
    <definedName name="___pcc2" localSheetId="3">#REF!</definedName>
    <definedName name="___pcc2">#REF!</definedName>
    <definedName name="___pcc3" localSheetId="7">#REF!</definedName>
    <definedName name="___pcc3" localSheetId="1">#REF!</definedName>
    <definedName name="___pcc3" localSheetId="3">#REF!</definedName>
    <definedName name="___pcc3">#REF!</definedName>
    <definedName name="___PCC4" localSheetId="7">#REF!</definedName>
    <definedName name="___PCC4" localSheetId="1">#REF!</definedName>
    <definedName name="___PCC4" localSheetId="3">#REF!</definedName>
    <definedName name="___PCC4">#REF!</definedName>
    <definedName name="___plb1" localSheetId="7">#REF!</definedName>
    <definedName name="___plb1" localSheetId="1">#REF!</definedName>
    <definedName name="___plb1" localSheetId="3">#REF!</definedName>
    <definedName name="___plb1">#REF!</definedName>
    <definedName name="___plb2" localSheetId="7">#REF!</definedName>
    <definedName name="___plb2" localSheetId="1">#REF!</definedName>
    <definedName name="___plb2" localSheetId="3">#REF!</definedName>
    <definedName name="___plb2">#REF!</definedName>
    <definedName name="___plb3" localSheetId="7">#REF!</definedName>
    <definedName name="___plb3" localSheetId="1">#REF!</definedName>
    <definedName name="___plb3" localSheetId="3">#REF!</definedName>
    <definedName name="___plb3">#REF!</definedName>
    <definedName name="___plb4" localSheetId="7">#REF!</definedName>
    <definedName name="___plb4" localSheetId="1">#REF!</definedName>
    <definedName name="___plb4" localSheetId="3">#REF!</definedName>
    <definedName name="___plb4">#REF!</definedName>
    <definedName name="___PRN1" localSheetId="5" hidden="1">{#N/A,#N/A,FALSE,"COVER.XLS";#N/A,#N/A,FALSE,"RACT1.XLS";#N/A,#N/A,FALSE,"RACT2.XLS";#N/A,#N/A,FALSE,"ECCMP";#N/A,#N/A,FALSE,"WELDER.XLS"}</definedName>
    <definedName name="___PRN1" localSheetId="2" hidden="1">{#N/A,#N/A,FALSE,"COVER.XLS";#N/A,#N/A,FALSE,"RACT1.XLS";#N/A,#N/A,FALSE,"RACT2.XLS";#N/A,#N/A,FALSE,"ECCMP";#N/A,#N/A,FALSE,"WELDER.XLS"}</definedName>
    <definedName name="___ram1" localSheetId="5" hidden="1">{#N/A,#N/A,FALSE,"gc (2)"}</definedName>
    <definedName name="___ram1" localSheetId="2" hidden="1">{#N/A,#N/A,FALSE,"gc (2)"}</definedName>
    <definedName name="___Rs1" localSheetId="7">#REF!</definedName>
    <definedName name="___Rs1" localSheetId="1">#REF!</definedName>
    <definedName name="___Rs1" localSheetId="3">#REF!</definedName>
    <definedName name="___Rs1">#REF!</definedName>
    <definedName name="___S12" localSheetId="7">#REF!</definedName>
    <definedName name="___S12" localSheetId="1">#REF!</definedName>
    <definedName name="___S12" localSheetId="3">#REF!</definedName>
    <definedName name="___S12">#REF!</definedName>
    <definedName name="___s41" localSheetId="5" hidden="1">{"form-D1",#N/A,FALSE,"FORM-D1";"form-D1_amt",#N/A,FALSE,"FORM-D1"}</definedName>
    <definedName name="___s41" localSheetId="2" hidden="1">{"form-D1",#N/A,FALSE,"FORM-D1";"form-D1_amt",#N/A,FALSE,"FORM-D1"}</definedName>
    <definedName name="___s41_1" localSheetId="5" hidden="1">{"form-D1",#N/A,FALSE,"FORM-D1";"form-D1_amt",#N/A,FALSE,"FORM-D1"}</definedName>
    <definedName name="___s41_1" localSheetId="2" hidden="1">{"form-D1",#N/A,FALSE,"FORM-D1";"form-D1_amt",#N/A,FALSE,"FORM-D1"}</definedName>
    <definedName name="___sec1" localSheetId="7">#REF!</definedName>
    <definedName name="___sec1" localSheetId="1">#REF!</definedName>
    <definedName name="___sec1" localSheetId="3">#REF!</definedName>
    <definedName name="___sec1">#REF!</definedName>
    <definedName name="___sec111" localSheetId="7">#REF!</definedName>
    <definedName name="___sec111" localSheetId="1">#REF!</definedName>
    <definedName name="___sec111" localSheetId="3">#REF!</definedName>
    <definedName name="___sec111">#REF!</definedName>
    <definedName name="___SEC15" localSheetId="7">#REF!</definedName>
    <definedName name="___SEC15" localSheetId="1">#REF!</definedName>
    <definedName name="___SEC15" localSheetId="3">#REF!</definedName>
    <definedName name="___SEC15">#REF!</definedName>
    <definedName name="___Sec2" localSheetId="7">#REF!</definedName>
    <definedName name="___Sec2" localSheetId="1">#REF!</definedName>
    <definedName name="___Sec2" localSheetId="3">#REF!</definedName>
    <definedName name="___Sec2">#REF!</definedName>
    <definedName name="___sec22" localSheetId="7">#REF!</definedName>
    <definedName name="___sec22" localSheetId="1">#REF!</definedName>
    <definedName name="___sec22" localSheetId="3">#REF!</definedName>
    <definedName name="___sec22">#REF!</definedName>
    <definedName name="___SEC23" localSheetId="7">#REF!</definedName>
    <definedName name="___SEC23" localSheetId="1">#REF!</definedName>
    <definedName name="___SEC23" localSheetId="3">#REF!</definedName>
    <definedName name="___SEC23">#REF!</definedName>
    <definedName name="___SEC24" localSheetId="7">#REF!</definedName>
    <definedName name="___SEC24" localSheetId="1">#REF!</definedName>
    <definedName name="___SEC24" localSheetId="3">#REF!</definedName>
    <definedName name="___SEC24">#REF!</definedName>
    <definedName name="___sec3" localSheetId="7">#REF!</definedName>
    <definedName name="___sec3" localSheetId="1">#REF!</definedName>
    <definedName name="___sec3" localSheetId="3">#REF!</definedName>
    <definedName name="___sec3">#REF!</definedName>
    <definedName name="___SEC32" localSheetId="7">#REF!</definedName>
    <definedName name="___SEC32" localSheetId="1">#REF!</definedName>
    <definedName name="___SEC32" localSheetId="3">#REF!</definedName>
    <definedName name="___SEC32">#REF!</definedName>
    <definedName name="___sec33" localSheetId="7">#REF!</definedName>
    <definedName name="___sec33" localSheetId="1">#REF!</definedName>
    <definedName name="___sec33" localSheetId="3">#REF!</definedName>
    <definedName name="___sec33">#REF!</definedName>
    <definedName name="___Sec4" localSheetId="7">#REF!</definedName>
    <definedName name="___Sec4" localSheetId="1">#REF!</definedName>
    <definedName name="___Sec4" localSheetId="3">#REF!</definedName>
    <definedName name="___Sec4">#REF!</definedName>
    <definedName name="___sec45" localSheetId="7">#REF!</definedName>
    <definedName name="___sec45" localSheetId="1">#REF!</definedName>
    <definedName name="___sec45" localSheetId="3">#REF!</definedName>
    <definedName name="___sec45">#REF!</definedName>
    <definedName name="___SEC46" localSheetId="7">#REF!</definedName>
    <definedName name="___SEC46" localSheetId="1">#REF!</definedName>
    <definedName name="___SEC46" localSheetId="3">#REF!</definedName>
    <definedName name="___SEC46">#REF!</definedName>
    <definedName name="___sec5" localSheetId="7">#REF!</definedName>
    <definedName name="___sec5" localSheetId="1">#REF!</definedName>
    <definedName name="___sec5" localSheetId="3">#REF!</definedName>
    <definedName name="___sec5">#REF!</definedName>
    <definedName name="___sec55" localSheetId="7">#REF!</definedName>
    <definedName name="___sec55" localSheetId="1">#REF!</definedName>
    <definedName name="___sec55" localSheetId="3">#REF!</definedName>
    <definedName name="___sec55">#REF!</definedName>
    <definedName name="___SEC56" localSheetId="7">#REF!</definedName>
    <definedName name="___SEC56" localSheetId="1">#REF!</definedName>
    <definedName name="___SEC56" localSheetId="3">#REF!</definedName>
    <definedName name="___SEC56">#REF!</definedName>
    <definedName name="___sec6" localSheetId="7">#REF!</definedName>
    <definedName name="___sec6" localSheetId="1">#REF!</definedName>
    <definedName name="___sec6" localSheetId="3">#REF!</definedName>
    <definedName name="___sec6">#REF!</definedName>
    <definedName name="___sec66" localSheetId="7">#REF!</definedName>
    <definedName name="___sec66" localSheetId="1">#REF!</definedName>
    <definedName name="___sec66" localSheetId="3">#REF!</definedName>
    <definedName name="___sec66">#REF!</definedName>
    <definedName name="___SEC67" localSheetId="7">#REF!</definedName>
    <definedName name="___SEC67" localSheetId="1">#REF!</definedName>
    <definedName name="___SEC67" localSheetId="3">#REF!</definedName>
    <definedName name="___SEC67">#REF!</definedName>
    <definedName name="___sec7" localSheetId="7">#REF!</definedName>
    <definedName name="___sec7" localSheetId="1">#REF!</definedName>
    <definedName name="___sec7" localSheetId="3">#REF!</definedName>
    <definedName name="___sec7">#REF!</definedName>
    <definedName name="___sec71" localSheetId="7">#REF!</definedName>
    <definedName name="___sec71" localSheetId="1">#REF!</definedName>
    <definedName name="___sec71" localSheetId="3">#REF!</definedName>
    <definedName name="___sec71">#REF!</definedName>
    <definedName name="___SEC72" localSheetId="7">#REF!</definedName>
    <definedName name="___SEC72" localSheetId="1">#REF!</definedName>
    <definedName name="___SEC72" localSheetId="3">#REF!</definedName>
    <definedName name="___SEC72">#REF!</definedName>
    <definedName name="___SEC74" localSheetId="7">#REF!</definedName>
    <definedName name="___SEC74" localSheetId="1">#REF!</definedName>
    <definedName name="___SEC74" localSheetId="3">#REF!</definedName>
    <definedName name="___SEC74">#REF!</definedName>
    <definedName name="___SEC75" localSheetId="7">#REF!</definedName>
    <definedName name="___SEC75" localSheetId="1">#REF!</definedName>
    <definedName name="___SEC75" localSheetId="3">#REF!</definedName>
    <definedName name="___SEC75">#REF!</definedName>
    <definedName name="___SEC77" localSheetId="7">#REF!</definedName>
    <definedName name="___SEC77" localSheetId="1">#REF!</definedName>
    <definedName name="___SEC77" localSheetId="3">#REF!</definedName>
    <definedName name="___SEC77">#REF!</definedName>
    <definedName name="___sec777" localSheetId="7">#REF!</definedName>
    <definedName name="___sec777" localSheetId="1">#REF!</definedName>
    <definedName name="___sec777" localSheetId="3">#REF!</definedName>
    <definedName name="___sec777">#REF!</definedName>
    <definedName name="___sec78" localSheetId="7">#REF!</definedName>
    <definedName name="___sec78" localSheetId="1">#REF!</definedName>
    <definedName name="___sec78" localSheetId="3">#REF!</definedName>
    <definedName name="___sec78">#REF!</definedName>
    <definedName name="___sec79" localSheetId="7">#REF!</definedName>
    <definedName name="___sec79" localSheetId="1">#REF!</definedName>
    <definedName name="___sec79" localSheetId="3">#REF!</definedName>
    <definedName name="___sec79">#REF!</definedName>
    <definedName name="___sec8" localSheetId="7">#REF!</definedName>
    <definedName name="___sec8" localSheetId="1">#REF!</definedName>
    <definedName name="___sec8" localSheetId="3">#REF!</definedName>
    <definedName name="___sec8">#REF!</definedName>
    <definedName name="___sec81" localSheetId="7">#REF!</definedName>
    <definedName name="___sec81" localSheetId="1">#REF!</definedName>
    <definedName name="___sec81" localSheetId="3">#REF!</definedName>
    <definedName name="___sec81">#REF!</definedName>
    <definedName name="___SEC82" localSheetId="7">#REF!</definedName>
    <definedName name="___SEC82" localSheetId="1">#REF!</definedName>
    <definedName name="___SEC82" localSheetId="3">#REF!</definedName>
    <definedName name="___SEC82">#REF!</definedName>
    <definedName name="___SEC83" localSheetId="7">#REF!</definedName>
    <definedName name="___SEC83" localSheetId="1">#REF!</definedName>
    <definedName name="___SEC83" localSheetId="3">#REF!</definedName>
    <definedName name="___SEC83">#REF!</definedName>
    <definedName name="___SEC87" localSheetId="7">#REF!</definedName>
    <definedName name="___SEC87" localSheetId="1">#REF!</definedName>
    <definedName name="___SEC87" localSheetId="3">#REF!</definedName>
    <definedName name="___SEC87">#REF!</definedName>
    <definedName name="___SEC88" localSheetId="7">#REF!</definedName>
    <definedName name="___SEC88" localSheetId="1">#REF!</definedName>
    <definedName name="___SEC88" localSheetId="3">#REF!</definedName>
    <definedName name="___SEC88">#REF!</definedName>
    <definedName name="___sec888" localSheetId="7">#REF!</definedName>
    <definedName name="___sec888" localSheetId="1">#REF!</definedName>
    <definedName name="___sec888" localSheetId="3">#REF!</definedName>
    <definedName name="___sec888">#REF!</definedName>
    <definedName name="___sec89" localSheetId="7">#REF!</definedName>
    <definedName name="___sec89" localSheetId="1">#REF!</definedName>
    <definedName name="___sec89" localSheetId="3">#REF!</definedName>
    <definedName name="___sec89">#REF!</definedName>
    <definedName name="___sec899" localSheetId="7">#REF!</definedName>
    <definedName name="___sec899" localSheetId="1">#REF!</definedName>
    <definedName name="___sec899" localSheetId="3">#REF!</definedName>
    <definedName name="___sec899">#REF!</definedName>
    <definedName name="___SEC9" localSheetId="7">#REF!</definedName>
    <definedName name="___SEC9" localSheetId="1">#REF!</definedName>
    <definedName name="___SEC9" localSheetId="3">#REF!</definedName>
    <definedName name="___SEC9">#REF!</definedName>
    <definedName name="___SEC91" localSheetId="7">#REF!</definedName>
    <definedName name="___SEC91" localSheetId="1">#REF!</definedName>
    <definedName name="___SEC91" localSheetId="3">#REF!</definedName>
    <definedName name="___SEC91">#REF!</definedName>
    <definedName name="___SH1" localSheetId="7">#REF!</definedName>
    <definedName name="___SH1" localSheetId="1">#REF!</definedName>
    <definedName name="___SH1" localSheetId="3">#REF!</definedName>
    <definedName name="___SH1">#REF!</definedName>
    <definedName name="___SH2" localSheetId="7">#REF!</definedName>
    <definedName name="___SH2" localSheetId="1">#REF!</definedName>
    <definedName name="___SH2" localSheetId="3">#REF!</definedName>
    <definedName name="___SH2">#REF!</definedName>
    <definedName name="___SH3" localSheetId="7">#REF!</definedName>
    <definedName name="___SH3" localSheetId="1">#REF!</definedName>
    <definedName name="___SH3" localSheetId="3">#REF!</definedName>
    <definedName name="___SH3">#REF!</definedName>
    <definedName name="___SH4" localSheetId="7">#REF!</definedName>
    <definedName name="___SH4" localSheetId="1">#REF!</definedName>
    <definedName name="___SH4" localSheetId="3">#REF!</definedName>
    <definedName name="___SH4">#REF!</definedName>
    <definedName name="___SH5" localSheetId="7">#REF!</definedName>
    <definedName name="___SH5" localSheetId="1">#REF!</definedName>
    <definedName name="___SH5" localSheetId="3">#REF!</definedName>
    <definedName name="___SH5">#REF!</definedName>
    <definedName name="___SS2" localSheetId="7">#REF!</definedName>
    <definedName name="___SS2" localSheetId="1">#REF!</definedName>
    <definedName name="___SS2" localSheetId="3">#REF!</definedName>
    <definedName name="___SS2">#REF!</definedName>
    <definedName name="___sti02" localSheetId="5" hidden="1">{#N/A,#N/A,FALSE,"gc (2)"}</definedName>
    <definedName name="___sti02" localSheetId="2" hidden="1">{#N/A,#N/A,FALSE,"gc (2)"}</definedName>
    <definedName name="___t1"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localSheetId="5" hidden="1">{#N/A,#N/A,TRUE,"Financials";#N/A,#N/A,TRUE,"Operating Statistics";#N/A,#N/A,TRUE,"Capex &amp; Depreciation";#N/A,#N/A,TRUE,"Debt"}</definedName>
    <definedName name="___ta1" localSheetId="2" hidden="1">{#N/A,#N/A,TRUE,"Financials";#N/A,#N/A,TRUE,"Operating Statistics";#N/A,#N/A,TRUE,"Capex &amp; Depreciation";#N/A,#N/A,TRUE,"Debt"}</definedName>
    <definedName name="___tb1" localSheetId="5" hidden="1">{#N/A,#N/A,FALSE,"One Pager";#N/A,#N/A,FALSE,"Technical"}</definedName>
    <definedName name="___tb1" localSheetId="2" hidden="1">{#N/A,#N/A,FALSE,"One Pager";#N/A,#N/A,FALSE,"Technical"}</definedName>
    <definedName name="___tk1" localSheetId="7">#REF!</definedName>
    <definedName name="___tk1" localSheetId="1">#REF!</definedName>
    <definedName name="___tk1" localSheetId="3">#REF!</definedName>
    <definedName name="___tk1">#REF!</definedName>
    <definedName name="___tr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2" localSheetId="5" hidden="1">{#N/A,#N/A,FALSE,"COVER1.XLS ";#N/A,#N/A,FALSE,"RACT1.XLS";#N/A,#N/A,FALSE,"RACT2.XLS";#N/A,#N/A,FALSE,"ECCMP";#N/A,#N/A,FALSE,"WELDER.XLS"}</definedName>
    <definedName name="___WRN2" localSheetId="2" hidden="1">{#N/A,#N/A,FALSE,"COVER1.XLS ";#N/A,#N/A,FALSE,"RACT1.XLS";#N/A,#N/A,FALSE,"RACT2.XLS";#N/A,#N/A,FALSE,"ECCMP";#N/A,#N/A,FALSE,"WELDER.XLS"}</definedName>
    <definedName name="___WRN3" localSheetId="5" hidden="1">{#N/A,#N/A,FALSE,"consu_cover";#N/A,#N/A,FALSE,"consu_strategy";#N/A,#N/A,FALSE,"consu_flow";#N/A,#N/A,FALSE,"Summary_reqmt";#N/A,#N/A,FALSE,"field_ppg";#N/A,#N/A,FALSE,"ppg_shop";#N/A,#N/A,FALSE,"strl";#N/A,#N/A,FALSE,"tankages";#N/A,#N/A,FALSE,"gases"}</definedName>
    <definedName name="___WRN3" localSheetId="2" hidden="1">{#N/A,#N/A,FALSE,"consu_cover";#N/A,#N/A,FALSE,"consu_strategy";#N/A,#N/A,FALSE,"consu_flow";#N/A,#N/A,FALSE,"Summary_reqmt";#N/A,#N/A,FALSE,"field_ppg";#N/A,#N/A,FALSE,"ppg_shop";#N/A,#N/A,FALSE,"strl";#N/A,#N/A,FALSE,"tankages";#N/A,#N/A,FALSE,"gases"}</definedName>
    <definedName name="___XD2" localSheetId="7">#REF!</definedName>
    <definedName name="___XD2" localSheetId="1">#REF!</definedName>
    <definedName name="___XD2" localSheetId="3">#REF!</definedName>
    <definedName name="___XD2">#REF!</definedName>
    <definedName name="___xd3" localSheetId="7">#REF!</definedName>
    <definedName name="___xd3" localSheetId="1">#REF!</definedName>
    <definedName name="___xd3" localSheetId="3">#REF!</definedName>
    <definedName name="___xd3">#REF!</definedName>
    <definedName name="___xlfn.BAHTTEXT" hidden="1">#NAME?</definedName>
    <definedName name="__123Graph_AIncome" localSheetId="7" hidden="1">#REF!</definedName>
    <definedName name="__123Graph_AIncome" localSheetId="1" hidden="1">#REF!</definedName>
    <definedName name="__123Graph_AIncome" localSheetId="3" hidden="1">#REF!</definedName>
    <definedName name="__123Graph_AIncome" hidden="1">#REF!</definedName>
    <definedName name="__123Graph_ASummary" localSheetId="7" hidden="1">#REF!</definedName>
    <definedName name="__123Graph_ASummary" localSheetId="1" hidden="1">#REF!</definedName>
    <definedName name="__123Graph_ASummary" localSheetId="3" hidden="1">#REF!</definedName>
    <definedName name="__123Graph_ASummary" hidden="1">#REF!</definedName>
    <definedName name="__123Graph_B" localSheetId="7" hidden="1">#REF!</definedName>
    <definedName name="__123Graph_B" localSheetId="1" hidden="1">#REF!</definedName>
    <definedName name="__123Graph_B" localSheetId="3" hidden="1">#REF!</definedName>
    <definedName name="__123Graph_B" hidden="1">#REF!</definedName>
    <definedName name="__123Graph_BIncome" localSheetId="7" hidden="1">#REF!</definedName>
    <definedName name="__123Graph_BIncome" localSheetId="1" hidden="1">#REF!</definedName>
    <definedName name="__123Graph_BIncome" localSheetId="3" hidden="1">#REF!</definedName>
    <definedName name="__123Graph_BIncome" hidden="1">#REF!</definedName>
    <definedName name="__123Graph_BSummary" localSheetId="7" hidden="1">#REF!</definedName>
    <definedName name="__123Graph_BSummary" localSheetId="1" hidden="1">#REF!</definedName>
    <definedName name="__123Graph_BSummary" localSheetId="3" hidden="1">#REF!</definedName>
    <definedName name="__123Graph_BSummary" hidden="1">#REF!</definedName>
    <definedName name="__123Graph_D" localSheetId="7" hidden="1">#REF!</definedName>
    <definedName name="__123Graph_D" localSheetId="1" hidden="1">#REF!</definedName>
    <definedName name="__123Graph_D" localSheetId="3" hidden="1">#REF!</definedName>
    <definedName name="__123Graph_D" hidden="1">#REF!</definedName>
    <definedName name="__123Graph_F" localSheetId="7" hidden="1">#REF!</definedName>
    <definedName name="__123Graph_F" localSheetId="1" hidden="1">#REF!</definedName>
    <definedName name="__123Graph_F" localSheetId="3" hidden="1">#REF!</definedName>
    <definedName name="__123Graph_F" hidden="1">#REF!</definedName>
    <definedName name="__123Graph_X" localSheetId="7" hidden="1">#REF!</definedName>
    <definedName name="__123Graph_X" localSheetId="1" hidden="1">#REF!</definedName>
    <definedName name="__123Graph_X" localSheetId="3" hidden="1">#REF!</definedName>
    <definedName name="__123Graph_X" hidden="1">#REF!</definedName>
    <definedName name="__123Graph_XIncome" localSheetId="7" hidden="1">#REF!</definedName>
    <definedName name="__123Graph_XIncome" localSheetId="1" hidden="1">#REF!</definedName>
    <definedName name="__123Graph_XIncome" localSheetId="3" hidden="1">#REF!</definedName>
    <definedName name="__123Graph_XIncome" hidden="1">#REF!</definedName>
    <definedName name="__a1" localSheetId="7">#REF!</definedName>
    <definedName name="__a1" localSheetId="1">#REF!</definedName>
    <definedName name="__a1" localSheetId="3">#REF!</definedName>
    <definedName name="__a1">#REF!</definedName>
    <definedName name="__A2" localSheetId="7">#REF!</definedName>
    <definedName name="__A2" localSheetId="1">#REF!</definedName>
    <definedName name="__A2" localSheetId="3">#REF!</definedName>
    <definedName name="__A2">#REF!</definedName>
    <definedName name="__a65537" localSheetId="7">#REF!</definedName>
    <definedName name="__a65537" localSheetId="1">#REF!</definedName>
    <definedName name="__a65537" localSheetId="3">#REF!</definedName>
    <definedName name="__a65537">#REF!</definedName>
    <definedName name="__A65555" localSheetId="7">#REF!</definedName>
    <definedName name="__A65555" localSheetId="1">#REF!</definedName>
    <definedName name="__A65555" localSheetId="3">#REF!</definedName>
    <definedName name="__A65555">#REF!</definedName>
    <definedName name="__A655600" localSheetId="7">#REF!</definedName>
    <definedName name="__A655600" localSheetId="1">#REF!</definedName>
    <definedName name="__A655600" localSheetId="3">#REF!</definedName>
    <definedName name="__A655600">#REF!</definedName>
    <definedName name="__A65658" localSheetId="7">#REF!</definedName>
    <definedName name="__A65658" localSheetId="1">#REF!</definedName>
    <definedName name="__A65658" localSheetId="3">#REF!</definedName>
    <definedName name="__A65658">#REF!</definedName>
    <definedName name="__a999999" localSheetId="7">#REF!</definedName>
    <definedName name="__a999999" localSheetId="1">#REF!</definedName>
    <definedName name="__a999999" localSheetId="3">#REF!</definedName>
    <definedName name="__a999999">#REF!</definedName>
    <definedName name="__AAA1" localSheetId="7">#REF!</definedName>
    <definedName name="__AAA1" localSheetId="1">#REF!</definedName>
    <definedName name="__AAA1" localSheetId="3">#REF!</definedName>
    <definedName name="__AAA1">#REF!</definedName>
    <definedName name="__aaa10" localSheetId="7">#REF!</definedName>
    <definedName name="__aaa10" localSheetId="1">#REF!</definedName>
    <definedName name="__aaa10" localSheetId="3">#REF!</definedName>
    <definedName name="__aaa10">#REF!</definedName>
    <definedName name="__aaa11" localSheetId="7">#REF!</definedName>
    <definedName name="__aaa11" localSheetId="1">#REF!</definedName>
    <definedName name="__aaa11" localSheetId="3">#REF!</definedName>
    <definedName name="__aaa11">#REF!</definedName>
    <definedName name="__AAA12" localSheetId="7">#REF!</definedName>
    <definedName name="__AAA12" localSheetId="1">#REF!</definedName>
    <definedName name="__AAA12" localSheetId="3">#REF!</definedName>
    <definedName name="__AAA12">#REF!</definedName>
    <definedName name="__AAA21" localSheetId="7">#REF!</definedName>
    <definedName name="__AAA21" localSheetId="1">#REF!</definedName>
    <definedName name="__AAA21" localSheetId="3">#REF!</definedName>
    <definedName name="__AAA21">#REF!</definedName>
    <definedName name="__aaa23" localSheetId="7">#REF!</definedName>
    <definedName name="__aaa23" localSheetId="1">#REF!</definedName>
    <definedName name="__aaa23" localSheetId="3">#REF!</definedName>
    <definedName name="__aaa23">#REF!</definedName>
    <definedName name="__aaa34" localSheetId="7">#REF!</definedName>
    <definedName name="__aaa34" localSheetId="1">#REF!</definedName>
    <definedName name="__aaa34" localSheetId="3">#REF!</definedName>
    <definedName name="__aaa34">#REF!</definedName>
    <definedName name="__aaa5" localSheetId="7">#REF!</definedName>
    <definedName name="__aaa5" localSheetId="1">#REF!</definedName>
    <definedName name="__aaa5" localSheetId="3">#REF!</definedName>
    <definedName name="__aaa5">#REF!</definedName>
    <definedName name="__AAA53" localSheetId="7">#REF!</definedName>
    <definedName name="__AAA53" localSheetId="1">#REF!</definedName>
    <definedName name="__AAA53" localSheetId="3">#REF!</definedName>
    <definedName name="__AAA53">#REF!</definedName>
    <definedName name="__aaa54" localSheetId="7">#REF!</definedName>
    <definedName name="__aaa54" localSheetId="1">#REF!</definedName>
    <definedName name="__aaa54" localSheetId="3">#REF!</definedName>
    <definedName name="__aaa54">#REF!</definedName>
    <definedName name="__aaa545" localSheetId="7">#REF!</definedName>
    <definedName name="__aaa545" localSheetId="1">#REF!</definedName>
    <definedName name="__aaa545" localSheetId="3">#REF!</definedName>
    <definedName name="__aaa545">#REF!</definedName>
    <definedName name="__aaa55" localSheetId="7">#REF!</definedName>
    <definedName name="__aaa55" localSheetId="1">#REF!</definedName>
    <definedName name="__aaa55" localSheetId="3">#REF!</definedName>
    <definedName name="__aaa55">#REF!</definedName>
    <definedName name="__aaa56" localSheetId="7">#REF!</definedName>
    <definedName name="__aaa56" localSheetId="1">#REF!</definedName>
    <definedName name="__aaa56" localSheetId="3">#REF!</definedName>
    <definedName name="__aaa56">#REF!</definedName>
    <definedName name="__AAA57" localSheetId="7">#REF!</definedName>
    <definedName name="__AAA57" localSheetId="1">#REF!</definedName>
    <definedName name="__AAA57" localSheetId="3">#REF!</definedName>
    <definedName name="__AAA57">#REF!</definedName>
    <definedName name="__aaa59" localSheetId="7">#REF!</definedName>
    <definedName name="__aaa59" localSheetId="1">#REF!</definedName>
    <definedName name="__aaa59" localSheetId="3">#REF!</definedName>
    <definedName name="__aaa59">#REF!</definedName>
    <definedName name="__AAA66" localSheetId="7">#REF!</definedName>
    <definedName name="__AAA66" localSheetId="1">#REF!</definedName>
    <definedName name="__AAA66" localSheetId="3">#REF!</definedName>
    <definedName name="__AAA66">#REF!</definedName>
    <definedName name="__AAA69" localSheetId="7">#REF!</definedName>
    <definedName name="__AAA69" localSheetId="1">#REF!</definedName>
    <definedName name="__AAA69" localSheetId="3">#REF!</definedName>
    <definedName name="__AAA69">#REF!</definedName>
    <definedName name="__aad55" localSheetId="7">#REF!</definedName>
    <definedName name="__aad55" localSheetId="1">#REF!</definedName>
    <definedName name="__aad55" localSheetId="3">#REF!</definedName>
    <definedName name="__aad55">#REF!</definedName>
    <definedName name="__AAD56" localSheetId="7">#REF!</definedName>
    <definedName name="__AAD56" localSheetId="1">#REF!</definedName>
    <definedName name="__AAD56" localSheetId="3">#REF!</definedName>
    <definedName name="__AAD56">#REF!</definedName>
    <definedName name="__AAD57" localSheetId="7">#REF!</definedName>
    <definedName name="__AAD57" localSheetId="1">#REF!</definedName>
    <definedName name="__AAD57" localSheetId="3">#REF!</definedName>
    <definedName name="__AAD57">#REF!</definedName>
    <definedName name="__aj1" localSheetId="7">#REF!</definedName>
    <definedName name="__aj1" localSheetId="1">#REF!</definedName>
    <definedName name="__aj1" localSheetId="3">#REF!</definedName>
    <definedName name="__aj1">#REF!</definedName>
    <definedName name="__ast1" localSheetId="7">#REF!</definedName>
    <definedName name="__ast1" localSheetId="1">#REF!</definedName>
    <definedName name="__ast1" localSheetId="3">#REF!</definedName>
    <definedName name="__ast1">#REF!</definedName>
    <definedName name="__ast2" localSheetId="7">#REF!</definedName>
    <definedName name="__ast2" localSheetId="1">#REF!</definedName>
    <definedName name="__ast2" localSheetId="3">#REF!</definedName>
    <definedName name="__ast2">#REF!</definedName>
    <definedName name="__b111121" localSheetId="7">#REF!</definedName>
    <definedName name="__b111121" localSheetId="1">#REF!</definedName>
    <definedName name="__b111121" localSheetId="3">#REF!</definedName>
    <definedName name="__b111121">#REF!</definedName>
    <definedName name="__bbb1" localSheetId="7">#REF!</definedName>
    <definedName name="__bbb1" localSheetId="1">#REF!</definedName>
    <definedName name="__bbb1" localSheetId="3">#REF!</definedName>
    <definedName name="__bbb1">#REF!</definedName>
    <definedName name="__bol1" localSheetId="7">#REF!</definedName>
    <definedName name="__bol1" localSheetId="1">#REF!</definedName>
    <definedName name="__bol1" localSheetId="3">#REF!</definedName>
    <definedName name="__bol1">#REF!</definedName>
    <definedName name="__bua1" localSheetId="7">#REF!</definedName>
    <definedName name="__bua1" localSheetId="1">#REF!</definedName>
    <definedName name="__bua1" localSheetId="3">#REF!</definedName>
    <definedName name="__bua1">#REF!</definedName>
    <definedName name="__can430">40.73</definedName>
    <definedName name="__can435">43.3</definedName>
    <definedName name="__ccc1" localSheetId="7">#REF!</definedName>
    <definedName name="__ccc1" localSheetId="1">#REF!</definedName>
    <definedName name="__ccc1" localSheetId="3">#REF!</definedName>
    <definedName name="__ccc1">#REF!</definedName>
    <definedName name="__COL1" localSheetId="7">#REF!</definedName>
    <definedName name="__COL1" localSheetId="1">#REF!</definedName>
    <definedName name="__COL1" localSheetId="3">#REF!</definedName>
    <definedName name="__COL1">#REF!</definedName>
    <definedName name="__COL14" localSheetId="7">#REF!</definedName>
    <definedName name="__COL14" localSheetId="1">#REF!</definedName>
    <definedName name="__COL14" localSheetId="3">#REF!</definedName>
    <definedName name="__COL14">#REF!</definedName>
    <definedName name="__COL15" localSheetId="7">#REF!</definedName>
    <definedName name="__COL15" localSheetId="1">#REF!</definedName>
    <definedName name="__COL15" localSheetId="3">#REF!</definedName>
    <definedName name="__COL15">#REF!</definedName>
    <definedName name="__COL16" localSheetId="7">#REF!</definedName>
    <definedName name="__COL16" localSheetId="1">#REF!</definedName>
    <definedName name="__COL16" localSheetId="3">#REF!</definedName>
    <definedName name="__COL16">#REF!</definedName>
    <definedName name="__Ctr10" localSheetId="7">#REF!</definedName>
    <definedName name="__Ctr10" localSheetId="1">#REF!</definedName>
    <definedName name="__Ctr10" localSheetId="3">#REF!</definedName>
    <definedName name="__Ctr10">#REF!</definedName>
    <definedName name="__ddd1" localSheetId="7">#REF!</definedName>
    <definedName name="__ddd1" localSheetId="1">#REF!</definedName>
    <definedName name="__ddd1" localSheetId="3">#REF!</definedName>
    <definedName name="__ddd1">#REF!</definedName>
    <definedName name="__dk1" localSheetId="5" hidden="1">{#N/A,#N/A,FALSE,"COVER.XLS";#N/A,#N/A,FALSE,"RACT1.XLS";#N/A,#N/A,FALSE,"RACT2.XLS";#N/A,#N/A,FALSE,"ECCMP";#N/A,#N/A,FALSE,"WELDER.XLS"}</definedName>
    <definedName name="__dk1" localSheetId="2" hidden="1">{#N/A,#N/A,FALSE,"COVER.XLS";#N/A,#N/A,FALSE,"RACT1.XLS";#N/A,#N/A,FALSE,"RACT2.XLS";#N/A,#N/A,FALSE,"ECCMP";#N/A,#N/A,FALSE,"WELDER.XLS"}</definedName>
    <definedName name="__eee1" localSheetId="7">#REF!</definedName>
    <definedName name="__eee1" localSheetId="1">#REF!</definedName>
    <definedName name="__eee1" localSheetId="3">#REF!</definedName>
    <definedName name="__eee1">#REF!</definedName>
    <definedName name="__esc1" localSheetId="7">#REF!</definedName>
    <definedName name="__esc1" localSheetId="1">#REF!</definedName>
    <definedName name="__esc1" localSheetId="3">#REF!</definedName>
    <definedName name="__esc1">#REF!</definedName>
    <definedName name="__exc1" localSheetId="7">#REF!</definedName>
    <definedName name="__exc1" localSheetId="1">#REF!</definedName>
    <definedName name="__exc1" localSheetId="3">#REF!</definedName>
    <definedName name="__exc1">#REF!</definedName>
    <definedName name="__exc11" localSheetId="7">#REF!</definedName>
    <definedName name="__exc11" localSheetId="1">#REF!</definedName>
    <definedName name="__exc11" localSheetId="3">#REF!</definedName>
    <definedName name="__exc11">#REF!</definedName>
    <definedName name="__exc2" localSheetId="7">#REF!</definedName>
    <definedName name="__exc2" localSheetId="1">#REF!</definedName>
    <definedName name="__exc2" localSheetId="3">#REF!</definedName>
    <definedName name="__exc2">#REF!</definedName>
    <definedName name="__EXC3" localSheetId="7">#REF!</definedName>
    <definedName name="__EXC3" localSheetId="1">#REF!</definedName>
    <definedName name="__EXC3" localSheetId="3">#REF!</definedName>
    <definedName name="__EXC3">#REF!</definedName>
    <definedName name="__EXC4" localSheetId="7">#REF!</definedName>
    <definedName name="__EXC4" localSheetId="1">#REF!</definedName>
    <definedName name="__EXC4" localSheetId="3">#REF!</definedName>
    <definedName name="__EXC4">#REF!</definedName>
    <definedName name="__FDS_HYPERLINK_TOGGLE_STATE__" hidden="1">"ON"</definedName>
    <definedName name="__fff1" localSheetId="7">#REF!</definedName>
    <definedName name="__fff1" localSheetId="1">#REF!</definedName>
    <definedName name="__fff1" localSheetId="3">#REF!</definedName>
    <definedName name="__fff1">#REF!</definedName>
    <definedName name="__flx200" localSheetId="7">#REF!</definedName>
    <definedName name="__flx200" localSheetId="1">#REF!</definedName>
    <definedName name="__flx200" localSheetId="3">#REF!</definedName>
    <definedName name="__flx200">#REF!</definedName>
    <definedName name="__flx250" localSheetId="7">#REF!</definedName>
    <definedName name="__flx250" localSheetId="1">#REF!</definedName>
    <definedName name="__flx250" localSheetId="3">#REF!</definedName>
    <definedName name="__flx250">#REF!</definedName>
    <definedName name="__flx300" localSheetId="7">#REF!</definedName>
    <definedName name="__flx300" localSheetId="1">#REF!</definedName>
    <definedName name="__flx300" localSheetId="3">#REF!</definedName>
    <definedName name="__flx300">#REF!</definedName>
    <definedName name="__foo1" localSheetId="7">#REF!</definedName>
    <definedName name="__foo1" localSheetId="1">#REF!</definedName>
    <definedName name="__foo1" localSheetId="3">#REF!</definedName>
    <definedName name="__foo1">#REF!</definedName>
    <definedName name="__foo2" localSheetId="7">#REF!</definedName>
    <definedName name="__foo2" localSheetId="1">#REF!</definedName>
    <definedName name="__foo2" localSheetId="3">#REF!</definedName>
    <definedName name="__foo2">#REF!</definedName>
    <definedName name="__foo3" localSheetId="7">#REF!</definedName>
    <definedName name="__foo3" localSheetId="1">#REF!</definedName>
    <definedName name="__foo3" localSheetId="3">#REF!</definedName>
    <definedName name="__foo3">#REF!</definedName>
    <definedName name="__FOO4" localSheetId="7">#REF!</definedName>
    <definedName name="__FOO4" localSheetId="1">#REF!</definedName>
    <definedName name="__FOO4" localSheetId="3">#REF!</definedName>
    <definedName name="__FOO4">#REF!</definedName>
    <definedName name="__G1" localSheetId="7">#REF!</definedName>
    <definedName name="__G1" localSheetId="1">#REF!</definedName>
    <definedName name="__G1" localSheetId="3">#REF!</definedName>
    <definedName name="__G1">#REF!</definedName>
    <definedName name="__hp10" localSheetId="5" hidden="1">{#N/A,#N/A,TRUE,"Front";#N/A,#N/A,TRUE,"Simple Letter";#N/A,#N/A,TRUE,"Inside";#N/A,#N/A,TRUE,"Contents";#N/A,#N/A,TRUE,"Basis";#N/A,#N/A,TRUE,"Inclusions";#N/A,#N/A,TRUE,"Exclusions";#N/A,#N/A,TRUE,"Areas";#N/A,#N/A,TRUE,"Summary";#N/A,#N/A,TRUE,"Detail"}</definedName>
    <definedName name="__hp10" localSheetId="2" hidden="1">{#N/A,#N/A,TRUE,"Front";#N/A,#N/A,TRUE,"Simple Letter";#N/A,#N/A,TRUE,"Inside";#N/A,#N/A,TRUE,"Contents";#N/A,#N/A,TRUE,"Basis";#N/A,#N/A,TRUE,"Inclusions";#N/A,#N/A,TRUE,"Exclusions";#N/A,#N/A,TRUE,"Areas";#N/A,#N/A,TRUE,"Summary";#N/A,#N/A,TRUE,"Detail"}</definedName>
    <definedName name="__ind1" localSheetId="7">#REF!</definedName>
    <definedName name="__ind1" localSheetId="1">#REF!</definedName>
    <definedName name="__ind1" localSheetId="3">#REF!</definedName>
    <definedName name="__ind1">#REF!</definedName>
    <definedName name="__IND11" localSheetId="7">#REF!</definedName>
    <definedName name="__IND11" localSheetId="1">#REF!</definedName>
    <definedName name="__IND11" localSheetId="3">#REF!</definedName>
    <definedName name="__IND11">#REF!</definedName>
    <definedName name="__IND31" localSheetId="7">#REF!</definedName>
    <definedName name="__IND31" localSheetId="1">#REF!</definedName>
    <definedName name="__IND31" localSheetId="3">#REF!</definedName>
    <definedName name="__IND31">#REF!</definedName>
    <definedName name="__IntlFixup" hidden="1">TRUE</definedName>
    <definedName name="__IntlFixupTable" localSheetId="7" hidden="1">#REF!</definedName>
    <definedName name="__IntlFixupTable" localSheetId="1" hidden="1">#REF!</definedName>
    <definedName name="__IntlFixupTable" localSheetId="3" hidden="1">#REF!</definedName>
    <definedName name="__IntlFixupTable" hidden="1">#REF!</definedName>
    <definedName name="__IRS1" localSheetId="7">#REF!</definedName>
    <definedName name="__IRS1" localSheetId="1">#REF!</definedName>
    <definedName name="__IRS1" localSheetId="3">#REF!</definedName>
    <definedName name="__IRS1">#REF!</definedName>
    <definedName name="__key2" localSheetId="7" hidden="1">#REF!</definedName>
    <definedName name="__key2" localSheetId="1" hidden="1">#REF!</definedName>
    <definedName name="__key2" localSheetId="3" hidden="1">#REF!</definedName>
    <definedName name="__key2" hidden="1">#REF!</definedName>
    <definedName name="__Ki1" localSheetId="7">#REF!</definedName>
    <definedName name="__Ki1" localSheetId="1">#REF!</definedName>
    <definedName name="__Ki1" localSheetId="3">#REF!</definedName>
    <definedName name="__Ki1">#REF!</definedName>
    <definedName name="__Ki2" localSheetId="7">#REF!</definedName>
    <definedName name="__Ki2" localSheetId="1">#REF!</definedName>
    <definedName name="__Ki2" localSheetId="3">#REF!</definedName>
    <definedName name="__Ki2">#REF!</definedName>
    <definedName name="__KK1" localSheetId="7">#REF!</definedName>
    <definedName name="__KK1" localSheetId="1">#REF!</definedName>
    <definedName name="__KK1" localSheetId="3">#REF!</definedName>
    <definedName name="__KK1">#REF!</definedName>
    <definedName name="__KK2" localSheetId="7">#REF!</definedName>
    <definedName name="__KK2" localSheetId="1">#REF!</definedName>
    <definedName name="__KK2" localSheetId="3">#REF!</definedName>
    <definedName name="__KK2">#REF!</definedName>
    <definedName name="__kk3" localSheetId="7">#REF!</definedName>
    <definedName name="__kk3" localSheetId="1">#REF!</definedName>
    <definedName name="__kk3" localSheetId="3">#REF!</definedName>
    <definedName name="__kk3">#REF!</definedName>
    <definedName name="__kk4" localSheetId="7">#REF!</definedName>
    <definedName name="__kk4" localSheetId="1">#REF!</definedName>
    <definedName name="__kk4" localSheetId="3">#REF!</definedName>
    <definedName name="__kk4">#REF!</definedName>
    <definedName name="__kvs1" localSheetId="5" hidden="1">{#N/A,#N/A,FALSE,"COVER1.XLS ";#N/A,#N/A,FALSE,"RACT1.XLS";#N/A,#N/A,FALSE,"RACT2.XLS";#N/A,#N/A,FALSE,"ECCMP";#N/A,#N/A,FALSE,"WELDER.XLS"}</definedName>
    <definedName name="__kvs1" localSheetId="2" hidden="1">{#N/A,#N/A,FALSE,"COVER1.XLS ";#N/A,#N/A,FALSE,"RACT1.XLS";#N/A,#N/A,FALSE,"RACT2.XLS";#N/A,#N/A,FALSE,"ECCMP";#N/A,#N/A,FALSE,"WELDER.XLS"}</definedName>
    <definedName name="__kvs2" localSheetId="5" hidden="1">{#N/A,#N/A,FALSE,"COVER1.XLS ";#N/A,#N/A,FALSE,"RACT1.XLS";#N/A,#N/A,FALSE,"RACT2.XLS";#N/A,#N/A,FALSE,"ECCMP";#N/A,#N/A,FALSE,"WELDER.XLS"}</definedName>
    <definedName name="__kvs2" localSheetId="2" hidden="1">{#N/A,#N/A,FALSE,"COVER1.XLS ";#N/A,#N/A,FALSE,"RACT1.XLS";#N/A,#N/A,FALSE,"RACT2.XLS";#N/A,#N/A,FALSE,"ECCMP";#N/A,#N/A,FALSE,"WELDER.XLS"}</definedName>
    <definedName name="__kvs5" localSheetId="5" hidden="1">{#N/A,#N/A,FALSE,"COVER.XLS";#N/A,#N/A,FALSE,"RACT1.XLS";#N/A,#N/A,FALSE,"RACT2.XLS";#N/A,#N/A,FALSE,"ECCMP";#N/A,#N/A,FALSE,"WELDER.XLS"}</definedName>
    <definedName name="__kvs5" localSheetId="2" hidden="1">{#N/A,#N/A,FALSE,"COVER.XLS";#N/A,#N/A,FALSE,"RACT1.XLS";#N/A,#N/A,FALSE,"RACT2.XLS";#N/A,#N/A,FALSE,"ECCMP";#N/A,#N/A,FALSE,"WELDER.XLS"}</definedName>
    <definedName name="__kvs8" localSheetId="5" hidden="1">{#N/A,#N/A,FALSE,"COVER1.XLS ";#N/A,#N/A,FALSE,"RACT1.XLS";#N/A,#N/A,FALSE,"RACT2.XLS";#N/A,#N/A,FALSE,"ECCMP";#N/A,#N/A,FALSE,"WELDER.XLS"}</definedName>
    <definedName name="__kvs8" localSheetId="2" hidden="1">{#N/A,#N/A,FALSE,"COVER1.XLS ";#N/A,#N/A,FALSE,"RACT1.XLS";#N/A,#N/A,FALSE,"RACT2.XLS";#N/A,#N/A,FALSE,"ECCMP";#N/A,#N/A,FALSE,"WELDER.XLS"}</definedName>
    <definedName name="__lk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N1" localSheetId="7">#REF!</definedName>
    <definedName name="__MAN1" localSheetId="1">#REF!</definedName>
    <definedName name="__MAN1" localSheetId="3">#REF!</definedName>
    <definedName name="__MAN1">#REF!</definedName>
    <definedName name="__MF1" localSheetId="7">#REF!</definedName>
    <definedName name="__MF1" localSheetId="1">#REF!</definedName>
    <definedName name="__MF1" localSheetId="3">#REF!</definedName>
    <definedName name="__MF1">#REF!</definedName>
    <definedName name="__mix1" localSheetId="7">#REF!</definedName>
    <definedName name="__mix1" localSheetId="1">#REF!</definedName>
    <definedName name="__mix1" localSheetId="3">#REF!</definedName>
    <definedName name="__mix1">#REF!</definedName>
    <definedName name="__mix2" localSheetId="7">#REF!</definedName>
    <definedName name="__mix2" localSheetId="1">#REF!</definedName>
    <definedName name="__mix2" localSheetId="3">#REF!</definedName>
    <definedName name="__mix2">#REF!</definedName>
    <definedName name="__miy1" localSheetId="7">#REF!</definedName>
    <definedName name="__miy1" localSheetId="1">#REF!</definedName>
    <definedName name="__miy1" localSheetId="3">#REF!</definedName>
    <definedName name="__miy1">#REF!</definedName>
    <definedName name="__miy2" localSheetId="7">#REF!</definedName>
    <definedName name="__miy2" localSheetId="1">#REF!</definedName>
    <definedName name="__miy2" localSheetId="3">#REF!</definedName>
    <definedName name="__miy2">#REF!</definedName>
    <definedName name="__MM1" localSheetId="7">#REF!</definedName>
    <definedName name="__MM1" localSheetId="1">#REF!</definedName>
    <definedName name="__MM1" localSheetId="3">#REF!</definedName>
    <definedName name="__MM1">#REF!</definedName>
    <definedName name="__MM2" localSheetId="7">#REF!</definedName>
    <definedName name="__MM2" localSheetId="1">#REF!</definedName>
    <definedName name="__MM2" localSheetId="3">#REF!</definedName>
    <definedName name="__MM2">#REF!</definedName>
    <definedName name="__mnk1" localSheetId="7">#REF!</definedName>
    <definedName name="__mnk1" localSheetId="1">#REF!</definedName>
    <definedName name="__mnk1" localSheetId="3">#REF!</definedName>
    <definedName name="__mnk1">#REF!</definedName>
    <definedName name="__MR10"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uy1" localSheetId="7">#REF!</definedName>
    <definedName name="__muy1" localSheetId="1">#REF!</definedName>
    <definedName name="__muy1" localSheetId="3">#REF!</definedName>
    <definedName name="__muy1">#REF!</definedName>
    <definedName name="__NN1" localSheetId="7">#REF!</definedName>
    <definedName name="__NN1" localSheetId="1">#REF!</definedName>
    <definedName name="__NN1" localSheetId="3">#REF!</definedName>
    <definedName name="__NN1">#REF!</definedName>
    <definedName name="__ns1" localSheetId="5" hidden="1">{#N/A,#N/A,FALSE,"COVER1.XLS ";#N/A,#N/A,FALSE,"RACT1.XLS";#N/A,#N/A,FALSE,"RACT2.XLS";#N/A,#N/A,FALSE,"ECCMP";#N/A,#N/A,FALSE,"WELDER.XLS"}</definedName>
    <definedName name="__ns1" localSheetId="2" hidden="1">{#N/A,#N/A,FALSE,"COVER1.XLS ";#N/A,#N/A,FALSE,"RACT1.XLS";#N/A,#N/A,FALSE,"RACT2.XLS";#N/A,#N/A,FALSE,"ECCMP";#N/A,#N/A,FALSE,"WELDER.XLS"}</definedName>
    <definedName name="__pan1" localSheetId="7">#REF!</definedName>
    <definedName name="__pan1" localSheetId="1">#REF!</definedName>
    <definedName name="__pan1" localSheetId="3">#REF!</definedName>
    <definedName name="__pan1">#REF!</definedName>
    <definedName name="__PAN2" localSheetId="7">#REF!</definedName>
    <definedName name="__PAN2" localSheetId="1">#REF!</definedName>
    <definedName name="__PAN2" localSheetId="3">#REF!</definedName>
    <definedName name="__PAN2">#REF!</definedName>
    <definedName name="__PB1" localSheetId="7">#REF!</definedName>
    <definedName name="__PB1" localSheetId="1">#REF!</definedName>
    <definedName name="__PB1" localSheetId="3">#REF!</definedName>
    <definedName name="__PB1">#REF!</definedName>
    <definedName name="__pcc1" localSheetId="7">#REF!</definedName>
    <definedName name="__pcc1" localSheetId="1">#REF!</definedName>
    <definedName name="__pcc1" localSheetId="3">#REF!</definedName>
    <definedName name="__pcc1">#REF!</definedName>
    <definedName name="__pcc2" localSheetId="7">#REF!</definedName>
    <definedName name="__pcc2" localSheetId="1">#REF!</definedName>
    <definedName name="__pcc2" localSheetId="3">#REF!</definedName>
    <definedName name="__pcc2">#REF!</definedName>
    <definedName name="__pcc3" localSheetId="7">#REF!</definedName>
    <definedName name="__pcc3" localSheetId="1">#REF!</definedName>
    <definedName name="__pcc3" localSheetId="3">#REF!</definedName>
    <definedName name="__pcc3">#REF!</definedName>
    <definedName name="__PCC4" localSheetId="7">#REF!</definedName>
    <definedName name="__PCC4" localSheetId="1">#REF!</definedName>
    <definedName name="__PCC4" localSheetId="3">#REF!</definedName>
    <definedName name="__PCC4">#REF!</definedName>
    <definedName name="__plb1" localSheetId="7">#REF!</definedName>
    <definedName name="__plb1" localSheetId="1">#REF!</definedName>
    <definedName name="__plb1" localSheetId="3">#REF!</definedName>
    <definedName name="__plb1">#REF!</definedName>
    <definedName name="__plb2" localSheetId="7">#REF!</definedName>
    <definedName name="__plb2" localSheetId="1">#REF!</definedName>
    <definedName name="__plb2" localSheetId="3">#REF!</definedName>
    <definedName name="__plb2">#REF!</definedName>
    <definedName name="__plb3" localSheetId="7">#REF!</definedName>
    <definedName name="__plb3" localSheetId="1">#REF!</definedName>
    <definedName name="__plb3" localSheetId="3">#REF!</definedName>
    <definedName name="__plb3">#REF!</definedName>
    <definedName name="__plb4" localSheetId="7">#REF!</definedName>
    <definedName name="__plb4" localSheetId="1">#REF!</definedName>
    <definedName name="__plb4" localSheetId="3">#REF!</definedName>
    <definedName name="__plb4">#REF!</definedName>
    <definedName name="__PRN1" localSheetId="5" hidden="1">{#N/A,#N/A,FALSE,"COVER.XLS";#N/A,#N/A,FALSE,"RACT1.XLS";#N/A,#N/A,FALSE,"RACT2.XLS";#N/A,#N/A,FALSE,"ECCMP";#N/A,#N/A,FALSE,"WELDER.XLS"}</definedName>
    <definedName name="__PRN1" localSheetId="2" hidden="1">{#N/A,#N/A,FALSE,"COVER.XLS";#N/A,#N/A,FALSE,"RACT1.XLS";#N/A,#N/A,FALSE,"RACT2.XLS";#N/A,#N/A,FALSE,"ECCMP";#N/A,#N/A,FALSE,"WELDER.XLS"}</definedName>
    <definedName name="__Re1" localSheetId="7">#REF!</definedName>
    <definedName name="__Re1" localSheetId="1">#REF!</definedName>
    <definedName name="__Re1" localSheetId="3">#REF!</definedName>
    <definedName name="__Re1">#REF!</definedName>
    <definedName name="__Rs1" localSheetId="7">#REF!</definedName>
    <definedName name="__Rs1" localSheetId="1">#REF!</definedName>
    <definedName name="__Rs1" localSheetId="3">#REF!</definedName>
    <definedName name="__Rs1">#REF!</definedName>
    <definedName name="__S12" localSheetId="7">#REF!</definedName>
    <definedName name="__S12" localSheetId="1">#REF!</definedName>
    <definedName name="__S12" localSheetId="3">#REF!</definedName>
    <definedName name="__S12">#REF!</definedName>
    <definedName name="__s41" localSheetId="5" hidden="1">{"form-D1",#N/A,FALSE,"FORM-D1";"form-D1_amt",#N/A,FALSE,"FORM-D1"}</definedName>
    <definedName name="__s41" localSheetId="2" hidden="1">{"form-D1",#N/A,FALSE,"FORM-D1";"form-D1_amt",#N/A,FALSE,"FORM-D1"}</definedName>
    <definedName name="__s41_1" localSheetId="5" hidden="1">{"form-D1",#N/A,FALSE,"FORM-D1";"form-D1_amt",#N/A,FALSE,"FORM-D1"}</definedName>
    <definedName name="__s41_1" localSheetId="2" hidden="1">{"form-D1",#N/A,FALSE,"FORM-D1";"form-D1_amt",#N/A,FALSE,"FORM-D1"}</definedName>
    <definedName name="__s41_1_1" localSheetId="5" hidden="1">{"form-D1",#N/A,FALSE,"FORM-D1";"form-D1_amt",#N/A,FALSE,"FORM-D1"}</definedName>
    <definedName name="__s41_1_1" localSheetId="2" hidden="1">{"form-D1",#N/A,FALSE,"FORM-D1";"form-D1_amt",#N/A,FALSE,"FORM-D1"}</definedName>
    <definedName name="__s41_1_2" localSheetId="5" hidden="1">{"form-D1",#N/A,FALSE,"FORM-D1";"form-D1_amt",#N/A,FALSE,"FORM-D1"}</definedName>
    <definedName name="__s41_1_2" localSheetId="2" hidden="1">{"form-D1",#N/A,FALSE,"FORM-D1";"form-D1_amt",#N/A,FALSE,"FORM-D1"}</definedName>
    <definedName name="__s41_2" localSheetId="5" hidden="1">{"form-D1",#N/A,FALSE,"FORM-D1";"form-D1_amt",#N/A,FALSE,"FORM-D1"}</definedName>
    <definedName name="__s41_2" localSheetId="2" hidden="1">{"form-D1",#N/A,FALSE,"FORM-D1";"form-D1_amt",#N/A,FALSE,"FORM-D1"}</definedName>
    <definedName name="__s41_2_1" localSheetId="5" hidden="1">{"form-D1",#N/A,FALSE,"FORM-D1";"form-D1_amt",#N/A,FALSE,"FORM-D1"}</definedName>
    <definedName name="__s41_2_1" localSheetId="2" hidden="1">{"form-D1",#N/A,FALSE,"FORM-D1";"form-D1_amt",#N/A,FALSE,"FORM-D1"}</definedName>
    <definedName name="__s41_3" localSheetId="5" hidden="1">{"form-D1",#N/A,FALSE,"FORM-D1";"form-D1_amt",#N/A,FALSE,"FORM-D1"}</definedName>
    <definedName name="__s41_3" localSheetId="2" hidden="1">{"form-D1",#N/A,FALSE,"FORM-D1";"form-D1_amt",#N/A,FALSE,"FORM-D1"}</definedName>
    <definedName name="__s41_3_1" localSheetId="5" hidden="1">{"form-D1",#N/A,FALSE,"FORM-D1";"form-D1_amt",#N/A,FALSE,"FORM-D1"}</definedName>
    <definedName name="__s41_3_1" localSheetId="2" hidden="1">{"form-D1",#N/A,FALSE,"FORM-D1";"form-D1_amt",#N/A,FALSE,"FORM-D1"}</definedName>
    <definedName name="__s41_4" localSheetId="5" hidden="1">{"form-D1",#N/A,FALSE,"FORM-D1";"form-D1_amt",#N/A,FALSE,"FORM-D1"}</definedName>
    <definedName name="__s41_4" localSheetId="2" hidden="1">{"form-D1",#N/A,FALSE,"FORM-D1";"form-D1_amt",#N/A,FALSE,"FORM-D1"}</definedName>
    <definedName name="__s41_4_1" localSheetId="5" hidden="1">{"form-D1",#N/A,FALSE,"FORM-D1";"form-D1_amt",#N/A,FALSE,"FORM-D1"}</definedName>
    <definedName name="__s41_4_1" localSheetId="2" hidden="1">{"form-D1",#N/A,FALSE,"FORM-D1";"form-D1_amt",#N/A,FALSE,"FORM-D1"}</definedName>
    <definedName name="__s41_5" localSheetId="5" hidden="1">{"form-D1",#N/A,FALSE,"FORM-D1";"form-D1_amt",#N/A,FALSE,"FORM-D1"}</definedName>
    <definedName name="__s41_5" localSheetId="2" hidden="1">{"form-D1",#N/A,FALSE,"FORM-D1";"form-D1_amt",#N/A,FALSE,"FORM-D1"}</definedName>
    <definedName name="__s41_5_1" localSheetId="5" hidden="1">{"form-D1",#N/A,FALSE,"FORM-D1";"form-D1_amt",#N/A,FALSE,"FORM-D1"}</definedName>
    <definedName name="__s41_5_1" localSheetId="2" hidden="1">{"form-D1",#N/A,FALSE,"FORM-D1";"form-D1_amt",#N/A,FALSE,"FORM-D1"}</definedName>
    <definedName name="__sec1" localSheetId="7">#REF!</definedName>
    <definedName name="__sec1" localSheetId="1">#REF!</definedName>
    <definedName name="__sec1" localSheetId="3">#REF!</definedName>
    <definedName name="__sec1">#REF!</definedName>
    <definedName name="__sec111" localSheetId="7">#REF!</definedName>
    <definedName name="__sec111" localSheetId="1">#REF!</definedName>
    <definedName name="__sec111" localSheetId="3">#REF!</definedName>
    <definedName name="__sec111">#REF!</definedName>
    <definedName name="__SEC15" localSheetId="7">#REF!</definedName>
    <definedName name="__SEC15" localSheetId="1">#REF!</definedName>
    <definedName name="__SEC15" localSheetId="3">#REF!</definedName>
    <definedName name="__SEC15">#REF!</definedName>
    <definedName name="__Sec2" localSheetId="7">#REF!</definedName>
    <definedName name="__Sec2" localSheetId="1">#REF!</definedName>
    <definedName name="__Sec2" localSheetId="3">#REF!</definedName>
    <definedName name="__Sec2">#REF!</definedName>
    <definedName name="__sec22" localSheetId="7">#REF!</definedName>
    <definedName name="__sec22" localSheetId="1">#REF!</definedName>
    <definedName name="__sec22" localSheetId="3">#REF!</definedName>
    <definedName name="__sec22">#REF!</definedName>
    <definedName name="__SEC23" localSheetId="7">#REF!</definedName>
    <definedName name="__SEC23" localSheetId="1">#REF!</definedName>
    <definedName name="__SEC23" localSheetId="3">#REF!</definedName>
    <definedName name="__SEC23">#REF!</definedName>
    <definedName name="__SEC24" localSheetId="7">#REF!</definedName>
    <definedName name="__SEC24" localSheetId="1">#REF!</definedName>
    <definedName name="__SEC24" localSheetId="3">#REF!</definedName>
    <definedName name="__SEC24">#REF!</definedName>
    <definedName name="__sec3" localSheetId="7">#REF!</definedName>
    <definedName name="__sec3" localSheetId="1">#REF!</definedName>
    <definedName name="__sec3" localSheetId="3">#REF!</definedName>
    <definedName name="__sec3">#REF!</definedName>
    <definedName name="__SEC32" localSheetId="7">#REF!</definedName>
    <definedName name="__SEC32" localSheetId="1">#REF!</definedName>
    <definedName name="__SEC32" localSheetId="3">#REF!</definedName>
    <definedName name="__SEC32">#REF!</definedName>
    <definedName name="__sec33" localSheetId="7">#REF!</definedName>
    <definedName name="__sec33" localSheetId="1">#REF!</definedName>
    <definedName name="__sec33" localSheetId="3">#REF!</definedName>
    <definedName name="__sec33">#REF!</definedName>
    <definedName name="__Sec4" localSheetId="7">#REF!</definedName>
    <definedName name="__Sec4" localSheetId="1">#REF!</definedName>
    <definedName name="__Sec4" localSheetId="3">#REF!</definedName>
    <definedName name="__Sec4">#REF!</definedName>
    <definedName name="__sec45" localSheetId="7">#REF!</definedName>
    <definedName name="__sec45" localSheetId="1">#REF!</definedName>
    <definedName name="__sec45" localSheetId="3">#REF!</definedName>
    <definedName name="__sec45">#REF!</definedName>
    <definedName name="__SEC46" localSheetId="7">#REF!</definedName>
    <definedName name="__SEC46" localSheetId="1">#REF!</definedName>
    <definedName name="__SEC46" localSheetId="3">#REF!</definedName>
    <definedName name="__SEC46">#REF!</definedName>
    <definedName name="__sec5" localSheetId="7">#REF!</definedName>
    <definedName name="__sec5" localSheetId="1">#REF!</definedName>
    <definedName name="__sec5" localSheetId="3">#REF!</definedName>
    <definedName name="__sec5">#REF!</definedName>
    <definedName name="__sec55" localSheetId="7">#REF!</definedName>
    <definedName name="__sec55" localSheetId="1">#REF!</definedName>
    <definedName name="__sec55" localSheetId="3">#REF!</definedName>
    <definedName name="__sec55">#REF!</definedName>
    <definedName name="__SEC56" localSheetId="7">#REF!</definedName>
    <definedName name="__SEC56" localSheetId="1">#REF!</definedName>
    <definedName name="__SEC56" localSheetId="3">#REF!</definedName>
    <definedName name="__SEC56">#REF!</definedName>
    <definedName name="__sec6" localSheetId="7">#REF!</definedName>
    <definedName name="__sec6" localSheetId="1">#REF!</definedName>
    <definedName name="__sec6" localSheetId="3">#REF!</definedName>
    <definedName name="__sec6">#REF!</definedName>
    <definedName name="__sec66" localSheetId="7">#REF!</definedName>
    <definedName name="__sec66" localSheetId="1">#REF!</definedName>
    <definedName name="__sec66" localSheetId="3">#REF!</definedName>
    <definedName name="__sec66">#REF!</definedName>
    <definedName name="__SEC67" localSheetId="7">#REF!</definedName>
    <definedName name="__SEC67" localSheetId="1">#REF!</definedName>
    <definedName name="__SEC67" localSheetId="3">#REF!</definedName>
    <definedName name="__SEC67">#REF!</definedName>
    <definedName name="__sec7" localSheetId="7">#REF!</definedName>
    <definedName name="__sec7" localSheetId="1">#REF!</definedName>
    <definedName name="__sec7" localSheetId="3">#REF!</definedName>
    <definedName name="__sec7">#REF!</definedName>
    <definedName name="__sec71" localSheetId="7">#REF!</definedName>
    <definedName name="__sec71" localSheetId="1">#REF!</definedName>
    <definedName name="__sec71" localSheetId="3">#REF!</definedName>
    <definedName name="__sec71">#REF!</definedName>
    <definedName name="__SEC72" localSheetId="7">#REF!</definedName>
    <definedName name="__SEC72" localSheetId="1">#REF!</definedName>
    <definedName name="__SEC72" localSheetId="3">#REF!</definedName>
    <definedName name="__SEC72">#REF!</definedName>
    <definedName name="__SEC74" localSheetId="7">#REF!</definedName>
    <definedName name="__SEC74" localSheetId="1">#REF!</definedName>
    <definedName name="__SEC74" localSheetId="3">#REF!</definedName>
    <definedName name="__SEC74">#REF!</definedName>
    <definedName name="__SEC75" localSheetId="7">#REF!</definedName>
    <definedName name="__SEC75" localSheetId="1">#REF!</definedName>
    <definedName name="__SEC75" localSheetId="3">#REF!</definedName>
    <definedName name="__SEC75">#REF!</definedName>
    <definedName name="__SEC77" localSheetId="7">#REF!</definedName>
    <definedName name="__SEC77" localSheetId="1">#REF!</definedName>
    <definedName name="__SEC77" localSheetId="3">#REF!</definedName>
    <definedName name="__SEC77">#REF!</definedName>
    <definedName name="__sec777" localSheetId="7">#REF!</definedName>
    <definedName name="__sec777" localSheetId="1">#REF!</definedName>
    <definedName name="__sec777" localSheetId="3">#REF!</definedName>
    <definedName name="__sec777">#REF!</definedName>
    <definedName name="__sec78" localSheetId="7">#REF!</definedName>
    <definedName name="__sec78" localSheetId="1">#REF!</definedName>
    <definedName name="__sec78" localSheetId="3">#REF!</definedName>
    <definedName name="__sec78">#REF!</definedName>
    <definedName name="__sec79" localSheetId="7">#REF!</definedName>
    <definedName name="__sec79" localSheetId="1">#REF!</definedName>
    <definedName name="__sec79" localSheetId="3">#REF!</definedName>
    <definedName name="__sec79">#REF!</definedName>
    <definedName name="__sec8" localSheetId="7">#REF!</definedName>
    <definedName name="__sec8" localSheetId="1">#REF!</definedName>
    <definedName name="__sec8" localSheetId="3">#REF!</definedName>
    <definedName name="__sec8">#REF!</definedName>
    <definedName name="__sec81" localSheetId="7">#REF!</definedName>
    <definedName name="__sec81" localSheetId="1">#REF!</definedName>
    <definedName name="__sec81" localSheetId="3">#REF!</definedName>
    <definedName name="__sec81">#REF!</definedName>
    <definedName name="__SEC82" localSheetId="7">#REF!</definedName>
    <definedName name="__SEC82" localSheetId="1">#REF!</definedName>
    <definedName name="__SEC82" localSheetId="3">#REF!</definedName>
    <definedName name="__SEC82">#REF!</definedName>
    <definedName name="__SEC83" localSheetId="7">#REF!</definedName>
    <definedName name="__SEC83" localSheetId="1">#REF!</definedName>
    <definedName name="__SEC83" localSheetId="3">#REF!</definedName>
    <definedName name="__SEC83">#REF!</definedName>
    <definedName name="__SEC87" localSheetId="7">#REF!</definedName>
    <definedName name="__SEC87" localSheetId="1">#REF!</definedName>
    <definedName name="__SEC87" localSheetId="3">#REF!</definedName>
    <definedName name="__SEC87">#REF!</definedName>
    <definedName name="__SEC88" localSheetId="7">#REF!</definedName>
    <definedName name="__SEC88" localSheetId="1">#REF!</definedName>
    <definedName name="__SEC88" localSheetId="3">#REF!</definedName>
    <definedName name="__SEC88">#REF!</definedName>
    <definedName name="__sec888" localSheetId="7">#REF!</definedName>
    <definedName name="__sec888" localSheetId="1">#REF!</definedName>
    <definedName name="__sec888" localSheetId="3">#REF!</definedName>
    <definedName name="__sec888">#REF!</definedName>
    <definedName name="__sec89" localSheetId="7">#REF!</definedName>
    <definedName name="__sec89" localSheetId="1">#REF!</definedName>
    <definedName name="__sec89" localSheetId="3">#REF!</definedName>
    <definedName name="__sec89">#REF!</definedName>
    <definedName name="__sec899" localSheetId="7">#REF!</definedName>
    <definedName name="__sec899" localSheetId="1">#REF!</definedName>
    <definedName name="__sec899" localSheetId="3">#REF!</definedName>
    <definedName name="__sec899">#REF!</definedName>
    <definedName name="__SEC9" localSheetId="7">#REF!</definedName>
    <definedName name="__SEC9" localSheetId="1">#REF!</definedName>
    <definedName name="__SEC9" localSheetId="3">#REF!</definedName>
    <definedName name="__SEC9">#REF!</definedName>
    <definedName name="__SEC91" localSheetId="7">#REF!</definedName>
    <definedName name="__SEC91" localSheetId="1">#REF!</definedName>
    <definedName name="__SEC91" localSheetId="3">#REF!</definedName>
    <definedName name="__SEC91">#REF!</definedName>
    <definedName name="__SH1" localSheetId="7">#REF!</definedName>
    <definedName name="__SH1" localSheetId="1">#REF!</definedName>
    <definedName name="__SH1" localSheetId="3">#REF!</definedName>
    <definedName name="__SH1">#REF!</definedName>
    <definedName name="__SH2" localSheetId="7">#REF!</definedName>
    <definedName name="__SH2" localSheetId="1">#REF!</definedName>
    <definedName name="__SH2" localSheetId="3">#REF!</definedName>
    <definedName name="__SH2">#REF!</definedName>
    <definedName name="__SH3" localSheetId="7">#REF!</definedName>
    <definedName name="__SH3" localSheetId="1">#REF!</definedName>
    <definedName name="__SH3" localSheetId="3">#REF!</definedName>
    <definedName name="__SH3">#REF!</definedName>
    <definedName name="__SH4" localSheetId="7">#REF!</definedName>
    <definedName name="__SH4" localSheetId="1">#REF!</definedName>
    <definedName name="__SH4" localSheetId="3">#REF!</definedName>
    <definedName name="__SH4">#REF!</definedName>
    <definedName name="__SH5" localSheetId="7">#REF!</definedName>
    <definedName name="__SH5" localSheetId="1">#REF!</definedName>
    <definedName name="__SH5" localSheetId="3">#REF!</definedName>
    <definedName name="__SH5">#REF!</definedName>
    <definedName name="__SS2" localSheetId="7">#REF!</definedName>
    <definedName name="__SS2" localSheetId="1">#REF!</definedName>
    <definedName name="__SS2" localSheetId="3">#REF!</definedName>
    <definedName name="__SS2">#REF!</definedName>
    <definedName name="__t1"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localSheetId="5" hidden="1">{#N/A,#N/A,TRUE,"Financials";#N/A,#N/A,TRUE,"Operating Statistics";#N/A,#N/A,TRUE,"Capex &amp; Depreciation";#N/A,#N/A,TRUE,"Debt"}</definedName>
    <definedName name="__ta1" localSheetId="2" hidden="1">{#N/A,#N/A,TRUE,"Financials";#N/A,#N/A,TRUE,"Operating Statistics";#N/A,#N/A,TRUE,"Capex &amp; Depreciation";#N/A,#N/A,TRUE,"Debt"}</definedName>
    <definedName name="__tb1" localSheetId="5" hidden="1">{#N/A,#N/A,FALSE,"One Pager";#N/A,#N/A,FALSE,"Technical"}</definedName>
    <definedName name="__tb1" localSheetId="2" hidden="1">{#N/A,#N/A,FALSE,"One Pager";#N/A,#N/A,FALSE,"Technical"}</definedName>
    <definedName name="__tk1" localSheetId="7">#REF!</definedName>
    <definedName name="__tk1" localSheetId="1">#REF!</definedName>
    <definedName name="__tk1" localSheetId="3">#REF!</definedName>
    <definedName name="__tk1">#REF!</definedName>
    <definedName name="__tr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DL2" localSheetId="7">#REF!</definedName>
    <definedName name="__UDL2" localSheetId="1">#REF!</definedName>
    <definedName name="__UDL2" localSheetId="3">#REF!</definedName>
    <definedName name="__UDL2">#REF!</definedName>
    <definedName name="__UDL3" localSheetId="7">#REF!</definedName>
    <definedName name="__UDL3" localSheetId="1">#REF!</definedName>
    <definedName name="__UDL3" localSheetId="3">#REF!</definedName>
    <definedName name="__UDL3">#REF!</definedName>
    <definedName name="__wrn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localSheetId="5" hidden="1">{#N/A,#N/A,FALSE,"COVER1.XLS ";#N/A,#N/A,FALSE,"RACT1.XLS";#N/A,#N/A,FALSE,"RACT2.XLS";#N/A,#N/A,FALSE,"ECCMP";#N/A,#N/A,FALSE,"WELDER.XLS"}</definedName>
    <definedName name="__WRN2" localSheetId="2" hidden="1">{#N/A,#N/A,FALSE,"COVER1.XLS ";#N/A,#N/A,FALSE,"RACT1.XLS";#N/A,#N/A,FALSE,"RACT2.XLS";#N/A,#N/A,FALSE,"ECCMP";#N/A,#N/A,FALSE,"WELDER.XLS"}</definedName>
    <definedName name="__WRN3" localSheetId="5" hidden="1">{#N/A,#N/A,FALSE,"consu_cover";#N/A,#N/A,FALSE,"consu_strategy";#N/A,#N/A,FALSE,"consu_flow";#N/A,#N/A,FALSE,"Summary_reqmt";#N/A,#N/A,FALSE,"field_ppg";#N/A,#N/A,FALSE,"ppg_shop";#N/A,#N/A,FALSE,"strl";#N/A,#N/A,FALSE,"tankages";#N/A,#N/A,FALSE,"gases"}</definedName>
    <definedName name="__WRN3" localSheetId="2" hidden="1">{#N/A,#N/A,FALSE,"consu_cover";#N/A,#N/A,FALSE,"consu_strategy";#N/A,#N/A,FALSE,"consu_flow";#N/A,#N/A,FALSE,"Summary_reqmt";#N/A,#N/A,FALSE,"field_ppg";#N/A,#N/A,FALSE,"ppg_shop";#N/A,#N/A,FALSE,"strl";#N/A,#N/A,FALSE,"tankages";#N/A,#N/A,FALSE,"gases"}</definedName>
    <definedName name="__XD2" localSheetId="7">#REF!</definedName>
    <definedName name="__XD2" localSheetId="1">#REF!</definedName>
    <definedName name="__XD2" localSheetId="3">#REF!</definedName>
    <definedName name="__XD2">#REF!</definedName>
    <definedName name="__xd3" localSheetId="7">#REF!</definedName>
    <definedName name="__xd3" localSheetId="1">#REF!</definedName>
    <definedName name="__xd3" localSheetId="3">#REF!</definedName>
    <definedName name="__xd3">#REF!</definedName>
    <definedName name="__Xl1" localSheetId="7">#REF!</definedName>
    <definedName name="__Xl1" localSheetId="1">#REF!</definedName>
    <definedName name="__Xl1" localSheetId="3">#REF!</definedName>
    <definedName name="__Xl1">#REF!</definedName>
    <definedName name="__xlfn.BAHTTEXT" hidden="1">#NAME?</definedName>
    <definedName name="__zz1" localSheetId="7">#REF!</definedName>
    <definedName name="__zz1" localSheetId="1">#REF!</definedName>
    <definedName name="__zz1" localSheetId="3">#REF!</definedName>
    <definedName name="__zz1">#REF!</definedName>
    <definedName name="_0" localSheetId="7">#REF!</definedName>
    <definedName name="_0" localSheetId="1">#REF!</definedName>
    <definedName name="_0" localSheetId="3">#REF!</definedName>
    <definedName name="_0">#REF!</definedName>
    <definedName name="_0___0" localSheetId="7">#REF!</definedName>
    <definedName name="_0___0" localSheetId="1">#REF!</definedName>
    <definedName name="_0___0" localSheetId="3">#REF!</definedName>
    <definedName name="_0___0">#REF!</definedName>
    <definedName name="_1" localSheetId="7">#REF!</definedName>
    <definedName name="_1" localSheetId="1">#REF!</definedName>
    <definedName name="_1" localSheetId="3">#REF!</definedName>
    <definedName name="_1">#REF!</definedName>
    <definedName name="_1__123Graph_AAdmin_Expenses" localSheetId="7" hidden="1">#REF!</definedName>
    <definedName name="_1__123Graph_AAdmin_Expenses" localSheetId="1" hidden="1">#REF!</definedName>
    <definedName name="_1__123Graph_AAdmin_Expenses" localSheetId="3" hidden="1">#REF!</definedName>
    <definedName name="_1__123Graph_AAdmin_Expenses" hidden="1">#REF!</definedName>
    <definedName name="_1000A01">#N/A</definedName>
    <definedName name="_1Excel_BuiltIn_Print_Area_1_1" localSheetId="7">#REF!</definedName>
    <definedName name="_1Excel_BuiltIn_Print_Area_1_1" localSheetId="1">#REF!</definedName>
    <definedName name="_1Excel_BuiltIn_Print_Area_1_1" localSheetId="3">#REF!</definedName>
    <definedName name="_1Excel_BuiltIn_Print_Area_1_1">#REF!</definedName>
    <definedName name="_1Excel_BuiltIn_Print_Area_3_1" localSheetId="7">#REF!</definedName>
    <definedName name="_1Excel_BuiltIn_Print_Area_3_1" localSheetId="1">#REF!</definedName>
    <definedName name="_1Excel_BuiltIn_Print_Area_3_1" localSheetId="3">#REF!</definedName>
    <definedName name="_1Excel_BuiltIn_Print_Area_3_1">#REF!</definedName>
    <definedName name="_2" localSheetId="7">#REF!</definedName>
    <definedName name="_2" localSheetId="1">#REF!</definedName>
    <definedName name="_2" localSheetId="3">#REF!</definedName>
    <definedName name="_2">#REF!</definedName>
    <definedName name="_2__123Graph_AChart_1AJ" localSheetId="7" hidden="1">#REF!</definedName>
    <definedName name="_2__123Graph_AChart_1AJ" localSheetId="1" hidden="1">#REF!</definedName>
    <definedName name="_2__123Graph_AChart_1AJ" localSheetId="3" hidden="1">#REF!</definedName>
    <definedName name="_2__123Graph_AChart_1AJ" hidden="1">#REF!</definedName>
    <definedName name="_2__123Graph_AService_Expense" localSheetId="7" hidden="1">#REF!</definedName>
    <definedName name="_2__123Graph_AService_Expense" localSheetId="1" hidden="1">#REF!</definedName>
    <definedName name="_2__123Graph_AService_Expense" localSheetId="3" hidden="1">#REF!</definedName>
    <definedName name="_2__123Graph_AService_Expense" hidden="1">#REF!</definedName>
    <definedName name="_2Excel_BuiltIn_Print_Area_2_1" localSheetId="7">#REF!</definedName>
    <definedName name="_2Excel_BuiltIn_Print_Area_2_1" localSheetId="1">#REF!</definedName>
    <definedName name="_2Excel_BuiltIn_Print_Area_2_1" localSheetId="3">#REF!</definedName>
    <definedName name="_2Excel_BuiltIn_Print_Area_2_1">#REF!</definedName>
    <definedName name="_2Excel_BuiltIn_Print_Titles_1_1" localSheetId="7">#REF!</definedName>
    <definedName name="_2Excel_BuiltIn_Print_Titles_1_1" localSheetId="1">#REF!</definedName>
    <definedName name="_2Excel_BuiltIn_Print_Titles_1_1" localSheetId="3">#REF!</definedName>
    <definedName name="_2Excel_BuiltIn_Print_Titles_1_1">#REF!</definedName>
    <definedName name="_2m_100" localSheetId="7">#REF!</definedName>
    <definedName name="_2m_100" localSheetId="1">#REF!</definedName>
    <definedName name="_2m_100" localSheetId="3">#REF!</definedName>
    <definedName name="_2m_100">#REF!</definedName>
    <definedName name="_2m_150" localSheetId="7">#REF!</definedName>
    <definedName name="_2m_150" localSheetId="1">#REF!</definedName>
    <definedName name="_2m_150" localSheetId="3">#REF!</definedName>
    <definedName name="_2m_150">#REF!</definedName>
    <definedName name="_2m_200" localSheetId="7">#REF!</definedName>
    <definedName name="_2m_200" localSheetId="1">#REF!</definedName>
    <definedName name="_2m_200" localSheetId="3">#REF!</definedName>
    <definedName name="_2m_200">#REF!</definedName>
    <definedName name="_2m_25" localSheetId="7">#REF!</definedName>
    <definedName name="_2m_25" localSheetId="1">#REF!</definedName>
    <definedName name="_2m_25" localSheetId="3">#REF!</definedName>
    <definedName name="_2m_25">#REF!</definedName>
    <definedName name="_2m_250" localSheetId="7">#REF!</definedName>
    <definedName name="_2m_250" localSheetId="1">#REF!</definedName>
    <definedName name="_2m_250" localSheetId="3">#REF!</definedName>
    <definedName name="_2m_250">#REF!</definedName>
    <definedName name="_2m_300" localSheetId="7">#REF!</definedName>
    <definedName name="_2m_300" localSheetId="1">#REF!</definedName>
    <definedName name="_2m_300" localSheetId="3">#REF!</definedName>
    <definedName name="_2m_300">#REF!</definedName>
    <definedName name="_2m_32" localSheetId="7">#REF!</definedName>
    <definedName name="_2m_32" localSheetId="1">#REF!</definedName>
    <definedName name="_2m_32" localSheetId="3">#REF!</definedName>
    <definedName name="_2m_32">#REF!</definedName>
    <definedName name="_2m_40" localSheetId="7">#REF!</definedName>
    <definedName name="_2m_40" localSheetId="1">#REF!</definedName>
    <definedName name="_2m_40" localSheetId="3">#REF!</definedName>
    <definedName name="_2m_40">#REF!</definedName>
    <definedName name="_2m_50" localSheetId="7">#REF!</definedName>
    <definedName name="_2m_50" localSheetId="1">#REF!</definedName>
    <definedName name="_2m_50" localSheetId="3">#REF!</definedName>
    <definedName name="_2m_50">#REF!</definedName>
    <definedName name="_2m_65" localSheetId="7">#REF!</definedName>
    <definedName name="_2m_65" localSheetId="1">#REF!</definedName>
    <definedName name="_2m_65" localSheetId="3">#REF!</definedName>
    <definedName name="_2m_65">#REF!</definedName>
    <definedName name="_2m_80" localSheetId="7">#REF!</definedName>
    <definedName name="_2m_80" localSheetId="1">#REF!</definedName>
    <definedName name="_2m_80" localSheetId="3">#REF!</definedName>
    <definedName name="_2m_80">#REF!</definedName>
    <definedName name="_3__123Graph_AChart_1Q" localSheetId="7" hidden="1">#REF!</definedName>
    <definedName name="_3__123Graph_AChart_1Q" localSheetId="1" hidden="1">#REF!</definedName>
    <definedName name="_3__123Graph_AChart_1Q" localSheetId="3" hidden="1">#REF!</definedName>
    <definedName name="_3__123Graph_AChart_1Q" hidden="1">#REF!</definedName>
    <definedName name="_3__123Graph_BAdmin_Expenses" localSheetId="7" hidden="1">#REF!</definedName>
    <definedName name="_3__123Graph_BAdmin_Expenses" localSheetId="1" hidden="1">#REF!</definedName>
    <definedName name="_3__123Graph_BAdmin_Expenses" localSheetId="3" hidden="1">#REF!</definedName>
    <definedName name="_3__123Graph_BAdmin_Expenses" hidden="1">#REF!</definedName>
    <definedName name="_3m_100" localSheetId="7">#REF!</definedName>
    <definedName name="_3m_100" localSheetId="1">#REF!</definedName>
    <definedName name="_3m_100" localSheetId="3">#REF!</definedName>
    <definedName name="_3m_100">#REF!</definedName>
    <definedName name="_3m_150" localSheetId="7">#REF!</definedName>
    <definedName name="_3m_150" localSheetId="1">#REF!</definedName>
    <definedName name="_3m_150" localSheetId="3">#REF!</definedName>
    <definedName name="_3m_150">#REF!</definedName>
    <definedName name="_3m_200" localSheetId="7">#REF!</definedName>
    <definedName name="_3m_200" localSheetId="1">#REF!</definedName>
    <definedName name="_3m_200" localSheetId="3">#REF!</definedName>
    <definedName name="_3m_200">#REF!</definedName>
    <definedName name="_3m_25" localSheetId="7">#REF!</definedName>
    <definedName name="_3m_25" localSheetId="1">#REF!</definedName>
    <definedName name="_3m_25" localSheetId="3">#REF!</definedName>
    <definedName name="_3m_25">#REF!</definedName>
    <definedName name="_3m_250" localSheetId="7">#REF!</definedName>
    <definedName name="_3m_250" localSheetId="1">#REF!</definedName>
    <definedName name="_3m_250" localSheetId="3">#REF!</definedName>
    <definedName name="_3m_250">#REF!</definedName>
    <definedName name="_3m_300" localSheetId="7">#REF!</definedName>
    <definedName name="_3m_300" localSheetId="1">#REF!</definedName>
    <definedName name="_3m_300" localSheetId="3">#REF!</definedName>
    <definedName name="_3m_300">#REF!</definedName>
    <definedName name="_3m_32" localSheetId="7">#REF!</definedName>
    <definedName name="_3m_32" localSheetId="1">#REF!</definedName>
    <definedName name="_3m_32" localSheetId="3">#REF!</definedName>
    <definedName name="_3m_32">#REF!</definedName>
    <definedName name="_3m_40" localSheetId="7">#REF!</definedName>
    <definedName name="_3m_40" localSheetId="1">#REF!</definedName>
    <definedName name="_3m_40" localSheetId="3">#REF!</definedName>
    <definedName name="_3m_40">#REF!</definedName>
    <definedName name="_3m_50" localSheetId="7">#REF!</definedName>
    <definedName name="_3m_50" localSheetId="1">#REF!</definedName>
    <definedName name="_3m_50" localSheetId="3">#REF!</definedName>
    <definedName name="_3m_50">#REF!</definedName>
    <definedName name="_3m_65" localSheetId="7">#REF!</definedName>
    <definedName name="_3m_65" localSheetId="1">#REF!</definedName>
    <definedName name="_3m_65" localSheetId="3">#REF!</definedName>
    <definedName name="_3m_65">#REF!</definedName>
    <definedName name="_3m_80" localSheetId="7">#REF!</definedName>
    <definedName name="_3m_80" localSheetId="1">#REF!</definedName>
    <definedName name="_3m_80" localSheetId="3">#REF!</definedName>
    <definedName name="_3m_80">#REF!</definedName>
    <definedName name="_4__123Graph_BChart_1Q" localSheetId="7" hidden="1">#REF!</definedName>
    <definedName name="_4__123Graph_BChart_1Q" localSheetId="1" hidden="1">#REF!</definedName>
    <definedName name="_4__123Graph_BChart_1Q" localSheetId="3" hidden="1">#REF!</definedName>
    <definedName name="_4__123Graph_BChart_1Q" hidden="1">#REF!</definedName>
    <definedName name="_4__123Graph_BService_Expense" localSheetId="7" hidden="1">#REF!</definedName>
    <definedName name="_4__123Graph_BService_Expense" localSheetId="1" hidden="1">#REF!</definedName>
    <definedName name="_4__123Graph_BService_Expense" localSheetId="3" hidden="1">#REF!</definedName>
    <definedName name="_4__123Graph_BService_Expense" hidden="1">#REF!</definedName>
    <definedName name="_5__123Graph_XAdmin_Expenses" localSheetId="7" hidden="1">#REF!</definedName>
    <definedName name="_5__123Graph_XAdmin_Expenses" localSheetId="1" hidden="1">#REF!</definedName>
    <definedName name="_5__123Graph_XAdmin_Expenses" localSheetId="3" hidden="1">#REF!</definedName>
    <definedName name="_5__123Graph_XAdmin_Expenses" hidden="1">#REF!</definedName>
    <definedName name="_6__123Graph_XService_Expense" localSheetId="7" hidden="1">#REF!</definedName>
    <definedName name="_6__123Graph_XService_Expense" localSheetId="1" hidden="1">#REF!</definedName>
    <definedName name="_6__123Graph_XService_Expense" localSheetId="3" hidden="1">#REF!</definedName>
    <definedName name="_6__123Graph_XService_Expense" hidden="1">#REF!</definedName>
    <definedName name="_a1" localSheetId="7">#REF!</definedName>
    <definedName name="_a1" localSheetId="1">#REF!</definedName>
    <definedName name="_a1" localSheetId="3">#REF!</definedName>
    <definedName name="_a1">#REF!</definedName>
    <definedName name="_a2" localSheetId="7">#REF!</definedName>
    <definedName name="_a2" localSheetId="1">#REF!</definedName>
    <definedName name="_a2" localSheetId="3">#REF!</definedName>
    <definedName name="_a2">#REF!</definedName>
    <definedName name="_a65537" localSheetId="7">#REF!</definedName>
    <definedName name="_a65537" localSheetId="1">#REF!</definedName>
    <definedName name="_a65537" localSheetId="3">#REF!</definedName>
    <definedName name="_a65537">#REF!</definedName>
    <definedName name="_A65555" localSheetId="7">#REF!</definedName>
    <definedName name="_A65555" localSheetId="1">#REF!</definedName>
    <definedName name="_A65555" localSheetId="3">#REF!</definedName>
    <definedName name="_A65555">#REF!</definedName>
    <definedName name="_A655600" localSheetId="7">#REF!</definedName>
    <definedName name="_A655600" localSheetId="1">#REF!</definedName>
    <definedName name="_A655600" localSheetId="3">#REF!</definedName>
    <definedName name="_A655600">#REF!</definedName>
    <definedName name="_A655601" localSheetId="7">#REF!</definedName>
    <definedName name="_A655601" localSheetId="1">#REF!</definedName>
    <definedName name="_A655601" localSheetId="3">#REF!</definedName>
    <definedName name="_A655601">#REF!</definedName>
    <definedName name="_A65658" localSheetId="7">#REF!</definedName>
    <definedName name="_A65658" localSheetId="1">#REF!</definedName>
    <definedName name="_A65658" localSheetId="3">#REF!</definedName>
    <definedName name="_A65658">#REF!</definedName>
    <definedName name="_A99999" localSheetId="7">#REF!</definedName>
    <definedName name="_A99999" localSheetId="1">#REF!</definedName>
    <definedName name="_A99999" localSheetId="3">#REF!</definedName>
    <definedName name="_A99999">#REF!</definedName>
    <definedName name="_a999999" localSheetId="7">#REF!</definedName>
    <definedName name="_a999999" localSheetId="1">#REF!</definedName>
    <definedName name="_a999999" localSheetId="3">#REF!</definedName>
    <definedName name="_a999999">#REF!</definedName>
    <definedName name="_AAA1" localSheetId="7">#REF!</definedName>
    <definedName name="_AAA1" localSheetId="1">#REF!</definedName>
    <definedName name="_AAA1" localSheetId="3">#REF!</definedName>
    <definedName name="_AAA1">#REF!</definedName>
    <definedName name="_aaa10" localSheetId="7">#REF!</definedName>
    <definedName name="_aaa10" localSheetId="1">#REF!</definedName>
    <definedName name="_aaa10" localSheetId="3">#REF!</definedName>
    <definedName name="_aaa10">#REF!</definedName>
    <definedName name="_aaa11" localSheetId="7">#REF!</definedName>
    <definedName name="_aaa11" localSheetId="1">#REF!</definedName>
    <definedName name="_aaa11" localSheetId="3">#REF!</definedName>
    <definedName name="_aaa11">#REF!</definedName>
    <definedName name="_AAA12" localSheetId="7">#REF!</definedName>
    <definedName name="_AAA12" localSheetId="1">#REF!</definedName>
    <definedName name="_AAA12" localSheetId="3">#REF!</definedName>
    <definedName name="_AAA12">#REF!</definedName>
    <definedName name="_AAA21" localSheetId="7">#REF!</definedName>
    <definedName name="_AAA21" localSheetId="1">#REF!</definedName>
    <definedName name="_AAA21" localSheetId="3">#REF!</definedName>
    <definedName name="_AAA21">#REF!</definedName>
    <definedName name="_aaa23" localSheetId="7">#REF!</definedName>
    <definedName name="_aaa23" localSheetId="1">#REF!</definedName>
    <definedName name="_aaa23" localSheetId="3">#REF!</definedName>
    <definedName name="_aaa23">#REF!</definedName>
    <definedName name="_aaa34" localSheetId="7">#REF!</definedName>
    <definedName name="_aaa34" localSheetId="1">#REF!</definedName>
    <definedName name="_aaa34" localSheetId="3">#REF!</definedName>
    <definedName name="_aaa34">#REF!</definedName>
    <definedName name="_aaa5" localSheetId="7">#REF!</definedName>
    <definedName name="_aaa5" localSheetId="1">#REF!</definedName>
    <definedName name="_aaa5" localSheetId="3">#REF!</definedName>
    <definedName name="_aaa5">#REF!</definedName>
    <definedName name="_AAA53" localSheetId="7">#REF!</definedName>
    <definedName name="_AAA53" localSheetId="1">#REF!</definedName>
    <definedName name="_AAA53" localSheetId="3">#REF!</definedName>
    <definedName name="_AAA53">#REF!</definedName>
    <definedName name="_aaa54" localSheetId="7">#REF!</definedName>
    <definedName name="_aaa54" localSheetId="1">#REF!</definedName>
    <definedName name="_aaa54" localSheetId="3">#REF!</definedName>
    <definedName name="_aaa54">#REF!</definedName>
    <definedName name="_aaa545" localSheetId="7">#REF!</definedName>
    <definedName name="_aaa545" localSheetId="1">#REF!</definedName>
    <definedName name="_aaa545" localSheetId="3">#REF!</definedName>
    <definedName name="_aaa545">#REF!</definedName>
    <definedName name="_aaa55" localSheetId="7">#REF!</definedName>
    <definedName name="_aaa55" localSheetId="1">#REF!</definedName>
    <definedName name="_aaa55" localSheetId="3">#REF!</definedName>
    <definedName name="_aaa55">#REF!</definedName>
    <definedName name="_aaa56" localSheetId="7">#REF!</definedName>
    <definedName name="_aaa56" localSheetId="1">#REF!</definedName>
    <definedName name="_aaa56" localSheetId="3">#REF!</definedName>
    <definedName name="_aaa56">#REF!</definedName>
    <definedName name="_AAA57" localSheetId="7">#REF!</definedName>
    <definedName name="_AAA57" localSheetId="1">#REF!</definedName>
    <definedName name="_AAA57" localSheetId="3">#REF!</definedName>
    <definedName name="_AAA57">#REF!</definedName>
    <definedName name="_aaa59" localSheetId="7">#REF!</definedName>
    <definedName name="_aaa59" localSheetId="1">#REF!</definedName>
    <definedName name="_aaa59" localSheetId="3">#REF!</definedName>
    <definedName name="_aaa59">#REF!</definedName>
    <definedName name="_AAA66" localSheetId="7">#REF!</definedName>
    <definedName name="_AAA66" localSheetId="1">#REF!</definedName>
    <definedName name="_AAA66" localSheetId="3">#REF!</definedName>
    <definedName name="_AAA66">#REF!</definedName>
    <definedName name="_AAA69" localSheetId="7">#REF!</definedName>
    <definedName name="_AAA69" localSheetId="1">#REF!</definedName>
    <definedName name="_AAA69" localSheetId="3">#REF!</definedName>
    <definedName name="_AAA69">#REF!</definedName>
    <definedName name="_aad55" localSheetId="7">#REF!</definedName>
    <definedName name="_aad55" localSheetId="1">#REF!</definedName>
    <definedName name="_aad55" localSheetId="3">#REF!</definedName>
    <definedName name="_aad55">#REF!</definedName>
    <definedName name="_AAD56" localSheetId="7">#REF!</definedName>
    <definedName name="_AAD56" localSheetId="1">#REF!</definedName>
    <definedName name="_AAD56" localSheetId="3">#REF!</definedName>
    <definedName name="_AAD56">#REF!</definedName>
    <definedName name="_AAD57" localSheetId="7">#REF!</definedName>
    <definedName name="_AAD57" localSheetId="1">#REF!</definedName>
    <definedName name="_AAD57" localSheetId="3">#REF!</definedName>
    <definedName name="_AAD57">#REF!</definedName>
    <definedName name="_AGG10" localSheetId="7">#REF!</definedName>
    <definedName name="_AGG10" localSheetId="1">#REF!</definedName>
    <definedName name="_AGG10" localSheetId="3">#REF!</definedName>
    <definedName name="_AGG10">#REF!</definedName>
    <definedName name="_Agg12" localSheetId="7">#REF!</definedName>
    <definedName name="_Agg12" localSheetId="1">#REF!</definedName>
    <definedName name="_Agg12" localSheetId="3">#REF!</definedName>
    <definedName name="_Agg12">#REF!</definedName>
    <definedName name="_Agg20" localSheetId="7">#REF!</definedName>
    <definedName name="_Agg20" localSheetId="1">#REF!</definedName>
    <definedName name="_Agg20" localSheetId="3">#REF!</definedName>
    <definedName name="_Agg20">#REF!</definedName>
    <definedName name="_Agg40" localSheetId="7">#REF!</definedName>
    <definedName name="_Agg40" localSheetId="1">#REF!</definedName>
    <definedName name="_Agg40" localSheetId="3">#REF!</definedName>
    <definedName name="_Agg40">#REF!</definedName>
    <definedName name="_Agg6" localSheetId="7">#REF!</definedName>
    <definedName name="_Agg6" localSheetId="1">#REF!</definedName>
    <definedName name="_Agg6" localSheetId="3">#REF!</definedName>
    <definedName name="_Agg6">#REF!</definedName>
    <definedName name="_aj1" localSheetId="7">#REF!</definedName>
    <definedName name="_aj1" localSheetId="1">#REF!</definedName>
    <definedName name="_aj1" localSheetId="3">#REF!</definedName>
    <definedName name="_aj1">#REF!</definedName>
    <definedName name="_ast1" localSheetId="7">#REF!</definedName>
    <definedName name="_ast1" localSheetId="1">#REF!</definedName>
    <definedName name="_ast1" localSheetId="3">#REF!</definedName>
    <definedName name="_ast1">#REF!</definedName>
    <definedName name="_ast2" localSheetId="7">#REF!</definedName>
    <definedName name="_ast2" localSheetId="1">#REF!</definedName>
    <definedName name="_ast2" localSheetId="3">#REF!</definedName>
    <definedName name="_ast2">#REF!</definedName>
    <definedName name="_axx1" localSheetId="7">#REF!</definedName>
    <definedName name="_axx1" localSheetId="1">#REF!</definedName>
    <definedName name="_axx1" localSheetId="3">#REF!</definedName>
    <definedName name="_axx1">#REF!</definedName>
    <definedName name="_axx2" localSheetId="7">#REF!</definedName>
    <definedName name="_axx2" localSheetId="1">#REF!</definedName>
    <definedName name="_axx2" localSheetId="3">#REF!</definedName>
    <definedName name="_axx2">#REF!</definedName>
    <definedName name="_axx3" localSheetId="7">#REF!</definedName>
    <definedName name="_axx3" localSheetId="1">#REF!</definedName>
    <definedName name="_axx3" localSheetId="3">#REF!</definedName>
    <definedName name="_axx3">#REF!</definedName>
    <definedName name="_b111121" localSheetId="7">#REF!</definedName>
    <definedName name="_b111121" localSheetId="1">#REF!</definedName>
    <definedName name="_b111121" localSheetId="3">#REF!</definedName>
    <definedName name="_b111121">#REF!</definedName>
    <definedName name="_bbb1" localSheetId="7">#REF!</definedName>
    <definedName name="_bbb1" localSheetId="1">#REF!</definedName>
    <definedName name="_bbb1" localSheetId="3">#REF!</definedName>
    <definedName name="_bbb1">#REF!</definedName>
    <definedName name="_bct75" localSheetId="7">#REF!</definedName>
    <definedName name="_bct75" localSheetId="1">#REF!</definedName>
    <definedName name="_bct75" localSheetId="3">#REF!</definedName>
    <definedName name="_bct75">#REF!</definedName>
    <definedName name="_bit3040" localSheetId="7">#REF!</definedName>
    <definedName name="_bit3040" localSheetId="1">#REF!</definedName>
    <definedName name="_bit3040" localSheetId="3">#REF!</definedName>
    <definedName name="_bit3040">#REF!</definedName>
    <definedName name="_BIT6070" localSheetId="7">#REF!</definedName>
    <definedName name="_BIT6070" localSheetId="1">#REF!</definedName>
    <definedName name="_BIT6070" localSheetId="3">#REF!</definedName>
    <definedName name="_BIT6070">#REF!</definedName>
    <definedName name="_bit8525" localSheetId="7">#REF!</definedName>
    <definedName name="_bit8525" localSheetId="1">#REF!</definedName>
    <definedName name="_bit8525" localSheetId="3">#REF!</definedName>
    <definedName name="_bit8525">#REF!</definedName>
    <definedName name="_bol1" localSheetId="7">#REF!</definedName>
    <definedName name="_bol1" localSheetId="1">#REF!</definedName>
    <definedName name="_bol1" localSheetId="3">#REF!</definedName>
    <definedName name="_bol1">#REF!</definedName>
    <definedName name="_bua1" localSheetId="7">#REF!</definedName>
    <definedName name="_bua1" localSheetId="1">#REF!</definedName>
    <definedName name="_bua1" localSheetId="3">#REF!</definedName>
    <definedName name="_bua1">#REF!</definedName>
    <definedName name="_buh11" localSheetId="7">#REF!</definedName>
    <definedName name="_buh11" localSheetId="1">#REF!</definedName>
    <definedName name="_buh11" localSheetId="3">#REF!</definedName>
    <definedName name="_buh11">#REF!</definedName>
    <definedName name="_C" localSheetId="7">#REF!</definedName>
    <definedName name="_C" localSheetId="1">#REF!</definedName>
    <definedName name="_C" localSheetId="3">#REF!</definedName>
    <definedName name="_C">#REF!</definedName>
    <definedName name="_C___0" localSheetId="7">#REF!</definedName>
    <definedName name="_C___0" localSheetId="1">#REF!</definedName>
    <definedName name="_C___0" localSheetId="3">#REF!</definedName>
    <definedName name="_C___0">#REF!</definedName>
    <definedName name="_C___13" localSheetId="7">#REF!</definedName>
    <definedName name="_C___13" localSheetId="1">#REF!</definedName>
    <definedName name="_C___13" localSheetId="3">#REF!</definedName>
    <definedName name="_C___13">#REF!</definedName>
    <definedName name="_can430">40.73</definedName>
    <definedName name="_can435">43.3</definedName>
    <definedName name="_ccc1" localSheetId="7">#REF!</definedName>
    <definedName name="_ccc1" localSheetId="1">#REF!</definedName>
    <definedName name="_ccc1" localSheetId="3">#REF!</definedName>
    <definedName name="_ccc1">#REF!</definedName>
    <definedName name="_CCT220" localSheetId="7">#REF!</definedName>
    <definedName name="_CCT220" localSheetId="1">#REF!</definedName>
    <definedName name="_CCT220" localSheetId="3">#REF!</definedName>
    <definedName name="_CCT220">#REF!</definedName>
    <definedName name="_CEM43" localSheetId="7">#REF!</definedName>
    <definedName name="_CEM43" localSheetId="1">#REF!</definedName>
    <definedName name="_CEM43" localSheetId="3">#REF!</definedName>
    <definedName name="_CEM43">#REF!</definedName>
    <definedName name="_cli5" localSheetId="7">#REF!</definedName>
    <definedName name="_cli5" localSheetId="1">#REF!</definedName>
    <definedName name="_cli5" localSheetId="3">#REF!</definedName>
    <definedName name="_cli5">#REF!</definedName>
    <definedName name="_COL1" localSheetId="7">#REF!</definedName>
    <definedName name="_COL1" localSheetId="1">#REF!</definedName>
    <definedName name="_COL1" localSheetId="3">#REF!</definedName>
    <definedName name="_COL1">#REF!</definedName>
    <definedName name="_COL14" localSheetId="7">#REF!</definedName>
    <definedName name="_COL14" localSheetId="1">#REF!</definedName>
    <definedName name="_COL14" localSheetId="3">#REF!</definedName>
    <definedName name="_COL14">#REF!</definedName>
    <definedName name="_COL15" localSheetId="7">#REF!</definedName>
    <definedName name="_COL15" localSheetId="1">#REF!</definedName>
    <definedName name="_COL15" localSheetId="3">#REF!</definedName>
    <definedName name="_COL15">#REF!</definedName>
    <definedName name="_COL16" localSheetId="7">#REF!</definedName>
    <definedName name="_COL16" localSheetId="1">#REF!</definedName>
    <definedName name="_COL16" localSheetId="3">#REF!</definedName>
    <definedName name="_COL16">#REF!</definedName>
    <definedName name="_Ctr10" localSheetId="7">#REF!</definedName>
    <definedName name="_Ctr10" localSheetId="1">#REF!</definedName>
    <definedName name="_Ctr10" localSheetId="3">#REF!</definedName>
    <definedName name="_Ctr10">#REF!</definedName>
    <definedName name="_CVT220" localSheetId="7">#REF!</definedName>
    <definedName name="_CVT220" localSheetId="1">#REF!</definedName>
    <definedName name="_CVT220" localSheetId="3">#REF!</definedName>
    <definedName name="_CVT220">#REF!</definedName>
    <definedName name="_CY53__" localSheetId="7">#REF!</definedName>
    <definedName name="_CY53__" localSheetId="1">#REF!</definedName>
    <definedName name="_CY53__" localSheetId="3">#REF!</definedName>
    <definedName name="_CY53__">#REF!</definedName>
    <definedName name="_ddd1" localSheetId="7">#REF!</definedName>
    <definedName name="_ddd1" localSheetId="1">#REF!</definedName>
    <definedName name="_ddd1" localSheetId="3">#REF!</definedName>
    <definedName name="_ddd1">#REF!</definedName>
    <definedName name="_del1" localSheetId="7">#REF!</definedName>
    <definedName name="_del1" localSheetId="1">#REF!</definedName>
    <definedName name="_del1" localSheetId="3">#REF!</definedName>
    <definedName name="_del1">#REF!</definedName>
    <definedName name="_dk1" localSheetId="5" hidden="1">{#N/A,#N/A,FALSE,"COVER.XLS";#N/A,#N/A,FALSE,"RACT1.XLS";#N/A,#N/A,FALSE,"RACT2.XLS";#N/A,#N/A,FALSE,"ECCMP";#N/A,#N/A,FALSE,"WELDER.XLS"}</definedName>
    <definedName name="_dk1" localSheetId="2" hidden="1">{#N/A,#N/A,FALSE,"COVER.XLS";#N/A,#N/A,FALSE,"RACT1.XLS";#N/A,#N/A,FALSE,"RACT2.XLS";#N/A,#N/A,FALSE,"ECCMP";#N/A,#N/A,FALSE,"WELDER.XLS"}</definedName>
    <definedName name="_Doc1" localSheetId="7">#REF!</definedName>
    <definedName name="_Doc1" localSheetId="1">#REF!</definedName>
    <definedName name="_Doc1" localSheetId="3">#REF!</definedName>
    <definedName name="_Doc1">#REF!</definedName>
    <definedName name="_eee1" localSheetId="7">#REF!</definedName>
    <definedName name="_eee1" localSheetId="1">#REF!</definedName>
    <definedName name="_eee1" localSheetId="3">#REF!</definedName>
    <definedName name="_eee1">#REF!</definedName>
    <definedName name="_EN1000000" localSheetId="7">#REF!</definedName>
    <definedName name="_EN1000000" localSheetId="1">#REF!</definedName>
    <definedName name="_EN1000000" localSheetId="3">#REF!</definedName>
    <definedName name="_EN1000000">#REF!</definedName>
    <definedName name="_esc1" localSheetId="7">#REF!</definedName>
    <definedName name="_esc1" localSheetId="1">#REF!</definedName>
    <definedName name="_esc1" localSheetId="3">#REF!</definedName>
    <definedName name="_esc1">#REF!</definedName>
    <definedName name="_exc1" localSheetId="7">#REF!</definedName>
    <definedName name="_exc1" localSheetId="1">#REF!</definedName>
    <definedName name="_exc1" localSheetId="3">#REF!</definedName>
    <definedName name="_exc1">#REF!</definedName>
    <definedName name="_exc11" localSheetId="7">#REF!</definedName>
    <definedName name="_exc11" localSheetId="1">#REF!</definedName>
    <definedName name="_exc11" localSheetId="3">#REF!</definedName>
    <definedName name="_exc11">#REF!</definedName>
    <definedName name="_exc12." localSheetId="7">#REF!</definedName>
    <definedName name="_exc12." localSheetId="1">#REF!</definedName>
    <definedName name="_exc12." localSheetId="3">#REF!</definedName>
    <definedName name="_exc12.">#REF!</definedName>
    <definedName name="_exc2" localSheetId="7">#REF!</definedName>
    <definedName name="_exc2" localSheetId="1">#REF!</definedName>
    <definedName name="_exc2" localSheetId="3">#REF!</definedName>
    <definedName name="_exc2">#REF!</definedName>
    <definedName name="_EXC3" localSheetId="7">#REF!</definedName>
    <definedName name="_EXC3" localSheetId="1">#REF!</definedName>
    <definedName name="_EXC3" localSheetId="3">#REF!</definedName>
    <definedName name="_EXC3">#REF!</definedName>
    <definedName name="_EXC4" localSheetId="7">#REF!</definedName>
    <definedName name="_EXC4" localSheetId="1">#REF!</definedName>
    <definedName name="_EXC4" localSheetId="3">#REF!</definedName>
    <definedName name="_EXC4">#REF!</definedName>
    <definedName name="_f1" localSheetId="7">#REF!</definedName>
    <definedName name="_f1" localSheetId="1">#REF!</definedName>
    <definedName name="_f1" localSheetId="3">#REF!</definedName>
    <definedName name="_f1">#REF!</definedName>
    <definedName name="_fac1" localSheetId="7">#REF!</definedName>
    <definedName name="_fac1" localSheetId="1">#REF!</definedName>
    <definedName name="_fac1" localSheetId="3">#REF!</definedName>
    <definedName name="_fac1">#REF!</definedName>
    <definedName name="_fac2" localSheetId="7">#REF!</definedName>
    <definedName name="_fac2" localSheetId="1">#REF!</definedName>
    <definedName name="_fac2" localSheetId="3">#REF!</definedName>
    <definedName name="_fac2">#REF!</definedName>
    <definedName name="_fco2" localSheetId="5" hidden="1">{#N/A,#N/A,FALSE,"gc (2)"}</definedName>
    <definedName name="_fco2" localSheetId="2" hidden="1">{#N/A,#N/A,FALSE,"gc (2)"}</definedName>
    <definedName name="_Fill" localSheetId="7" hidden="1">#REF!</definedName>
    <definedName name="_Fill" localSheetId="1" hidden="1">#REF!</definedName>
    <definedName name="_Fill" localSheetId="3" hidden="1">#REF!</definedName>
    <definedName name="_Fill" hidden="1">#REF!</definedName>
    <definedName name="_xlnm._FilterDatabase" localSheetId="7" hidden="1">#REF!</definedName>
    <definedName name="_xlnm._FilterDatabase" localSheetId="1" hidden="1">#REF!</definedName>
    <definedName name="_xlnm._FilterDatabase" localSheetId="3" hidden="1">#REF!</definedName>
    <definedName name="_xlnm._FilterDatabase" hidden="1">#REF!</definedName>
    <definedName name="_flx200" localSheetId="7">#REF!</definedName>
    <definedName name="_flx200" localSheetId="1">#REF!</definedName>
    <definedName name="_flx200" localSheetId="3">#REF!</definedName>
    <definedName name="_flx200">#REF!</definedName>
    <definedName name="_flx250" localSheetId="7">#REF!</definedName>
    <definedName name="_flx250" localSheetId="1">#REF!</definedName>
    <definedName name="_flx250" localSheetId="3">#REF!</definedName>
    <definedName name="_flx250">#REF!</definedName>
    <definedName name="_flx300" localSheetId="7">#REF!</definedName>
    <definedName name="_flx300" localSheetId="1">#REF!</definedName>
    <definedName name="_flx300" localSheetId="3">#REF!</definedName>
    <definedName name="_flx300">#REF!</definedName>
    <definedName name="_foo1" localSheetId="7">#REF!</definedName>
    <definedName name="_foo1" localSheetId="1">#REF!</definedName>
    <definedName name="_foo1" localSheetId="3">#REF!</definedName>
    <definedName name="_foo1">#REF!</definedName>
    <definedName name="_foo2" localSheetId="7">#REF!</definedName>
    <definedName name="_foo2" localSheetId="1">#REF!</definedName>
    <definedName name="_foo2" localSheetId="3">#REF!</definedName>
    <definedName name="_foo2">#REF!</definedName>
    <definedName name="_foo3" localSheetId="7">#REF!</definedName>
    <definedName name="_foo3" localSheetId="1">#REF!</definedName>
    <definedName name="_foo3" localSheetId="3">#REF!</definedName>
    <definedName name="_foo3">#REF!</definedName>
    <definedName name="_FOO4" localSheetId="7">#REF!</definedName>
    <definedName name="_FOO4" localSheetId="1">#REF!</definedName>
    <definedName name="_FOO4" localSheetId="3">#REF!</definedName>
    <definedName name="_FOO4">#REF!</definedName>
    <definedName name="_G1" localSheetId="7">#REF!</definedName>
    <definedName name="_G1" localSheetId="1">#REF!</definedName>
    <definedName name="_G1" localSheetId="3">#REF!</definedName>
    <definedName name="_G1">#REF!</definedName>
    <definedName name="_GEN125" localSheetId="7">#REF!</definedName>
    <definedName name="_GEN125" localSheetId="1">#REF!</definedName>
    <definedName name="_GEN125" localSheetId="3">#REF!</definedName>
    <definedName name="_GEN125">#REF!</definedName>
    <definedName name="_GEN250" localSheetId="7">#REF!</definedName>
    <definedName name="_GEN250" localSheetId="1">#REF!</definedName>
    <definedName name="_GEN250" localSheetId="3">#REF!</definedName>
    <definedName name="_GEN250">#REF!</definedName>
    <definedName name="_GEN63" localSheetId="7">#REF!</definedName>
    <definedName name="_GEN63" localSheetId="1">#REF!</definedName>
    <definedName name="_GEN63" localSheetId="3">#REF!</definedName>
    <definedName name="_GEN63">#REF!</definedName>
    <definedName name="_GOTO_I10_" localSheetId="7">#REF!</definedName>
    <definedName name="_GOTO_I10_" localSheetId="1">#REF!</definedName>
    <definedName name="_GOTO_I10_" localSheetId="3">#REF!</definedName>
    <definedName name="_GOTO_I10_">#REF!</definedName>
    <definedName name="_hfi1" localSheetId="7">#REF!</definedName>
    <definedName name="_hfi1" localSheetId="1">#REF!</definedName>
    <definedName name="_hfi1" localSheetId="3">#REF!</definedName>
    <definedName name="_hfi1">#REF!</definedName>
    <definedName name="_hfi3" localSheetId="7">#REF!</definedName>
    <definedName name="_hfi3" localSheetId="1">#REF!</definedName>
    <definedName name="_hfi3" localSheetId="3">#REF!</definedName>
    <definedName name="_hfi3">#REF!</definedName>
    <definedName name="_hp10" localSheetId="5" hidden="1">{#N/A,#N/A,TRUE,"Front";#N/A,#N/A,TRUE,"Simple Letter";#N/A,#N/A,TRUE,"Inside";#N/A,#N/A,TRUE,"Contents";#N/A,#N/A,TRUE,"Basis";#N/A,#N/A,TRUE,"Inclusions";#N/A,#N/A,TRUE,"Exclusions";#N/A,#N/A,TRUE,"Areas";#N/A,#N/A,TRUE,"Summary";#N/A,#N/A,TRUE,"Detail"}</definedName>
    <definedName name="_hp10" localSheetId="2" hidden="1">{#N/A,#N/A,TRUE,"Front";#N/A,#N/A,TRUE,"Simple Letter";#N/A,#N/A,TRUE,"Inside";#N/A,#N/A,TRUE,"Contents";#N/A,#N/A,TRUE,"Basis";#N/A,#N/A,TRUE,"Inclusions";#N/A,#N/A,TRUE,"Exclusions";#N/A,#N/A,TRUE,"Areas";#N/A,#N/A,TRUE,"Summary";#N/A,#N/A,TRUE,"Detail"}</definedName>
    <definedName name="_hp10_1" localSheetId="5" hidden="1">{#N/A,#N/A,TRUE,"Front";#N/A,#N/A,TRUE,"Simple Letter";#N/A,#N/A,TRUE,"Inside";#N/A,#N/A,TRUE,"Contents";#N/A,#N/A,TRUE,"Basis";#N/A,#N/A,TRUE,"Inclusions";#N/A,#N/A,TRUE,"Exclusions";#N/A,#N/A,TRUE,"Areas";#N/A,#N/A,TRUE,"Summary";#N/A,#N/A,TRUE,"Detail"}</definedName>
    <definedName name="_hp10_1" localSheetId="2" hidden="1">{#N/A,#N/A,TRUE,"Front";#N/A,#N/A,TRUE,"Simple Letter";#N/A,#N/A,TRUE,"Inside";#N/A,#N/A,TRUE,"Contents";#N/A,#N/A,TRUE,"Basis";#N/A,#N/A,TRUE,"Inclusions";#N/A,#N/A,TRUE,"Exclusions";#N/A,#N/A,TRUE,"Areas";#N/A,#N/A,TRUE,"Summary";#N/A,#N/A,TRUE,"Detail"}</definedName>
    <definedName name="_hxa1" localSheetId="7">#REF!</definedName>
    <definedName name="_hxa1" localSheetId="1">#REF!</definedName>
    <definedName name="_hxa1" localSheetId="3">#REF!</definedName>
    <definedName name="_hxa1">#REF!</definedName>
    <definedName name="_hxa2" localSheetId="7">#REF!</definedName>
    <definedName name="_hxa2" localSheetId="1">#REF!</definedName>
    <definedName name="_hxa2" localSheetId="3">#REF!</definedName>
    <definedName name="_hxa2">#REF!</definedName>
    <definedName name="_hxb1" localSheetId="7">#REF!</definedName>
    <definedName name="_hxb1" localSheetId="1">#REF!</definedName>
    <definedName name="_hxb1" localSheetId="3">#REF!</definedName>
    <definedName name="_hxb1">#REF!</definedName>
    <definedName name="_hxb2" localSheetId="7">#REF!</definedName>
    <definedName name="_hxb2" localSheetId="1">#REF!</definedName>
    <definedName name="_hxb2" localSheetId="3">#REF!</definedName>
    <definedName name="_hxb2">#REF!</definedName>
    <definedName name="_hxc1" localSheetId="7">#REF!</definedName>
    <definedName name="_hxc1" localSheetId="1">#REF!</definedName>
    <definedName name="_hxc1" localSheetId="3">#REF!</definedName>
    <definedName name="_hxc1">#REF!</definedName>
    <definedName name="_hxc2" localSheetId="7">#REF!</definedName>
    <definedName name="_hxc2" localSheetId="1">#REF!</definedName>
    <definedName name="_hxc2" localSheetId="3">#REF!</definedName>
    <definedName name="_hxc2">#REF!</definedName>
    <definedName name="_ief1" localSheetId="7">#REF!</definedName>
    <definedName name="_ief1" localSheetId="1">#REF!</definedName>
    <definedName name="_ief1" localSheetId="3">#REF!</definedName>
    <definedName name="_ief1">#REF!</definedName>
    <definedName name="_ind1" localSheetId="7">#REF!</definedName>
    <definedName name="_ind1" localSheetId="1">#REF!</definedName>
    <definedName name="_ind1" localSheetId="3">#REF!</definedName>
    <definedName name="_ind1">#REF!</definedName>
    <definedName name="_IND11" localSheetId="7">#REF!</definedName>
    <definedName name="_IND11" localSheetId="1">#REF!</definedName>
    <definedName name="_IND11" localSheetId="3">#REF!</definedName>
    <definedName name="_IND11">#REF!</definedName>
    <definedName name="_IND31" localSheetId="7">#REF!</definedName>
    <definedName name="_IND31" localSheetId="1">#REF!</definedName>
    <definedName name="_IND31" localSheetId="3">#REF!</definedName>
    <definedName name="_IND31">#REF!</definedName>
    <definedName name="_IRS1" localSheetId="7">#REF!</definedName>
    <definedName name="_IRS1" localSheetId="1">#REF!</definedName>
    <definedName name="_IRS1" localSheetId="3">#REF!</definedName>
    <definedName name="_IRS1">#REF!</definedName>
    <definedName name="_ISO220" localSheetId="7">#REF!</definedName>
    <definedName name="_ISO220" localSheetId="1">#REF!</definedName>
    <definedName name="_ISO220" localSheetId="3">#REF!</definedName>
    <definedName name="_ISO220">#REF!</definedName>
    <definedName name="_iv66666" localSheetId="7">#REF!</definedName>
    <definedName name="_iv66666" localSheetId="1">#REF!</definedName>
    <definedName name="_iv66666" localSheetId="3">#REF!</definedName>
    <definedName name="_iv66666">#REF!</definedName>
    <definedName name="_Key2" localSheetId="7" hidden="1">#REF!</definedName>
    <definedName name="_Key2" localSheetId="1" hidden="1">#REF!</definedName>
    <definedName name="_Key2" localSheetId="3" hidden="1">#REF!</definedName>
    <definedName name="_Key2" hidden="1">#REF!</definedName>
    <definedName name="_Ki1" localSheetId="7">#REF!</definedName>
    <definedName name="_Ki1" localSheetId="1">#REF!</definedName>
    <definedName name="_Ki1" localSheetId="3">#REF!</definedName>
    <definedName name="_Ki1">#REF!</definedName>
    <definedName name="_Ki2" localSheetId="7">#REF!</definedName>
    <definedName name="_Ki2" localSheetId="1">#REF!</definedName>
    <definedName name="_Ki2" localSheetId="3">#REF!</definedName>
    <definedName name="_Ki2">#REF!</definedName>
    <definedName name="_KK1" localSheetId="7">#REF!</definedName>
    <definedName name="_KK1" localSheetId="1">#REF!</definedName>
    <definedName name="_KK1" localSheetId="3">#REF!</definedName>
    <definedName name="_KK1">#REF!</definedName>
    <definedName name="_KK2" localSheetId="7">#REF!</definedName>
    <definedName name="_KK2" localSheetId="1">#REF!</definedName>
    <definedName name="_KK2" localSheetId="3">#REF!</definedName>
    <definedName name="_KK2">#REF!</definedName>
    <definedName name="_kk3" localSheetId="7">#REF!</definedName>
    <definedName name="_kk3" localSheetId="1">#REF!</definedName>
    <definedName name="_kk3" localSheetId="3">#REF!</definedName>
    <definedName name="_kk3">#REF!</definedName>
    <definedName name="_kk4" localSheetId="7">#REF!</definedName>
    <definedName name="_kk4" localSheetId="1">#REF!</definedName>
    <definedName name="_kk4" localSheetId="3">#REF!</definedName>
    <definedName name="_kk4">#REF!</definedName>
    <definedName name="_kvs1" localSheetId="5" hidden="1">{#N/A,#N/A,FALSE,"COVER1.XLS ";#N/A,#N/A,FALSE,"RACT1.XLS";#N/A,#N/A,FALSE,"RACT2.XLS";#N/A,#N/A,FALSE,"ECCMP";#N/A,#N/A,FALSE,"WELDER.XLS"}</definedName>
    <definedName name="_kvs1" localSheetId="2" hidden="1">{#N/A,#N/A,FALSE,"COVER1.XLS ";#N/A,#N/A,FALSE,"RACT1.XLS";#N/A,#N/A,FALSE,"RACT2.XLS";#N/A,#N/A,FALSE,"ECCMP";#N/A,#N/A,FALSE,"WELDER.XLS"}</definedName>
    <definedName name="_kvs2" localSheetId="5" hidden="1">{#N/A,#N/A,FALSE,"COVER1.XLS ";#N/A,#N/A,FALSE,"RACT1.XLS";#N/A,#N/A,FALSE,"RACT2.XLS";#N/A,#N/A,FALSE,"ECCMP";#N/A,#N/A,FALSE,"WELDER.XLS"}</definedName>
    <definedName name="_kvs2" localSheetId="2" hidden="1">{#N/A,#N/A,FALSE,"COVER1.XLS ";#N/A,#N/A,FALSE,"RACT1.XLS";#N/A,#N/A,FALSE,"RACT2.XLS";#N/A,#N/A,FALSE,"ECCMP";#N/A,#N/A,FALSE,"WELDER.XLS"}</definedName>
    <definedName name="_kvs5" localSheetId="5" hidden="1">{#N/A,#N/A,FALSE,"COVER.XLS";#N/A,#N/A,FALSE,"RACT1.XLS";#N/A,#N/A,FALSE,"RACT2.XLS";#N/A,#N/A,FALSE,"ECCMP";#N/A,#N/A,FALSE,"WELDER.XLS"}</definedName>
    <definedName name="_kvs5" localSheetId="2" hidden="1">{#N/A,#N/A,FALSE,"COVER.XLS";#N/A,#N/A,FALSE,"RACT1.XLS";#N/A,#N/A,FALSE,"RACT2.XLS";#N/A,#N/A,FALSE,"ECCMP";#N/A,#N/A,FALSE,"WELDER.XLS"}</definedName>
    <definedName name="_kvs8" localSheetId="5" hidden="1">{#N/A,#N/A,FALSE,"COVER1.XLS ";#N/A,#N/A,FALSE,"RACT1.XLS";#N/A,#N/A,FALSE,"RACT2.XLS";#N/A,#N/A,FALSE,"ECCMP";#N/A,#N/A,FALSE,"WELDER.XLS"}</definedName>
    <definedName name="_kvs8" localSheetId="2" hidden="1">{#N/A,#N/A,FALSE,"COVER1.XLS ";#N/A,#N/A,FALSE,"RACT1.XLS";#N/A,#N/A,FALSE,"RACT2.XLS";#N/A,#N/A,FALSE,"ECCMP";#N/A,#N/A,FALSE,"WELDER.XLS"}</definedName>
    <definedName name="_lb1" localSheetId="7">#REF!</definedName>
    <definedName name="_lb1" localSheetId="1">#REF!</definedName>
    <definedName name="_lb1" localSheetId="3">#REF!</definedName>
    <definedName name="_lb1">#REF!</definedName>
    <definedName name="_lb2" localSheetId="7">#REF!</definedName>
    <definedName name="_lb2" localSheetId="1">#REF!</definedName>
    <definedName name="_lb2" localSheetId="3">#REF!</definedName>
    <definedName name="_lb2">#REF!</definedName>
    <definedName name="_lef1">#N/A</definedName>
    <definedName name="_lef1_1">#N/A</definedName>
    <definedName name="_lef2">#N/A</definedName>
    <definedName name="_lef2_1">#N/A</definedName>
    <definedName name="_lel1">#N/A</definedName>
    <definedName name="_lel1_1">#N/A</definedName>
    <definedName name="_lel2">#N/A</definedName>
    <definedName name="_lel2_1">#N/A</definedName>
    <definedName name="_lk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MH2" localSheetId="7">#REF!</definedName>
    <definedName name="_LMH2" localSheetId="1">#REF!</definedName>
    <definedName name="_LMH2" localSheetId="3">#REF!</definedName>
    <definedName name="_LMH2">#REF!</definedName>
    <definedName name="_ls1" localSheetId="7">#REF!</definedName>
    <definedName name="_ls1" localSheetId="1">#REF!</definedName>
    <definedName name="_ls1" localSheetId="3">#REF!</definedName>
    <definedName name="_ls1">#REF!</definedName>
    <definedName name="_ls2" localSheetId="7">#REF!</definedName>
    <definedName name="_ls2" localSheetId="1">#REF!</definedName>
    <definedName name="_ls2" localSheetId="3">#REF!</definedName>
    <definedName name="_ls2">#REF!</definedName>
    <definedName name="_ls3" localSheetId="7">#REF!</definedName>
    <definedName name="_ls3" localSheetId="1">#REF!</definedName>
    <definedName name="_ls3" localSheetId="3">#REF!</definedName>
    <definedName name="_ls3">#REF!</definedName>
    <definedName name="_ls4" localSheetId="7">#REF!</definedName>
    <definedName name="_ls4" localSheetId="1">#REF!</definedName>
    <definedName name="_ls4" localSheetId="3">#REF!</definedName>
    <definedName name="_ls4">#REF!</definedName>
    <definedName name="_lsc44" localSheetId="7">#REF!</definedName>
    <definedName name="_lsc44" localSheetId="1">#REF!</definedName>
    <definedName name="_lsc44" localSheetId="3">#REF!</definedName>
    <definedName name="_lsc44">#REF!</definedName>
    <definedName name="_LSEC45" localSheetId="7">#REF!</definedName>
    <definedName name="_LSEC45" localSheetId="1">#REF!</definedName>
    <definedName name="_LSEC45" localSheetId="3">#REF!</definedName>
    <definedName name="_LSEC45">#REF!</definedName>
    <definedName name="_m20" localSheetId="7">#REF!</definedName>
    <definedName name="_m20" localSheetId="1">#REF!</definedName>
    <definedName name="_m20" localSheetId="3">#REF!</definedName>
    <definedName name="_m20">#REF!</definedName>
    <definedName name="_mac2">200</definedName>
    <definedName name="_MAN1" localSheetId="7">#REF!</definedName>
    <definedName name="_MAN1" localSheetId="1">#REF!</definedName>
    <definedName name="_MAN1" localSheetId="3">#REF!</definedName>
    <definedName name="_MAN1">#REF!</definedName>
    <definedName name="_md1" localSheetId="7">#REF!</definedName>
    <definedName name="_md1" localSheetId="1">#REF!</definedName>
    <definedName name="_md1" localSheetId="3">#REF!</definedName>
    <definedName name="_md1">#REF!</definedName>
    <definedName name="_md10" localSheetId="7">#REF!</definedName>
    <definedName name="_md10" localSheetId="1">#REF!</definedName>
    <definedName name="_md10" localSheetId="3">#REF!</definedName>
    <definedName name="_md10">#REF!</definedName>
    <definedName name="_md11" localSheetId="7">#REF!</definedName>
    <definedName name="_md11" localSheetId="1">#REF!</definedName>
    <definedName name="_md11" localSheetId="3">#REF!</definedName>
    <definedName name="_md11">#REF!</definedName>
    <definedName name="_md12" localSheetId="7">#REF!</definedName>
    <definedName name="_md12" localSheetId="1">#REF!</definedName>
    <definedName name="_md12" localSheetId="3">#REF!</definedName>
    <definedName name="_md12">#REF!</definedName>
    <definedName name="_md13" localSheetId="7">#REF!</definedName>
    <definedName name="_md13" localSheetId="1">#REF!</definedName>
    <definedName name="_md13" localSheetId="3">#REF!</definedName>
    <definedName name="_md13">#REF!</definedName>
    <definedName name="_md14" localSheetId="7">#REF!</definedName>
    <definedName name="_md14" localSheetId="1">#REF!</definedName>
    <definedName name="_md14" localSheetId="3">#REF!</definedName>
    <definedName name="_md14">#REF!</definedName>
    <definedName name="_md15" localSheetId="7">#REF!</definedName>
    <definedName name="_md15" localSheetId="1">#REF!</definedName>
    <definedName name="_md15" localSheetId="3">#REF!</definedName>
    <definedName name="_md15">#REF!</definedName>
    <definedName name="_md2" localSheetId="7">#REF!</definedName>
    <definedName name="_md2" localSheetId="1">#REF!</definedName>
    <definedName name="_md2" localSheetId="3">#REF!</definedName>
    <definedName name="_md2">#REF!</definedName>
    <definedName name="_md3" localSheetId="7">#REF!</definedName>
    <definedName name="_md3" localSheetId="1">#REF!</definedName>
    <definedName name="_md3" localSheetId="3">#REF!</definedName>
    <definedName name="_md3">#REF!</definedName>
    <definedName name="_md4" localSheetId="7">#REF!</definedName>
    <definedName name="_md4" localSheetId="1">#REF!</definedName>
    <definedName name="_md4" localSheetId="3">#REF!</definedName>
    <definedName name="_md4">#REF!</definedName>
    <definedName name="_md5" localSheetId="7">#REF!</definedName>
    <definedName name="_md5" localSheetId="1">#REF!</definedName>
    <definedName name="_md5" localSheetId="3">#REF!</definedName>
    <definedName name="_md5">#REF!</definedName>
    <definedName name="_md6" localSheetId="7">#REF!</definedName>
    <definedName name="_md6" localSheetId="1">#REF!</definedName>
    <definedName name="_md6" localSheetId="3">#REF!</definedName>
    <definedName name="_md6">#REF!</definedName>
    <definedName name="_md7" localSheetId="7">#REF!</definedName>
    <definedName name="_md7" localSheetId="1">#REF!</definedName>
    <definedName name="_md7" localSheetId="3">#REF!</definedName>
    <definedName name="_md7">#REF!</definedName>
    <definedName name="_md8" localSheetId="7">#REF!</definedName>
    <definedName name="_md8" localSheetId="1">#REF!</definedName>
    <definedName name="_md8" localSheetId="3">#REF!</definedName>
    <definedName name="_md8">#REF!</definedName>
    <definedName name="_md9" localSheetId="7">#REF!</definedName>
    <definedName name="_md9" localSheetId="1">#REF!</definedName>
    <definedName name="_md9" localSheetId="3">#REF!</definedName>
    <definedName name="_md9">#REF!</definedName>
    <definedName name="_MF1" localSheetId="7">#REF!</definedName>
    <definedName name="_MF1" localSheetId="1">#REF!</definedName>
    <definedName name="_MF1" localSheetId="3">#REF!</definedName>
    <definedName name="_MF1">#REF!</definedName>
    <definedName name="_mix1" localSheetId="7">#REF!</definedName>
    <definedName name="_mix1" localSheetId="1">#REF!</definedName>
    <definedName name="_mix1" localSheetId="3">#REF!</definedName>
    <definedName name="_mix1">#REF!</definedName>
    <definedName name="_mix10">4.5</definedName>
    <definedName name="_mix15">264/50</definedName>
    <definedName name="_mix2" localSheetId="7">#REF!</definedName>
    <definedName name="_mix2" localSheetId="1">#REF!</definedName>
    <definedName name="_mix2" localSheetId="3">#REF!</definedName>
    <definedName name="_mix2">#REF!</definedName>
    <definedName name="_mix20">330/50</definedName>
    <definedName name="_mix30">350/50</definedName>
    <definedName name="_mix40">450/50</definedName>
    <definedName name="_miy1" localSheetId="7">#REF!</definedName>
    <definedName name="_miy1" localSheetId="1">#REF!</definedName>
    <definedName name="_miy1" localSheetId="3">#REF!</definedName>
    <definedName name="_miy1">#REF!</definedName>
    <definedName name="_miy2" localSheetId="7">#REF!</definedName>
    <definedName name="_miy2" localSheetId="1">#REF!</definedName>
    <definedName name="_miy2" localSheetId="3">#REF!</definedName>
    <definedName name="_miy2">#REF!</definedName>
    <definedName name="_MM1" localSheetId="7">#REF!</definedName>
    <definedName name="_MM1" localSheetId="1">#REF!</definedName>
    <definedName name="_MM1" localSheetId="3">#REF!</definedName>
    <definedName name="_MM1">#REF!</definedName>
    <definedName name="_MM2" localSheetId="7">#REF!</definedName>
    <definedName name="_MM2" localSheetId="1">#REF!</definedName>
    <definedName name="_MM2" localSheetId="3">#REF!</definedName>
    <definedName name="_MM2">#REF!</definedName>
    <definedName name="_mm3" localSheetId="7">#REF!</definedName>
    <definedName name="_mm3" localSheetId="1">#REF!</definedName>
    <definedName name="_mm3" localSheetId="3">#REF!</definedName>
    <definedName name="_mm3">#REF!</definedName>
    <definedName name="_MMB220" localSheetId="7">#REF!</definedName>
    <definedName name="_MMB220" localSheetId="1">#REF!</definedName>
    <definedName name="_MMB220" localSheetId="3">#REF!</definedName>
    <definedName name="_MMB220">#REF!</definedName>
    <definedName name="_mnk1" localSheetId="7">#REF!</definedName>
    <definedName name="_mnk1" localSheetId="1">#REF!</definedName>
    <definedName name="_mnk1" localSheetId="3">#REF!</definedName>
    <definedName name="_mnk1">#REF!</definedName>
    <definedName name="_MR10"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T20" localSheetId="7">#REF!</definedName>
    <definedName name="_MT20" localSheetId="1">#REF!</definedName>
    <definedName name="_MT20" localSheetId="3">#REF!</definedName>
    <definedName name="_MT20">#REF!</definedName>
    <definedName name="_MT40" localSheetId="7">#REF!</definedName>
    <definedName name="_MT40" localSheetId="1">#REF!</definedName>
    <definedName name="_MT40" localSheetId="3">#REF!</definedName>
    <definedName name="_MT40">#REF!</definedName>
    <definedName name="_MT90" localSheetId="7">#REF!</definedName>
    <definedName name="_MT90" localSheetId="1">#REF!</definedName>
    <definedName name="_MT90" localSheetId="3">#REF!</definedName>
    <definedName name="_MT90">#REF!</definedName>
    <definedName name="_mux1" localSheetId="7">#REF!</definedName>
    <definedName name="_mux1" localSheetId="1">#REF!</definedName>
    <definedName name="_mux1" localSheetId="3">#REF!</definedName>
    <definedName name="_mux1">#REF!</definedName>
    <definedName name="_muy1" localSheetId="7">#REF!</definedName>
    <definedName name="_muy1" localSheetId="1">#REF!</definedName>
    <definedName name="_muy1" localSheetId="3">#REF!</definedName>
    <definedName name="_muy1">#REF!</definedName>
    <definedName name="_NN1" localSheetId="7">#REF!</definedName>
    <definedName name="_NN1" localSheetId="1">#REF!</definedName>
    <definedName name="_NN1" localSheetId="3">#REF!</definedName>
    <definedName name="_NN1">#REF!</definedName>
    <definedName name="_nt75" localSheetId="7">#REF!</definedName>
    <definedName name="_nt75" localSheetId="1">#REF!</definedName>
    <definedName name="_nt75" localSheetId="3">#REF!</definedName>
    <definedName name="_nt75">#REF!</definedName>
    <definedName name="_OC43" localSheetId="7">#REF!</definedName>
    <definedName name="_OC43" localSheetId="1">#REF!</definedName>
    <definedName name="_OC43" localSheetId="3">#REF!</definedName>
    <definedName name="_OC43">#REF!</definedName>
    <definedName name="_OPC4" localSheetId="7">#REF!</definedName>
    <definedName name="_OPC4" localSheetId="1">#REF!</definedName>
    <definedName name="_OPC4" localSheetId="3">#REF!</definedName>
    <definedName name="_OPC4">#REF!</definedName>
    <definedName name="_OPC53" localSheetId="7">#REF!</definedName>
    <definedName name="_OPC53" localSheetId="1">#REF!</definedName>
    <definedName name="_OPC53" localSheetId="3">#REF!</definedName>
    <definedName name="_OPC53">#REF!</definedName>
    <definedName name="_Order1" hidden="1">255</definedName>
    <definedName name="_Order1_1" hidden="1">0</definedName>
    <definedName name="_Order2" hidden="1">255</definedName>
    <definedName name="_Order2_1" hidden="1">0</definedName>
    <definedName name="_Order2_2" hidden="1">255</definedName>
    <definedName name="_oz1" localSheetId="7">#REF!</definedName>
    <definedName name="_oz1" localSheetId="1">#REF!</definedName>
    <definedName name="_oz1" localSheetId="3">#REF!</definedName>
    <definedName name="_oz1">#REF!</definedName>
    <definedName name="_pan1" localSheetId="7">#REF!</definedName>
    <definedName name="_pan1" localSheetId="1">#REF!</definedName>
    <definedName name="_pan1" localSheetId="3">#REF!</definedName>
    <definedName name="_pan1">#REF!</definedName>
    <definedName name="_PAN2" localSheetId="7">#REF!</definedName>
    <definedName name="_PAN2" localSheetId="1">#REF!</definedName>
    <definedName name="_PAN2" localSheetId="3">#REF!</definedName>
    <definedName name="_PAN2">#REF!</definedName>
    <definedName name="_Parse_Out" localSheetId="7" hidden="1">#REF!</definedName>
    <definedName name="_Parse_Out" localSheetId="1" hidden="1">#REF!</definedName>
    <definedName name="_Parse_Out" localSheetId="3" hidden="1">#REF!</definedName>
    <definedName name="_Parse_Out" hidden="1">#REF!</definedName>
    <definedName name="_PB1" localSheetId="7">#REF!</definedName>
    <definedName name="_PB1" localSheetId="1">#REF!</definedName>
    <definedName name="_PB1" localSheetId="3">#REF!</definedName>
    <definedName name="_PB1">#REF!</definedName>
    <definedName name="_pcc1" localSheetId="7">#REF!</definedName>
    <definedName name="_pcc1" localSheetId="1">#REF!</definedName>
    <definedName name="_pcc1" localSheetId="3">#REF!</definedName>
    <definedName name="_pcc1">#REF!</definedName>
    <definedName name="_pcc2" localSheetId="7">#REF!</definedName>
    <definedName name="_pcc2" localSheetId="1">#REF!</definedName>
    <definedName name="_pcc2" localSheetId="3">#REF!</definedName>
    <definedName name="_pcc2">#REF!</definedName>
    <definedName name="_pcc3" localSheetId="7">#REF!</definedName>
    <definedName name="_pcc3" localSheetId="1">#REF!</definedName>
    <definedName name="_pcc3" localSheetId="3">#REF!</definedName>
    <definedName name="_pcc3">#REF!</definedName>
    <definedName name="_PCC4" localSheetId="7">#REF!</definedName>
    <definedName name="_PCC4" localSheetId="1">#REF!</definedName>
    <definedName name="_PCC4" localSheetId="3">#REF!</definedName>
    <definedName name="_PCC4">#REF!</definedName>
    <definedName name="_plb1" localSheetId="7">#REF!</definedName>
    <definedName name="_plb1" localSheetId="1">#REF!</definedName>
    <definedName name="_plb1" localSheetId="3">#REF!</definedName>
    <definedName name="_plb1">#REF!</definedName>
    <definedName name="_plb2" localSheetId="7">#REF!</definedName>
    <definedName name="_plb2" localSheetId="1">#REF!</definedName>
    <definedName name="_plb2" localSheetId="3">#REF!</definedName>
    <definedName name="_plb2">#REF!</definedName>
    <definedName name="_plb3" localSheetId="7">#REF!</definedName>
    <definedName name="_plb3" localSheetId="1">#REF!</definedName>
    <definedName name="_plb3" localSheetId="3">#REF!</definedName>
    <definedName name="_plb3">#REF!</definedName>
    <definedName name="_plb4" localSheetId="7">#REF!</definedName>
    <definedName name="_plb4" localSheetId="1">#REF!</definedName>
    <definedName name="_plb4" localSheetId="3">#REF!</definedName>
    <definedName name="_plb4">#REF!</definedName>
    <definedName name="_PLF1" localSheetId="7">#REF!</definedName>
    <definedName name="_PLF1" localSheetId="1">#REF!</definedName>
    <definedName name="_PLF1" localSheetId="3">#REF!</definedName>
    <definedName name="_PLF1">#REF!</definedName>
    <definedName name="_PLF2" localSheetId="7">#REF!</definedName>
    <definedName name="_PLF2" localSheetId="1">#REF!</definedName>
    <definedName name="_PLF2" localSheetId="3">#REF!</definedName>
    <definedName name="_PLF2">#REF!</definedName>
    <definedName name="_PLF3" localSheetId="7">#REF!</definedName>
    <definedName name="_PLF3" localSheetId="1">#REF!</definedName>
    <definedName name="_PLF3" localSheetId="3">#REF!</definedName>
    <definedName name="_PLF3">#REF!</definedName>
    <definedName name="_PPRN3..AF242" localSheetId="7">#REF!</definedName>
    <definedName name="_PPRN3..AF242" localSheetId="1">#REF!</definedName>
    <definedName name="_PPRN3..AF242" localSheetId="3">#REF!</definedName>
    <definedName name="_PPRN3..AF242">#REF!</definedName>
    <definedName name="_PRN1" localSheetId="5" hidden="1">{#N/A,#N/A,FALSE,"COVER.XLS";#N/A,#N/A,FALSE,"RACT1.XLS";#N/A,#N/A,FALSE,"RACT2.XLS";#N/A,#N/A,FALSE,"ECCMP";#N/A,#N/A,FALSE,"WELDER.XLS"}</definedName>
    <definedName name="_PRN1" localSheetId="2" hidden="1">{#N/A,#N/A,FALSE,"COVER.XLS";#N/A,#N/A,FALSE,"RACT1.XLS";#N/A,#N/A,FALSE,"RACT2.XLS";#N/A,#N/A,FALSE,"ECCMP";#N/A,#N/A,FALSE,"WELDER.XLS"}</definedName>
    <definedName name="_r" localSheetId="7">#REF!</definedName>
    <definedName name="_r" localSheetId="1">#REF!</definedName>
    <definedName name="_r" localSheetId="3">#REF!</definedName>
    <definedName name="_r">#REF!</definedName>
    <definedName name="_rab20" localSheetId="7">#REF!</definedName>
    <definedName name="_rab20" localSheetId="1">#REF!</definedName>
    <definedName name="_rab20" localSheetId="3">#REF!</definedName>
    <definedName name="_rab20">#REF!</definedName>
    <definedName name="_ram1" localSheetId="5" hidden="1">{#N/A,#N/A,FALSE,"gc (2)"}</definedName>
    <definedName name="_ram1" localSheetId="2" hidden="1">{#N/A,#N/A,FALSE,"gc (2)"}</definedName>
    <definedName name="_Regression_X" localSheetId="7" hidden="1">#REF!</definedName>
    <definedName name="_Regression_X" localSheetId="1" hidden="1">#REF!</definedName>
    <definedName name="_Regression_X" localSheetId="3" hidden="1">#REF!</definedName>
    <definedName name="_Regression_X" hidden="1">#REF!</definedName>
    <definedName name="_rel1">#N/A</definedName>
    <definedName name="_rel1_1">#N/A</definedName>
    <definedName name="_rel2">#N/A</definedName>
    <definedName name="_rel2_1">#N/A</definedName>
    <definedName name="_rig1">#N/A</definedName>
    <definedName name="_rig1_1">#N/A</definedName>
    <definedName name="_rig2">#N/A</definedName>
    <definedName name="_rig2_1">#N/A</definedName>
    <definedName name="_Rl1" localSheetId="7">#REF!</definedName>
    <definedName name="_Rl1" localSheetId="1">#REF!</definedName>
    <definedName name="_Rl1" localSheetId="3">#REF!</definedName>
    <definedName name="_Rl1">#REF!</definedName>
    <definedName name="_Rs1" localSheetId="7">#REF!</definedName>
    <definedName name="_Rs1" localSheetId="1">#REF!</definedName>
    <definedName name="_Rs1" localSheetId="3">#REF!</definedName>
    <definedName name="_Rs1">#REF!</definedName>
    <definedName name="_RVAE306___DOWN" localSheetId="7">#REF!</definedName>
    <definedName name="_RVAE306___DOWN" localSheetId="1">#REF!</definedName>
    <definedName name="_RVAE306___DOWN" localSheetId="3">#REF!</definedName>
    <definedName name="_RVAE306___DOWN">#REF!</definedName>
    <definedName name="_RVAE358___DOWN" localSheetId="7">#REF!</definedName>
    <definedName name="_RVAE358___DOWN" localSheetId="1">#REF!</definedName>
    <definedName name="_RVAE358___DOWN" localSheetId="3">#REF!</definedName>
    <definedName name="_RVAE358___DOWN">#REF!</definedName>
    <definedName name="_RVAE395___DOWN" localSheetId="7">#REF!</definedName>
    <definedName name="_RVAE395___DOWN" localSheetId="1">#REF!</definedName>
    <definedName name="_RVAE395___DOWN" localSheetId="3">#REF!</definedName>
    <definedName name="_RVAE395___DOWN">#REF!</definedName>
    <definedName name="_RVY53..AE53__" localSheetId="7">#REF!</definedName>
    <definedName name="_RVY53..AE53__" localSheetId="1">#REF!</definedName>
    <definedName name="_RVY53..AE53__" localSheetId="3">#REF!</definedName>
    <definedName name="_RVY53..AE53__">#REF!</definedName>
    <definedName name="_S12" localSheetId="7">#REF!</definedName>
    <definedName name="_S12" localSheetId="1">#REF!</definedName>
    <definedName name="_S12" localSheetId="3">#REF!</definedName>
    <definedName name="_S12">#REF!</definedName>
    <definedName name="_s41" localSheetId="5" hidden="1">{"form-D1",#N/A,FALSE,"FORM-D1";"form-D1_amt",#N/A,FALSE,"FORM-D1"}</definedName>
    <definedName name="_s41" localSheetId="2" hidden="1">{"form-D1",#N/A,FALSE,"FORM-D1";"form-D1_amt",#N/A,FALSE,"FORM-D1"}</definedName>
    <definedName name="_s41_1" localSheetId="5" hidden="1">{"form-D1",#N/A,FALSE,"FORM-D1";"form-D1_amt",#N/A,FALSE,"FORM-D1"}</definedName>
    <definedName name="_s41_1" localSheetId="2" hidden="1">{"form-D1",#N/A,FALSE,"FORM-D1";"form-D1_amt",#N/A,FALSE,"FORM-D1"}</definedName>
    <definedName name="_s41_1_1" localSheetId="5" hidden="1">{"form-D1",#N/A,FALSE,"FORM-D1";"form-D1_amt",#N/A,FALSE,"FORM-D1"}</definedName>
    <definedName name="_s41_1_1" localSheetId="2" hidden="1">{"form-D1",#N/A,FALSE,"FORM-D1";"form-D1_amt",#N/A,FALSE,"FORM-D1"}</definedName>
    <definedName name="_s41_1_2" localSheetId="5" hidden="1">{"form-D1",#N/A,FALSE,"FORM-D1";"form-D1_amt",#N/A,FALSE,"FORM-D1"}</definedName>
    <definedName name="_s41_1_2" localSheetId="2" hidden="1">{"form-D1",#N/A,FALSE,"FORM-D1";"form-D1_amt",#N/A,FALSE,"FORM-D1"}</definedName>
    <definedName name="_s41_2" localSheetId="5" hidden="1">{"form-D1",#N/A,FALSE,"FORM-D1";"form-D1_amt",#N/A,FALSE,"FORM-D1"}</definedName>
    <definedName name="_s41_2" localSheetId="2" hidden="1">{"form-D1",#N/A,FALSE,"FORM-D1";"form-D1_amt",#N/A,FALSE,"FORM-D1"}</definedName>
    <definedName name="_s41_2_1" localSheetId="5" hidden="1">{"form-D1",#N/A,FALSE,"FORM-D1";"form-D1_amt",#N/A,FALSE,"FORM-D1"}</definedName>
    <definedName name="_s41_2_1" localSheetId="2" hidden="1">{"form-D1",#N/A,FALSE,"FORM-D1";"form-D1_amt",#N/A,FALSE,"FORM-D1"}</definedName>
    <definedName name="_s41_3" localSheetId="5" hidden="1">{"form-D1",#N/A,FALSE,"FORM-D1";"form-D1_amt",#N/A,FALSE,"FORM-D1"}</definedName>
    <definedName name="_s41_3" localSheetId="2" hidden="1">{"form-D1",#N/A,FALSE,"FORM-D1";"form-D1_amt",#N/A,FALSE,"FORM-D1"}</definedName>
    <definedName name="_s41_3_1" localSheetId="5" hidden="1">{"form-D1",#N/A,FALSE,"FORM-D1";"form-D1_amt",#N/A,FALSE,"FORM-D1"}</definedName>
    <definedName name="_s41_3_1" localSheetId="2" hidden="1">{"form-D1",#N/A,FALSE,"FORM-D1";"form-D1_amt",#N/A,FALSE,"FORM-D1"}</definedName>
    <definedName name="_s41_4" localSheetId="5" hidden="1">{"form-D1",#N/A,FALSE,"FORM-D1";"form-D1_amt",#N/A,FALSE,"FORM-D1"}</definedName>
    <definedName name="_s41_4" localSheetId="2" hidden="1">{"form-D1",#N/A,FALSE,"FORM-D1";"form-D1_amt",#N/A,FALSE,"FORM-D1"}</definedName>
    <definedName name="_s41_4_1" localSheetId="5" hidden="1">{"form-D1",#N/A,FALSE,"FORM-D1";"form-D1_amt",#N/A,FALSE,"FORM-D1"}</definedName>
    <definedName name="_s41_4_1" localSheetId="2" hidden="1">{"form-D1",#N/A,FALSE,"FORM-D1";"form-D1_amt",#N/A,FALSE,"FORM-D1"}</definedName>
    <definedName name="_s41_5" localSheetId="5" hidden="1">{"form-D1",#N/A,FALSE,"FORM-D1";"form-D1_amt",#N/A,FALSE,"FORM-D1"}</definedName>
    <definedName name="_s41_5" localSheetId="2" hidden="1">{"form-D1",#N/A,FALSE,"FORM-D1";"form-D1_amt",#N/A,FALSE,"FORM-D1"}</definedName>
    <definedName name="_s41_5_1" localSheetId="5" hidden="1">{"form-D1",#N/A,FALSE,"FORM-D1";"form-D1_amt",#N/A,FALSE,"FORM-D1"}</definedName>
    <definedName name="_s41_5_1" localSheetId="2" hidden="1">{"form-D1",#N/A,FALSE,"FORM-D1";"form-D1_amt",#N/A,FALSE,"FORM-D1"}</definedName>
    <definedName name="_sec1" localSheetId="7">#REF!</definedName>
    <definedName name="_sec1" localSheetId="1">#REF!</definedName>
    <definedName name="_sec1" localSheetId="3">#REF!</definedName>
    <definedName name="_sec1">#REF!</definedName>
    <definedName name="_sec111" localSheetId="7">#REF!</definedName>
    <definedName name="_sec111" localSheetId="1">#REF!</definedName>
    <definedName name="_sec111" localSheetId="3">#REF!</definedName>
    <definedName name="_sec111">#REF!</definedName>
    <definedName name="_SEC15" localSheetId="7">#REF!</definedName>
    <definedName name="_SEC15" localSheetId="1">#REF!</definedName>
    <definedName name="_SEC15" localSheetId="3">#REF!</definedName>
    <definedName name="_SEC15">#REF!</definedName>
    <definedName name="_Sec2" localSheetId="7">#REF!</definedName>
    <definedName name="_Sec2" localSheetId="1">#REF!</definedName>
    <definedName name="_Sec2" localSheetId="3">#REF!</definedName>
    <definedName name="_Sec2">#REF!</definedName>
    <definedName name="_sec22" localSheetId="7">#REF!</definedName>
    <definedName name="_sec22" localSheetId="1">#REF!</definedName>
    <definedName name="_sec22" localSheetId="3">#REF!</definedName>
    <definedName name="_sec22">#REF!</definedName>
    <definedName name="_SEC23" localSheetId="7">#REF!</definedName>
    <definedName name="_SEC23" localSheetId="1">#REF!</definedName>
    <definedName name="_SEC23" localSheetId="3">#REF!</definedName>
    <definedName name="_SEC23">#REF!</definedName>
    <definedName name="_SEC24" localSheetId="7">#REF!</definedName>
    <definedName name="_SEC24" localSheetId="1">#REF!</definedName>
    <definedName name="_SEC24" localSheetId="3">#REF!</definedName>
    <definedName name="_SEC24">#REF!</definedName>
    <definedName name="_sec3" localSheetId="7">#REF!</definedName>
    <definedName name="_sec3" localSheetId="1">#REF!</definedName>
    <definedName name="_sec3" localSheetId="3">#REF!</definedName>
    <definedName name="_sec3">#REF!</definedName>
    <definedName name="_SEC32" localSheetId="7">#REF!</definedName>
    <definedName name="_SEC32" localSheetId="1">#REF!</definedName>
    <definedName name="_SEC32" localSheetId="3">#REF!</definedName>
    <definedName name="_SEC32">#REF!</definedName>
    <definedName name="_sec33" localSheetId="7">#REF!</definedName>
    <definedName name="_sec33" localSheetId="1">#REF!</definedName>
    <definedName name="_sec33" localSheetId="3">#REF!</definedName>
    <definedName name="_sec33">#REF!</definedName>
    <definedName name="_Sec4" localSheetId="7">#REF!</definedName>
    <definedName name="_Sec4" localSheetId="1">#REF!</definedName>
    <definedName name="_Sec4" localSheetId="3">#REF!</definedName>
    <definedName name="_Sec4">#REF!</definedName>
    <definedName name="_sec45" localSheetId="7">#REF!</definedName>
    <definedName name="_sec45" localSheetId="1">#REF!</definedName>
    <definedName name="_sec45" localSheetId="3">#REF!</definedName>
    <definedName name="_sec45">#REF!</definedName>
    <definedName name="_SEC46" localSheetId="7">#REF!</definedName>
    <definedName name="_SEC46" localSheetId="1">#REF!</definedName>
    <definedName name="_SEC46" localSheetId="3">#REF!</definedName>
    <definedName name="_SEC46">#REF!</definedName>
    <definedName name="_sec5" localSheetId="7">#REF!</definedName>
    <definedName name="_sec5" localSheetId="1">#REF!</definedName>
    <definedName name="_sec5" localSheetId="3">#REF!</definedName>
    <definedName name="_sec5">#REF!</definedName>
    <definedName name="_sec55" localSheetId="7">#REF!</definedName>
    <definedName name="_sec55" localSheetId="1">#REF!</definedName>
    <definedName name="_sec55" localSheetId="3">#REF!</definedName>
    <definedName name="_sec55">#REF!</definedName>
    <definedName name="_SEC56" localSheetId="7">#REF!</definedName>
    <definedName name="_SEC56" localSheetId="1">#REF!</definedName>
    <definedName name="_SEC56" localSheetId="3">#REF!</definedName>
    <definedName name="_SEC56">#REF!</definedName>
    <definedName name="_sec6" localSheetId="7">#REF!</definedName>
    <definedName name="_sec6" localSheetId="1">#REF!</definedName>
    <definedName name="_sec6" localSheetId="3">#REF!</definedName>
    <definedName name="_sec6">#REF!</definedName>
    <definedName name="_sec66" localSheetId="7">#REF!</definedName>
    <definedName name="_sec66" localSheetId="1">#REF!</definedName>
    <definedName name="_sec66" localSheetId="3">#REF!</definedName>
    <definedName name="_sec66">#REF!</definedName>
    <definedName name="_SEC67" localSheetId="7">#REF!</definedName>
    <definedName name="_SEC67" localSheetId="1">#REF!</definedName>
    <definedName name="_SEC67" localSheetId="3">#REF!</definedName>
    <definedName name="_SEC67">#REF!</definedName>
    <definedName name="_sec7" localSheetId="7">#REF!</definedName>
    <definedName name="_sec7" localSheetId="1">#REF!</definedName>
    <definedName name="_sec7" localSheetId="3">#REF!</definedName>
    <definedName name="_sec7">#REF!</definedName>
    <definedName name="_sec71" localSheetId="7">#REF!</definedName>
    <definedName name="_sec71" localSheetId="1">#REF!</definedName>
    <definedName name="_sec71" localSheetId="3">#REF!</definedName>
    <definedName name="_sec71">#REF!</definedName>
    <definedName name="_SEC72" localSheetId="7">#REF!</definedName>
    <definedName name="_SEC72" localSheetId="1">#REF!</definedName>
    <definedName name="_SEC72" localSheetId="3">#REF!</definedName>
    <definedName name="_SEC72">#REF!</definedName>
    <definedName name="_SEC74" localSheetId="7">#REF!</definedName>
    <definedName name="_SEC74" localSheetId="1">#REF!</definedName>
    <definedName name="_SEC74" localSheetId="3">#REF!</definedName>
    <definedName name="_SEC74">#REF!</definedName>
    <definedName name="_SEC75" localSheetId="7">#REF!</definedName>
    <definedName name="_SEC75" localSheetId="1">#REF!</definedName>
    <definedName name="_SEC75" localSheetId="3">#REF!</definedName>
    <definedName name="_SEC75">#REF!</definedName>
    <definedName name="_SEC77" localSheetId="7">#REF!</definedName>
    <definedName name="_SEC77" localSheetId="1">#REF!</definedName>
    <definedName name="_SEC77" localSheetId="3">#REF!</definedName>
    <definedName name="_SEC77">#REF!</definedName>
    <definedName name="_sec777" localSheetId="7">#REF!</definedName>
    <definedName name="_sec777" localSheetId="1">#REF!</definedName>
    <definedName name="_sec777" localSheetId="3">#REF!</definedName>
    <definedName name="_sec777">#REF!</definedName>
    <definedName name="_sec78" localSheetId="7">#REF!</definedName>
    <definedName name="_sec78" localSheetId="1">#REF!</definedName>
    <definedName name="_sec78" localSheetId="3">#REF!</definedName>
    <definedName name="_sec78">#REF!</definedName>
    <definedName name="_sec79" localSheetId="7">#REF!</definedName>
    <definedName name="_sec79" localSheetId="1">#REF!</definedName>
    <definedName name="_sec79" localSheetId="3">#REF!</definedName>
    <definedName name="_sec79">#REF!</definedName>
    <definedName name="_sec8" localSheetId="7">#REF!</definedName>
    <definedName name="_sec8" localSheetId="1">#REF!</definedName>
    <definedName name="_sec8" localSheetId="3">#REF!</definedName>
    <definedName name="_sec8">#REF!</definedName>
    <definedName name="_sec81" localSheetId="7">#REF!</definedName>
    <definedName name="_sec81" localSheetId="1">#REF!</definedName>
    <definedName name="_sec81" localSheetId="3">#REF!</definedName>
    <definedName name="_sec81">#REF!</definedName>
    <definedName name="_SEC82" localSheetId="7">#REF!</definedName>
    <definedName name="_SEC82" localSheetId="1">#REF!</definedName>
    <definedName name="_SEC82" localSheetId="3">#REF!</definedName>
    <definedName name="_SEC82">#REF!</definedName>
    <definedName name="_SEC83" localSheetId="7">#REF!</definedName>
    <definedName name="_SEC83" localSheetId="1">#REF!</definedName>
    <definedName name="_SEC83" localSheetId="3">#REF!</definedName>
    <definedName name="_SEC83">#REF!</definedName>
    <definedName name="_SEC87" localSheetId="7">#REF!</definedName>
    <definedName name="_SEC87" localSheetId="1">#REF!</definedName>
    <definedName name="_SEC87" localSheetId="3">#REF!</definedName>
    <definedName name="_SEC87">#REF!</definedName>
    <definedName name="_SEC88" localSheetId="7">#REF!</definedName>
    <definedName name="_SEC88" localSheetId="1">#REF!</definedName>
    <definedName name="_SEC88" localSheetId="3">#REF!</definedName>
    <definedName name="_SEC88">#REF!</definedName>
    <definedName name="_sec888" localSheetId="7">#REF!</definedName>
    <definedName name="_sec888" localSheetId="1">#REF!</definedName>
    <definedName name="_sec888" localSheetId="3">#REF!</definedName>
    <definedName name="_sec888">#REF!</definedName>
    <definedName name="_sec89" localSheetId="7">#REF!</definedName>
    <definedName name="_sec89" localSheetId="1">#REF!</definedName>
    <definedName name="_sec89" localSheetId="3">#REF!</definedName>
    <definedName name="_sec89">#REF!</definedName>
    <definedName name="_sec899" localSheetId="7">#REF!</definedName>
    <definedName name="_sec899" localSheetId="1">#REF!</definedName>
    <definedName name="_sec899" localSheetId="3">#REF!</definedName>
    <definedName name="_sec899">#REF!</definedName>
    <definedName name="_SEC9" localSheetId="7">#REF!</definedName>
    <definedName name="_SEC9" localSheetId="1">#REF!</definedName>
    <definedName name="_SEC9" localSheetId="3">#REF!</definedName>
    <definedName name="_SEC9">#REF!</definedName>
    <definedName name="_SEC91" localSheetId="7">#REF!</definedName>
    <definedName name="_SEC91" localSheetId="1">#REF!</definedName>
    <definedName name="_SEC91" localSheetId="3">#REF!</definedName>
    <definedName name="_SEC91">#REF!</definedName>
    <definedName name="_SH1" localSheetId="7">#REF!</definedName>
    <definedName name="_SH1" localSheetId="1">#REF!</definedName>
    <definedName name="_SH1" localSheetId="3">#REF!</definedName>
    <definedName name="_SH1">#REF!</definedName>
    <definedName name="_SH2" localSheetId="7">#REF!</definedName>
    <definedName name="_SH2" localSheetId="1">#REF!</definedName>
    <definedName name="_SH2" localSheetId="3">#REF!</definedName>
    <definedName name="_SH2">#REF!</definedName>
    <definedName name="_SH3" localSheetId="7">#REF!</definedName>
    <definedName name="_SH3" localSheetId="1">#REF!</definedName>
    <definedName name="_SH3" localSheetId="3">#REF!</definedName>
    <definedName name="_SH3">#REF!</definedName>
    <definedName name="_SH4" localSheetId="7">#REF!</definedName>
    <definedName name="_SH4" localSheetId="1">#REF!</definedName>
    <definedName name="_SH4" localSheetId="3">#REF!</definedName>
    <definedName name="_SH4">#REF!</definedName>
    <definedName name="_SH5" localSheetId="7">#REF!</definedName>
    <definedName name="_SH5" localSheetId="1">#REF!</definedName>
    <definedName name="_SH5" localSheetId="3">#REF!</definedName>
    <definedName name="_SH5">#REF!</definedName>
    <definedName name="_sit75" localSheetId="7">#REF!</definedName>
    <definedName name="_sit75" localSheetId="1">#REF!</definedName>
    <definedName name="_sit75" localSheetId="3">#REF!</definedName>
    <definedName name="_sit75">#REF!</definedName>
    <definedName name="_Sort" localSheetId="7" hidden="1">#REF!</definedName>
    <definedName name="_Sort" localSheetId="1" hidden="1">#REF!</definedName>
    <definedName name="_Sort" localSheetId="3" hidden="1">#REF!</definedName>
    <definedName name="_Sort" hidden="1">#REF!</definedName>
    <definedName name="_SS2" localSheetId="7">#REF!</definedName>
    <definedName name="_SS2" localSheetId="1">#REF!</definedName>
    <definedName name="_SS2" localSheetId="3">#REF!</definedName>
    <definedName name="_SS2">#REF!</definedName>
    <definedName name="_sti02" localSheetId="5" hidden="1">{#N/A,#N/A,FALSE,"gc (2)"}</definedName>
    <definedName name="_sti02" localSheetId="2" hidden="1">{#N/A,#N/A,FALSE,"gc (2)"}</definedName>
    <definedName name="_t1"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5" hidden="1">{#N/A,#N/A,TRUE,"Financials";#N/A,#N/A,TRUE,"Operating Statistics";#N/A,#N/A,TRUE,"Capex &amp; Depreciation";#N/A,#N/A,TRUE,"Debt"}</definedName>
    <definedName name="_ta1" localSheetId="2" hidden="1">{#N/A,#N/A,TRUE,"Financials";#N/A,#N/A,TRUE,"Operating Statistics";#N/A,#N/A,TRUE,"Capex &amp; Depreciation";#N/A,#N/A,TRUE,"Debt"}</definedName>
    <definedName name="_tab2" localSheetId="7">#REF!</definedName>
    <definedName name="_tab2" localSheetId="1">#REF!</definedName>
    <definedName name="_tab2" localSheetId="3">#REF!</definedName>
    <definedName name="_tab2">#REF!</definedName>
    <definedName name="_Table2_In1" localSheetId="7" hidden="1">#REF!</definedName>
    <definedName name="_Table2_In1" localSheetId="1" hidden="1">#REF!</definedName>
    <definedName name="_Table2_In1" localSheetId="3" hidden="1">#REF!</definedName>
    <definedName name="_Table2_In1" hidden="1">#REF!</definedName>
    <definedName name="_Table2_In2" localSheetId="7" hidden="1">#REF!</definedName>
    <definedName name="_Table2_In2" localSheetId="1" hidden="1">#REF!</definedName>
    <definedName name="_Table2_In2" localSheetId="3" hidden="1">#REF!</definedName>
    <definedName name="_Table2_In2" hidden="1">#REF!</definedName>
    <definedName name="_Table2_Out" localSheetId="7" hidden="1">#REF!</definedName>
    <definedName name="_Table2_Out" localSheetId="1" hidden="1">#REF!</definedName>
    <definedName name="_Table2_Out" localSheetId="3" hidden="1">#REF!</definedName>
    <definedName name="_Table2_Out" hidden="1">#REF!</definedName>
    <definedName name="_tb1" localSheetId="5" hidden="1">{#N/A,#N/A,FALSE,"One Pager";#N/A,#N/A,FALSE,"Technical"}</definedName>
    <definedName name="_tb1" localSheetId="2" hidden="1">{#N/A,#N/A,FALSE,"One Pager";#N/A,#N/A,FALSE,"Technical"}</definedName>
    <definedName name="_tk1" localSheetId="7">#REF!</definedName>
    <definedName name="_tk1" localSheetId="1">#REF!</definedName>
    <definedName name="_tk1" localSheetId="3">#REF!</definedName>
    <definedName name="_tk1">#REF!</definedName>
    <definedName name="_Tkl1" localSheetId="7">#REF!</definedName>
    <definedName name="_Tkl1" localSheetId="1">#REF!</definedName>
    <definedName name="_Tkl1" localSheetId="3">#REF!</definedName>
    <definedName name="_Tkl1">#REF!</definedName>
    <definedName name="_tr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t75" localSheetId="7">#REF!</definedName>
    <definedName name="_trt75" localSheetId="1">#REF!</definedName>
    <definedName name="_trt75" localSheetId="3">#REF!</definedName>
    <definedName name="_trt75">#REF!</definedName>
    <definedName name="_tt75" localSheetId="7">#REF!</definedName>
    <definedName name="_tt75" localSheetId="1">#REF!</definedName>
    <definedName name="_tt75" localSheetId="3">#REF!</definedName>
    <definedName name="_tt75">#REF!</definedName>
    <definedName name="_UDL1" localSheetId="7">#REF!</definedName>
    <definedName name="_UDL1" localSheetId="1">#REF!</definedName>
    <definedName name="_UDL1" localSheetId="3">#REF!</definedName>
    <definedName name="_UDL1">#REF!</definedName>
    <definedName name="_UDL2" localSheetId="7">#REF!</definedName>
    <definedName name="_UDL2" localSheetId="1">#REF!</definedName>
    <definedName name="_UDL2" localSheetId="3">#REF!</definedName>
    <definedName name="_UDL2">#REF!</definedName>
    <definedName name="_UDL3" localSheetId="7">#REF!</definedName>
    <definedName name="_UDL3" localSheetId="1">#REF!</definedName>
    <definedName name="_UDL3" localSheetId="3">#REF!</definedName>
    <definedName name="_UDL3">#REF!</definedName>
    <definedName name="_Vf1" localSheetId="7">#REF!</definedName>
    <definedName name="_Vf1" localSheetId="1">#REF!</definedName>
    <definedName name="_Vf1" localSheetId="3">#REF!</definedName>
    <definedName name="_Vf1">#REF!</definedName>
    <definedName name="_Vf2" localSheetId="7">#REF!</definedName>
    <definedName name="_Vf2" localSheetId="1">#REF!</definedName>
    <definedName name="_Vf2" localSheetId="3">#REF!</definedName>
    <definedName name="_Vf2">#REF!</definedName>
    <definedName name="_vl1" localSheetId="7">#REF!</definedName>
    <definedName name="_vl1" localSheetId="1">#REF!</definedName>
    <definedName name="_vl1" localSheetId="3">#REF!</definedName>
    <definedName name="_vl1">#REF!</definedName>
    <definedName name="_vl2" localSheetId="7">#REF!</definedName>
    <definedName name="_vl2" localSheetId="1">#REF!</definedName>
    <definedName name="_vl2" localSheetId="3">#REF!</definedName>
    <definedName name="_vl2">#REF!</definedName>
    <definedName name="_vl3" localSheetId="7">#REF!</definedName>
    <definedName name="_vl3" localSheetId="1">#REF!</definedName>
    <definedName name="_vl3" localSheetId="3">#REF!</definedName>
    <definedName name="_vl3">#REF!</definedName>
    <definedName name="_WGZY_" localSheetId="7">#REF!</definedName>
    <definedName name="_WGZY_" localSheetId="1">#REF!</definedName>
    <definedName name="_WGZY_" localSheetId="3">#REF!</definedName>
    <definedName name="_WGZY_">#REF!</definedName>
    <definedName name="_wp1" localSheetId="7">#REF!</definedName>
    <definedName name="_wp1" localSheetId="1">#REF!</definedName>
    <definedName name="_wp1" localSheetId="3">#REF!</definedName>
    <definedName name="_wp1">#REF!</definedName>
    <definedName name="_wrn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5" hidden="1">{#N/A,#N/A,FALSE,"COVER1.XLS ";#N/A,#N/A,FALSE,"RACT1.XLS";#N/A,#N/A,FALSE,"RACT2.XLS";#N/A,#N/A,FALSE,"ECCMP";#N/A,#N/A,FALSE,"WELDER.XLS"}</definedName>
    <definedName name="_WRN2" localSheetId="2" hidden="1">{#N/A,#N/A,FALSE,"COVER1.XLS ";#N/A,#N/A,FALSE,"RACT1.XLS";#N/A,#N/A,FALSE,"RACT2.XLS";#N/A,#N/A,FALSE,"ECCMP";#N/A,#N/A,FALSE,"WELDER.XLS"}</definedName>
    <definedName name="_WRN3" localSheetId="5" hidden="1">{#N/A,#N/A,FALSE,"consu_cover";#N/A,#N/A,FALSE,"consu_strategy";#N/A,#N/A,FALSE,"consu_flow";#N/A,#N/A,FALSE,"Summary_reqmt";#N/A,#N/A,FALSE,"field_ppg";#N/A,#N/A,FALSE,"ppg_shop";#N/A,#N/A,FALSE,"strl";#N/A,#N/A,FALSE,"tankages";#N/A,#N/A,FALSE,"gases"}</definedName>
    <definedName name="_WRN3" localSheetId="2" hidden="1">{#N/A,#N/A,FALSE,"consu_cover";#N/A,#N/A,FALSE,"consu_strategy";#N/A,#N/A,FALSE,"consu_flow";#N/A,#N/A,FALSE,"Summary_reqmt";#N/A,#N/A,FALSE,"field_ppg";#N/A,#N/A,FALSE,"ppg_shop";#N/A,#N/A,FALSE,"strl";#N/A,#N/A,FALSE,"tankages";#N/A,#N/A,FALSE,"gases"}</definedName>
    <definedName name="_XD2" localSheetId="7">#REF!</definedName>
    <definedName name="_XD2" localSheetId="1">#REF!</definedName>
    <definedName name="_XD2" localSheetId="3">#REF!</definedName>
    <definedName name="_XD2">#REF!</definedName>
    <definedName name="_xd3" localSheetId="7">#REF!</definedName>
    <definedName name="_xd3" localSheetId="1">#REF!</definedName>
    <definedName name="_xd3" localSheetId="3">#REF!</definedName>
    <definedName name="_xd3">#REF!</definedName>
    <definedName name="_zz1" localSheetId="7">#REF!</definedName>
    <definedName name="_zz1" localSheetId="1">#REF!</definedName>
    <definedName name="_zz1" localSheetId="3">#REF!</definedName>
    <definedName name="_zz1">#REF!</definedName>
    <definedName name="a" localSheetId="7">#REF!</definedName>
    <definedName name="a" localSheetId="1">#REF!</definedName>
    <definedName name="a" localSheetId="3">#REF!</definedName>
    <definedName name="a">#REF!</definedName>
    <definedName name="A.NOS" localSheetId="7">#REF!</definedName>
    <definedName name="A.NOS" localSheetId="1">#REF!</definedName>
    <definedName name="A.NOS" localSheetId="3">#REF!</definedName>
    <definedName name="A.NOS">#REF!</definedName>
    <definedName name="a___0" localSheetId="7">#REF!</definedName>
    <definedName name="a___0" localSheetId="1">#REF!</definedName>
    <definedName name="a___0" localSheetId="3">#REF!</definedName>
    <definedName name="a___0">#REF!</definedName>
    <definedName name="a___13" localSheetId="7">#REF!</definedName>
    <definedName name="a___13" localSheetId="1">#REF!</definedName>
    <definedName name="a___13" localSheetId="3">#REF!</definedName>
    <definedName name="a___13">#REF!</definedName>
    <definedName name="A0" localSheetId="7">#REF!</definedName>
    <definedName name="A0" localSheetId="1">#REF!</definedName>
    <definedName name="A0" localSheetId="3">#REF!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 localSheetId="7">#REF!</definedName>
    <definedName name="A1." localSheetId="1">#REF!</definedName>
    <definedName name="A1." localSheetId="3">#REF!</definedName>
    <definedName name="A1.">#REF!</definedName>
    <definedName name="A1_" localSheetId="7">#REF!</definedName>
    <definedName name="A1_" localSheetId="1">#REF!</definedName>
    <definedName name="A1_" localSheetId="3">#REF!</definedName>
    <definedName name="A1_">#REF!</definedName>
    <definedName name="A1____0" localSheetId="7">#REF!</definedName>
    <definedName name="A1____0" localSheetId="1">#REF!</definedName>
    <definedName name="A1____0" localSheetId="3">#REF!</definedName>
    <definedName name="A1____0">#REF!</definedName>
    <definedName name="A1____13" localSheetId="7">#REF!</definedName>
    <definedName name="A1____13" localSheetId="1">#REF!</definedName>
    <definedName name="A1____13" localSheetId="3">#REF!</definedName>
    <definedName name="A1____13">#REF!</definedName>
    <definedName name="A1__18" localSheetId="7">#REF!</definedName>
    <definedName name="A1__18" localSheetId="1">#REF!</definedName>
    <definedName name="A1__18" localSheetId="3">#REF!</definedName>
    <definedName name="A1__18">#REF!</definedName>
    <definedName name="A10_" localSheetId="7">#REF!</definedName>
    <definedName name="A10_" localSheetId="1">#REF!</definedName>
    <definedName name="A10_" localSheetId="3">#REF!</definedName>
    <definedName name="A10_">#REF!</definedName>
    <definedName name="A10____0" localSheetId="7">#REF!</definedName>
    <definedName name="A10____0" localSheetId="1">#REF!</definedName>
    <definedName name="A10____0" localSheetId="3">#REF!</definedName>
    <definedName name="A10____0">#REF!</definedName>
    <definedName name="A10____13" localSheetId="7">#REF!</definedName>
    <definedName name="A10____13" localSheetId="1">#REF!</definedName>
    <definedName name="A10____13" localSheetId="3">#REF!</definedName>
    <definedName name="A10____13">#REF!</definedName>
    <definedName name="A10__18" localSheetId="7">#REF!</definedName>
    <definedName name="A10__18" localSheetId="1">#REF!</definedName>
    <definedName name="A10__18" localSheetId="3">#REF!</definedName>
    <definedName name="A10__18">#REF!</definedName>
    <definedName name="A13_" localSheetId="7">#REF!</definedName>
    <definedName name="A13_" localSheetId="1">#REF!</definedName>
    <definedName name="A13_" localSheetId="3">#REF!</definedName>
    <definedName name="A13_">#REF!</definedName>
    <definedName name="A13____0" localSheetId="7">#REF!</definedName>
    <definedName name="A13____0" localSheetId="1">#REF!</definedName>
    <definedName name="A13____0" localSheetId="3">#REF!</definedName>
    <definedName name="A13____0">#REF!</definedName>
    <definedName name="A13____13" localSheetId="7">#REF!</definedName>
    <definedName name="A13____13" localSheetId="1">#REF!</definedName>
    <definedName name="A13____13" localSheetId="3">#REF!</definedName>
    <definedName name="A13____13">#REF!</definedName>
    <definedName name="A13__18" localSheetId="7">#REF!</definedName>
    <definedName name="A13__18" localSheetId="1">#REF!</definedName>
    <definedName name="A13__18" localSheetId="3">#REF!</definedName>
    <definedName name="A13__18">#REF!</definedName>
    <definedName name="A1M170" localSheetId="7">#REF!</definedName>
    <definedName name="A1M170" localSheetId="1">#REF!</definedName>
    <definedName name="A1M170" localSheetId="3">#REF!</definedName>
    <definedName name="A1M170">#REF!</definedName>
    <definedName name="A2_" localSheetId="7">#REF!</definedName>
    <definedName name="A2_" localSheetId="1">#REF!</definedName>
    <definedName name="A2_" localSheetId="3">#REF!</definedName>
    <definedName name="A2_">#REF!</definedName>
    <definedName name="A2____0" localSheetId="7">#REF!</definedName>
    <definedName name="A2____0" localSheetId="1">#REF!</definedName>
    <definedName name="A2____0" localSheetId="3">#REF!</definedName>
    <definedName name="A2____0">#REF!</definedName>
    <definedName name="A2____13" localSheetId="7">#REF!</definedName>
    <definedName name="A2____13" localSheetId="1">#REF!</definedName>
    <definedName name="A2____13" localSheetId="3">#REF!</definedName>
    <definedName name="A2____13">#REF!</definedName>
    <definedName name="A2__18" localSheetId="7">#REF!</definedName>
    <definedName name="A2__18" localSheetId="1">#REF!</definedName>
    <definedName name="A2__18" localSheetId="3">#REF!</definedName>
    <definedName name="A2__18">#REF!</definedName>
    <definedName name="A3_" localSheetId="7">#REF!</definedName>
    <definedName name="A3_" localSheetId="1">#REF!</definedName>
    <definedName name="A3_" localSheetId="3">#REF!</definedName>
    <definedName name="A3_">#REF!</definedName>
    <definedName name="A3____0" localSheetId="7">#REF!</definedName>
    <definedName name="A3____0" localSheetId="1">#REF!</definedName>
    <definedName name="A3____0" localSheetId="3">#REF!</definedName>
    <definedName name="A3____0">#REF!</definedName>
    <definedName name="A3____13" localSheetId="7">#REF!</definedName>
    <definedName name="A3____13" localSheetId="1">#REF!</definedName>
    <definedName name="A3____13" localSheetId="3">#REF!</definedName>
    <definedName name="A3____13">#REF!</definedName>
    <definedName name="A3__18" localSheetId="7">#REF!</definedName>
    <definedName name="A3__18" localSheetId="1">#REF!</definedName>
    <definedName name="A3__18" localSheetId="3">#REF!</definedName>
    <definedName name="A3__18">#REF!</definedName>
    <definedName name="A4_" localSheetId="7">#REF!</definedName>
    <definedName name="A4_" localSheetId="1">#REF!</definedName>
    <definedName name="A4_" localSheetId="3">#REF!</definedName>
    <definedName name="A4_">#REF!</definedName>
    <definedName name="A4____0" localSheetId="7">#REF!</definedName>
    <definedName name="A4____0" localSheetId="1">#REF!</definedName>
    <definedName name="A4____0" localSheetId="3">#REF!</definedName>
    <definedName name="A4____0">#REF!</definedName>
    <definedName name="A4____13" localSheetId="7">#REF!</definedName>
    <definedName name="A4____13" localSheetId="1">#REF!</definedName>
    <definedName name="A4____13" localSheetId="3">#REF!</definedName>
    <definedName name="A4____13">#REF!</definedName>
    <definedName name="A4__18" localSheetId="7">#REF!</definedName>
    <definedName name="A4__18" localSheetId="1">#REF!</definedName>
    <definedName name="A4__18" localSheetId="3">#REF!</definedName>
    <definedName name="A4__18">#REF!</definedName>
    <definedName name="A5_" localSheetId="7">#REF!</definedName>
    <definedName name="A5_" localSheetId="1">#REF!</definedName>
    <definedName name="A5_" localSheetId="3">#REF!</definedName>
    <definedName name="A5_">#REF!</definedName>
    <definedName name="A5____0" localSheetId="7">#REF!</definedName>
    <definedName name="A5____0" localSheetId="1">#REF!</definedName>
    <definedName name="A5____0" localSheetId="3">#REF!</definedName>
    <definedName name="A5____0">#REF!</definedName>
    <definedName name="A5____13" localSheetId="7">#REF!</definedName>
    <definedName name="A5____13" localSheetId="1">#REF!</definedName>
    <definedName name="A5____13" localSheetId="3">#REF!</definedName>
    <definedName name="A5____13">#REF!</definedName>
    <definedName name="A5__18" localSheetId="7">#REF!</definedName>
    <definedName name="A5__18" localSheetId="1">#REF!</definedName>
    <definedName name="A5__18" localSheetId="3">#REF!</definedName>
    <definedName name="A5__18">#REF!</definedName>
    <definedName name="A6_" localSheetId="7">#REF!</definedName>
    <definedName name="A6_" localSheetId="1">#REF!</definedName>
    <definedName name="A6_" localSheetId="3">#REF!</definedName>
    <definedName name="A6_">#REF!</definedName>
    <definedName name="A6____0" localSheetId="7">#REF!</definedName>
    <definedName name="A6____0" localSheetId="1">#REF!</definedName>
    <definedName name="A6____0" localSheetId="3">#REF!</definedName>
    <definedName name="A6____0">#REF!</definedName>
    <definedName name="A6____13" localSheetId="7">#REF!</definedName>
    <definedName name="A6____13" localSheetId="1">#REF!</definedName>
    <definedName name="A6____13" localSheetId="3">#REF!</definedName>
    <definedName name="A6____13">#REF!</definedName>
    <definedName name="A6__18" localSheetId="7">#REF!</definedName>
    <definedName name="A6__18" localSheetId="1">#REF!</definedName>
    <definedName name="A6__18" localSheetId="3">#REF!</definedName>
    <definedName name="A6__18">#REF!</definedName>
    <definedName name="A7_" localSheetId="7">#REF!</definedName>
    <definedName name="A7_" localSheetId="1">#REF!</definedName>
    <definedName name="A7_" localSheetId="3">#REF!</definedName>
    <definedName name="A7_">#REF!</definedName>
    <definedName name="A7____0" localSheetId="7">#REF!</definedName>
    <definedName name="A7____0" localSheetId="1">#REF!</definedName>
    <definedName name="A7____0" localSheetId="3">#REF!</definedName>
    <definedName name="A7____0">#REF!</definedName>
    <definedName name="A7____13" localSheetId="7">#REF!</definedName>
    <definedName name="A7____13" localSheetId="1">#REF!</definedName>
    <definedName name="A7____13" localSheetId="3">#REF!</definedName>
    <definedName name="A7____13">#REF!</definedName>
    <definedName name="A7__18" localSheetId="7">#REF!</definedName>
    <definedName name="A7__18" localSheetId="1">#REF!</definedName>
    <definedName name="A7__18" localSheetId="3">#REF!</definedName>
    <definedName name="A7__18">#REF!</definedName>
    <definedName name="A8_" localSheetId="7">#REF!</definedName>
    <definedName name="A8_" localSheetId="1">#REF!</definedName>
    <definedName name="A8_" localSheetId="3">#REF!</definedName>
    <definedName name="A8_">#REF!</definedName>
    <definedName name="A8____0" localSheetId="7">#REF!</definedName>
    <definedName name="A8____0" localSheetId="1">#REF!</definedName>
    <definedName name="A8____0" localSheetId="3">#REF!</definedName>
    <definedName name="A8____0">#REF!</definedName>
    <definedName name="A8____13" localSheetId="7">#REF!</definedName>
    <definedName name="A8____13" localSheetId="1">#REF!</definedName>
    <definedName name="A8____13" localSheetId="3">#REF!</definedName>
    <definedName name="A8____13">#REF!</definedName>
    <definedName name="A8__18" localSheetId="7">#REF!</definedName>
    <definedName name="A8__18" localSheetId="1">#REF!</definedName>
    <definedName name="A8__18" localSheetId="3">#REF!</definedName>
    <definedName name="A8__18">#REF!</definedName>
    <definedName name="A9_" localSheetId="7">#REF!</definedName>
    <definedName name="A9_" localSheetId="1">#REF!</definedName>
    <definedName name="A9_" localSheetId="3">#REF!</definedName>
    <definedName name="A9_">#REF!</definedName>
    <definedName name="A9____0" localSheetId="7">#REF!</definedName>
    <definedName name="A9____0" localSheetId="1">#REF!</definedName>
    <definedName name="A9____0" localSheetId="3">#REF!</definedName>
    <definedName name="A9____0">#REF!</definedName>
    <definedName name="A9____13" localSheetId="7">#REF!</definedName>
    <definedName name="A9____13" localSheetId="1">#REF!</definedName>
    <definedName name="A9____13" localSheetId="3">#REF!</definedName>
    <definedName name="A9____13">#REF!</definedName>
    <definedName name="A9__18" localSheetId="7">#REF!</definedName>
    <definedName name="A9__18" localSheetId="1">#REF!</definedName>
    <definedName name="A9__18" localSheetId="3">#REF!</definedName>
    <definedName name="A9__18">#REF!</definedName>
    <definedName name="AA.Report.Files" localSheetId="7" hidden="1">#REF!</definedName>
    <definedName name="AA.Report.Files" localSheetId="1" hidden="1">#REF!</definedName>
    <definedName name="AA.Report.Files" localSheetId="3" hidden="1">#REF!</definedName>
    <definedName name="AA.Report.Files" hidden="1">#REF!</definedName>
    <definedName name="AA.Reports.Available" localSheetId="7" hidden="1">#REF!</definedName>
    <definedName name="AA.Reports.Available" localSheetId="1" hidden="1">#REF!</definedName>
    <definedName name="AA.Reports.Available" localSheetId="3" hidden="1">#REF!</definedName>
    <definedName name="AA.Reports.Available" hidden="1">#REF!</definedName>
    <definedName name="aaa" localSheetId="7">#REF!</definedName>
    <definedName name="aaa" localSheetId="1">#REF!</definedName>
    <definedName name="aaa" localSheetId="3">#REF!</definedName>
    <definedName name="aaa">#REF!</definedName>
    <definedName name="AAA5A" localSheetId="7">#REF!</definedName>
    <definedName name="AAA5A" localSheetId="1">#REF!</definedName>
    <definedName name="AAA5A" localSheetId="3">#REF!</definedName>
    <definedName name="AAA5A">#REF!</definedName>
    <definedName name="aaaa" localSheetId="7">#REF!</definedName>
    <definedName name="aaaa" localSheetId="1">#REF!</definedName>
    <definedName name="aaaa" localSheetId="3">#REF!</definedName>
    <definedName name="aaaa">#REF!</definedName>
    <definedName name="aaaa5" localSheetId="7">#REF!</definedName>
    <definedName name="aaaa5" localSheetId="1">#REF!</definedName>
    <definedName name="aaaa5" localSheetId="3">#REF!</definedName>
    <definedName name="aaaa5">#REF!</definedName>
    <definedName name="aaaa55" localSheetId="7">#REF!</definedName>
    <definedName name="aaaa55" localSheetId="1">#REF!</definedName>
    <definedName name="aaaa55" localSheetId="3">#REF!</definedName>
    <definedName name="aaaa55">#REF!</definedName>
    <definedName name="AAAA56" localSheetId="7">#REF!</definedName>
    <definedName name="AAAA56" localSheetId="1">#REF!</definedName>
    <definedName name="AAAA56" localSheetId="3">#REF!</definedName>
    <definedName name="AAAA56">#REF!</definedName>
    <definedName name="aaaa59" localSheetId="7">#REF!</definedName>
    <definedName name="aaaa59" localSheetId="1">#REF!</definedName>
    <definedName name="aaaa59" localSheetId="3">#REF!</definedName>
    <definedName name="aaaa59">#REF!</definedName>
    <definedName name="AAAA6" localSheetId="7">#REF!</definedName>
    <definedName name="AAAA6" localSheetId="1">#REF!</definedName>
    <definedName name="AAAA6" localSheetId="3">#REF!</definedName>
    <definedName name="AAAA6">#REF!</definedName>
    <definedName name="aaaaa" localSheetId="7">#REF!</definedName>
    <definedName name="aaaaa" localSheetId="1">#REF!</definedName>
    <definedName name="aaaaa" localSheetId="3">#REF!</definedName>
    <definedName name="aaaaa">#REF!</definedName>
    <definedName name="AAAAA5" localSheetId="7">#REF!</definedName>
    <definedName name="AAAAA5" localSheetId="1">#REF!</definedName>
    <definedName name="AAAAA5" localSheetId="3">#REF!</definedName>
    <definedName name="AAAAA5">#REF!</definedName>
    <definedName name="aaaaaa" localSheetId="7">#REF!</definedName>
    <definedName name="aaaaaa" localSheetId="1">#REF!</definedName>
    <definedName name="aaaaaa" localSheetId="3">#REF!</definedName>
    <definedName name="aaaaaa">#REF!</definedName>
    <definedName name="aaaaaaa" localSheetId="7">#REF!</definedName>
    <definedName name="aaaaaaa" localSheetId="1">#REF!</definedName>
    <definedName name="aaaaaaa" localSheetId="3">#REF!</definedName>
    <definedName name="aaaaaaa">#REF!</definedName>
    <definedName name="aaaaaaaaaaa" localSheetId="7">#REF!</definedName>
    <definedName name="aaaaaaaaaaa" localSheetId="1">#REF!</definedName>
    <definedName name="aaaaaaaaaaa" localSheetId="3">#REF!</definedName>
    <definedName name="aaaaaaaaaaa">#REF!</definedName>
    <definedName name="AAAAAAAAAAAAAAAAAAAAAAAAAAAAAAAAAAAAAA">#N/A</definedName>
    <definedName name="AAAAAAAAAAAAAAAAAAAAAAAAAAAAAAAAAAAAAAAAA" localSheetId="2">#REF!</definedName>
    <definedName name="aaasa" localSheetId="2">#REF!</definedName>
    <definedName name="aadawawdaW" localSheetId="7">#REF!</definedName>
    <definedName name="aadawawdaW" localSheetId="1">#REF!</definedName>
    <definedName name="aadawawdaW" localSheetId="3">#REF!</definedName>
    <definedName name="aadawawdaW">#REF!</definedName>
    <definedName name="aaffa" localSheetId="5" hidden="1">{#N/A,#N/A,FALSE,"COVER.XLS";#N/A,#N/A,FALSE,"RACT1.XLS";#N/A,#N/A,FALSE,"RACT2.XLS";#N/A,#N/A,FALSE,"ECCMP";#N/A,#N/A,FALSE,"WELDER.XLS"}</definedName>
    <definedName name="aaffa" localSheetId="2" hidden="1">{#N/A,#N/A,FALSE,"COVER.XLS";#N/A,#N/A,FALSE,"RACT1.XLS";#N/A,#N/A,FALSE,"RACT2.XLS";#N/A,#N/A,FALSE,"ECCMP";#N/A,#N/A,FALSE,"WELDER.XLS"}</definedName>
    <definedName name="aAXX1" localSheetId="7">#REF!</definedName>
    <definedName name="aAXX1" localSheetId="1">#REF!</definedName>
    <definedName name="aAXX1" localSheetId="3">#REF!</definedName>
    <definedName name="aAXX1">#REF!</definedName>
    <definedName name="ab" localSheetId="7">#REF!</definedName>
    <definedName name="ab" localSheetId="1">#REF!</definedName>
    <definedName name="ab" localSheetId="3">#REF!</definedName>
    <definedName name="ab">#REF!</definedName>
    <definedName name="aba" localSheetId="5" hidden="1">{#N/A,#N/A,FALSE,"COVER1.XLS ";#N/A,#N/A,FALSE,"RACT1.XLS";#N/A,#N/A,FALSE,"RACT2.XLS";#N/A,#N/A,FALSE,"ECCMP";#N/A,#N/A,FALSE,"WELDER.XLS"}</definedName>
    <definedName name="aba" localSheetId="2" hidden="1">{#N/A,#N/A,FALSE,"COVER1.XLS ";#N/A,#N/A,FALSE,"RACT1.XLS";#N/A,#N/A,FALSE,"RACT2.XLS";#N/A,#N/A,FALSE,"ECCMP";#N/A,#N/A,FALSE,"WELDER.XLS"}</definedName>
    <definedName name="abc" localSheetId="5" hidden="1">{#N/A,#N/A,TRUE,"Financials";#N/A,#N/A,TRUE,"Operating Statistics";#N/A,#N/A,TRUE,"Capex &amp; Depreciation";#N/A,#N/A,TRUE,"Debt"}</definedName>
    <definedName name="abc" localSheetId="2" hidden="1">{#N/A,#N/A,TRUE,"Financials";#N/A,#N/A,TRUE,"Operating Statistics";#N/A,#N/A,TRUE,"Capex &amp; Depreciation";#N/A,#N/A,TRUE,"Debt"}</definedName>
    <definedName name="Abs" localSheetId="7" hidden="1">#REF!</definedName>
    <definedName name="Abs" localSheetId="1" hidden="1">#REF!</definedName>
    <definedName name="Abs" localSheetId="3" hidden="1">#REF!</definedName>
    <definedName name="Abs" hidden="1">#REF!</definedName>
    <definedName name="absbill" localSheetId="7">#REF!</definedName>
    <definedName name="absbill" localSheetId="1">#REF!</definedName>
    <definedName name="absbill" localSheetId="3">#REF!</definedName>
    <definedName name="absbill">#REF!</definedName>
    <definedName name="Abst" localSheetId="7">#REF!</definedName>
    <definedName name="Abst" localSheetId="1">#REF!</definedName>
    <definedName name="Abst" localSheetId="3">#REF!</definedName>
    <definedName name="Abst">#REF!</definedName>
    <definedName name="ABSTRACT" localSheetId="7">#REF!</definedName>
    <definedName name="ABSTRACT" localSheetId="1">#REF!</definedName>
    <definedName name="ABSTRACT" localSheetId="3">#REF!</definedName>
    <definedName name="ABSTRACT">#REF!</definedName>
    <definedName name="Ac" localSheetId="5" hidden="1">{#N/A,#N/A,FALSE,"One Pager";#N/A,#N/A,FALSE,"Technical"}</definedName>
    <definedName name="Ac" localSheetId="2" hidden="1">{#N/A,#N/A,FALSE,"One Pager";#N/A,#N/A,FALSE,"Technical"}</definedName>
    <definedName name="acc" localSheetId="7">#REF!</definedName>
    <definedName name="acc" localSheetId="1">#REF!</definedName>
    <definedName name="acc" localSheetId="3">#REF!</definedName>
    <definedName name="acc">#REF!</definedName>
    <definedName name="Acc.Recon" localSheetId="7">#REF!</definedName>
    <definedName name="Acc.Recon" localSheetId="1">#REF!</definedName>
    <definedName name="Acc.Recon" localSheetId="3">#REF!</definedName>
    <definedName name="Acc.Recon">#REF!</definedName>
    <definedName name="AccessDatabase" hidden="1">"C:\data\excel\temp.mdb"</definedName>
    <definedName name="accomation" localSheetId="7" hidden="1">#REF!</definedName>
    <definedName name="accomation" localSheetId="1" hidden="1">#REF!</definedName>
    <definedName name="accomation" localSheetId="3" hidden="1">#REF!</definedName>
    <definedName name="accomation" hidden="1">#REF!</definedName>
    <definedName name="accounts" localSheetId="7">#REF!</definedName>
    <definedName name="accounts" localSheetId="1">#REF!</definedName>
    <definedName name="accounts" localSheetId="3">#REF!</definedName>
    <definedName name="accounts">#REF!</definedName>
    <definedName name="accp" localSheetId="7">#REF!</definedName>
    <definedName name="accp" localSheetId="1">#REF!</definedName>
    <definedName name="accp" localSheetId="3">#REF!</definedName>
    <definedName name="accp">#REF!</definedName>
    <definedName name="accrExpPct" localSheetId="7">#REF!</definedName>
    <definedName name="accrExpPct" localSheetId="1">#REF!</definedName>
    <definedName name="accrExpPct" localSheetId="3">#REF!</definedName>
    <definedName name="accrExpPct">#REF!</definedName>
    <definedName name="accu" localSheetId="7">#REF!</definedName>
    <definedName name="accu" localSheetId="1">#REF!</definedName>
    <definedName name="accu" localSheetId="3">#REF!</definedName>
    <definedName name="accu">#REF!</definedName>
    <definedName name="ACT" localSheetId="7">#REF!</definedName>
    <definedName name="ACT" localSheetId="1">#REF!</definedName>
    <definedName name="ACT" localSheetId="3">#REF!</definedName>
    <definedName name="ACT">#REF!</definedName>
    <definedName name="ActCode" localSheetId="7">#REF!</definedName>
    <definedName name="ActCode" localSheetId="1">#REF!</definedName>
    <definedName name="ActCode" localSheetId="3">#REF!</definedName>
    <definedName name="ActCode">#REF!</definedName>
    <definedName name="ActPilot" localSheetId="7">#REF!</definedName>
    <definedName name="ActPilot" localSheetId="1">#REF!</definedName>
    <definedName name="ActPilot" localSheetId="3">#REF!</definedName>
    <definedName name="ActPilot">#REF!</definedName>
    <definedName name="ActSignal" localSheetId="7">#REF!</definedName>
    <definedName name="ActSignal" localSheetId="1">#REF!</definedName>
    <definedName name="ActSignal" localSheetId="3">#REF!</definedName>
    <definedName name="ActSignal">#REF!</definedName>
    <definedName name="ActType" localSheetId="7">#REF!</definedName>
    <definedName name="ActType" localSheetId="1">#REF!</definedName>
    <definedName name="ActType" localSheetId="3">#REF!</definedName>
    <definedName name="ActType">#REF!</definedName>
    <definedName name="ActualCv" localSheetId="7">#REF!</definedName>
    <definedName name="ActualCv" localSheetId="1">#REF!</definedName>
    <definedName name="ActualCv" localSheetId="3">#REF!</definedName>
    <definedName name="ActualCv">#REF!</definedName>
    <definedName name="ActualPress" localSheetId="7">#REF!</definedName>
    <definedName name="ActualPress" localSheetId="1">#REF!</definedName>
    <definedName name="ActualPress" localSheetId="3">#REF!</definedName>
    <definedName name="ActualPress">#REF!</definedName>
    <definedName name="ada" localSheetId="5" hidden="1">{#N/A,#N/A,FALSE,"str_title";#N/A,#N/A,FALSE,"SUM";#N/A,#N/A,FALSE,"Scope";#N/A,#N/A,FALSE,"PIE-Jn";#N/A,#N/A,FALSE,"PIE-Jn_Hz";#N/A,#N/A,FALSE,"Liq_Plan";#N/A,#N/A,FALSE,"S_Curve";#N/A,#N/A,FALSE,"Liq_Prof";#N/A,#N/A,FALSE,"Man_Pwr";#N/A,#N/A,FALSE,"Man_Prof"}</definedName>
    <definedName name="ada" localSheetId="2" hidden="1">{#N/A,#N/A,FALSE,"str_title";#N/A,#N/A,FALSE,"SUM";#N/A,#N/A,FALSE,"Scope";#N/A,#N/A,FALSE,"PIE-Jn";#N/A,#N/A,FALSE,"PIE-Jn_Hz";#N/A,#N/A,FALSE,"Liq_Plan";#N/A,#N/A,FALSE,"S_Curve";#N/A,#N/A,FALSE,"Liq_Prof";#N/A,#N/A,FALSE,"Man_Pwr";#N/A,#N/A,FALSE,"Man_Prof"}</definedName>
    <definedName name="adad"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SASDASD" localSheetId="7">#REF!</definedName>
    <definedName name="ADADASASDASD" localSheetId="1">#REF!</definedName>
    <definedName name="ADADASASDASD" localSheetId="3">#REF!</definedName>
    <definedName name="ADADASASDASD">#REF!</definedName>
    <definedName name="adadd" localSheetId="5" hidden="1">{#N/A,#N/A,FALSE,"COVER1.XLS ";#N/A,#N/A,FALSE,"RACT1.XLS";#N/A,#N/A,FALSE,"RACT2.XLS";#N/A,#N/A,FALSE,"ECCMP";#N/A,#N/A,FALSE,"WELDER.XLS"}</definedName>
    <definedName name="adadd" localSheetId="2" hidden="1">{#N/A,#N/A,FALSE,"COVER1.XLS ";#N/A,#N/A,FALSE,"RACT1.XLS";#N/A,#N/A,FALSE,"RACT2.XLS";#N/A,#N/A,FALSE,"ECCMP";#N/A,#N/A,FALSE,"WELDER.XLS"}</definedName>
    <definedName name="ADASASDASASDASDAS" localSheetId="7">#REF!</definedName>
    <definedName name="ADASASDASASDASDAS" localSheetId="1">#REF!</definedName>
    <definedName name="ADASASDASASDASDAS" localSheetId="3">#REF!</definedName>
    <definedName name="ADASASDASASDASDAS">#REF!</definedName>
    <definedName name="ADASASDASDASDAD" localSheetId="7">#REF!</definedName>
    <definedName name="ADASASDASDASDAD" localSheetId="1">#REF!</definedName>
    <definedName name="ADASASDASDASDAD" localSheetId="3">#REF!</definedName>
    <definedName name="ADASASDASDASDAD">#REF!</definedName>
    <definedName name="ADASDASASDAS" localSheetId="7">#REF!</definedName>
    <definedName name="ADASDASASDAS" localSheetId="1">#REF!</definedName>
    <definedName name="ADASDASASDAS" localSheetId="3">#REF!</definedName>
    <definedName name="ADASDASASDAS">#REF!</definedName>
    <definedName name="ADASDASDASDAS" localSheetId="7">#REF!</definedName>
    <definedName name="ADASDASDASDAS" localSheetId="1">#REF!</definedName>
    <definedName name="ADASDASDASDAS" localSheetId="3">#REF!</definedName>
    <definedName name="ADASDASDASDAS">#REF!</definedName>
    <definedName name="ADCFDAFC" localSheetId="7">#REF!</definedName>
    <definedName name="ADCFDAFC" localSheetId="1">#REF!</definedName>
    <definedName name="ADCFDAFC" localSheetId="3">#REF!</definedName>
    <definedName name="ADCFDAFC">#REF!</definedName>
    <definedName name="ADCSADCFDAF" localSheetId="7">#REF!</definedName>
    <definedName name="ADCSADCFDAF" localSheetId="1">#REF!</definedName>
    <definedName name="ADCSADCFDAF" localSheetId="3">#REF!</definedName>
    <definedName name="ADCSADCFDAF">#REF!</definedName>
    <definedName name="addf" localSheetId="7">#REF!</definedName>
    <definedName name="addf" localSheetId="1">#REF!</definedName>
    <definedName name="addf" localSheetId="3">#REF!</definedName>
    <definedName name="addf">#REF!</definedName>
    <definedName name="additional" localSheetId="7">#REF!</definedName>
    <definedName name="additional" localSheetId="1">#REF!</definedName>
    <definedName name="additional" localSheetId="3">#REF!</definedName>
    <definedName name="additional">#REF!</definedName>
    <definedName name="additional1" localSheetId="7">#REF!</definedName>
    <definedName name="additional1" localSheetId="1">#REF!</definedName>
    <definedName name="additional1" localSheetId="3">#REF!</definedName>
    <definedName name="additional1">#REF!</definedName>
    <definedName name="ADDITIONAL2" localSheetId="7">#REF!</definedName>
    <definedName name="ADDITIONAL2" localSheetId="1">#REF!</definedName>
    <definedName name="ADDITIONAL2" localSheetId="3">#REF!</definedName>
    <definedName name="ADDITIONAL2">#REF!</definedName>
    <definedName name="Address" localSheetId="7">#REF!</definedName>
    <definedName name="Address" localSheetId="1">#REF!</definedName>
    <definedName name="Address" localSheetId="3">#REF!</definedName>
    <definedName name="Address">#REF!</definedName>
    <definedName name="adf" localSheetId="5" hidden="1">{#N/A,#N/A,FALSE,"COVER1.XLS ";#N/A,#N/A,FALSE,"RACT1.XLS";#N/A,#N/A,FALSE,"RACT2.XLS";#N/A,#N/A,FALSE,"ECCMP";#N/A,#N/A,FALSE,"WELDER.XLS"}</definedName>
    <definedName name="adf" localSheetId="2" hidden="1">{#N/A,#N/A,FALSE,"COVER1.XLS ";#N/A,#N/A,FALSE,"RACT1.XLS";#N/A,#N/A,FALSE,"RACT2.XLS";#N/A,#N/A,FALSE,"ECCMP";#N/A,#N/A,FALSE,"WELDER.XLS"}</definedName>
    <definedName name="adfadsff" localSheetId="7">#REF!</definedName>
    <definedName name="adfadsff" localSheetId="1">#REF!</definedName>
    <definedName name="adfadsff" localSheetId="3">#REF!</definedName>
    <definedName name="adfadsff">#REF!</definedName>
    <definedName name="ADFASDAD" localSheetId="7">#REF!</definedName>
    <definedName name="ADFASDAD" localSheetId="1">#REF!</definedName>
    <definedName name="ADFASDAD" localSheetId="3">#REF!</definedName>
    <definedName name="ADFASDAD">#REF!</definedName>
    <definedName name="adfd" localSheetId="7">#REF!</definedName>
    <definedName name="adfd" localSheetId="1">#REF!</definedName>
    <definedName name="adfd" localSheetId="3">#REF!</definedName>
    <definedName name="adfd">#REF!</definedName>
    <definedName name="ADFFG" localSheetId="7">#REF!</definedName>
    <definedName name="ADFFG" localSheetId="1">#REF!</definedName>
    <definedName name="ADFFG" localSheetId="3">#REF!</definedName>
    <definedName name="ADFFG">#REF!</definedName>
    <definedName name="ADFGFG" localSheetId="7">#REF!</definedName>
    <definedName name="ADFGFG" localSheetId="1">#REF!</definedName>
    <definedName name="ADFGFG" localSheetId="3">#REF!</definedName>
    <definedName name="ADFGFG">#REF!</definedName>
    <definedName name="ADFS" localSheetId="7">#REF!</definedName>
    <definedName name="ADFS" localSheetId="1">#REF!</definedName>
    <definedName name="ADFS" localSheetId="3">#REF!</definedName>
    <definedName name="ADFS">#REF!</definedName>
    <definedName name="aDividendTax" localSheetId="7">#REF!</definedName>
    <definedName name="aDividendTax" localSheetId="1">#REF!</definedName>
    <definedName name="aDividendTax" localSheetId="3">#REF!</definedName>
    <definedName name="aDividendTax">#REF!</definedName>
    <definedName name="AdminExp" localSheetId="7">#REF!</definedName>
    <definedName name="AdminExp" localSheetId="1">#REF!</definedName>
    <definedName name="AdminExp" localSheetId="3">#REF!</definedName>
    <definedName name="AdminExp">#REF!</definedName>
    <definedName name="AdminExp_I" localSheetId="7">#REF!</definedName>
    <definedName name="AdminExp_I" localSheetId="1">#REF!</definedName>
    <definedName name="AdminExp_I" localSheetId="3">#REF!</definedName>
    <definedName name="AdminExp_I">#REF!</definedName>
    <definedName name="AdminExpWash" localSheetId="7">#REF!</definedName>
    <definedName name="AdminExpWash" localSheetId="1">#REF!</definedName>
    <definedName name="AdminExpWash" localSheetId="3">#REF!</definedName>
    <definedName name="AdminExpWash">#REF!</definedName>
    <definedName name="AdminExpWash_I" localSheetId="7">#REF!</definedName>
    <definedName name="AdminExpWash_I" localSheetId="1">#REF!</definedName>
    <definedName name="AdminExpWash_I" localSheetId="3">#REF!</definedName>
    <definedName name="AdminExpWash_I">#REF!</definedName>
    <definedName name="Administrative" localSheetId="7">#REF!</definedName>
    <definedName name="Administrative" localSheetId="1">#REF!</definedName>
    <definedName name="Administrative" localSheetId="3">#REF!</definedName>
    <definedName name="Administrative">#REF!</definedName>
    <definedName name="Admix" localSheetId="7">#REF!</definedName>
    <definedName name="Admix" localSheetId="1">#REF!</definedName>
    <definedName name="Admix" localSheetId="3">#REF!</definedName>
    <definedName name="Admix">#REF!</definedName>
    <definedName name="Admixture" localSheetId="7">#REF!</definedName>
    <definedName name="Admixture" localSheetId="1">#REF!</definedName>
    <definedName name="Admixture" localSheetId="3">#REF!</definedName>
    <definedName name="Admixture">#REF!</definedName>
    <definedName name="admn_off" localSheetId="7">#REF!</definedName>
    <definedName name="admn_off" localSheetId="1">#REF!</definedName>
    <definedName name="admn_off" localSheetId="3">#REF!</definedName>
    <definedName name="admn_off">#REF!</definedName>
    <definedName name="admn_site" localSheetId="7">#REF!</definedName>
    <definedName name="admn_site" localSheetId="1">#REF!</definedName>
    <definedName name="admn_site" localSheetId="3">#REF!</definedName>
    <definedName name="admn_site">#REF!</definedName>
    <definedName name="ads" localSheetId="5" hidden="1">{#N/A,#N/A,FALSE,"COVER1.XLS ";#N/A,#N/A,FALSE,"RACT1.XLS";#N/A,#N/A,FALSE,"RACT2.XLS";#N/A,#N/A,FALSE,"ECCMP";#N/A,#N/A,FALSE,"WELDER.XLS"}</definedName>
    <definedName name="ads" localSheetId="2" hidden="1">{#N/A,#N/A,FALSE,"COVER1.XLS ";#N/A,#N/A,FALSE,"RACT1.XLS";#N/A,#N/A,FALSE,"RACT2.XLS";#N/A,#N/A,FALSE,"ECCMP";#N/A,#N/A,FALSE,"WELDER.XLS"}</definedName>
    <definedName name="afloor" localSheetId="7">#REF!</definedName>
    <definedName name="afloor" localSheetId="1">#REF!</definedName>
    <definedName name="afloor" localSheetId="3">#REF!</definedName>
    <definedName name="afloor">#REF!</definedName>
    <definedName name="aForeignDebt" localSheetId="7">#REF!</definedName>
    <definedName name="aForeignDebt" localSheetId="1">#REF!</definedName>
    <definedName name="aForeignDebt" localSheetId="3">#REF!</definedName>
    <definedName name="aForeignDebt">#REF!</definedName>
    <definedName name="Ag" localSheetId="7">#REF!</definedName>
    <definedName name="Ag" localSheetId="1">#REF!</definedName>
    <definedName name="Ag" localSheetId="3">#REF!</definedName>
    <definedName name="Ag">#REF!</definedName>
    <definedName name="Ag___0" localSheetId="7">#REF!</definedName>
    <definedName name="Ag___0" localSheetId="1">#REF!</definedName>
    <definedName name="Ag___0" localSheetId="3">#REF!</definedName>
    <definedName name="Ag___0">#REF!</definedName>
    <definedName name="Ag___13" localSheetId="7">#REF!</definedName>
    <definedName name="Ag___13" localSheetId="1">#REF!</definedName>
    <definedName name="Ag___13" localSheetId="3">#REF!</definedName>
    <definedName name="Ag___13">#REF!</definedName>
    <definedName name="Agr12mm" localSheetId="7">#REF!</definedName>
    <definedName name="Agr12mm" localSheetId="1">#REF!</definedName>
    <definedName name="Agr12mm" localSheetId="3">#REF!</definedName>
    <definedName name="Agr12mm">#REF!</definedName>
    <definedName name="Agr20mm" localSheetId="7">#REF!</definedName>
    <definedName name="Agr20mm" localSheetId="1">#REF!</definedName>
    <definedName name="Agr20mm" localSheetId="3">#REF!</definedName>
    <definedName name="Agr20mm">#REF!</definedName>
    <definedName name="Agr40mm" localSheetId="7">#REF!</definedName>
    <definedName name="Agr40mm" localSheetId="1">#REF!</definedName>
    <definedName name="Agr40mm" localSheetId="3">#REF!</definedName>
    <definedName name="Agr40mm">#REF!</definedName>
    <definedName name="Agr53mm" localSheetId="7">#REF!</definedName>
    <definedName name="Agr53mm" localSheetId="1">#REF!</definedName>
    <definedName name="Agr53mm" localSheetId="3">#REF!</definedName>
    <definedName name="Agr53mm">#REF!</definedName>
    <definedName name="Agr6mm" localSheetId="7">#REF!</definedName>
    <definedName name="Agr6mm" localSheetId="1">#REF!</definedName>
    <definedName name="Agr6mm" localSheetId="3">#REF!</definedName>
    <definedName name="Agr6mm">#REF!</definedName>
    <definedName name="agrP" localSheetId="7">#REF!</definedName>
    <definedName name="agrP" localSheetId="1">#REF!</definedName>
    <definedName name="agrP" localSheetId="3">#REF!</definedName>
    <definedName name="agrP">#REF!</definedName>
    <definedName name="ah" localSheetId="7">#REF!</definedName>
    <definedName name="ah" localSheetId="1">#REF!</definedName>
    <definedName name="ah" localSheetId="3">#REF!</definedName>
    <definedName name="ah">#REF!</definedName>
    <definedName name="ai" localSheetId="7">#REF!</definedName>
    <definedName name="ai" localSheetId="1">#REF!</definedName>
    <definedName name="ai" localSheetId="3">#REF!</definedName>
    <definedName name="ai">#REF!</definedName>
    <definedName name="aicc" localSheetId="7">#REF!</definedName>
    <definedName name="aicc" localSheetId="1">#REF!</definedName>
    <definedName name="aicc" localSheetId="3">#REF!</definedName>
    <definedName name="aicc">#REF!</definedName>
    <definedName name="aii" localSheetId="7">#REF!</definedName>
    <definedName name="aii" localSheetId="1">#REF!</definedName>
    <definedName name="aii" localSheetId="3">#REF!</definedName>
    <definedName name="aii">#REF!</definedName>
    <definedName name="Air_Conditioning" localSheetId="7">#REF!</definedName>
    <definedName name="Air_Conditioning" localSheetId="1">#REF!</definedName>
    <definedName name="Air_Conditioning" localSheetId="3">#REF!</definedName>
    <definedName name="Air_Conditioning">#REF!</definedName>
    <definedName name="aji" localSheetId="7">#REF!</definedName>
    <definedName name="aji" localSheetId="1">#REF!</definedName>
    <definedName name="aji" localSheetId="3">#REF!</definedName>
    <definedName name="aji">#REF!</definedName>
    <definedName name="ajitha" localSheetId="7">#REF!</definedName>
    <definedName name="ajitha" localSheetId="1">#REF!</definedName>
    <definedName name="ajitha" localSheetId="3">#REF!</definedName>
    <definedName name="ajitha">#REF!</definedName>
    <definedName name="ajslk" localSheetId="5" hidden="1">{"form-D1",#N/A,FALSE,"FORM-D1";"form-D1_amt",#N/A,FALSE,"FORM-D1"}</definedName>
    <definedName name="ajslk" localSheetId="2" hidden="1">{"form-D1",#N/A,FALSE,"FORM-D1";"form-D1_amt",#N/A,FALSE,"FORM-D1"}</definedName>
    <definedName name="ajslk_1" localSheetId="5" hidden="1">{"form-D1",#N/A,FALSE,"FORM-D1";"form-D1_amt",#N/A,FALSE,"FORM-D1"}</definedName>
    <definedName name="ajslk_1" localSheetId="2" hidden="1">{"form-D1",#N/A,FALSE,"FORM-D1";"form-D1_amt",#N/A,FALSE,"FORM-D1"}</definedName>
    <definedName name="ajslk_1_1" localSheetId="5" hidden="1">{"form-D1",#N/A,FALSE,"FORM-D1";"form-D1_amt",#N/A,FALSE,"FORM-D1"}</definedName>
    <definedName name="ajslk_1_1" localSheetId="2" hidden="1">{"form-D1",#N/A,FALSE,"FORM-D1";"form-D1_amt",#N/A,FALSE,"FORM-D1"}</definedName>
    <definedName name="ajslk_1_2" localSheetId="5" hidden="1">{"form-D1",#N/A,FALSE,"FORM-D1";"form-D1_amt",#N/A,FALSE,"FORM-D1"}</definedName>
    <definedName name="ajslk_1_2" localSheetId="2" hidden="1">{"form-D1",#N/A,FALSE,"FORM-D1";"form-D1_amt",#N/A,FALSE,"FORM-D1"}</definedName>
    <definedName name="ajslk_2" localSheetId="5" hidden="1">{"form-D1",#N/A,FALSE,"FORM-D1";"form-D1_amt",#N/A,FALSE,"FORM-D1"}</definedName>
    <definedName name="ajslk_2" localSheetId="2" hidden="1">{"form-D1",#N/A,FALSE,"FORM-D1";"form-D1_amt",#N/A,FALSE,"FORM-D1"}</definedName>
    <definedName name="ajslk_2_1" localSheetId="5" hidden="1">{"form-D1",#N/A,FALSE,"FORM-D1";"form-D1_amt",#N/A,FALSE,"FORM-D1"}</definedName>
    <definedName name="ajslk_2_1" localSheetId="2" hidden="1">{"form-D1",#N/A,FALSE,"FORM-D1";"form-D1_amt",#N/A,FALSE,"FORM-D1"}</definedName>
    <definedName name="ajslk_3" localSheetId="5" hidden="1">{"form-D1",#N/A,FALSE,"FORM-D1";"form-D1_amt",#N/A,FALSE,"FORM-D1"}</definedName>
    <definedName name="ajslk_3" localSheetId="2" hidden="1">{"form-D1",#N/A,FALSE,"FORM-D1";"form-D1_amt",#N/A,FALSE,"FORM-D1"}</definedName>
    <definedName name="ajslk_3_1" localSheetId="5" hidden="1">{"form-D1",#N/A,FALSE,"FORM-D1";"form-D1_amt",#N/A,FALSE,"FORM-D1"}</definedName>
    <definedName name="ajslk_3_1" localSheetId="2" hidden="1">{"form-D1",#N/A,FALSE,"FORM-D1";"form-D1_amt",#N/A,FALSE,"FORM-D1"}</definedName>
    <definedName name="ajslk_4" localSheetId="5" hidden="1">{"form-D1",#N/A,FALSE,"FORM-D1";"form-D1_amt",#N/A,FALSE,"FORM-D1"}</definedName>
    <definedName name="ajslk_4" localSheetId="2" hidden="1">{"form-D1",#N/A,FALSE,"FORM-D1";"form-D1_amt",#N/A,FALSE,"FORM-D1"}</definedName>
    <definedName name="ajslk_4_1" localSheetId="5" hidden="1">{"form-D1",#N/A,FALSE,"FORM-D1";"form-D1_amt",#N/A,FALSE,"FORM-D1"}</definedName>
    <definedName name="ajslk_4_1" localSheetId="2" hidden="1">{"form-D1",#N/A,FALSE,"FORM-D1";"form-D1_amt",#N/A,FALSE,"FORM-D1"}</definedName>
    <definedName name="ajslk_5" localSheetId="5" hidden="1">{"form-D1",#N/A,FALSE,"FORM-D1";"form-D1_amt",#N/A,FALSE,"FORM-D1"}</definedName>
    <definedName name="ajslk_5" localSheetId="2" hidden="1">{"form-D1",#N/A,FALSE,"FORM-D1";"form-D1_amt",#N/A,FALSE,"FORM-D1"}</definedName>
    <definedName name="ajslk_5_1" localSheetId="5" hidden="1">{"form-D1",#N/A,FALSE,"FORM-D1";"form-D1_amt",#N/A,FALSE,"FORM-D1"}</definedName>
    <definedName name="ajslk_5_1" localSheetId="2" hidden="1">{"form-D1",#N/A,FALSE,"FORM-D1";"form-D1_amt",#N/A,FALSE,"FORM-D1"}</definedName>
    <definedName name="ajslk1" localSheetId="5" hidden="1">{"form-D1",#N/A,FALSE,"FORM-D1";"form-D1_amt",#N/A,FALSE,"FORM-D1"}</definedName>
    <definedName name="ajslk1" localSheetId="2" hidden="1">{"form-D1",#N/A,FALSE,"FORM-D1";"form-D1_amt",#N/A,FALSE,"FORM-D1"}</definedName>
    <definedName name="ajslk1_1" localSheetId="5" hidden="1">{"form-D1",#N/A,FALSE,"FORM-D1";"form-D1_amt",#N/A,FALSE,"FORM-D1"}</definedName>
    <definedName name="ajslk1_1" localSheetId="2" hidden="1">{"form-D1",#N/A,FALSE,"FORM-D1";"form-D1_amt",#N/A,FALSE,"FORM-D1"}</definedName>
    <definedName name="ajslk1_1_1" localSheetId="5" hidden="1">{"form-D1",#N/A,FALSE,"FORM-D1";"form-D1_amt",#N/A,FALSE,"FORM-D1"}</definedName>
    <definedName name="ajslk1_1_1" localSheetId="2" hidden="1">{"form-D1",#N/A,FALSE,"FORM-D1";"form-D1_amt",#N/A,FALSE,"FORM-D1"}</definedName>
    <definedName name="ajslk1_2" localSheetId="5" hidden="1">{"form-D1",#N/A,FALSE,"FORM-D1";"form-D1_amt",#N/A,FALSE,"FORM-D1"}</definedName>
    <definedName name="ajslk1_2" localSheetId="2" hidden="1">{"form-D1",#N/A,FALSE,"FORM-D1";"form-D1_amt",#N/A,FALSE,"FORM-D1"}</definedName>
    <definedName name="ajslk1_2_1" localSheetId="5" hidden="1">{"form-D1",#N/A,FALSE,"FORM-D1";"form-D1_amt",#N/A,FALSE,"FORM-D1"}</definedName>
    <definedName name="ajslk1_2_1" localSheetId="2" hidden="1">{"form-D1",#N/A,FALSE,"FORM-D1";"form-D1_amt",#N/A,FALSE,"FORM-D1"}</definedName>
    <definedName name="ajslk1_3" localSheetId="5" hidden="1">{"form-D1",#N/A,FALSE,"FORM-D1";"form-D1_amt",#N/A,FALSE,"FORM-D1"}</definedName>
    <definedName name="ajslk1_3" localSheetId="2" hidden="1">{"form-D1",#N/A,FALSE,"FORM-D1";"form-D1_amt",#N/A,FALSE,"FORM-D1"}</definedName>
    <definedName name="ajslk1_3_1" localSheetId="5" hidden="1">{"form-D1",#N/A,FALSE,"FORM-D1";"form-D1_amt",#N/A,FALSE,"FORM-D1"}</definedName>
    <definedName name="ajslk1_3_1" localSheetId="2" hidden="1">{"form-D1",#N/A,FALSE,"FORM-D1";"form-D1_amt",#N/A,FALSE,"FORM-D1"}</definedName>
    <definedName name="ajslk1_4" localSheetId="5" hidden="1">{"form-D1",#N/A,FALSE,"FORM-D1";"form-D1_amt",#N/A,FALSE,"FORM-D1"}</definedName>
    <definedName name="ajslk1_4" localSheetId="2" hidden="1">{"form-D1",#N/A,FALSE,"FORM-D1";"form-D1_amt",#N/A,FALSE,"FORM-D1"}</definedName>
    <definedName name="aksj" localSheetId="5" hidden="1">{"form-D1",#N/A,FALSE,"FORM-D1";"form-D1_amt",#N/A,FALSE,"FORM-D1"}</definedName>
    <definedName name="aksj" localSheetId="2" hidden="1">{"form-D1",#N/A,FALSE,"FORM-D1";"form-D1_amt",#N/A,FALSE,"FORM-D1"}</definedName>
    <definedName name="aksj_1" localSheetId="5" hidden="1">{"form-D1",#N/A,FALSE,"FORM-D1";"form-D1_amt",#N/A,FALSE,"FORM-D1"}</definedName>
    <definedName name="aksj_1" localSheetId="2" hidden="1">{"form-D1",#N/A,FALSE,"FORM-D1";"form-D1_amt",#N/A,FALSE,"FORM-D1"}</definedName>
    <definedName name="aksj_1_1" localSheetId="5" hidden="1">{"form-D1",#N/A,FALSE,"FORM-D1";"form-D1_amt",#N/A,FALSE,"FORM-D1"}</definedName>
    <definedName name="aksj_1_1" localSheetId="2" hidden="1">{"form-D1",#N/A,FALSE,"FORM-D1";"form-D1_amt",#N/A,FALSE,"FORM-D1"}</definedName>
    <definedName name="aksj_1_2" localSheetId="5" hidden="1">{"form-D1",#N/A,FALSE,"FORM-D1";"form-D1_amt",#N/A,FALSE,"FORM-D1"}</definedName>
    <definedName name="aksj_1_2" localSheetId="2" hidden="1">{"form-D1",#N/A,FALSE,"FORM-D1";"form-D1_amt",#N/A,FALSE,"FORM-D1"}</definedName>
    <definedName name="aksj_2" localSheetId="5" hidden="1">{"form-D1",#N/A,FALSE,"FORM-D1";"form-D1_amt",#N/A,FALSE,"FORM-D1"}</definedName>
    <definedName name="aksj_2" localSheetId="2" hidden="1">{"form-D1",#N/A,FALSE,"FORM-D1";"form-D1_amt",#N/A,FALSE,"FORM-D1"}</definedName>
    <definedName name="aksj_2_1" localSheetId="5" hidden="1">{"form-D1",#N/A,FALSE,"FORM-D1";"form-D1_amt",#N/A,FALSE,"FORM-D1"}</definedName>
    <definedName name="aksj_2_1" localSheetId="2" hidden="1">{"form-D1",#N/A,FALSE,"FORM-D1";"form-D1_amt",#N/A,FALSE,"FORM-D1"}</definedName>
    <definedName name="aksj_3" localSheetId="5" hidden="1">{"form-D1",#N/A,FALSE,"FORM-D1";"form-D1_amt",#N/A,FALSE,"FORM-D1"}</definedName>
    <definedName name="aksj_3" localSheetId="2" hidden="1">{"form-D1",#N/A,FALSE,"FORM-D1";"form-D1_amt",#N/A,FALSE,"FORM-D1"}</definedName>
    <definedName name="aksj_3_1" localSheetId="5" hidden="1">{"form-D1",#N/A,FALSE,"FORM-D1";"form-D1_amt",#N/A,FALSE,"FORM-D1"}</definedName>
    <definedName name="aksj_3_1" localSheetId="2" hidden="1">{"form-D1",#N/A,FALSE,"FORM-D1";"form-D1_amt",#N/A,FALSE,"FORM-D1"}</definedName>
    <definedName name="aksj_4" localSheetId="5" hidden="1">{"form-D1",#N/A,FALSE,"FORM-D1";"form-D1_amt",#N/A,FALSE,"FORM-D1"}</definedName>
    <definedName name="aksj_4" localSheetId="2" hidden="1">{"form-D1",#N/A,FALSE,"FORM-D1";"form-D1_amt",#N/A,FALSE,"FORM-D1"}</definedName>
    <definedName name="aksj_4_1" localSheetId="5" hidden="1">{"form-D1",#N/A,FALSE,"FORM-D1";"form-D1_amt",#N/A,FALSE,"FORM-D1"}</definedName>
    <definedName name="aksj_4_1" localSheetId="2" hidden="1">{"form-D1",#N/A,FALSE,"FORM-D1";"form-D1_amt",#N/A,FALSE,"FORM-D1"}</definedName>
    <definedName name="aksj_5" localSheetId="5" hidden="1">{"form-D1",#N/A,FALSE,"FORM-D1";"form-D1_amt",#N/A,FALSE,"FORM-D1"}</definedName>
    <definedName name="aksj_5" localSheetId="2" hidden="1">{"form-D1",#N/A,FALSE,"FORM-D1";"form-D1_amt",#N/A,FALSE,"FORM-D1"}</definedName>
    <definedName name="aksj_5_1" localSheetId="5" hidden="1">{"form-D1",#N/A,FALSE,"FORM-D1";"form-D1_amt",#N/A,FALSE,"FORM-D1"}</definedName>
    <definedName name="aksj_5_1" localSheetId="2" hidden="1">{"form-D1",#N/A,FALSE,"FORM-D1";"form-D1_amt",#N/A,FALSE,"FORM-D1"}</definedName>
    <definedName name="alpan" localSheetId="7">#REF!</definedName>
    <definedName name="alpan" localSheetId="1">#REF!</definedName>
    <definedName name="alpan" localSheetId="3">#REF!</definedName>
    <definedName name="alpan">#REF!</definedName>
    <definedName name="alpha" localSheetId="7">#REF!</definedName>
    <definedName name="alpha" localSheetId="1">#REF!</definedName>
    <definedName name="alpha" localSheetId="3">#REF!</definedName>
    <definedName name="alpha">#REF!</definedName>
    <definedName name="alphabet" localSheetId="7">#REF!</definedName>
    <definedName name="alphabet" localSheetId="1">#REF!</definedName>
    <definedName name="alphabet" localSheetId="3">#REF!</definedName>
    <definedName name="alphabet">#REF!</definedName>
    <definedName name="ALPIN">#N/A</definedName>
    <definedName name="ALPJYOU">#N/A</definedName>
    <definedName name="ALPTOI">#N/A</definedName>
    <definedName name="Alterations" localSheetId="7">#REF!</definedName>
    <definedName name="Alterations" localSheetId="1">#REF!</definedName>
    <definedName name="Alterations" localSheetId="3">#REF!</definedName>
    <definedName name="Alterations">#REF!</definedName>
    <definedName name="Alw" localSheetId="7">#REF!</definedName>
    <definedName name="Alw" localSheetId="1">#REF!</definedName>
    <definedName name="Alw" localSheetId="3">#REF!</definedName>
    <definedName name="Alw">#REF!</definedName>
    <definedName name="alwarsump" localSheetId="7">#REF!</definedName>
    <definedName name="alwarsump" localSheetId="1">#REF!</definedName>
    <definedName name="alwarsump" localSheetId="3">#REF!</definedName>
    <definedName name="alwarsump">#REF!</definedName>
    <definedName name="amin" localSheetId="7">#REF!</definedName>
    <definedName name="amin" localSheetId="1">#REF!</definedName>
    <definedName name="amin" localSheetId="3">#REF!</definedName>
    <definedName name="amin">#REF!</definedName>
    <definedName name="amin1" localSheetId="7">#REF!</definedName>
    <definedName name="amin1" localSheetId="1">#REF!</definedName>
    <definedName name="amin1" localSheetId="3">#REF!</definedName>
    <definedName name="amin1">#REF!</definedName>
    <definedName name="amin2" localSheetId="7">#REF!</definedName>
    <definedName name="amin2" localSheetId="1">#REF!</definedName>
    <definedName name="amin2" localSheetId="3">#REF!</definedName>
    <definedName name="amin2">#REF!</definedName>
    <definedName name="aMinApTax" localSheetId="7">#REF!</definedName>
    <definedName name="aMinApTax" localSheetId="1">#REF!</definedName>
    <definedName name="aMinApTax" localSheetId="3">#REF!</definedName>
    <definedName name="aMinApTax">#REF!</definedName>
    <definedName name="aMinOpCash" localSheetId="7">#REF!</definedName>
    <definedName name="aMinOpCash" localSheetId="1">#REF!</definedName>
    <definedName name="aMinOpCash" localSheetId="3">#REF!</definedName>
    <definedName name="aMinOpCash">#REF!</definedName>
    <definedName name="Amount_Dhs.">"F1"</definedName>
    <definedName name="ams" localSheetId="7">#REF!</definedName>
    <definedName name="ams" localSheetId="1">#REF!</definedName>
    <definedName name="ams" localSheetId="3">#REF!</definedName>
    <definedName name="ams">#REF!</definedName>
    <definedName name="Analysis" localSheetId="7">#REF!</definedName>
    <definedName name="Analysis" localSheetId="1">#REF!</definedName>
    <definedName name="Analysis" localSheetId="3">#REF!</definedName>
    <definedName name="Analysis">#REF!</definedName>
    <definedName name="analysis2" localSheetId="7">#REF!</definedName>
    <definedName name="analysis2" localSheetId="1">#REF!</definedName>
    <definedName name="analysis2" localSheetId="3">#REF!</definedName>
    <definedName name="analysis2">#REF!</definedName>
    <definedName name="analysis3" localSheetId="7">#REF!</definedName>
    <definedName name="analysis3" localSheetId="1">#REF!</definedName>
    <definedName name="analysis3" localSheetId="3">#REF!</definedName>
    <definedName name="analysis3">#REF!</definedName>
    <definedName name="anb" localSheetId="7">#REF!</definedName>
    <definedName name="anb" localSheetId="1">#REF!</definedName>
    <definedName name="anb" localSheetId="3">#REF!</definedName>
    <definedName name="anb">#REF!</definedName>
    <definedName name="anjaneyulu" localSheetId="7">#REF!</definedName>
    <definedName name="anjaneyulu" localSheetId="1">#REF!</definedName>
    <definedName name="anjaneyulu" localSheetId="3">#REF!</definedName>
    <definedName name="anjaneyulu">#REF!</definedName>
    <definedName name="ank" localSheetId="7">#REF!</definedName>
    <definedName name="ank" localSheetId="1">#REF!</definedName>
    <definedName name="ank" localSheetId="3">#REF!</definedName>
    <definedName name="ank">#REF!</definedName>
    <definedName name="ankit" localSheetId="7">#REF!</definedName>
    <definedName name="ankit" localSheetId="1">#REF!</definedName>
    <definedName name="ankit" localSheetId="3">#REF!</definedName>
    <definedName name="ankit">#REF!</definedName>
    <definedName name="ann" localSheetId="7">#REF!</definedName>
    <definedName name="ann" localSheetId="1">#REF!</definedName>
    <definedName name="ann" localSheetId="3">#REF!</definedName>
    <definedName name="ann">#REF!</definedName>
    <definedName name="anne" localSheetId="7">#REF!</definedName>
    <definedName name="anne" localSheetId="1">#REF!</definedName>
    <definedName name="anne" localSheetId="3">#REF!</definedName>
    <definedName name="anne">#REF!</definedName>
    <definedName name="annealing" localSheetId="7">#REF!</definedName>
    <definedName name="annealing" localSheetId="1">#REF!</definedName>
    <definedName name="annealing" localSheetId="3">#REF!</definedName>
    <definedName name="annealing">#REF!</definedName>
    <definedName name="annealing1" localSheetId="7">#REF!</definedName>
    <definedName name="annealing1" localSheetId="1">#REF!</definedName>
    <definedName name="annealing1" localSheetId="3">#REF!</definedName>
    <definedName name="annealing1">#REF!</definedName>
    <definedName name="ANNEX2" localSheetId="7">#REF!</definedName>
    <definedName name="ANNEX2" localSheetId="1">#REF!</definedName>
    <definedName name="ANNEX2" localSheetId="3">#REF!</definedName>
    <definedName name="ANNEX2">#REF!</definedName>
    <definedName name="ANNEX2A" localSheetId="7">#REF!</definedName>
    <definedName name="ANNEX2A" localSheetId="1">#REF!</definedName>
    <definedName name="ANNEX2A" localSheetId="3">#REF!</definedName>
    <definedName name="ANNEX2A">#REF!</definedName>
    <definedName name="ANNEX4" localSheetId="7">#REF!</definedName>
    <definedName name="ANNEX4" localSheetId="1">#REF!</definedName>
    <definedName name="ANNEX4" localSheetId="3">#REF!</definedName>
    <definedName name="ANNEX4">#REF!</definedName>
    <definedName name="annex4.1" localSheetId="7">#REF!</definedName>
    <definedName name="annex4.1" localSheetId="1">#REF!</definedName>
    <definedName name="annex4.1" localSheetId="3">#REF!</definedName>
    <definedName name="annex4.1">#REF!</definedName>
    <definedName name="annex4.1a" localSheetId="7">#REF!</definedName>
    <definedName name="annex4.1a" localSheetId="1">#REF!</definedName>
    <definedName name="annex4.1a" localSheetId="3">#REF!</definedName>
    <definedName name="annex4.1a">#REF!</definedName>
    <definedName name="ANNEX4A" localSheetId="7">#REF!</definedName>
    <definedName name="ANNEX4A" localSheetId="1">#REF!</definedName>
    <definedName name="ANNEX4A" localSheetId="3">#REF!</definedName>
    <definedName name="ANNEX4A">#REF!</definedName>
    <definedName name="anscount" hidden="1">1</definedName>
    <definedName name="anuj" localSheetId="7">#REF!</definedName>
    <definedName name="anuj" localSheetId="1">#REF!</definedName>
    <definedName name="anuj" localSheetId="3">#REF!</definedName>
    <definedName name="anuj">#REF!</definedName>
    <definedName name="anuj1" localSheetId="7">#REF!</definedName>
    <definedName name="anuj1" localSheetId="1">#REF!</definedName>
    <definedName name="anuj1" localSheetId="3">#REF!</definedName>
    <definedName name="anuj1">#REF!</definedName>
    <definedName name="anuj10" localSheetId="5">#N/A</definedName>
    <definedName name="anuj10" localSheetId="2">#N/A</definedName>
    <definedName name="anuj100" localSheetId="2">#REF!</definedName>
    <definedName name="anuj101" localSheetId="5" hidden="1">{#N/A,#N/A,TRUE,"Front";#N/A,#N/A,TRUE,"Simple Letter";#N/A,#N/A,TRUE,"Inside";#N/A,#N/A,TRUE,"Contents";#N/A,#N/A,TRUE,"Basis";#N/A,#N/A,TRUE,"Inclusions";#N/A,#N/A,TRUE,"Exclusions";#N/A,#N/A,TRUE,"Areas";#N/A,#N/A,TRUE,"Summary";#N/A,#N/A,TRUE,"Detail"}</definedName>
    <definedName name="anuj101" localSheetId="2" hidden="1">{#N/A,#N/A,TRUE,"Front";#N/A,#N/A,TRUE,"Simple Letter";#N/A,#N/A,TRUE,"Inside";#N/A,#N/A,TRUE,"Contents";#N/A,#N/A,TRUE,"Basis";#N/A,#N/A,TRUE,"Inclusions";#N/A,#N/A,TRUE,"Exclusions";#N/A,#N/A,TRUE,"Areas";#N/A,#N/A,TRUE,"Summary";#N/A,#N/A,TRUE,"Detail"}</definedName>
    <definedName name="anuj101_1" localSheetId="5" hidden="1">{#N/A,#N/A,TRUE,"Front";#N/A,#N/A,TRUE,"Simple Letter";#N/A,#N/A,TRUE,"Inside";#N/A,#N/A,TRUE,"Contents";#N/A,#N/A,TRUE,"Basis";#N/A,#N/A,TRUE,"Inclusions";#N/A,#N/A,TRUE,"Exclusions";#N/A,#N/A,TRUE,"Areas";#N/A,#N/A,TRUE,"Summary";#N/A,#N/A,TRUE,"Detail"}</definedName>
    <definedName name="anuj101_1" localSheetId="2" hidden="1">{#N/A,#N/A,TRUE,"Front";#N/A,#N/A,TRUE,"Simple Letter";#N/A,#N/A,TRUE,"Inside";#N/A,#N/A,TRUE,"Contents";#N/A,#N/A,TRUE,"Basis";#N/A,#N/A,TRUE,"Inclusions";#N/A,#N/A,TRUE,"Exclusions";#N/A,#N/A,TRUE,"Areas";#N/A,#N/A,TRUE,"Summary";#N/A,#N/A,TRUE,"Detail"}</definedName>
    <definedName name="anuj101_1_1" localSheetId="5" hidden="1">{#N/A,#N/A,TRUE,"Front";#N/A,#N/A,TRUE,"Simple Letter";#N/A,#N/A,TRUE,"Inside";#N/A,#N/A,TRUE,"Contents";#N/A,#N/A,TRUE,"Basis";#N/A,#N/A,TRUE,"Inclusions";#N/A,#N/A,TRUE,"Exclusions";#N/A,#N/A,TRUE,"Areas";#N/A,#N/A,TRUE,"Summary";#N/A,#N/A,TRUE,"Detail"}</definedName>
    <definedName name="anuj101_1_1" localSheetId="2" hidden="1">{#N/A,#N/A,TRUE,"Front";#N/A,#N/A,TRUE,"Simple Letter";#N/A,#N/A,TRUE,"Inside";#N/A,#N/A,TRUE,"Contents";#N/A,#N/A,TRUE,"Basis";#N/A,#N/A,TRUE,"Inclusions";#N/A,#N/A,TRUE,"Exclusions";#N/A,#N/A,TRUE,"Areas";#N/A,#N/A,TRUE,"Summary";#N/A,#N/A,TRUE,"Detail"}</definedName>
    <definedName name="anuj101_1_2" localSheetId="5" hidden="1">{#N/A,#N/A,TRUE,"Front";#N/A,#N/A,TRUE,"Simple Letter";#N/A,#N/A,TRUE,"Inside";#N/A,#N/A,TRUE,"Contents";#N/A,#N/A,TRUE,"Basis";#N/A,#N/A,TRUE,"Inclusions";#N/A,#N/A,TRUE,"Exclusions";#N/A,#N/A,TRUE,"Areas";#N/A,#N/A,TRUE,"Summary";#N/A,#N/A,TRUE,"Detail"}</definedName>
    <definedName name="anuj101_1_2" localSheetId="2" hidden="1">{#N/A,#N/A,TRUE,"Front";#N/A,#N/A,TRUE,"Simple Letter";#N/A,#N/A,TRUE,"Inside";#N/A,#N/A,TRUE,"Contents";#N/A,#N/A,TRUE,"Basis";#N/A,#N/A,TRUE,"Inclusions";#N/A,#N/A,TRUE,"Exclusions";#N/A,#N/A,TRUE,"Areas";#N/A,#N/A,TRUE,"Summary";#N/A,#N/A,TRUE,"Detail"}</definedName>
    <definedName name="anuj101_2" localSheetId="5" hidden="1">{#N/A,#N/A,TRUE,"Front";#N/A,#N/A,TRUE,"Simple Letter";#N/A,#N/A,TRUE,"Inside";#N/A,#N/A,TRUE,"Contents";#N/A,#N/A,TRUE,"Basis";#N/A,#N/A,TRUE,"Inclusions";#N/A,#N/A,TRUE,"Exclusions";#N/A,#N/A,TRUE,"Areas";#N/A,#N/A,TRUE,"Summary";#N/A,#N/A,TRUE,"Detail"}</definedName>
    <definedName name="anuj101_2" localSheetId="2" hidden="1">{#N/A,#N/A,TRUE,"Front";#N/A,#N/A,TRUE,"Simple Letter";#N/A,#N/A,TRUE,"Inside";#N/A,#N/A,TRUE,"Contents";#N/A,#N/A,TRUE,"Basis";#N/A,#N/A,TRUE,"Inclusions";#N/A,#N/A,TRUE,"Exclusions";#N/A,#N/A,TRUE,"Areas";#N/A,#N/A,TRUE,"Summary";#N/A,#N/A,TRUE,"Detail"}</definedName>
    <definedName name="anuj101_2_1" localSheetId="5" hidden="1">{#N/A,#N/A,TRUE,"Front";#N/A,#N/A,TRUE,"Simple Letter";#N/A,#N/A,TRUE,"Inside";#N/A,#N/A,TRUE,"Contents";#N/A,#N/A,TRUE,"Basis";#N/A,#N/A,TRUE,"Inclusions";#N/A,#N/A,TRUE,"Exclusions";#N/A,#N/A,TRUE,"Areas";#N/A,#N/A,TRUE,"Summary";#N/A,#N/A,TRUE,"Detail"}</definedName>
    <definedName name="anuj101_2_1" localSheetId="2" hidden="1">{#N/A,#N/A,TRUE,"Front";#N/A,#N/A,TRUE,"Simple Letter";#N/A,#N/A,TRUE,"Inside";#N/A,#N/A,TRUE,"Contents";#N/A,#N/A,TRUE,"Basis";#N/A,#N/A,TRUE,"Inclusions";#N/A,#N/A,TRUE,"Exclusions";#N/A,#N/A,TRUE,"Areas";#N/A,#N/A,TRUE,"Summary";#N/A,#N/A,TRUE,"Detail"}</definedName>
    <definedName name="anuj101_3" localSheetId="5" hidden="1">{#N/A,#N/A,TRUE,"Front";#N/A,#N/A,TRUE,"Simple Letter";#N/A,#N/A,TRUE,"Inside";#N/A,#N/A,TRUE,"Contents";#N/A,#N/A,TRUE,"Basis";#N/A,#N/A,TRUE,"Inclusions";#N/A,#N/A,TRUE,"Exclusions";#N/A,#N/A,TRUE,"Areas";#N/A,#N/A,TRUE,"Summary";#N/A,#N/A,TRUE,"Detail"}</definedName>
    <definedName name="anuj101_3" localSheetId="2" hidden="1">{#N/A,#N/A,TRUE,"Front";#N/A,#N/A,TRUE,"Simple Letter";#N/A,#N/A,TRUE,"Inside";#N/A,#N/A,TRUE,"Contents";#N/A,#N/A,TRUE,"Basis";#N/A,#N/A,TRUE,"Inclusions";#N/A,#N/A,TRUE,"Exclusions";#N/A,#N/A,TRUE,"Areas";#N/A,#N/A,TRUE,"Summary";#N/A,#N/A,TRUE,"Detail"}</definedName>
    <definedName name="anuj101_4" localSheetId="5" hidden="1">{#N/A,#N/A,TRUE,"Front";#N/A,#N/A,TRUE,"Simple Letter";#N/A,#N/A,TRUE,"Inside";#N/A,#N/A,TRUE,"Contents";#N/A,#N/A,TRUE,"Basis";#N/A,#N/A,TRUE,"Inclusions";#N/A,#N/A,TRUE,"Exclusions";#N/A,#N/A,TRUE,"Areas";#N/A,#N/A,TRUE,"Summary";#N/A,#N/A,TRUE,"Detail"}</definedName>
    <definedName name="anuj101_4" localSheetId="2" hidden="1">{#N/A,#N/A,TRUE,"Front";#N/A,#N/A,TRUE,"Simple Letter";#N/A,#N/A,TRUE,"Inside";#N/A,#N/A,TRUE,"Contents";#N/A,#N/A,TRUE,"Basis";#N/A,#N/A,TRUE,"Inclusions";#N/A,#N/A,TRUE,"Exclusions";#N/A,#N/A,TRUE,"Areas";#N/A,#N/A,TRUE,"Summary";#N/A,#N/A,TRUE,"Detail"}</definedName>
    <definedName name="anuj102" localSheetId="5" hidden="1">{#N/A,#N/A,TRUE,"Front";#N/A,#N/A,TRUE,"Simple Letter";#N/A,#N/A,TRUE,"Inside";#N/A,#N/A,TRUE,"Contents";#N/A,#N/A,TRUE,"Basis";#N/A,#N/A,TRUE,"Inclusions";#N/A,#N/A,TRUE,"Exclusions";#N/A,#N/A,TRUE,"Areas";#N/A,#N/A,TRUE,"Summary";#N/A,#N/A,TRUE,"Detail"}</definedName>
    <definedName name="anuj102" localSheetId="2" hidden="1">{#N/A,#N/A,TRUE,"Front";#N/A,#N/A,TRUE,"Simple Letter";#N/A,#N/A,TRUE,"Inside";#N/A,#N/A,TRUE,"Contents";#N/A,#N/A,TRUE,"Basis";#N/A,#N/A,TRUE,"Inclusions";#N/A,#N/A,TRUE,"Exclusions";#N/A,#N/A,TRUE,"Areas";#N/A,#N/A,TRUE,"Summary";#N/A,#N/A,TRUE,"Detail"}</definedName>
    <definedName name="anuj102_1" localSheetId="5" hidden="1">{#N/A,#N/A,TRUE,"Front";#N/A,#N/A,TRUE,"Simple Letter";#N/A,#N/A,TRUE,"Inside";#N/A,#N/A,TRUE,"Contents";#N/A,#N/A,TRUE,"Basis";#N/A,#N/A,TRUE,"Inclusions";#N/A,#N/A,TRUE,"Exclusions";#N/A,#N/A,TRUE,"Areas";#N/A,#N/A,TRUE,"Summary";#N/A,#N/A,TRUE,"Detail"}</definedName>
    <definedName name="anuj102_1" localSheetId="2" hidden="1">{#N/A,#N/A,TRUE,"Front";#N/A,#N/A,TRUE,"Simple Letter";#N/A,#N/A,TRUE,"Inside";#N/A,#N/A,TRUE,"Contents";#N/A,#N/A,TRUE,"Basis";#N/A,#N/A,TRUE,"Inclusions";#N/A,#N/A,TRUE,"Exclusions";#N/A,#N/A,TRUE,"Areas";#N/A,#N/A,TRUE,"Summary";#N/A,#N/A,TRUE,"Detail"}</definedName>
    <definedName name="anuj102_1_1" localSheetId="5" hidden="1">{#N/A,#N/A,TRUE,"Front";#N/A,#N/A,TRUE,"Simple Letter";#N/A,#N/A,TRUE,"Inside";#N/A,#N/A,TRUE,"Contents";#N/A,#N/A,TRUE,"Basis";#N/A,#N/A,TRUE,"Inclusions";#N/A,#N/A,TRUE,"Exclusions";#N/A,#N/A,TRUE,"Areas";#N/A,#N/A,TRUE,"Summary";#N/A,#N/A,TRUE,"Detail"}</definedName>
    <definedName name="anuj102_1_1" localSheetId="2" hidden="1">{#N/A,#N/A,TRUE,"Front";#N/A,#N/A,TRUE,"Simple Letter";#N/A,#N/A,TRUE,"Inside";#N/A,#N/A,TRUE,"Contents";#N/A,#N/A,TRUE,"Basis";#N/A,#N/A,TRUE,"Inclusions";#N/A,#N/A,TRUE,"Exclusions";#N/A,#N/A,TRUE,"Areas";#N/A,#N/A,TRUE,"Summary";#N/A,#N/A,TRUE,"Detail"}</definedName>
    <definedName name="anuj102_1_2" localSheetId="5" hidden="1">{#N/A,#N/A,TRUE,"Front";#N/A,#N/A,TRUE,"Simple Letter";#N/A,#N/A,TRUE,"Inside";#N/A,#N/A,TRUE,"Contents";#N/A,#N/A,TRUE,"Basis";#N/A,#N/A,TRUE,"Inclusions";#N/A,#N/A,TRUE,"Exclusions";#N/A,#N/A,TRUE,"Areas";#N/A,#N/A,TRUE,"Summary";#N/A,#N/A,TRUE,"Detail"}</definedName>
    <definedName name="anuj102_1_2" localSheetId="2" hidden="1">{#N/A,#N/A,TRUE,"Front";#N/A,#N/A,TRUE,"Simple Letter";#N/A,#N/A,TRUE,"Inside";#N/A,#N/A,TRUE,"Contents";#N/A,#N/A,TRUE,"Basis";#N/A,#N/A,TRUE,"Inclusions";#N/A,#N/A,TRUE,"Exclusions";#N/A,#N/A,TRUE,"Areas";#N/A,#N/A,TRUE,"Summary";#N/A,#N/A,TRUE,"Detail"}</definedName>
    <definedName name="anuj102_2" localSheetId="5" hidden="1">{#N/A,#N/A,TRUE,"Front";#N/A,#N/A,TRUE,"Simple Letter";#N/A,#N/A,TRUE,"Inside";#N/A,#N/A,TRUE,"Contents";#N/A,#N/A,TRUE,"Basis";#N/A,#N/A,TRUE,"Inclusions";#N/A,#N/A,TRUE,"Exclusions";#N/A,#N/A,TRUE,"Areas";#N/A,#N/A,TRUE,"Summary";#N/A,#N/A,TRUE,"Detail"}</definedName>
    <definedName name="anuj102_2" localSheetId="2" hidden="1">{#N/A,#N/A,TRUE,"Front";#N/A,#N/A,TRUE,"Simple Letter";#N/A,#N/A,TRUE,"Inside";#N/A,#N/A,TRUE,"Contents";#N/A,#N/A,TRUE,"Basis";#N/A,#N/A,TRUE,"Inclusions";#N/A,#N/A,TRUE,"Exclusions";#N/A,#N/A,TRUE,"Areas";#N/A,#N/A,TRUE,"Summary";#N/A,#N/A,TRUE,"Detail"}</definedName>
    <definedName name="anuj102_2_1" localSheetId="5" hidden="1">{#N/A,#N/A,TRUE,"Front";#N/A,#N/A,TRUE,"Simple Letter";#N/A,#N/A,TRUE,"Inside";#N/A,#N/A,TRUE,"Contents";#N/A,#N/A,TRUE,"Basis";#N/A,#N/A,TRUE,"Inclusions";#N/A,#N/A,TRUE,"Exclusions";#N/A,#N/A,TRUE,"Areas";#N/A,#N/A,TRUE,"Summary";#N/A,#N/A,TRUE,"Detail"}</definedName>
    <definedName name="anuj102_2_1" localSheetId="2" hidden="1">{#N/A,#N/A,TRUE,"Front";#N/A,#N/A,TRUE,"Simple Letter";#N/A,#N/A,TRUE,"Inside";#N/A,#N/A,TRUE,"Contents";#N/A,#N/A,TRUE,"Basis";#N/A,#N/A,TRUE,"Inclusions";#N/A,#N/A,TRUE,"Exclusions";#N/A,#N/A,TRUE,"Areas";#N/A,#N/A,TRUE,"Summary";#N/A,#N/A,TRUE,"Detail"}</definedName>
    <definedName name="anuj102_3" localSheetId="5" hidden="1">{#N/A,#N/A,TRUE,"Front";#N/A,#N/A,TRUE,"Simple Letter";#N/A,#N/A,TRUE,"Inside";#N/A,#N/A,TRUE,"Contents";#N/A,#N/A,TRUE,"Basis";#N/A,#N/A,TRUE,"Inclusions";#N/A,#N/A,TRUE,"Exclusions";#N/A,#N/A,TRUE,"Areas";#N/A,#N/A,TRUE,"Summary";#N/A,#N/A,TRUE,"Detail"}</definedName>
    <definedName name="anuj102_3" localSheetId="2" hidden="1">{#N/A,#N/A,TRUE,"Front";#N/A,#N/A,TRUE,"Simple Letter";#N/A,#N/A,TRUE,"Inside";#N/A,#N/A,TRUE,"Contents";#N/A,#N/A,TRUE,"Basis";#N/A,#N/A,TRUE,"Inclusions";#N/A,#N/A,TRUE,"Exclusions";#N/A,#N/A,TRUE,"Areas";#N/A,#N/A,TRUE,"Summary";#N/A,#N/A,TRUE,"Detail"}</definedName>
    <definedName name="anuj102_4" localSheetId="5" hidden="1">{#N/A,#N/A,TRUE,"Front";#N/A,#N/A,TRUE,"Simple Letter";#N/A,#N/A,TRUE,"Inside";#N/A,#N/A,TRUE,"Contents";#N/A,#N/A,TRUE,"Basis";#N/A,#N/A,TRUE,"Inclusions";#N/A,#N/A,TRUE,"Exclusions";#N/A,#N/A,TRUE,"Areas";#N/A,#N/A,TRUE,"Summary";#N/A,#N/A,TRUE,"Detail"}</definedName>
    <definedName name="anuj102_4" localSheetId="2" hidden="1">{#N/A,#N/A,TRUE,"Front";#N/A,#N/A,TRUE,"Simple Letter";#N/A,#N/A,TRUE,"Inside";#N/A,#N/A,TRUE,"Contents";#N/A,#N/A,TRUE,"Basis";#N/A,#N/A,TRUE,"Inclusions";#N/A,#N/A,TRUE,"Exclusions";#N/A,#N/A,TRUE,"Areas";#N/A,#N/A,TRUE,"Summary";#N/A,#N/A,TRUE,"Detail"}</definedName>
    <definedName name="anuj103" localSheetId="5" hidden="1">{#N/A,#N/A,TRUE,"Front";#N/A,#N/A,TRUE,"Simple Letter";#N/A,#N/A,TRUE,"Inside";#N/A,#N/A,TRUE,"Contents";#N/A,#N/A,TRUE,"Basis";#N/A,#N/A,TRUE,"Inclusions";#N/A,#N/A,TRUE,"Exclusions";#N/A,#N/A,TRUE,"Areas";#N/A,#N/A,TRUE,"Summary";#N/A,#N/A,TRUE,"Detail"}</definedName>
    <definedName name="anuj103" localSheetId="2" hidden="1">{#N/A,#N/A,TRUE,"Front";#N/A,#N/A,TRUE,"Simple Letter";#N/A,#N/A,TRUE,"Inside";#N/A,#N/A,TRUE,"Contents";#N/A,#N/A,TRUE,"Basis";#N/A,#N/A,TRUE,"Inclusions";#N/A,#N/A,TRUE,"Exclusions";#N/A,#N/A,TRUE,"Areas";#N/A,#N/A,TRUE,"Summary";#N/A,#N/A,TRUE,"Detail"}</definedName>
    <definedName name="anuj103_1" localSheetId="5" hidden="1">{#N/A,#N/A,TRUE,"Front";#N/A,#N/A,TRUE,"Simple Letter";#N/A,#N/A,TRUE,"Inside";#N/A,#N/A,TRUE,"Contents";#N/A,#N/A,TRUE,"Basis";#N/A,#N/A,TRUE,"Inclusions";#N/A,#N/A,TRUE,"Exclusions";#N/A,#N/A,TRUE,"Areas";#N/A,#N/A,TRUE,"Summary";#N/A,#N/A,TRUE,"Detail"}</definedName>
    <definedName name="anuj103_1" localSheetId="2" hidden="1">{#N/A,#N/A,TRUE,"Front";#N/A,#N/A,TRUE,"Simple Letter";#N/A,#N/A,TRUE,"Inside";#N/A,#N/A,TRUE,"Contents";#N/A,#N/A,TRUE,"Basis";#N/A,#N/A,TRUE,"Inclusions";#N/A,#N/A,TRUE,"Exclusions";#N/A,#N/A,TRUE,"Areas";#N/A,#N/A,TRUE,"Summary";#N/A,#N/A,TRUE,"Detail"}</definedName>
    <definedName name="anuj103_1_1" localSheetId="5" hidden="1">{#N/A,#N/A,TRUE,"Front";#N/A,#N/A,TRUE,"Simple Letter";#N/A,#N/A,TRUE,"Inside";#N/A,#N/A,TRUE,"Contents";#N/A,#N/A,TRUE,"Basis";#N/A,#N/A,TRUE,"Inclusions";#N/A,#N/A,TRUE,"Exclusions";#N/A,#N/A,TRUE,"Areas";#N/A,#N/A,TRUE,"Summary";#N/A,#N/A,TRUE,"Detail"}</definedName>
    <definedName name="anuj103_1_1" localSheetId="2" hidden="1">{#N/A,#N/A,TRUE,"Front";#N/A,#N/A,TRUE,"Simple Letter";#N/A,#N/A,TRUE,"Inside";#N/A,#N/A,TRUE,"Contents";#N/A,#N/A,TRUE,"Basis";#N/A,#N/A,TRUE,"Inclusions";#N/A,#N/A,TRUE,"Exclusions";#N/A,#N/A,TRUE,"Areas";#N/A,#N/A,TRUE,"Summary";#N/A,#N/A,TRUE,"Detail"}</definedName>
    <definedName name="anuj103_1_2" localSheetId="5" hidden="1">{#N/A,#N/A,TRUE,"Front";#N/A,#N/A,TRUE,"Simple Letter";#N/A,#N/A,TRUE,"Inside";#N/A,#N/A,TRUE,"Contents";#N/A,#N/A,TRUE,"Basis";#N/A,#N/A,TRUE,"Inclusions";#N/A,#N/A,TRUE,"Exclusions";#N/A,#N/A,TRUE,"Areas";#N/A,#N/A,TRUE,"Summary";#N/A,#N/A,TRUE,"Detail"}</definedName>
    <definedName name="anuj103_1_2" localSheetId="2" hidden="1">{#N/A,#N/A,TRUE,"Front";#N/A,#N/A,TRUE,"Simple Letter";#N/A,#N/A,TRUE,"Inside";#N/A,#N/A,TRUE,"Contents";#N/A,#N/A,TRUE,"Basis";#N/A,#N/A,TRUE,"Inclusions";#N/A,#N/A,TRUE,"Exclusions";#N/A,#N/A,TRUE,"Areas";#N/A,#N/A,TRUE,"Summary";#N/A,#N/A,TRUE,"Detail"}</definedName>
    <definedName name="anuj103_2" localSheetId="5" hidden="1">{#N/A,#N/A,TRUE,"Front";#N/A,#N/A,TRUE,"Simple Letter";#N/A,#N/A,TRUE,"Inside";#N/A,#N/A,TRUE,"Contents";#N/A,#N/A,TRUE,"Basis";#N/A,#N/A,TRUE,"Inclusions";#N/A,#N/A,TRUE,"Exclusions";#N/A,#N/A,TRUE,"Areas";#N/A,#N/A,TRUE,"Summary";#N/A,#N/A,TRUE,"Detail"}</definedName>
    <definedName name="anuj103_2" localSheetId="2" hidden="1">{#N/A,#N/A,TRUE,"Front";#N/A,#N/A,TRUE,"Simple Letter";#N/A,#N/A,TRUE,"Inside";#N/A,#N/A,TRUE,"Contents";#N/A,#N/A,TRUE,"Basis";#N/A,#N/A,TRUE,"Inclusions";#N/A,#N/A,TRUE,"Exclusions";#N/A,#N/A,TRUE,"Areas";#N/A,#N/A,TRUE,"Summary";#N/A,#N/A,TRUE,"Detail"}</definedName>
    <definedName name="anuj103_2_1" localSheetId="5" hidden="1">{#N/A,#N/A,TRUE,"Front";#N/A,#N/A,TRUE,"Simple Letter";#N/A,#N/A,TRUE,"Inside";#N/A,#N/A,TRUE,"Contents";#N/A,#N/A,TRUE,"Basis";#N/A,#N/A,TRUE,"Inclusions";#N/A,#N/A,TRUE,"Exclusions";#N/A,#N/A,TRUE,"Areas";#N/A,#N/A,TRUE,"Summary";#N/A,#N/A,TRUE,"Detail"}</definedName>
    <definedName name="anuj103_2_1" localSheetId="2" hidden="1">{#N/A,#N/A,TRUE,"Front";#N/A,#N/A,TRUE,"Simple Letter";#N/A,#N/A,TRUE,"Inside";#N/A,#N/A,TRUE,"Contents";#N/A,#N/A,TRUE,"Basis";#N/A,#N/A,TRUE,"Inclusions";#N/A,#N/A,TRUE,"Exclusions";#N/A,#N/A,TRUE,"Areas";#N/A,#N/A,TRUE,"Summary";#N/A,#N/A,TRUE,"Detail"}</definedName>
    <definedName name="anuj103_3" localSheetId="5" hidden="1">{#N/A,#N/A,TRUE,"Front";#N/A,#N/A,TRUE,"Simple Letter";#N/A,#N/A,TRUE,"Inside";#N/A,#N/A,TRUE,"Contents";#N/A,#N/A,TRUE,"Basis";#N/A,#N/A,TRUE,"Inclusions";#N/A,#N/A,TRUE,"Exclusions";#N/A,#N/A,TRUE,"Areas";#N/A,#N/A,TRUE,"Summary";#N/A,#N/A,TRUE,"Detail"}</definedName>
    <definedName name="anuj103_3" localSheetId="2" hidden="1">{#N/A,#N/A,TRUE,"Front";#N/A,#N/A,TRUE,"Simple Letter";#N/A,#N/A,TRUE,"Inside";#N/A,#N/A,TRUE,"Contents";#N/A,#N/A,TRUE,"Basis";#N/A,#N/A,TRUE,"Inclusions";#N/A,#N/A,TRUE,"Exclusions";#N/A,#N/A,TRUE,"Areas";#N/A,#N/A,TRUE,"Summary";#N/A,#N/A,TRUE,"Detail"}</definedName>
    <definedName name="anuj103_4" localSheetId="5" hidden="1">{#N/A,#N/A,TRUE,"Front";#N/A,#N/A,TRUE,"Simple Letter";#N/A,#N/A,TRUE,"Inside";#N/A,#N/A,TRUE,"Contents";#N/A,#N/A,TRUE,"Basis";#N/A,#N/A,TRUE,"Inclusions";#N/A,#N/A,TRUE,"Exclusions";#N/A,#N/A,TRUE,"Areas";#N/A,#N/A,TRUE,"Summary";#N/A,#N/A,TRUE,"Detail"}</definedName>
    <definedName name="anuj103_4" localSheetId="2" hidden="1">{#N/A,#N/A,TRUE,"Front";#N/A,#N/A,TRUE,"Simple Letter";#N/A,#N/A,TRUE,"Inside";#N/A,#N/A,TRUE,"Contents";#N/A,#N/A,TRUE,"Basis";#N/A,#N/A,TRUE,"Inclusions";#N/A,#N/A,TRUE,"Exclusions";#N/A,#N/A,TRUE,"Areas";#N/A,#N/A,TRUE,"Summary";#N/A,#N/A,TRUE,"Detail"}</definedName>
    <definedName name="anuj104" localSheetId="5" hidden="1">{#N/A,#N/A,TRUE,"Front";#N/A,#N/A,TRUE,"Simple Letter";#N/A,#N/A,TRUE,"Inside";#N/A,#N/A,TRUE,"Contents";#N/A,#N/A,TRUE,"Basis";#N/A,#N/A,TRUE,"Inclusions";#N/A,#N/A,TRUE,"Exclusions";#N/A,#N/A,TRUE,"Areas";#N/A,#N/A,TRUE,"Summary";#N/A,#N/A,TRUE,"Detail"}</definedName>
    <definedName name="anuj104" localSheetId="2" hidden="1">{#N/A,#N/A,TRUE,"Front";#N/A,#N/A,TRUE,"Simple Letter";#N/A,#N/A,TRUE,"Inside";#N/A,#N/A,TRUE,"Contents";#N/A,#N/A,TRUE,"Basis";#N/A,#N/A,TRUE,"Inclusions";#N/A,#N/A,TRUE,"Exclusions";#N/A,#N/A,TRUE,"Areas";#N/A,#N/A,TRUE,"Summary";#N/A,#N/A,TRUE,"Detail"}</definedName>
    <definedName name="anuj104_1" localSheetId="5" hidden="1">{#N/A,#N/A,TRUE,"Front";#N/A,#N/A,TRUE,"Simple Letter";#N/A,#N/A,TRUE,"Inside";#N/A,#N/A,TRUE,"Contents";#N/A,#N/A,TRUE,"Basis";#N/A,#N/A,TRUE,"Inclusions";#N/A,#N/A,TRUE,"Exclusions";#N/A,#N/A,TRUE,"Areas";#N/A,#N/A,TRUE,"Summary";#N/A,#N/A,TRUE,"Detail"}</definedName>
    <definedName name="anuj104_1" localSheetId="2" hidden="1">{#N/A,#N/A,TRUE,"Front";#N/A,#N/A,TRUE,"Simple Letter";#N/A,#N/A,TRUE,"Inside";#N/A,#N/A,TRUE,"Contents";#N/A,#N/A,TRUE,"Basis";#N/A,#N/A,TRUE,"Inclusions";#N/A,#N/A,TRUE,"Exclusions";#N/A,#N/A,TRUE,"Areas";#N/A,#N/A,TRUE,"Summary";#N/A,#N/A,TRUE,"Detail"}</definedName>
    <definedName name="anuj104_1_1" localSheetId="5" hidden="1">{#N/A,#N/A,TRUE,"Front";#N/A,#N/A,TRUE,"Simple Letter";#N/A,#N/A,TRUE,"Inside";#N/A,#N/A,TRUE,"Contents";#N/A,#N/A,TRUE,"Basis";#N/A,#N/A,TRUE,"Inclusions";#N/A,#N/A,TRUE,"Exclusions";#N/A,#N/A,TRUE,"Areas";#N/A,#N/A,TRUE,"Summary";#N/A,#N/A,TRUE,"Detail"}</definedName>
    <definedName name="anuj104_1_1" localSheetId="2" hidden="1">{#N/A,#N/A,TRUE,"Front";#N/A,#N/A,TRUE,"Simple Letter";#N/A,#N/A,TRUE,"Inside";#N/A,#N/A,TRUE,"Contents";#N/A,#N/A,TRUE,"Basis";#N/A,#N/A,TRUE,"Inclusions";#N/A,#N/A,TRUE,"Exclusions";#N/A,#N/A,TRUE,"Areas";#N/A,#N/A,TRUE,"Summary";#N/A,#N/A,TRUE,"Detail"}</definedName>
    <definedName name="anuj104_1_2" localSheetId="5" hidden="1">{#N/A,#N/A,TRUE,"Front";#N/A,#N/A,TRUE,"Simple Letter";#N/A,#N/A,TRUE,"Inside";#N/A,#N/A,TRUE,"Contents";#N/A,#N/A,TRUE,"Basis";#N/A,#N/A,TRUE,"Inclusions";#N/A,#N/A,TRUE,"Exclusions";#N/A,#N/A,TRUE,"Areas";#N/A,#N/A,TRUE,"Summary";#N/A,#N/A,TRUE,"Detail"}</definedName>
    <definedName name="anuj104_1_2" localSheetId="2" hidden="1">{#N/A,#N/A,TRUE,"Front";#N/A,#N/A,TRUE,"Simple Letter";#N/A,#N/A,TRUE,"Inside";#N/A,#N/A,TRUE,"Contents";#N/A,#N/A,TRUE,"Basis";#N/A,#N/A,TRUE,"Inclusions";#N/A,#N/A,TRUE,"Exclusions";#N/A,#N/A,TRUE,"Areas";#N/A,#N/A,TRUE,"Summary";#N/A,#N/A,TRUE,"Detail"}</definedName>
    <definedName name="anuj104_2" localSheetId="5" hidden="1">{#N/A,#N/A,TRUE,"Front";#N/A,#N/A,TRUE,"Simple Letter";#N/A,#N/A,TRUE,"Inside";#N/A,#N/A,TRUE,"Contents";#N/A,#N/A,TRUE,"Basis";#N/A,#N/A,TRUE,"Inclusions";#N/A,#N/A,TRUE,"Exclusions";#N/A,#N/A,TRUE,"Areas";#N/A,#N/A,TRUE,"Summary";#N/A,#N/A,TRUE,"Detail"}</definedName>
    <definedName name="anuj104_2" localSheetId="2" hidden="1">{#N/A,#N/A,TRUE,"Front";#N/A,#N/A,TRUE,"Simple Letter";#N/A,#N/A,TRUE,"Inside";#N/A,#N/A,TRUE,"Contents";#N/A,#N/A,TRUE,"Basis";#N/A,#N/A,TRUE,"Inclusions";#N/A,#N/A,TRUE,"Exclusions";#N/A,#N/A,TRUE,"Areas";#N/A,#N/A,TRUE,"Summary";#N/A,#N/A,TRUE,"Detail"}</definedName>
    <definedName name="anuj104_2_1" localSheetId="5" hidden="1">{#N/A,#N/A,TRUE,"Front";#N/A,#N/A,TRUE,"Simple Letter";#N/A,#N/A,TRUE,"Inside";#N/A,#N/A,TRUE,"Contents";#N/A,#N/A,TRUE,"Basis";#N/A,#N/A,TRUE,"Inclusions";#N/A,#N/A,TRUE,"Exclusions";#N/A,#N/A,TRUE,"Areas";#N/A,#N/A,TRUE,"Summary";#N/A,#N/A,TRUE,"Detail"}</definedName>
    <definedName name="anuj104_2_1" localSheetId="2" hidden="1">{#N/A,#N/A,TRUE,"Front";#N/A,#N/A,TRUE,"Simple Letter";#N/A,#N/A,TRUE,"Inside";#N/A,#N/A,TRUE,"Contents";#N/A,#N/A,TRUE,"Basis";#N/A,#N/A,TRUE,"Inclusions";#N/A,#N/A,TRUE,"Exclusions";#N/A,#N/A,TRUE,"Areas";#N/A,#N/A,TRUE,"Summary";#N/A,#N/A,TRUE,"Detail"}</definedName>
    <definedName name="anuj104_3" localSheetId="5" hidden="1">{#N/A,#N/A,TRUE,"Front";#N/A,#N/A,TRUE,"Simple Letter";#N/A,#N/A,TRUE,"Inside";#N/A,#N/A,TRUE,"Contents";#N/A,#N/A,TRUE,"Basis";#N/A,#N/A,TRUE,"Inclusions";#N/A,#N/A,TRUE,"Exclusions";#N/A,#N/A,TRUE,"Areas";#N/A,#N/A,TRUE,"Summary";#N/A,#N/A,TRUE,"Detail"}</definedName>
    <definedName name="anuj104_3" localSheetId="2" hidden="1">{#N/A,#N/A,TRUE,"Front";#N/A,#N/A,TRUE,"Simple Letter";#N/A,#N/A,TRUE,"Inside";#N/A,#N/A,TRUE,"Contents";#N/A,#N/A,TRUE,"Basis";#N/A,#N/A,TRUE,"Inclusions";#N/A,#N/A,TRUE,"Exclusions";#N/A,#N/A,TRUE,"Areas";#N/A,#N/A,TRUE,"Summary";#N/A,#N/A,TRUE,"Detail"}</definedName>
    <definedName name="anuj104_4" localSheetId="5" hidden="1">{#N/A,#N/A,TRUE,"Front";#N/A,#N/A,TRUE,"Simple Letter";#N/A,#N/A,TRUE,"Inside";#N/A,#N/A,TRUE,"Contents";#N/A,#N/A,TRUE,"Basis";#N/A,#N/A,TRUE,"Inclusions";#N/A,#N/A,TRUE,"Exclusions";#N/A,#N/A,TRUE,"Areas";#N/A,#N/A,TRUE,"Summary";#N/A,#N/A,TRUE,"Detail"}</definedName>
    <definedName name="anuj104_4" localSheetId="2" hidden="1">{#N/A,#N/A,TRUE,"Front";#N/A,#N/A,TRUE,"Simple Letter";#N/A,#N/A,TRUE,"Inside";#N/A,#N/A,TRUE,"Contents";#N/A,#N/A,TRUE,"Basis";#N/A,#N/A,TRUE,"Inclusions";#N/A,#N/A,TRUE,"Exclusions";#N/A,#N/A,TRUE,"Areas";#N/A,#N/A,TRUE,"Summary";#N/A,#N/A,TRUE,"Detail"}</definedName>
    <definedName name="anuj105" localSheetId="5" hidden="1">{#N/A,#N/A,TRUE,"Front";#N/A,#N/A,TRUE,"Simple Letter";#N/A,#N/A,TRUE,"Inside";#N/A,#N/A,TRUE,"Contents";#N/A,#N/A,TRUE,"Basis";#N/A,#N/A,TRUE,"Inclusions";#N/A,#N/A,TRUE,"Exclusions";#N/A,#N/A,TRUE,"Areas";#N/A,#N/A,TRUE,"Summary";#N/A,#N/A,TRUE,"Detail"}</definedName>
    <definedName name="anuj105" localSheetId="2" hidden="1">{#N/A,#N/A,TRUE,"Front";#N/A,#N/A,TRUE,"Simple Letter";#N/A,#N/A,TRUE,"Inside";#N/A,#N/A,TRUE,"Contents";#N/A,#N/A,TRUE,"Basis";#N/A,#N/A,TRUE,"Inclusions";#N/A,#N/A,TRUE,"Exclusions";#N/A,#N/A,TRUE,"Areas";#N/A,#N/A,TRUE,"Summary";#N/A,#N/A,TRUE,"Detail"}</definedName>
    <definedName name="anuj105_1" localSheetId="5" hidden="1">{#N/A,#N/A,TRUE,"Front";#N/A,#N/A,TRUE,"Simple Letter";#N/A,#N/A,TRUE,"Inside";#N/A,#N/A,TRUE,"Contents";#N/A,#N/A,TRUE,"Basis";#N/A,#N/A,TRUE,"Inclusions";#N/A,#N/A,TRUE,"Exclusions";#N/A,#N/A,TRUE,"Areas";#N/A,#N/A,TRUE,"Summary";#N/A,#N/A,TRUE,"Detail"}</definedName>
    <definedName name="anuj105_1" localSheetId="2" hidden="1">{#N/A,#N/A,TRUE,"Front";#N/A,#N/A,TRUE,"Simple Letter";#N/A,#N/A,TRUE,"Inside";#N/A,#N/A,TRUE,"Contents";#N/A,#N/A,TRUE,"Basis";#N/A,#N/A,TRUE,"Inclusions";#N/A,#N/A,TRUE,"Exclusions";#N/A,#N/A,TRUE,"Areas";#N/A,#N/A,TRUE,"Summary";#N/A,#N/A,TRUE,"Detail"}</definedName>
    <definedName name="anuj105_1_1" localSheetId="5" hidden="1">{#N/A,#N/A,TRUE,"Front";#N/A,#N/A,TRUE,"Simple Letter";#N/A,#N/A,TRUE,"Inside";#N/A,#N/A,TRUE,"Contents";#N/A,#N/A,TRUE,"Basis";#N/A,#N/A,TRUE,"Inclusions";#N/A,#N/A,TRUE,"Exclusions";#N/A,#N/A,TRUE,"Areas";#N/A,#N/A,TRUE,"Summary";#N/A,#N/A,TRUE,"Detail"}</definedName>
    <definedName name="anuj105_1_1" localSheetId="2" hidden="1">{#N/A,#N/A,TRUE,"Front";#N/A,#N/A,TRUE,"Simple Letter";#N/A,#N/A,TRUE,"Inside";#N/A,#N/A,TRUE,"Contents";#N/A,#N/A,TRUE,"Basis";#N/A,#N/A,TRUE,"Inclusions";#N/A,#N/A,TRUE,"Exclusions";#N/A,#N/A,TRUE,"Areas";#N/A,#N/A,TRUE,"Summary";#N/A,#N/A,TRUE,"Detail"}</definedName>
    <definedName name="anuj105_1_2" localSheetId="5" hidden="1">{#N/A,#N/A,TRUE,"Front";#N/A,#N/A,TRUE,"Simple Letter";#N/A,#N/A,TRUE,"Inside";#N/A,#N/A,TRUE,"Contents";#N/A,#N/A,TRUE,"Basis";#N/A,#N/A,TRUE,"Inclusions";#N/A,#N/A,TRUE,"Exclusions";#N/A,#N/A,TRUE,"Areas";#N/A,#N/A,TRUE,"Summary";#N/A,#N/A,TRUE,"Detail"}</definedName>
    <definedName name="anuj105_1_2" localSheetId="2" hidden="1">{#N/A,#N/A,TRUE,"Front";#N/A,#N/A,TRUE,"Simple Letter";#N/A,#N/A,TRUE,"Inside";#N/A,#N/A,TRUE,"Contents";#N/A,#N/A,TRUE,"Basis";#N/A,#N/A,TRUE,"Inclusions";#N/A,#N/A,TRUE,"Exclusions";#N/A,#N/A,TRUE,"Areas";#N/A,#N/A,TRUE,"Summary";#N/A,#N/A,TRUE,"Detail"}</definedName>
    <definedName name="anuj105_2" localSheetId="5" hidden="1">{#N/A,#N/A,TRUE,"Front";#N/A,#N/A,TRUE,"Simple Letter";#N/A,#N/A,TRUE,"Inside";#N/A,#N/A,TRUE,"Contents";#N/A,#N/A,TRUE,"Basis";#N/A,#N/A,TRUE,"Inclusions";#N/A,#N/A,TRUE,"Exclusions";#N/A,#N/A,TRUE,"Areas";#N/A,#N/A,TRUE,"Summary";#N/A,#N/A,TRUE,"Detail"}</definedName>
    <definedName name="anuj105_2" localSheetId="2" hidden="1">{#N/A,#N/A,TRUE,"Front";#N/A,#N/A,TRUE,"Simple Letter";#N/A,#N/A,TRUE,"Inside";#N/A,#N/A,TRUE,"Contents";#N/A,#N/A,TRUE,"Basis";#N/A,#N/A,TRUE,"Inclusions";#N/A,#N/A,TRUE,"Exclusions";#N/A,#N/A,TRUE,"Areas";#N/A,#N/A,TRUE,"Summary";#N/A,#N/A,TRUE,"Detail"}</definedName>
    <definedName name="anuj105_2_1" localSheetId="5" hidden="1">{#N/A,#N/A,TRUE,"Front";#N/A,#N/A,TRUE,"Simple Letter";#N/A,#N/A,TRUE,"Inside";#N/A,#N/A,TRUE,"Contents";#N/A,#N/A,TRUE,"Basis";#N/A,#N/A,TRUE,"Inclusions";#N/A,#N/A,TRUE,"Exclusions";#N/A,#N/A,TRUE,"Areas";#N/A,#N/A,TRUE,"Summary";#N/A,#N/A,TRUE,"Detail"}</definedName>
    <definedName name="anuj105_2_1" localSheetId="2" hidden="1">{#N/A,#N/A,TRUE,"Front";#N/A,#N/A,TRUE,"Simple Letter";#N/A,#N/A,TRUE,"Inside";#N/A,#N/A,TRUE,"Contents";#N/A,#N/A,TRUE,"Basis";#N/A,#N/A,TRUE,"Inclusions";#N/A,#N/A,TRUE,"Exclusions";#N/A,#N/A,TRUE,"Areas";#N/A,#N/A,TRUE,"Summary";#N/A,#N/A,TRUE,"Detail"}</definedName>
    <definedName name="anuj105_3" localSheetId="5" hidden="1">{#N/A,#N/A,TRUE,"Front";#N/A,#N/A,TRUE,"Simple Letter";#N/A,#N/A,TRUE,"Inside";#N/A,#N/A,TRUE,"Contents";#N/A,#N/A,TRUE,"Basis";#N/A,#N/A,TRUE,"Inclusions";#N/A,#N/A,TRUE,"Exclusions";#N/A,#N/A,TRUE,"Areas";#N/A,#N/A,TRUE,"Summary";#N/A,#N/A,TRUE,"Detail"}</definedName>
    <definedName name="anuj105_3" localSheetId="2" hidden="1">{#N/A,#N/A,TRUE,"Front";#N/A,#N/A,TRUE,"Simple Letter";#N/A,#N/A,TRUE,"Inside";#N/A,#N/A,TRUE,"Contents";#N/A,#N/A,TRUE,"Basis";#N/A,#N/A,TRUE,"Inclusions";#N/A,#N/A,TRUE,"Exclusions";#N/A,#N/A,TRUE,"Areas";#N/A,#N/A,TRUE,"Summary";#N/A,#N/A,TRUE,"Detail"}</definedName>
    <definedName name="anuj105_4" localSheetId="5" hidden="1">{#N/A,#N/A,TRUE,"Front";#N/A,#N/A,TRUE,"Simple Letter";#N/A,#N/A,TRUE,"Inside";#N/A,#N/A,TRUE,"Contents";#N/A,#N/A,TRUE,"Basis";#N/A,#N/A,TRUE,"Inclusions";#N/A,#N/A,TRUE,"Exclusions";#N/A,#N/A,TRUE,"Areas";#N/A,#N/A,TRUE,"Summary";#N/A,#N/A,TRUE,"Detail"}</definedName>
    <definedName name="anuj105_4" localSheetId="2" hidden="1">{#N/A,#N/A,TRUE,"Front";#N/A,#N/A,TRUE,"Simple Letter";#N/A,#N/A,TRUE,"Inside";#N/A,#N/A,TRUE,"Contents";#N/A,#N/A,TRUE,"Basis";#N/A,#N/A,TRUE,"Inclusions";#N/A,#N/A,TRUE,"Exclusions";#N/A,#N/A,TRUE,"Areas";#N/A,#N/A,TRUE,"Summary";#N/A,#N/A,TRUE,"Detail"}</definedName>
    <definedName name="anuj12" localSheetId="5" hidden="1">{#N/A,#N/A,TRUE,"Front";#N/A,#N/A,TRUE,"Simple Letter";#N/A,#N/A,TRUE,"Inside";#N/A,#N/A,TRUE,"Contents";#N/A,#N/A,TRUE,"Basis";#N/A,#N/A,TRUE,"Inclusions";#N/A,#N/A,TRUE,"Exclusions";#N/A,#N/A,TRUE,"Areas";#N/A,#N/A,TRUE,"Summary";#N/A,#N/A,TRUE,"Detail"}</definedName>
    <definedName name="anuj12" localSheetId="2" hidden="1">{#N/A,#N/A,TRUE,"Front";#N/A,#N/A,TRUE,"Simple Letter";#N/A,#N/A,TRUE,"Inside";#N/A,#N/A,TRUE,"Contents";#N/A,#N/A,TRUE,"Basis";#N/A,#N/A,TRUE,"Inclusions";#N/A,#N/A,TRUE,"Exclusions";#N/A,#N/A,TRUE,"Areas";#N/A,#N/A,TRUE,"Summary";#N/A,#N/A,TRUE,"Detail"}</definedName>
    <definedName name="anuj12_1" localSheetId="5" hidden="1">{#N/A,#N/A,TRUE,"Front";#N/A,#N/A,TRUE,"Simple Letter";#N/A,#N/A,TRUE,"Inside";#N/A,#N/A,TRUE,"Contents";#N/A,#N/A,TRUE,"Basis";#N/A,#N/A,TRUE,"Inclusions";#N/A,#N/A,TRUE,"Exclusions";#N/A,#N/A,TRUE,"Areas";#N/A,#N/A,TRUE,"Summary";#N/A,#N/A,TRUE,"Detail"}</definedName>
    <definedName name="anuj12_1" localSheetId="2" hidden="1">{#N/A,#N/A,TRUE,"Front";#N/A,#N/A,TRUE,"Simple Letter";#N/A,#N/A,TRUE,"Inside";#N/A,#N/A,TRUE,"Contents";#N/A,#N/A,TRUE,"Basis";#N/A,#N/A,TRUE,"Inclusions";#N/A,#N/A,TRUE,"Exclusions";#N/A,#N/A,TRUE,"Areas";#N/A,#N/A,TRUE,"Summary";#N/A,#N/A,TRUE,"Detail"}</definedName>
    <definedName name="anuj12_1_1" localSheetId="5" hidden="1">{#N/A,#N/A,TRUE,"Front";#N/A,#N/A,TRUE,"Simple Letter";#N/A,#N/A,TRUE,"Inside";#N/A,#N/A,TRUE,"Contents";#N/A,#N/A,TRUE,"Basis";#N/A,#N/A,TRUE,"Inclusions";#N/A,#N/A,TRUE,"Exclusions";#N/A,#N/A,TRUE,"Areas";#N/A,#N/A,TRUE,"Summary";#N/A,#N/A,TRUE,"Detail"}</definedName>
    <definedName name="anuj12_1_1" localSheetId="2" hidden="1">{#N/A,#N/A,TRUE,"Front";#N/A,#N/A,TRUE,"Simple Letter";#N/A,#N/A,TRUE,"Inside";#N/A,#N/A,TRUE,"Contents";#N/A,#N/A,TRUE,"Basis";#N/A,#N/A,TRUE,"Inclusions";#N/A,#N/A,TRUE,"Exclusions";#N/A,#N/A,TRUE,"Areas";#N/A,#N/A,TRUE,"Summary";#N/A,#N/A,TRUE,"Detail"}</definedName>
    <definedName name="anuj12_1_2" localSheetId="5" hidden="1">{#N/A,#N/A,TRUE,"Front";#N/A,#N/A,TRUE,"Simple Letter";#N/A,#N/A,TRUE,"Inside";#N/A,#N/A,TRUE,"Contents";#N/A,#N/A,TRUE,"Basis";#N/A,#N/A,TRUE,"Inclusions";#N/A,#N/A,TRUE,"Exclusions";#N/A,#N/A,TRUE,"Areas";#N/A,#N/A,TRUE,"Summary";#N/A,#N/A,TRUE,"Detail"}</definedName>
    <definedName name="anuj12_1_2" localSheetId="2" hidden="1">{#N/A,#N/A,TRUE,"Front";#N/A,#N/A,TRUE,"Simple Letter";#N/A,#N/A,TRUE,"Inside";#N/A,#N/A,TRUE,"Contents";#N/A,#N/A,TRUE,"Basis";#N/A,#N/A,TRUE,"Inclusions";#N/A,#N/A,TRUE,"Exclusions";#N/A,#N/A,TRUE,"Areas";#N/A,#N/A,TRUE,"Summary";#N/A,#N/A,TRUE,"Detail"}</definedName>
    <definedName name="anuj12_2" localSheetId="5" hidden="1">{#N/A,#N/A,TRUE,"Front";#N/A,#N/A,TRUE,"Simple Letter";#N/A,#N/A,TRUE,"Inside";#N/A,#N/A,TRUE,"Contents";#N/A,#N/A,TRUE,"Basis";#N/A,#N/A,TRUE,"Inclusions";#N/A,#N/A,TRUE,"Exclusions";#N/A,#N/A,TRUE,"Areas";#N/A,#N/A,TRUE,"Summary";#N/A,#N/A,TRUE,"Detail"}</definedName>
    <definedName name="anuj12_2" localSheetId="2" hidden="1">{#N/A,#N/A,TRUE,"Front";#N/A,#N/A,TRUE,"Simple Letter";#N/A,#N/A,TRUE,"Inside";#N/A,#N/A,TRUE,"Contents";#N/A,#N/A,TRUE,"Basis";#N/A,#N/A,TRUE,"Inclusions";#N/A,#N/A,TRUE,"Exclusions";#N/A,#N/A,TRUE,"Areas";#N/A,#N/A,TRUE,"Summary";#N/A,#N/A,TRUE,"Detail"}</definedName>
    <definedName name="anuj12_2_1" localSheetId="5" hidden="1">{#N/A,#N/A,TRUE,"Front";#N/A,#N/A,TRUE,"Simple Letter";#N/A,#N/A,TRUE,"Inside";#N/A,#N/A,TRUE,"Contents";#N/A,#N/A,TRUE,"Basis";#N/A,#N/A,TRUE,"Inclusions";#N/A,#N/A,TRUE,"Exclusions";#N/A,#N/A,TRUE,"Areas";#N/A,#N/A,TRUE,"Summary";#N/A,#N/A,TRUE,"Detail"}</definedName>
    <definedName name="anuj12_2_1" localSheetId="2" hidden="1">{#N/A,#N/A,TRUE,"Front";#N/A,#N/A,TRUE,"Simple Letter";#N/A,#N/A,TRUE,"Inside";#N/A,#N/A,TRUE,"Contents";#N/A,#N/A,TRUE,"Basis";#N/A,#N/A,TRUE,"Inclusions";#N/A,#N/A,TRUE,"Exclusions";#N/A,#N/A,TRUE,"Areas";#N/A,#N/A,TRUE,"Summary";#N/A,#N/A,TRUE,"Detail"}</definedName>
    <definedName name="anuj12_3" localSheetId="5" hidden="1">{#N/A,#N/A,TRUE,"Front";#N/A,#N/A,TRUE,"Simple Letter";#N/A,#N/A,TRUE,"Inside";#N/A,#N/A,TRUE,"Contents";#N/A,#N/A,TRUE,"Basis";#N/A,#N/A,TRUE,"Inclusions";#N/A,#N/A,TRUE,"Exclusions";#N/A,#N/A,TRUE,"Areas";#N/A,#N/A,TRUE,"Summary";#N/A,#N/A,TRUE,"Detail"}</definedName>
    <definedName name="anuj12_3" localSheetId="2" hidden="1">{#N/A,#N/A,TRUE,"Front";#N/A,#N/A,TRUE,"Simple Letter";#N/A,#N/A,TRUE,"Inside";#N/A,#N/A,TRUE,"Contents";#N/A,#N/A,TRUE,"Basis";#N/A,#N/A,TRUE,"Inclusions";#N/A,#N/A,TRUE,"Exclusions";#N/A,#N/A,TRUE,"Areas";#N/A,#N/A,TRUE,"Summary";#N/A,#N/A,TRUE,"Detail"}</definedName>
    <definedName name="anuj12_4" localSheetId="5" hidden="1">{#N/A,#N/A,TRUE,"Front";#N/A,#N/A,TRUE,"Simple Letter";#N/A,#N/A,TRUE,"Inside";#N/A,#N/A,TRUE,"Contents";#N/A,#N/A,TRUE,"Basis";#N/A,#N/A,TRUE,"Inclusions";#N/A,#N/A,TRUE,"Exclusions";#N/A,#N/A,TRUE,"Areas";#N/A,#N/A,TRUE,"Summary";#N/A,#N/A,TRUE,"Detail"}</definedName>
    <definedName name="anuj12_4" localSheetId="2" hidden="1">{#N/A,#N/A,TRUE,"Front";#N/A,#N/A,TRUE,"Simple Letter";#N/A,#N/A,TRUE,"Inside";#N/A,#N/A,TRUE,"Contents";#N/A,#N/A,TRUE,"Basis";#N/A,#N/A,TRUE,"Inclusions";#N/A,#N/A,TRUE,"Exclusions";#N/A,#N/A,TRUE,"Areas";#N/A,#N/A,TRUE,"Summary";#N/A,#N/A,TRUE,"Detail"}</definedName>
    <definedName name="anuj14" localSheetId="5" hidden="1">{#N/A,#N/A,TRUE,"Front";#N/A,#N/A,TRUE,"Simple Letter";#N/A,#N/A,TRUE,"Inside";#N/A,#N/A,TRUE,"Contents";#N/A,#N/A,TRUE,"Basis";#N/A,#N/A,TRUE,"Inclusions";#N/A,#N/A,TRUE,"Exclusions";#N/A,#N/A,TRUE,"Areas";#N/A,#N/A,TRUE,"Summary";#N/A,#N/A,TRUE,"Detail"}</definedName>
    <definedName name="anuj14" localSheetId="2" hidden="1">{#N/A,#N/A,TRUE,"Front";#N/A,#N/A,TRUE,"Simple Letter";#N/A,#N/A,TRUE,"Inside";#N/A,#N/A,TRUE,"Contents";#N/A,#N/A,TRUE,"Basis";#N/A,#N/A,TRUE,"Inclusions";#N/A,#N/A,TRUE,"Exclusions";#N/A,#N/A,TRUE,"Areas";#N/A,#N/A,TRUE,"Summary";#N/A,#N/A,TRUE,"Detail"}</definedName>
    <definedName name="anuj14_1" localSheetId="5" hidden="1">{#N/A,#N/A,TRUE,"Front";#N/A,#N/A,TRUE,"Simple Letter";#N/A,#N/A,TRUE,"Inside";#N/A,#N/A,TRUE,"Contents";#N/A,#N/A,TRUE,"Basis";#N/A,#N/A,TRUE,"Inclusions";#N/A,#N/A,TRUE,"Exclusions";#N/A,#N/A,TRUE,"Areas";#N/A,#N/A,TRUE,"Summary";#N/A,#N/A,TRUE,"Detail"}</definedName>
    <definedName name="anuj14_1" localSheetId="2" hidden="1">{#N/A,#N/A,TRUE,"Front";#N/A,#N/A,TRUE,"Simple Letter";#N/A,#N/A,TRUE,"Inside";#N/A,#N/A,TRUE,"Contents";#N/A,#N/A,TRUE,"Basis";#N/A,#N/A,TRUE,"Inclusions";#N/A,#N/A,TRUE,"Exclusions";#N/A,#N/A,TRUE,"Areas";#N/A,#N/A,TRUE,"Summary";#N/A,#N/A,TRUE,"Detail"}</definedName>
    <definedName name="anuj14_1_1" localSheetId="5" hidden="1">{#N/A,#N/A,TRUE,"Front";#N/A,#N/A,TRUE,"Simple Letter";#N/A,#N/A,TRUE,"Inside";#N/A,#N/A,TRUE,"Contents";#N/A,#N/A,TRUE,"Basis";#N/A,#N/A,TRUE,"Inclusions";#N/A,#N/A,TRUE,"Exclusions";#N/A,#N/A,TRUE,"Areas";#N/A,#N/A,TRUE,"Summary";#N/A,#N/A,TRUE,"Detail"}</definedName>
    <definedName name="anuj14_1_1" localSheetId="2" hidden="1">{#N/A,#N/A,TRUE,"Front";#N/A,#N/A,TRUE,"Simple Letter";#N/A,#N/A,TRUE,"Inside";#N/A,#N/A,TRUE,"Contents";#N/A,#N/A,TRUE,"Basis";#N/A,#N/A,TRUE,"Inclusions";#N/A,#N/A,TRUE,"Exclusions";#N/A,#N/A,TRUE,"Areas";#N/A,#N/A,TRUE,"Summary";#N/A,#N/A,TRUE,"Detail"}</definedName>
    <definedName name="anuj14_1_2" localSheetId="5" hidden="1">{#N/A,#N/A,TRUE,"Front";#N/A,#N/A,TRUE,"Simple Letter";#N/A,#N/A,TRUE,"Inside";#N/A,#N/A,TRUE,"Contents";#N/A,#N/A,TRUE,"Basis";#N/A,#N/A,TRUE,"Inclusions";#N/A,#N/A,TRUE,"Exclusions";#N/A,#N/A,TRUE,"Areas";#N/A,#N/A,TRUE,"Summary";#N/A,#N/A,TRUE,"Detail"}</definedName>
    <definedName name="anuj14_1_2" localSheetId="2" hidden="1">{#N/A,#N/A,TRUE,"Front";#N/A,#N/A,TRUE,"Simple Letter";#N/A,#N/A,TRUE,"Inside";#N/A,#N/A,TRUE,"Contents";#N/A,#N/A,TRUE,"Basis";#N/A,#N/A,TRUE,"Inclusions";#N/A,#N/A,TRUE,"Exclusions";#N/A,#N/A,TRUE,"Areas";#N/A,#N/A,TRUE,"Summary";#N/A,#N/A,TRUE,"Detail"}</definedName>
    <definedName name="anuj14_2" localSheetId="5" hidden="1">{#N/A,#N/A,TRUE,"Front";#N/A,#N/A,TRUE,"Simple Letter";#N/A,#N/A,TRUE,"Inside";#N/A,#N/A,TRUE,"Contents";#N/A,#N/A,TRUE,"Basis";#N/A,#N/A,TRUE,"Inclusions";#N/A,#N/A,TRUE,"Exclusions";#N/A,#N/A,TRUE,"Areas";#N/A,#N/A,TRUE,"Summary";#N/A,#N/A,TRUE,"Detail"}</definedName>
    <definedName name="anuj14_2" localSheetId="2" hidden="1">{#N/A,#N/A,TRUE,"Front";#N/A,#N/A,TRUE,"Simple Letter";#N/A,#N/A,TRUE,"Inside";#N/A,#N/A,TRUE,"Contents";#N/A,#N/A,TRUE,"Basis";#N/A,#N/A,TRUE,"Inclusions";#N/A,#N/A,TRUE,"Exclusions";#N/A,#N/A,TRUE,"Areas";#N/A,#N/A,TRUE,"Summary";#N/A,#N/A,TRUE,"Detail"}</definedName>
    <definedName name="anuj14_2_1" localSheetId="5" hidden="1">{#N/A,#N/A,TRUE,"Front";#N/A,#N/A,TRUE,"Simple Letter";#N/A,#N/A,TRUE,"Inside";#N/A,#N/A,TRUE,"Contents";#N/A,#N/A,TRUE,"Basis";#N/A,#N/A,TRUE,"Inclusions";#N/A,#N/A,TRUE,"Exclusions";#N/A,#N/A,TRUE,"Areas";#N/A,#N/A,TRUE,"Summary";#N/A,#N/A,TRUE,"Detail"}</definedName>
    <definedName name="anuj14_2_1" localSheetId="2" hidden="1">{#N/A,#N/A,TRUE,"Front";#N/A,#N/A,TRUE,"Simple Letter";#N/A,#N/A,TRUE,"Inside";#N/A,#N/A,TRUE,"Contents";#N/A,#N/A,TRUE,"Basis";#N/A,#N/A,TRUE,"Inclusions";#N/A,#N/A,TRUE,"Exclusions";#N/A,#N/A,TRUE,"Areas";#N/A,#N/A,TRUE,"Summary";#N/A,#N/A,TRUE,"Detail"}</definedName>
    <definedName name="anuj14_3" localSheetId="5" hidden="1">{#N/A,#N/A,TRUE,"Front";#N/A,#N/A,TRUE,"Simple Letter";#N/A,#N/A,TRUE,"Inside";#N/A,#N/A,TRUE,"Contents";#N/A,#N/A,TRUE,"Basis";#N/A,#N/A,TRUE,"Inclusions";#N/A,#N/A,TRUE,"Exclusions";#N/A,#N/A,TRUE,"Areas";#N/A,#N/A,TRUE,"Summary";#N/A,#N/A,TRUE,"Detail"}</definedName>
    <definedName name="anuj14_3" localSheetId="2" hidden="1">{#N/A,#N/A,TRUE,"Front";#N/A,#N/A,TRUE,"Simple Letter";#N/A,#N/A,TRUE,"Inside";#N/A,#N/A,TRUE,"Contents";#N/A,#N/A,TRUE,"Basis";#N/A,#N/A,TRUE,"Inclusions";#N/A,#N/A,TRUE,"Exclusions";#N/A,#N/A,TRUE,"Areas";#N/A,#N/A,TRUE,"Summary";#N/A,#N/A,TRUE,"Detail"}</definedName>
    <definedName name="anuj14_4" localSheetId="5" hidden="1">{#N/A,#N/A,TRUE,"Front";#N/A,#N/A,TRUE,"Simple Letter";#N/A,#N/A,TRUE,"Inside";#N/A,#N/A,TRUE,"Contents";#N/A,#N/A,TRUE,"Basis";#N/A,#N/A,TRUE,"Inclusions";#N/A,#N/A,TRUE,"Exclusions";#N/A,#N/A,TRUE,"Areas";#N/A,#N/A,TRUE,"Summary";#N/A,#N/A,TRUE,"Detail"}</definedName>
    <definedName name="anuj14_4" localSheetId="2" hidden="1">{#N/A,#N/A,TRUE,"Front";#N/A,#N/A,TRUE,"Simple Letter";#N/A,#N/A,TRUE,"Inside";#N/A,#N/A,TRUE,"Contents";#N/A,#N/A,TRUE,"Basis";#N/A,#N/A,TRUE,"Inclusions";#N/A,#N/A,TRUE,"Exclusions";#N/A,#N/A,TRUE,"Areas";#N/A,#N/A,TRUE,"Summary";#N/A,#N/A,TRUE,"Detail"}</definedName>
    <definedName name="anuj17" localSheetId="7">#REF!</definedName>
    <definedName name="anuj17" localSheetId="1">#REF!</definedName>
    <definedName name="anuj17" localSheetId="3">#REF!</definedName>
    <definedName name="anuj17">#REF!</definedName>
    <definedName name="anuj18" localSheetId="7">#REF!</definedName>
    <definedName name="anuj18" localSheetId="1">#REF!</definedName>
    <definedName name="anuj18" localSheetId="3">#REF!</definedName>
    <definedName name="anuj18">#REF!</definedName>
    <definedName name="anuj19" localSheetId="7">#REF!</definedName>
    <definedName name="anuj19" localSheetId="1">#REF!</definedName>
    <definedName name="anuj19" localSheetId="3">#REF!</definedName>
    <definedName name="anuj19">#REF!</definedName>
    <definedName name="anuj2" localSheetId="7">#REF!</definedName>
    <definedName name="anuj2" localSheetId="1">#REF!</definedName>
    <definedName name="anuj2" localSheetId="3">#REF!</definedName>
    <definedName name="anuj2">#REF!</definedName>
    <definedName name="anuj20" localSheetId="5" hidden="1">{#N/A,#N/A,TRUE,"Front";#N/A,#N/A,TRUE,"Simple Letter";#N/A,#N/A,TRUE,"Inside";#N/A,#N/A,TRUE,"Contents";#N/A,#N/A,TRUE,"Basis";#N/A,#N/A,TRUE,"Inclusions";#N/A,#N/A,TRUE,"Exclusions";#N/A,#N/A,TRUE,"Areas";#N/A,#N/A,TRUE,"Summary";#N/A,#N/A,TRUE,"Detail"}</definedName>
    <definedName name="anuj20" localSheetId="2" hidden="1">{#N/A,#N/A,TRUE,"Front";#N/A,#N/A,TRUE,"Simple Letter";#N/A,#N/A,TRUE,"Inside";#N/A,#N/A,TRUE,"Contents";#N/A,#N/A,TRUE,"Basis";#N/A,#N/A,TRUE,"Inclusions";#N/A,#N/A,TRUE,"Exclusions";#N/A,#N/A,TRUE,"Areas";#N/A,#N/A,TRUE,"Summary";#N/A,#N/A,TRUE,"Detail"}</definedName>
    <definedName name="anuj20_1" localSheetId="5" hidden="1">{#N/A,#N/A,TRUE,"Front";#N/A,#N/A,TRUE,"Simple Letter";#N/A,#N/A,TRUE,"Inside";#N/A,#N/A,TRUE,"Contents";#N/A,#N/A,TRUE,"Basis";#N/A,#N/A,TRUE,"Inclusions";#N/A,#N/A,TRUE,"Exclusions";#N/A,#N/A,TRUE,"Areas";#N/A,#N/A,TRUE,"Summary";#N/A,#N/A,TRUE,"Detail"}</definedName>
    <definedName name="anuj20_1" localSheetId="2" hidden="1">{#N/A,#N/A,TRUE,"Front";#N/A,#N/A,TRUE,"Simple Letter";#N/A,#N/A,TRUE,"Inside";#N/A,#N/A,TRUE,"Contents";#N/A,#N/A,TRUE,"Basis";#N/A,#N/A,TRUE,"Inclusions";#N/A,#N/A,TRUE,"Exclusions";#N/A,#N/A,TRUE,"Areas";#N/A,#N/A,TRUE,"Summary";#N/A,#N/A,TRUE,"Detail"}</definedName>
    <definedName name="anuj20_1_1" localSheetId="5" hidden="1">{#N/A,#N/A,TRUE,"Front";#N/A,#N/A,TRUE,"Simple Letter";#N/A,#N/A,TRUE,"Inside";#N/A,#N/A,TRUE,"Contents";#N/A,#N/A,TRUE,"Basis";#N/A,#N/A,TRUE,"Inclusions";#N/A,#N/A,TRUE,"Exclusions";#N/A,#N/A,TRUE,"Areas";#N/A,#N/A,TRUE,"Summary";#N/A,#N/A,TRUE,"Detail"}</definedName>
    <definedName name="anuj20_1_1" localSheetId="2" hidden="1">{#N/A,#N/A,TRUE,"Front";#N/A,#N/A,TRUE,"Simple Letter";#N/A,#N/A,TRUE,"Inside";#N/A,#N/A,TRUE,"Contents";#N/A,#N/A,TRUE,"Basis";#N/A,#N/A,TRUE,"Inclusions";#N/A,#N/A,TRUE,"Exclusions";#N/A,#N/A,TRUE,"Areas";#N/A,#N/A,TRUE,"Summary";#N/A,#N/A,TRUE,"Detail"}</definedName>
    <definedName name="anuj20_1_2" localSheetId="5" hidden="1">{#N/A,#N/A,TRUE,"Front";#N/A,#N/A,TRUE,"Simple Letter";#N/A,#N/A,TRUE,"Inside";#N/A,#N/A,TRUE,"Contents";#N/A,#N/A,TRUE,"Basis";#N/A,#N/A,TRUE,"Inclusions";#N/A,#N/A,TRUE,"Exclusions";#N/A,#N/A,TRUE,"Areas";#N/A,#N/A,TRUE,"Summary";#N/A,#N/A,TRUE,"Detail"}</definedName>
    <definedName name="anuj20_1_2" localSheetId="2" hidden="1">{#N/A,#N/A,TRUE,"Front";#N/A,#N/A,TRUE,"Simple Letter";#N/A,#N/A,TRUE,"Inside";#N/A,#N/A,TRUE,"Contents";#N/A,#N/A,TRUE,"Basis";#N/A,#N/A,TRUE,"Inclusions";#N/A,#N/A,TRUE,"Exclusions";#N/A,#N/A,TRUE,"Areas";#N/A,#N/A,TRUE,"Summary";#N/A,#N/A,TRUE,"Detail"}</definedName>
    <definedName name="anuj20_2" localSheetId="5" hidden="1">{#N/A,#N/A,TRUE,"Front";#N/A,#N/A,TRUE,"Simple Letter";#N/A,#N/A,TRUE,"Inside";#N/A,#N/A,TRUE,"Contents";#N/A,#N/A,TRUE,"Basis";#N/A,#N/A,TRUE,"Inclusions";#N/A,#N/A,TRUE,"Exclusions";#N/A,#N/A,TRUE,"Areas";#N/A,#N/A,TRUE,"Summary";#N/A,#N/A,TRUE,"Detail"}</definedName>
    <definedName name="anuj20_2" localSheetId="2" hidden="1">{#N/A,#N/A,TRUE,"Front";#N/A,#N/A,TRUE,"Simple Letter";#N/A,#N/A,TRUE,"Inside";#N/A,#N/A,TRUE,"Contents";#N/A,#N/A,TRUE,"Basis";#N/A,#N/A,TRUE,"Inclusions";#N/A,#N/A,TRUE,"Exclusions";#N/A,#N/A,TRUE,"Areas";#N/A,#N/A,TRUE,"Summary";#N/A,#N/A,TRUE,"Detail"}</definedName>
    <definedName name="anuj20_2_1" localSheetId="5" hidden="1">{#N/A,#N/A,TRUE,"Front";#N/A,#N/A,TRUE,"Simple Letter";#N/A,#N/A,TRUE,"Inside";#N/A,#N/A,TRUE,"Contents";#N/A,#N/A,TRUE,"Basis";#N/A,#N/A,TRUE,"Inclusions";#N/A,#N/A,TRUE,"Exclusions";#N/A,#N/A,TRUE,"Areas";#N/A,#N/A,TRUE,"Summary";#N/A,#N/A,TRUE,"Detail"}</definedName>
    <definedName name="anuj20_2_1" localSheetId="2" hidden="1">{#N/A,#N/A,TRUE,"Front";#N/A,#N/A,TRUE,"Simple Letter";#N/A,#N/A,TRUE,"Inside";#N/A,#N/A,TRUE,"Contents";#N/A,#N/A,TRUE,"Basis";#N/A,#N/A,TRUE,"Inclusions";#N/A,#N/A,TRUE,"Exclusions";#N/A,#N/A,TRUE,"Areas";#N/A,#N/A,TRUE,"Summary";#N/A,#N/A,TRUE,"Detail"}</definedName>
    <definedName name="anuj20_3" localSheetId="5" hidden="1">{#N/A,#N/A,TRUE,"Front";#N/A,#N/A,TRUE,"Simple Letter";#N/A,#N/A,TRUE,"Inside";#N/A,#N/A,TRUE,"Contents";#N/A,#N/A,TRUE,"Basis";#N/A,#N/A,TRUE,"Inclusions";#N/A,#N/A,TRUE,"Exclusions";#N/A,#N/A,TRUE,"Areas";#N/A,#N/A,TRUE,"Summary";#N/A,#N/A,TRUE,"Detail"}</definedName>
    <definedName name="anuj20_3" localSheetId="2" hidden="1">{#N/A,#N/A,TRUE,"Front";#N/A,#N/A,TRUE,"Simple Letter";#N/A,#N/A,TRUE,"Inside";#N/A,#N/A,TRUE,"Contents";#N/A,#N/A,TRUE,"Basis";#N/A,#N/A,TRUE,"Inclusions";#N/A,#N/A,TRUE,"Exclusions";#N/A,#N/A,TRUE,"Areas";#N/A,#N/A,TRUE,"Summary";#N/A,#N/A,TRUE,"Detail"}</definedName>
    <definedName name="anuj20_4" localSheetId="5" hidden="1">{#N/A,#N/A,TRUE,"Front";#N/A,#N/A,TRUE,"Simple Letter";#N/A,#N/A,TRUE,"Inside";#N/A,#N/A,TRUE,"Contents";#N/A,#N/A,TRUE,"Basis";#N/A,#N/A,TRUE,"Inclusions";#N/A,#N/A,TRUE,"Exclusions";#N/A,#N/A,TRUE,"Areas";#N/A,#N/A,TRUE,"Summary";#N/A,#N/A,TRUE,"Detail"}</definedName>
    <definedName name="anuj20_4" localSheetId="2" hidden="1">{#N/A,#N/A,TRUE,"Front";#N/A,#N/A,TRUE,"Simple Letter";#N/A,#N/A,TRUE,"Inside";#N/A,#N/A,TRUE,"Contents";#N/A,#N/A,TRUE,"Basis";#N/A,#N/A,TRUE,"Inclusions";#N/A,#N/A,TRUE,"Exclusions";#N/A,#N/A,TRUE,"Areas";#N/A,#N/A,TRUE,"Summary";#N/A,#N/A,TRUE,"Detail"}</definedName>
    <definedName name="anuj21" localSheetId="5" hidden="1">{#N/A,#N/A,TRUE,"Front";#N/A,#N/A,TRUE,"Simple Letter";#N/A,#N/A,TRUE,"Inside";#N/A,#N/A,TRUE,"Contents";#N/A,#N/A,TRUE,"Basis";#N/A,#N/A,TRUE,"Inclusions";#N/A,#N/A,TRUE,"Exclusions";#N/A,#N/A,TRUE,"Areas";#N/A,#N/A,TRUE,"Summary";#N/A,#N/A,TRUE,"Detail"}</definedName>
    <definedName name="anuj21" localSheetId="2" hidden="1">{#N/A,#N/A,TRUE,"Front";#N/A,#N/A,TRUE,"Simple Letter";#N/A,#N/A,TRUE,"Inside";#N/A,#N/A,TRUE,"Contents";#N/A,#N/A,TRUE,"Basis";#N/A,#N/A,TRUE,"Inclusions";#N/A,#N/A,TRUE,"Exclusions";#N/A,#N/A,TRUE,"Areas";#N/A,#N/A,TRUE,"Summary";#N/A,#N/A,TRUE,"Detail"}</definedName>
    <definedName name="anuj21_1" localSheetId="5" hidden="1">{#N/A,#N/A,TRUE,"Front";#N/A,#N/A,TRUE,"Simple Letter";#N/A,#N/A,TRUE,"Inside";#N/A,#N/A,TRUE,"Contents";#N/A,#N/A,TRUE,"Basis";#N/A,#N/A,TRUE,"Inclusions";#N/A,#N/A,TRUE,"Exclusions";#N/A,#N/A,TRUE,"Areas";#N/A,#N/A,TRUE,"Summary";#N/A,#N/A,TRUE,"Detail"}</definedName>
    <definedName name="anuj21_1" localSheetId="2" hidden="1">{#N/A,#N/A,TRUE,"Front";#N/A,#N/A,TRUE,"Simple Letter";#N/A,#N/A,TRUE,"Inside";#N/A,#N/A,TRUE,"Contents";#N/A,#N/A,TRUE,"Basis";#N/A,#N/A,TRUE,"Inclusions";#N/A,#N/A,TRUE,"Exclusions";#N/A,#N/A,TRUE,"Areas";#N/A,#N/A,TRUE,"Summary";#N/A,#N/A,TRUE,"Detail"}</definedName>
    <definedName name="anuj21_1_1" localSheetId="5" hidden="1">{#N/A,#N/A,TRUE,"Front";#N/A,#N/A,TRUE,"Simple Letter";#N/A,#N/A,TRUE,"Inside";#N/A,#N/A,TRUE,"Contents";#N/A,#N/A,TRUE,"Basis";#N/A,#N/A,TRUE,"Inclusions";#N/A,#N/A,TRUE,"Exclusions";#N/A,#N/A,TRUE,"Areas";#N/A,#N/A,TRUE,"Summary";#N/A,#N/A,TRUE,"Detail"}</definedName>
    <definedName name="anuj21_1_1" localSheetId="2" hidden="1">{#N/A,#N/A,TRUE,"Front";#N/A,#N/A,TRUE,"Simple Letter";#N/A,#N/A,TRUE,"Inside";#N/A,#N/A,TRUE,"Contents";#N/A,#N/A,TRUE,"Basis";#N/A,#N/A,TRUE,"Inclusions";#N/A,#N/A,TRUE,"Exclusions";#N/A,#N/A,TRUE,"Areas";#N/A,#N/A,TRUE,"Summary";#N/A,#N/A,TRUE,"Detail"}</definedName>
    <definedName name="anuj21_1_2" localSheetId="5" hidden="1">{#N/A,#N/A,TRUE,"Front";#N/A,#N/A,TRUE,"Simple Letter";#N/A,#N/A,TRUE,"Inside";#N/A,#N/A,TRUE,"Contents";#N/A,#N/A,TRUE,"Basis";#N/A,#N/A,TRUE,"Inclusions";#N/A,#N/A,TRUE,"Exclusions";#N/A,#N/A,TRUE,"Areas";#N/A,#N/A,TRUE,"Summary";#N/A,#N/A,TRUE,"Detail"}</definedName>
    <definedName name="anuj21_1_2" localSheetId="2" hidden="1">{#N/A,#N/A,TRUE,"Front";#N/A,#N/A,TRUE,"Simple Letter";#N/A,#N/A,TRUE,"Inside";#N/A,#N/A,TRUE,"Contents";#N/A,#N/A,TRUE,"Basis";#N/A,#N/A,TRUE,"Inclusions";#N/A,#N/A,TRUE,"Exclusions";#N/A,#N/A,TRUE,"Areas";#N/A,#N/A,TRUE,"Summary";#N/A,#N/A,TRUE,"Detail"}</definedName>
    <definedName name="anuj21_2" localSheetId="5" hidden="1">{#N/A,#N/A,TRUE,"Front";#N/A,#N/A,TRUE,"Simple Letter";#N/A,#N/A,TRUE,"Inside";#N/A,#N/A,TRUE,"Contents";#N/A,#N/A,TRUE,"Basis";#N/A,#N/A,TRUE,"Inclusions";#N/A,#N/A,TRUE,"Exclusions";#N/A,#N/A,TRUE,"Areas";#N/A,#N/A,TRUE,"Summary";#N/A,#N/A,TRUE,"Detail"}</definedName>
    <definedName name="anuj21_2" localSheetId="2" hidden="1">{#N/A,#N/A,TRUE,"Front";#N/A,#N/A,TRUE,"Simple Letter";#N/A,#N/A,TRUE,"Inside";#N/A,#N/A,TRUE,"Contents";#N/A,#N/A,TRUE,"Basis";#N/A,#N/A,TRUE,"Inclusions";#N/A,#N/A,TRUE,"Exclusions";#N/A,#N/A,TRUE,"Areas";#N/A,#N/A,TRUE,"Summary";#N/A,#N/A,TRUE,"Detail"}</definedName>
    <definedName name="anuj21_2_1" localSheetId="5" hidden="1">{#N/A,#N/A,TRUE,"Front";#N/A,#N/A,TRUE,"Simple Letter";#N/A,#N/A,TRUE,"Inside";#N/A,#N/A,TRUE,"Contents";#N/A,#N/A,TRUE,"Basis";#N/A,#N/A,TRUE,"Inclusions";#N/A,#N/A,TRUE,"Exclusions";#N/A,#N/A,TRUE,"Areas";#N/A,#N/A,TRUE,"Summary";#N/A,#N/A,TRUE,"Detail"}</definedName>
    <definedName name="anuj21_2_1" localSheetId="2" hidden="1">{#N/A,#N/A,TRUE,"Front";#N/A,#N/A,TRUE,"Simple Letter";#N/A,#N/A,TRUE,"Inside";#N/A,#N/A,TRUE,"Contents";#N/A,#N/A,TRUE,"Basis";#N/A,#N/A,TRUE,"Inclusions";#N/A,#N/A,TRUE,"Exclusions";#N/A,#N/A,TRUE,"Areas";#N/A,#N/A,TRUE,"Summary";#N/A,#N/A,TRUE,"Detail"}</definedName>
    <definedName name="anuj21_3" localSheetId="5" hidden="1">{#N/A,#N/A,TRUE,"Front";#N/A,#N/A,TRUE,"Simple Letter";#N/A,#N/A,TRUE,"Inside";#N/A,#N/A,TRUE,"Contents";#N/A,#N/A,TRUE,"Basis";#N/A,#N/A,TRUE,"Inclusions";#N/A,#N/A,TRUE,"Exclusions";#N/A,#N/A,TRUE,"Areas";#N/A,#N/A,TRUE,"Summary";#N/A,#N/A,TRUE,"Detail"}</definedName>
    <definedName name="anuj21_3" localSheetId="2" hidden="1">{#N/A,#N/A,TRUE,"Front";#N/A,#N/A,TRUE,"Simple Letter";#N/A,#N/A,TRUE,"Inside";#N/A,#N/A,TRUE,"Contents";#N/A,#N/A,TRUE,"Basis";#N/A,#N/A,TRUE,"Inclusions";#N/A,#N/A,TRUE,"Exclusions";#N/A,#N/A,TRUE,"Areas";#N/A,#N/A,TRUE,"Summary";#N/A,#N/A,TRUE,"Detail"}</definedName>
    <definedName name="anuj21_4" localSheetId="5" hidden="1">{#N/A,#N/A,TRUE,"Front";#N/A,#N/A,TRUE,"Simple Letter";#N/A,#N/A,TRUE,"Inside";#N/A,#N/A,TRUE,"Contents";#N/A,#N/A,TRUE,"Basis";#N/A,#N/A,TRUE,"Inclusions";#N/A,#N/A,TRUE,"Exclusions";#N/A,#N/A,TRUE,"Areas";#N/A,#N/A,TRUE,"Summary";#N/A,#N/A,TRUE,"Detail"}</definedName>
    <definedName name="anuj21_4" localSheetId="2" hidden="1">{#N/A,#N/A,TRUE,"Front";#N/A,#N/A,TRUE,"Simple Letter";#N/A,#N/A,TRUE,"Inside";#N/A,#N/A,TRUE,"Contents";#N/A,#N/A,TRUE,"Basis";#N/A,#N/A,TRUE,"Inclusions";#N/A,#N/A,TRUE,"Exclusions";#N/A,#N/A,TRUE,"Areas";#N/A,#N/A,TRUE,"Summary";#N/A,#N/A,TRUE,"Detail"}</definedName>
    <definedName name="anuj23" localSheetId="5" hidden="1">{#N/A,#N/A,TRUE,"Front";#N/A,#N/A,TRUE,"Simple Letter";#N/A,#N/A,TRUE,"Inside";#N/A,#N/A,TRUE,"Contents";#N/A,#N/A,TRUE,"Basis";#N/A,#N/A,TRUE,"Inclusions";#N/A,#N/A,TRUE,"Exclusions";#N/A,#N/A,TRUE,"Areas";#N/A,#N/A,TRUE,"Summary";#N/A,#N/A,TRUE,"Detail"}</definedName>
    <definedName name="anuj23" localSheetId="2" hidden="1">{#N/A,#N/A,TRUE,"Front";#N/A,#N/A,TRUE,"Simple Letter";#N/A,#N/A,TRUE,"Inside";#N/A,#N/A,TRUE,"Contents";#N/A,#N/A,TRUE,"Basis";#N/A,#N/A,TRUE,"Inclusions";#N/A,#N/A,TRUE,"Exclusions";#N/A,#N/A,TRUE,"Areas";#N/A,#N/A,TRUE,"Summary";#N/A,#N/A,TRUE,"Detail"}</definedName>
    <definedName name="anuj23_1" localSheetId="5" hidden="1">{#N/A,#N/A,TRUE,"Front";#N/A,#N/A,TRUE,"Simple Letter";#N/A,#N/A,TRUE,"Inside";#N/A,#N/A,TRUE,"Contents";#N/A,#N/A,TRUE,"Basis";#N/A,#N/A,TRUE,"Inclusions";#N/A,#N/A,TRUE,"Exclusions";#N/A,#N/A,TRUE,"Areas";#N/A,#N/A,TRUE,"Summary";#N/A,#N/A,TRUE,"Detail"}</definedName>
    <definedName name="anuj23_1" localSheetId="2" hidden="1">{#N/A,#N/A,TRUE,"Front";#N/A,#N/A,TRUE,"Simple Letter";#N/A,#N/A,TRUE,"Inside";#N/A,#N/A,TRUE,"Contents";#N/A,#N/A,TRUE,"Basis";#N/A,#N/A,TRUE,"Inclusions";#N/A,#N/A,TRUE,"Exclusions";#N/A,#N/A,TRUE,"Areas";#N/A,#N/A,TRUE,"Summary";#N/A,#N/A,TRUE,"Detail"}</definedName>
    <definedName name="anuj23_1_1" localSheetId="5" hidden="1">{#N/A,#N/A,TRUE,"Front";#N/A,#N/A,TRUE,"Simple Letter";#N/A,#N/A,TRUE,"Inside";#N/A,#N/A,TRUE,"Contents";#N/A,#N/A,TRUE,"Basis";#N/A,#N/A,TRUE,"Inclusions";#N/A,#N/A,TRUE,"Exclusions";#N/A,#N/A,TRUE,"Areas";#N/A,#N/A,TRUE,"Summary";#N/A,#N/A,TRUE,"Detail"}</definedName>
    <definedName name="anuj23_1_1" localSheetId="2" hidden="1">{#N/A,#N/A,TRUE,"Front";#N/A,#N/A,TRUE,"Simple Letter";#N/A,#N/A,TRUE,"Inside";#N/A,#N/A,TRUE,"Contents";#N/A,#N/A,TRUE,"Basis";#N/A,#N/A,TRUE,"Inclusions";#N/A,#N/A,TRUE,"Exclusions";#N/A,#N/A,TRUE,"Areas";#N/A,#N/A,TRUE,"Summary";#N/A,#N/A,TRUE,"Detail"}</definedName>
    <definedName name="anuj23_1_2" localSheetId="5" hidden="1">{#N/A,#N/A,TRUE,"Front";#N/A,#N/A,TRUE,"Simple Letter";#N/A,#N/A,TRUE,"Inside";#N/A,#N/A,TRUE,"Contents";#N/A,#N/A,TRUE,"Basis";#N/A,#N/A,TRUE,"Inclusions";#N/A,#N/A,TRUE,"Exclusions";#N/A,#N/A,TRUE,"Areas";#N/A,#N/A,TRUE,"Summary";#N/A,#N/A,TRUE,"Detail"}</definedName>
    <definedName name="anuj23_1_2" localSheetId="2" hidden="1">{#N/A,#N/A,TRUE,"Front";#N/A,#N/A,TRUE,"Simple Letter";#N/A,#N/A,TRUE,"Inside";#N/A,#N/A,TRUE,"Contents";#N/A,#N/A,TRUE,"Basis";#N/A,#N/A,TRUE,"Inclusions";#N/A,#N/A,TRUE,"Exclusions";#N/A,#N/A,TRUE,"Areas";#N/A,#N/A,TRUE,"Summary";#N/A,#N/A,TRUE,"Detail"}</definedName>
    <definedName name="anuj23_2" localSheetId="5" hidden="1">{#N/A,#N/A,TRUE,"Front";#N/A,#N/A,TRUE,"Simple Letter";#N/A,#N/A,TRUE,"Inside";#N/A,#N/A,TRUE,"Contents";#N/A,#N/A,TRUE,"Basis";#N/A,#N/A,TRUE,"Inclusions";#N/A,#N/A,TRUE,"Exclusions";#N/A,#N/A,TRUE,"Areas";#N/A,#N/A,TRUE,"Summary";#N/A,#N/A,TRUE,"Detail"}</definedName>
    <definedName name="anuj23_2" localSheetId="2" hidden="1">{#N/A,#N/A,TRUE,"Front";#N/A,#N/A,TRUE,"Simple Letter";#N/A,#N/A,TRUE,"Inside";#N/A,#N/A,TRUE,"Contents";#N/A,#N/A,TRUE,"Basis";#N/A,#N/A,TRUE,"Inclusions";#N/A,#N/A,TRUE,"Exclusions";#N/A,#N/A,TRUE,"Areas";#N/A,#N/A,TRUE,"Summary";#N/A,#N/A,TRUE,"Detail"}</definedName>
    <definedName name="anuj23_2_1" localSheetId="5" hidden="1">{#N/A,#N/A,TRUE,"Front";#N/A,#N/A,TRUE,"Simple Letter";#N/A,#N/A,TRUE,"Inside";#N/A,#N/A,TRUE,"Contents";#N/A,#N/A,TRUE,"Basis";#N/A,#N/A,TRUE,"Inclusions";#N/A,#N/A,TRUE,"Exclusions";#N/A,#N/A,TRUE,"Areas";#N/A,#N/A,TRUE,"Summary";#N/A,#N/A,TRUE,"Detail"}</definedName>
    <definedName name="anuj23_2_1" localSheetId="2" hidden="1">{#N/A,#N/A,TRUE,"Front";#N/A,#N/A,TRUE,"Simple Letter";#N/A,#N/A,TRUE,"Inside";#N/A,#N/A,TRUE,"Contents";#N/A,#N/A,TRUE,"Basis";#N/A,#N/A,TRUE,"Inclusions";#N/A,#N/A,TRUE,"Exclusions";#N/A,#N/A,TRUE,"Areas";#N/A,#N/A,TRUE,"Summary";#N/A,#N/A,TRUE,"Detail"}</definedName>
    <definedName name="anuj23_3" localSheetId="5" hidden="1">{#N/A,#N/A,TRUE,"Front";#N/A,#N/A,TRUE,"Simple Letter";#N/A,#N/A,TRUE,"Inside";#N/A,#N/A,TRUE,"Contents";#N/A,#N/A,TRUE,"Basis";#N/A,#N/A,TRUE,"Inclusions";#N/A,#N/A,TRUE,"Exclusions";#N/A,#N/A,TRUE,"Areas";#N/A,#N/A,TRUE,"Summary";#N/A,#N/A,TRUE,"Detail"}</definedName>
    <definedName name="anuj23_3" localSheetId="2" hidden="1">{#N/A,#N/A,TRUE,"Front";#N/A,#N/A,TRUE,"Simple Letter";#N/A,#N/A,TRUE,"Inside";#N/A,#N/A,TRUE,"Contents";#N/A,#N/A,TRUE,"Basis";#N/A,#N/A,TRUE,"Inclusions";#N/A,#N/A,TRUE,"Exclusions";#N/A,#N/A,TRUE,"Areas";#N/A,#N/A,TRUE,"Summary";#N/A,#N/A,TRUE,"Detail"}</definedName>
    <definedName name="anuj23_4" localSheetId="5" hidden="1">{#N/A,#N/A,TRUE,"Front";#N/A,#N/A,TRUE,"Simple Letter";#N/A,#N/A,TRUE,"Inside";#N/A,#N/A,TRUE,"Contents";#N/A,#N/A,TRUE,"Basis";#N/A,#N/A,TRUE,"Inclusions";#N/A,#N/A,TRUE,"Exclusions";#N/A,#N/A,TRUE,"Areas";#N/A,#N/A,TRUE,"Summary";#N/A,#N/A,TRUE,"Detail"}</definedName>
    <definedName name="anuj23_4" localSheetId="2" hidden="1">{#N/A,#N/A,TRUE,"Front";#N/A,#N/A,TRUE,"Simple Letter";#N/A,#N/A,TRUE,"Inside";#N/A,#N/A,TRUE,"Contents";#N/A,#N/A,TRUE,"Basis";#N/A,#N/A,TRUE,"Inclusions";#N/A,#N/A,TRUE,"Exclusions";#N/A,#N/A,TRUE,"Areas";#N/A,#N/A,TRUE,"Summary";#N/A,#N/A,TRUE,"Detail"}</definedName>
    <definedName name="anuj24" localSheetId="5" hidden="1">{#N/A,#N/A,TRUE,"Front";#N/A,#N/A,TRUE,"Simple Letter";#N/A,#N/A,TRUE,"Inside";#N/A,#N/A,TRUE,"Contents";#N/A,#N/A,TRUE,"Basis";#N/A,#N/A,TRUE,"Inclusions";#N/A,#N/A,TRUE,"Exclusions";#N/A,#N/A,TRUE,"Areas";#N/A,#N/A,TRUE,"Summary";#N/A,#N/A,TRUE,"Detail"}</definedName>
    <definedName name="anuj24" localSheetId="2" hidden="1">{#N/A,#N/A,TRUE,"Front";#N/A,#N/A,TRUE,"Simple Letter";#N/A,#N/A,TRUE,"Inside";#N/A,#N/A,TRUE,"Contents";#N/A,#N/A,TRUE,"Basis";#N/A,#N/A,TRUE,"Inclusions";#N/A,#N/A,TRUE,"Exclusions";#N/A,#N/A,TRUE,"Areas";#N/A,#N/A,TRUE,"Summary";#N/A,#N/A,TRUE,"Detail"}</definedName>
    <definedName name="anuj24_1" localSheetId="5" hidden="1">{#N/A,#N/A,TRUE,"Front";#N/A,#N/A,TRUE,"Simple Letter";#N/A,#N/A,TRUE,"Inside";#N/A,#N/A,TRUE,"Contents";#N/A,#N/A,TRUE,"Basis";#N/A,#N/A,TRUE,"Inclusions";#N/A,#N/A,TRUE,"Exclusions";#N/A,#N/A,TRUE,"Areas";#N/A,#N/A,TRUE,"Summary";#N/A,#N/A,TRUE,"Detail"}</definedName>
    <definedName name="anuj24_1" localSheetId="2" hidden="1">{#N/A,#N/A,TRUE,"Front";#N/A,#N/A,TRUE,"Simple Letter";#N/A,#N/A,TRUE,"Inside";#N/A,#N/A,TRUE,"Contents";#N/A,#N/A,TRUE,"Basis";#N/A,#N/A,TRUE,"Inclusions";#N/A,#N/A,TRUE,"Exclusions";#N/A,#N/A,TRUE,"Areas";#N/A,#N/A,TRUE,"Summary";#N/A,#N/A,TRUE,"Detail"}</definedName>
    <definedName name="anuj24_1_1" localSheetId="5" hidden="1">{#N/A,#N/A,TRUE,"Front";#N/A,#N/A,TRUE,"Simple Letter";#N/A,#N/A,TRUE,"Inside";#N/A,#N/A,TRUE,"Contents";#N/A,#N/A,TRUE,"Basis";#N/A,#N/A,TRUE,"Inclusions";#N/A,#N/A,TRUE,"Exclusions";#N/A,#N/A,TRUE,"Areas";#N/A,#N/A,TRUE,"Summary";#N/A,#N/A,TRUE,"Detail"}</definedName>
    <definedName name="anuj24_1_1" localSheetId="2" hidden="1">{#N/A,#N/A,TRUE,"Front";#N/A,#N/A,TRUE,"Simple Letter";#N/A,#N/A,TRUE,"Inside";#N/A,#N/A,TRUE,"Contents";#N/A,#N/A,TRUE,"Basis";#N/A,#N/A,TRUE,"Inclusions";#N/A,#N/A,TRUE,"Exclusions";#N/A,#N/A,TRUE,"Areas";#N/A,#N/A,TRUE,"Summary";#N/A,#N/A,TRUE,"Detail"}</definedName>
    <definedName name="anuj24_1_2" localSheetId="5" hidden="1">{#N/A,#N/A,TRUE,"Front";#N/A,#N/A,TRUE,"Simple Letter";#N/A,#N/A,TRUE,"Inside";#N/A,#N/A,TRUE,"Contents";#N/A,#N/A,TRUE,"Basis";#N/A,#N/A,TRUE,"Inclusions";#N/A,#N/A,TRUE,"Exclusions";#N/A,#N/A,TRUE,"Areas";#N/A,#N/A,TRUE,"Summary";#N/A,#N/A,TRUE,"Detail"}</definedName>
    <definedName name="anuj24_1_2" localSheetId="2" hidden="1">{#N/A,#N/A,TRUE,"Front";#N/A,#N/A,TRUE,"Simple Letter";#N/A,#N/A,TRUE,"Inside";#N/A,#N/A,TRUE,"Contents";#N/A,#N/A,TRUE,"Basis";#N/A,#N/A,TRUE,"Inclusions";#N/A,#N/A,TRUE,"Exclusions";#N/A,#N/A,TRUE,"Areas";#N/A,#N/A,TRUE,"Summary";#N/A,#N/A,TRUE,"Detail"}</definedName>
    <definedName name="anuj24_2" localSheetId="5" hidden="1">{#N/A,#N/A,TRUE,"Front";#N/A,#N/A,TRUE,"Simple Letter";#N/A,#N/A,TRUE,"Inside";#N/A,#N/A,TRUE,"Contents";#N/A,#N/A,TRUE,"Basis";#N/A,#N/A,TRUE,"Inclusions";#N/A,#N/A,TRUE,"Exclusions";#N/A,#N/A,TRUE,"Areas";#N/A,#N/A,TRUE,"Summary";#N/A,#N/A,TRUE,"Detail"}</definedName>
    <definedName name="anuj24_2" localSheetId="2" hidden="1">{#N/A,#N/A,TRUE,"Front";#N/A,#N/A,TRUE,"Simple Letter";#N/A,#N/A,TRUE,"Inside";#N/A,#N/A,TRUE,"Contents";#N/A,#N/A,TRUE,"Basis";#N/A,#N/A,TRUE,"Inclusions";#N/A,#N/A,TRUE,"Exclusions";#N/A,#N/A,TRUE,"Areas";#N/A,#N/A,TRUE,"Summary";#N/A,#N/A,TRUE,"Detail"}</definedName>
    <definedName name="anuj24_2_1" localSheetId="5" hidden="1">{#N/A,#N/A,TRUE,"Front";#N/A,#N/A,TRUE,"Simple Letter";#N/A,#N/A,TRUE,"Inside";#N/A,#N/A,TRUE,"Contents";#N/A,#N/A,TRUE,"Basis";#N/A,#N/A,TRUE,"Inclusions";#N/A,#N/A,TRUE,"Exclusions";#N/A,#N/A,TRUE,"Areas";#N/A,#N/A,TRUE,"Summary";#N/A,#N/A,TRUE,"Detail"}</definedName>
    <definedName name="anuj24_2_1" localSheetId="2" hidden="1">{#N/A,#N/A,TRUE,"Front";#N/A,#N/A,TRUE,"Simple Letter";#N/A,#N/A,TRUE,"Inside";#N/A,#N/A,TRUE,"Contents";#N/A,#N/A,TRUE,"Basis";#N/A,#N/A,TRUE,"Inclusions";#N/A,#N/A,TRUE,"Exclusions";#N/A,#N/A,TRUE,"Areas";#N/A,#N/A,TRUE,"Summary";#N/A,#N/A,TRUE,"Detail"}</definedName>
    <definedName name="anuj24_3" localSheetId="5" hidden="1">{#N/A,#N/A,TRUE,"Front";#N/A,#N/A,TRUE,"Simple Letter";#N/A,#N/A,TRUE,"Inside";#N/A,#N/A,TRUE,"Contents";#N/A,#N/A,TRUE,"Basis";#N/A,#N/A,TRUE,"Inclusions";#N/A,#N/A,TRUE,"Exclusions";#N/A,#N/A,TRUE,"Areas";#N/A,#N/A,TRUE,"Summary";#N/A,#N/A,TRUE,"Detail"}</definedName>
    <definedName name="anuj24_3" localSheetId="2" hidden="1">{#N/A,#N/A,TRUE,"Front";#N/A,#N/A,TRUE,"Simple Letter";#N/A,#N/A,TRUE,"Inside";#N/A,#N/A,TRUE,"Contents";#N/A,#N/A,TRUE,"Basis";#N/A,#N/A,TRUE,"Inclusions";#N/A,#N/A,TRUE,"Exclusions";#N/A,#N/A,TRUE,"Areas";#N/A,#N/A,TRUE,"Summary";#N/A,#N/A,TRUE,"Detail"}</definedName>
    <definedName name="anuj24_4" localSheetId="5" hidden="1">{#N/A,#N/A,TRUE,"Front";#N/A,#N/A,TRUE,"Simple Letter";#N/A,#N/A,TRUE,"Inside";#N/A,#N/A,TRUE,"Contents";#N/A,#N/A,TRUE,"Basis";#N/A,#N/A,TRUE,"Inclusions";#N/A,#N/A,TRUE,"Exclusions";#N/A,#N/A,TRUE,"Areas";#N/A,#N/A,TRUE,"Summary";#N/A,#N/A,TRUE,"Detail"}</definedName>
    <definedName name="anuj24_4" localSheetId="2" hidden="1">{#N/A,#N/A,TRUE,"Front";#N/A,#N/A,TRUE,"Simple Letter";#N/A,#N/A,TRUE,"Inside";#N/A,#N/A,TRUE,"Contents";#N/A,#N/A,TRUE,"Basis";#N/A,#N/A,TRUE,"Inclusions";#N/A,#N/A,TRUE,"Exclusions";#N/A,#N/A,TRUE,"Areas";#N/A,#N/A,TRUE,"Summary";#N/A,#N/A,TRUE,"Detail"}</definedName>
    <definedName name="anuj26" localSheetId="5" hidden="1">{#N/A,#N/A,TRUE,"Front";#N/A,#N/A,TRUE,"Simple Letter";#N/A,#N/A,TRUE,"Inside";#N/A,#N/A,TRUE,"Contents";#N/A,#N/A,TRUE,"Basis";#N/A,#N/A,TRUE,"Inclusions";#N/A,#N/A,TRUE,"Exclusions";#N/A,#N/A,TRUE,"Areas";#N/A,#N/A,TRUE,"Summary";#N/A,#N/A,TRUE,"Detail"}</definedName>
    <definedName name="anuj26" localSheetId="2" hidden="1">{#N/A,#N/A,TRUE,"Front";#N/A,#N/A,TRUE,"Simple Letter";#N/A,#N/A,TRUE,"Inside";#N/A,#N/A,TRUE,"Contents";#N/A,#N/A,TRUE,"Basis";#N/A,#N/A,TRUE,"Inclusions";#N/A,#N/A,TRUE,"Exclusions";#N/A,#N/A,TRUE,"Areas";#N/A,#N/A,TRUE,"Summary";#N/A,#N/A,TRUE,"Detail"}</definedName>
    <definedName name="anuj26_1" localSheetId="5" hidden="1">{#N/A,#N/A,TRUE,"Front";#N/A,#N/A,TRUE,"Simple Letter";#N/A,#N/A,TRUE,"Inside";#N/A,#N/A,TRUE,"Contents";#N/A,#N/A,TRUE,"Basis";#N/A,#N/A,TRUE,"Inclusions";#N/A,#N/A,TRUE,"Exclusions";#N/A,#N/A,TRUE,"Areas";#N/A,#N/A,TRUE,"Summary";#N/A,#N/A,TRUE,"Detail"}</definedName>
    <definedName name="anuj26_1" localSheetId="2" hidden="1">{#N/A,#N/A,TRUE,"Front";#N/A,#N/A,TRUE,"Simple Letter";#N/A,#N/A,TRUE,"Inside";#N/A,#N/A,TRUE,"Contents";#N/A,#N/A,TRUE,"Basis";#N/A,#N/A,TRUE,"Inclusions";#N/A,#N/A,TRUE,"Exclusions";#N/A,#N/A,TRUE,"Areas";#N/A,#N/A,TRUE,"Summary";#N/A,#N/A,TRUE,"Detail"}</definedName>
    <definedName name="anuj26_1_1" localSheetId="5" hidden="1">{#N/A,#N/A,TRUE,"Front";#N/A,#N/A,TRUE,"Simple Letter";#N/A,#N/A,TRUE,"Inside";#N/A,#N/A,TRUE,"Contents";#N/A,#N/A,TRUE,"Basis";#N/A,#N/A,TRUE,"Inclusions";#N/A,#N/A,TRUE,"Exclusions";#N/A,#N/A,TRUE,"Areas";#N/A,#N/A,TRUE,"Summary";#N/A,#N/A,TRUE,"Detail"}</definedName>
    <definedName name="anuj26_1_1" localSheetId="2" hidden="1">{#N/A,#N/A,TRUE,"Front";#N/A,#N/A,TRUE,"Simple Letter";#N/A,#N/A,TRUE,"Inside";#N/A,#N/A,TRUE,"Contents";#N/A,#N/A,TRUE,"Basis";#N/A,#N/A,TRUE,"Inclusions";#N/A,#N/A,TRUE,"Exclusions";#N/A,#N/A,TRUE,"Areas";#N/A,#N/A,TRUE,"Summary";#N/A,#N/A,TRUE,"Detail"}</definedName>
    <definedName name="anuj26_1_2" localSheetId="5" hidden="1">{#N/A,#N/A,TRUE,"Front";#N/A,#N/A,TRUE,"Simple Letter";#N/A,#N/A,TRUE,"Inside";#N/A,#N/A,TRUE,"Contents";#N/A,#N/A,TRUE,"Basis";#N/A,#N/A,TRUE,"Inclusions";#N/A,#N/A,TRUE,"Exclusions";#N/A,#N/A,TRUE,"Areas";#N/A,#N/A,TRUE,"Summary";#N/A,#N/A,TRUE,"Detail"}</definedName>
    <definedName name="anuj26_1_2" localSheetId="2" hidden="1">{#N/A,#N/A,TRUE,"Front";#N/A,#N/A,TRUE,"Simple Letter";#N/A,#N/A,TRUE,"Inside";#N/A,#N/A,TRUE,"Contents";#N/A,#N/A,TRUE,"Basis";#N/A,#N/A,TRUE,"Inclusions";#N/A,#N/A,TRUE,"Exclusions";#N/A,#N/A,TRUE,"Areas";#N/A,#N/A,TRUE,"Summary";#N/A,#N/A,TRUE,"Detail"}</definedName>
    <definedName name="anuj26_2" localSheetId="5" hidden="1">{#N/A,#N/A,TRUE,"Front";#N/A,#N/A,TRUE,"Simple Letter";#N/A,#N/A,TRUE,"Inside";#N/A,#N/A,TRUE,"Contents";#N/A,#N/A,TRUE,"Basis";#N/A,#N/A,TRUE,"Inclusions";#N/A,#N/A,TRUE,"Exclusions";#N/A,#N/A,TRUE,"Areas";#N/A,#N/A,TRUE,"Summary";#N/A,#N/A,TRUE,"Detail"}</definedName>
    <definedName name="anuj26_2" localSheetId="2" hidden="1">{#N/A,#N/A,TRUE,"Front";#N/A,#N/A,TRUE,"Simple Letter";#N/A,#N/A,TRUE,"Inside";#N/A,#N/A,TRUE,"Contents";#N/A,#N/A,TRUE,"Basis";#N/A,#N/A,TRUE,"Inclusions";#N/A,#N/A,TRUE,"Exclusions";#N/A,#N/A,TRUE,"Areas";#N/A,#N/A,TRUE,"Summary";#N/A,#N/A,TRUE,"Detail"}</definedName>
    <definedName name="anuj26_2_1" localSheetId="5" hidden="1">{#N/A,#N/A,TRUE,"Front";#N/A,#N/A,TRUE,"Simple Letter";#N/A,#N/A,TRUE,"Inside";#N/A,#N/A,TRUE,"Contents";#N/A,#N/A,TRUE,"Basis";#N/A,#N/A,TRUE,"Inclusions";#N/A,#N/A,TRUE,"Exclusions";#N/A,#N/A,TRUE,"Areas";#N/A,#N/A,TRUE,"Summary";#N/A,#N/A,TRUE,"Detail"}</definedName>
    <definedName name="anuj26_2_1" localSheetId="2" hidden="1">{#N/A,#N/A,TRUE,"Front";#N/A,#N/A,TRUE,"Simple Letter";#N/A,#N/A,TRUE,"Inside";#N/A,#N/A,TRUE,"Contents";#N/A,#N/A,TRUE,"Basis";#N/A,#N/A,TRUE,"Inclusions";#N/A,#N/A,TRUE,"Exclusions";#N/A,#N/A,TRUE,"Areas";#N/A,#N/A,TRUE,"Summary";#N/A,#N/A,TRUE,"Detail"}</definedName>
    <definedName name="anuj26_3" localSheetId="5" hidden="1">{#N/A,#N/A,TRUE,"Front";#N/A,#N/A,TRUE,"Simple Letter";#N/A,#N/A,TRUE,"Inside";#N/A,#N/A,TRUE,"Contents";#N/A,#N/A,TRUE,"Basis";#N/A,#N/A,TRUE,"Inclusions";#N/A,#N/A,TRUE,"Exclusions";#N/A,#N/A,TRUE,"Areas";#N/A,#N/A,TRUE,"Summary";#N/A,#N/A,TRUE,"Detail"}</definedName>
    <definedName name="anuj26_3" localSheetId="2" hidden="1">{#N/A,#N/A,TRUE,"Front";#N/A,#N/A,TRUE,"Simple Letter";#N/A,#N/A,TRUE,"Inside";#N/A,#N/A,TRUE,"Contents";#N/A,#N/A,TRUE,"Basis";#N/A,#N/A,TRUE,"Inclusions";#N/A,#N/A,TRUE,"Exclusions";#N/A,#N/A,TRUE,"Areas";#N/A,#N/A,TRUE,"Summary";#N/A,#N/A,TRUE,"Detail"}</definedName>
    <definedName name="anuj26_4" localSheetId="5" hidden="1">{#N/A,#N/A,TRUE,"Front";#N/A,#N/A,TRUE,"Simple Letter";#N/A,#N/A,TRUE,"Inside";#N/A,#N/A,TRUE,"Contents";#N/A,#N/A,TRUE,"Basis";#N/A,#N/A,TRUE,"Inclusions";#N/A,#N/A,TRUE,"Exclusions";#N/A,#N/A,TRUE,"Areas";#N/A,#N/A,TRUE,"Summary";#N/A,#N/A,TRUE,"Detail"}</definedName>
    <definedName name="anuj26_4" localSheetId="2" hidden="1">{#N/A,#N/A,TRUE,"Front";#N/A,#N/A,TRUE,"Simple Letter";#N/A,#N/A,TRUE,"Inside";#N/A,#N/A,TRUE,"Contents";#N/A,#N/A,TRUE,"Basis";#N/A,#N/A,TRUE,"Inclusions";#N/A,#N/A,TRUE,"Exclusions";#N/A,#N/A,TRUE,"Areas";#N/A,#N/A,TRUE,"Summary";#N/A,#N/A,TRUE,"Detail"}</definedName>
    <definedName name="anuj30" localSheetId="7">#REF!</definedName>
    <definedName name="anuj30" localSheetId="1">#REF!</definedName>
    <definedName name="anuj30" localSheetId="3">#REF!</definedName>
    <definedName name="anuj30">#REF!</definedName>
    <definedName name="anuj4" localSheetId="7">#REF!</definedName>
    <definedName name="anuj4" localSheetId="1">#REF!</definedName>
    <definedName name="anuj4" localSheetId="3">#REF!</definedName>
    <definedName name="anuj4">#REF!</definedName>
    <definedName name="anuj40" localSheetId="7">#REF!</definedName>
    <definedName name="anuj40" localSheetId="1">#REF!</definedName>
    <definedName name="anuj40" localSheetId="3">#REF!</definedName>
    <definedName name="anuj40">#REF!</definedName>
    <definedName name="anuj5" localSheetId="7">#REF!</definedName>
    <definedName name="anuj5" localSheetId="1">#REF!</definedName>
    <definedName name="anuj5" localSheetId="3">#REF!</definedName>
    <definedName name="anuj5">#REF!</definedName>
    <definedName name="anuj50" localSheetId="7">#REF!</definedName>
    <definedName name="anuj50" localSheetId="1">#REF!</definedName>
    <definedName name="anuj50" localSheetId="3">#REF!</definedName>
    <definedName name="anuj50">#REF!</definedName>
    <definedName name="anuj51" localSheetId="7">#REF!</definedName>
    <definedName name="anuj51" localSheetId="1">#REF!</definedName>
    <definedName name="anuj51" localSheetId="3">#REF!</definedName>
    <definedName name="anuj51">#REF!</definedName>
    <definedName name="anuj52" localSheetId="7">#REF!</definedName>
    <definedName name="anuj52" localSheetId="1">#REF!</definedName>
    <definedName name="anuj52" localSheetId="3">#REF!</definedName>
    <definedName name="anuj52">#REF!</definedName>
    <definedName name="anuj53" localSheetId="7">#REF!</definedName>
    <definedName name="anuj53" localSheetId="1">#REF!</definedName>
    <definedName name="anuj53" localSheetId="3">#REF!</definedName>
    <definedName name="anuj53">#REF!</definedName>
    <definedName name="anuj54" localSheetId="7">#REF!</definedName>
    <definedName name="anuj54" localSheetId="1">#REF!</definedName>
    <definedName name="anuj54" localSheetId="3">#REF!</definedName>
    <definedName name="anuj54">#REF!</definedName>
    <definedName name="anuj55" localSheetId="7">#REF!</definedName>
    <definedName name="anuj55" localSheetId="1">#REF!</definedName>
    <definedName name="anuj55" localSheetId="3">#REF!</definedName>
    <definedName name="anuj55">#REF!</definedName>
    <definedName name="anuj57" localSheetId="7">#REF!</definedName>
    <definedName name="anuj57" localSheetId="1">#REF!</definedName>
    <definedName name="anuj57" localSheetId="3">#REF!</definedName>
    <definedName name="anuj57">#REF!</definedName>
    <definedName name="anuj58" localSheetId="7">#REF!</definedName>
    <definedName name="anuj58" localSheetId="1">#REF!</definedName>
    <definedName name="anuj58" localSheetId="3">#REF!</definedName>
    <definedName name="anuj58">#REF!</definedName>
    <definedName name="anuj59" localSheetId="7">#REF!</definedName>
    <definedName name="anuj59" localSheetId="1">#REF!</definedName>
    <definedName name="anuj59" localSheetId="3">#REF!</definedName>
    <definedName name="anuj59">#REF!</definedName>
    <definedName name="anuj6" localSheetId="7">#REF!</definedName>
    <definedName name="anuj6" localSheetId="1">#REF!</definedName>
    <definedName name="anuj6" localSheetId="3">#REF!</definedName>
    <definedName name="anuj6">#REF!</definedName>
    <definedName name="anuj62" localSheetId="7">#REF!</definedName>
    <definedName name="anuj62" localSheetId="1">#REF!</definedName>
    <definedName name="anuj62" localSheetId="3">#REF!</definedName>
    <definedName name="anuj62">#REF!</definedName>
    <definedName name="anuj63" localSheetId="7">#REF!</definedName>
    <definedName name="anuj63" localSheetId="1">#REF!</definedName>
    <definedName name="anuj63" localSheetId="3">#REF!</definedName>
    <definedName name="anuj63">#REF!</definedName>
    <definedName name="anuj64" localSheetId="7">#REF!</definedName>
    <definedName name="anuj64" localSheetId="1">#REF!</definedName>
    <definedName name="anuj64" localSheetId="3">#REF!</definedName>
    <definedName name="anuj64">#REF!</definedName>
    <definedName name="anuj7" localSheetId="7">#REF!</definedName>
    <definedName name="anuj7" localSheetId="1">#REF!</definedName>
    <definedName name="anuj7" localSheetId="3">#REF!</definedName>
    <definedName name="anuj7">#REF!</definedName>
    <definedName name="anuj70" localSheetId="7">#REF!</definedName>
    <definedName name="anuj70" localSheetId="1">#REF!</definedName>
    <definedName name="anuj70" localSheetId="3">#REF!</definedName>
    <definedName name="anuj70">#REF!</definedName>
    <definedName name="anuj71" localSheetId="7">#REF!</definedName>
    <definedName name="anuj71" localSheetId="1">#REF!</definedName>
    <definedName name="anuj71" localSheetId="3">#REF!</definedName>
    <definedName name="anuj71">#REF!</definedName>
    <definedName name="anuj72" localSheetId="7">#REF!</definedName>
    <definedName name="anuj72" localSheetId="1">#REF!</definedName>
    <definedName name="anuj72" localSheetId="3">#REF!</definedName>
    <definedName name="anuj72">#REF!</definedName>
    <definedName name="anuj73" localSheetId="7">#REF!</definedName>
    <definedName name="anuj73" localSheetId="1">#REF!</definedName>
    <definedName name="anuj73" localSheetId="3">#REF!</definedName>
    <definedName name="anuj73">#REF!</definedName>
    <definedName name="anuj74" localSheetId="7">#REF!</definedName>
    <definedName name="anuj74" localSheetId="1">#REF!</definedName>
    <definedName name="anuj74" localSheetId="3">#REF!</definedName>
    <definedName name="anuj74">#REF!</definedName>
    <definedName name="anuj75" localSheetId="7">#REF!</definedName>
    <definedName name="anuj75" localSheetId="1">#REF!</definedName>
    <definedName name="anuj75" localSheetId="3">#REF!</definedName>
    <definedName name="anuj75">#REF!</definedName>
    <definedName name="anuj76" localSheetId="7">#REF!</definedName>
    <definedName name="anuj76" localSheetId="1">#REF!</definedName>
    <definedName name="anuj76" localSheetId="3">#REF!</definedName>
    <definedName name="anuj76">#REF!</definedName>
    <definedName name="anuj77" localSheetId="7">#REF!</definedName>
    <definedName name="anuj77" localSheetId="1">#REF!</definedName>
    <definedName name="anuj77" localSheetId="3">#REF!</definedName>
    <definedName name="anuj77">#REF!</definedName>
    <definedName name="anuj78" localSheetId="7">#REF!</definedName>
    <definedName name="anuj78" localSheetId="1">#REF!</definedName>
    <definedName name="anuj78" localSheetId="3">#REF!</definedName>
    <definedName name="anuj78">#REF!</definedName>
    <definedName name="anuj79" localSheetId="7">#REF!</definedName>
    <definedName name="anuj79" localSheetId="1">#REF!</definedName>
    <definedName name="anuj79" localSheetId="3">#REF!</definedName>
    <definedName name="anuj79">#REF!</definedName>
    <definedName name="anuj80" localSheetId="7">#REF!</definedName>
    <definedName name="anuj80" localSheetId="1">#REF!</definedName>
    <definedName name="anuj80" localSheetId="3">#REF!</definedName>
    <definedName name="anuj80">#REF!</definedName>
    <definedName name="anuj81" localSheetId="7">#REF!</definedName>
    <definedName name="anuj81" localSheetId="1">#REF!</definedName>
    <definedName name="anuj81" localSheetId="3">#REF!</definedName>
    <definedName name="anuj81">#REF!</definedName>
    <definedName name="anuj82" localSheetId="7">#REF!</definedName>
    <definedName name="anuj82" localSheetId="1">#REF!</definedName>
    <definedName name="anuj82" localSheetId="3">#REF!</definedName>
    <definedName name="anuj82">#REF!</definedName>
    <definedName name="anuj83" localSheetId="7">#REF!</definedName>
    <definedName name="anuj83" localSheetId="1">#REF!</definedName>
    <definedName name="anuj83" localSheetId="3">#REF!</definedName>
    <definedName name="anuj83">#REF!</definedName>
    <definedName name="anuj84" localSheetId="7">#REF!</definedName>
    <definedName name="anuj84" localSheetId="1">#REF!</definedName>
    <definedName name="anuj84" localSheetId="3">#REF!</definedName>
    <definedName name="anuj84">#REF!</definedName>
    <definedName name="anuj85" localSheetId="7">#REF!</definedName>
    <definedName name="anuj85" localSheetId="1">#REF!</definedName>
    <definedName name="anuj85" localSheetId="3">#REF!</definedName>
    <definedName name="anuj85">#REF!</definedName>
    <definedName name="anuj86" localSheetId="7">#REF!</definedName>
    <definedName name="anuj86" localSheetId="1">#REF!</definedName>
    <definedName name="anuj86" localSheetId="3">#REF!</definedName>
    <definedName name="anuj86">#REF!</definedName>
    <definedName name="anuj87" localSheetId="7">#REF!</definedName>
    <definedName name="anuj87" localSheetId="1">#REF!</definedName>
    <definedName name="anuj87" localSheetId="3">#REF!</definedName>
    <definedName name="anuj87">#REF!</definedName>
    <definedName name="anuj88" localSheetId="7">#REF!</definedName>
    <definedName name="anuj88" localSheetId="1">#REF!</definedName>
    <definedName name="anuj88" localSheetId="3">#REF!</definedName>
    <definedName name="anuj88">#REF!</definedName>
    <definedName name="anuj89" localSheetId="7">#REF!</definedName>
    <definedName name="anuj89" localSheetId="1">#REF!</definedName>
    <definedName name="anuj89" localSheetId="3">#REF!</definedName>
    <definedName name="anuj89">#REF!</definedName>
    <definedName name="anuj9" localSheetId="7">#REF!</definedName>
    <definedName name="anuj9" localSheetId="1">#REF!</definedName>
    <definedName name="anuj9" localSheetId="3">#REF!</definedName>
    <definedName name="anuj9">#REF!</definedName>
    <definedName name="anuj90" localSheetId="7">#REF!</definedName>
    <definedName name="anuj90" localSheetId="1">#REF!</definedName>
    <definedName name="anuj90" localSheetId="3">#REF!</definedName>
    <definedName name="anuj90">#REF!</definedName>
    <definedName name="anuj91" localSheetId="7">#REF!</definedName>
    <definedName name="anuj91" localSheetId="1">#REF!</definedName>
    <definedName name="anuj91" localSheetId="3">#REF!</definedName>
    <definedName name="anuj91">#REF!</definedName>
    <definedName name="anuj92" localSheetId="5">#N/A</definedName>
    <definedName name="anuj92" localSheetId="2">#N/A</definedName>
    <definedName name="anuj93" localSheetId="2">#REF!</definedName>
    <definedName name="anuj94" localSheetId="5" hidden="1">{#N/A,#N/A,TRUE,"Front";#N/A,#N/A,TRUE,"Simple Letter";#N/A,#N/A,TRUE,"Inside";#N/A,#N/A,TRUE,"Contents";#N/A,#N/A,TRUE,"Basis";#N/A,#N/A,TRUE,"Inclusions";#N/A,#N/A,TRUE,"Exclusions";#N/A,#N/A,TRUE,"Areas";#N/A,#N/A,TRUE,"Summary";#N/A,#N/A,TRUE,"Detail"}</definedName>
    <definedName name="anuj94" localSheetId="2" hidden="1">{#N/A,#N/A,TRUE,"Front";#N/A,#N/A,TRUE,"Simple Letter";#N/A,#N/A,TRUE,"Inside";#N/A,#N/A,TRUE,"Contents";#N/A,#N/A,TRUE,"Basis";#N/A,#N/A,TRUE,"Inclusions";#N/A,#N/A,TRUE,"Exclusions";#N/A,#N/A,TRUE,"Areas";#N/A,#N/A,TRUE,"Summary";#N/A,#N/A,TRUE,"Detail"}</definedName>
    <definedName name="anuj94_1" localSheetId="5" hidden="1">{#N/A,#N/A,TRUE,"Front";#N/A,#N/A,TRUE,"Simple Letter";#N/A,#N/A,TRUE,"Inside";#N/A,#N/A,TRUE,"Contents";#N/A,#N/A,TRUE,"Basis";#N/A,#N/A,TRUE,"Inclusions";#N/A,#N/A,TRUE,"Exclusions";#N/A,#N/A,TRUE,"Areas";#N/A,#N/A,TRUE,"Summary";#N/A,#N/A,TRUE,"Detail"}</definedName>
    <definedName name="anuj94_1" localSheetId="2" hidden="1">{#N/A,#N/A,TRUE,"Front";#N/A,#N/A,TRUE,"Simple Letter";#N/A,#N/A,TRUE,"Inside";#N/A,#N/A,TRUE,"Contents";#N/A,#N/A,TRUE,"Basis";#N/A,#N/A,TRUE,"Inclusions";#N/A,#N/A,TRUE,"Exclusions";#N/A,#N/A,TRUE,"Areas";#N/A,#N/A,TRUE,"Summary";#N/A,#N/A,TRUE,"Detail"}</definedName>
    <definedName name="anuj94_1_1" localSheetId="5" hidden="1">{#N/A,#N/A,TRUE,"Front";#N/A,#N/A,TRUE,"Simple Letter";#N/A,#N/A,TRUE,"Inside";#N/A,#N/A,TRUE,"Contents";#N/A,#N/A,TRUE,"Basis";#N/A,#N/A,TRUE,"Inclusions";#N/A,#N/A,TRUE,"Exclusions";#N/A,#N/A,TRUE,"Areas";#N/A,#N/A,TRUE,"Summary";#N/A,#N/A,TRUE,"Detail"}</definedName>
    <definedName name="anuj94_1_1" localSheetId="2" hidden="1">{#N/A,#N/A,TRUE,"Front";#N/A,#N/A,TRUE,"Simple Letter";#N/A,#N/A,TRUE,"Inside";#N/A,#N/A,TRUE,"Contents";#N/A,#N/A,TRUE,"Basis";#N/A,#N/A,TRUE,"Inclusions";#N/A,#N/A,TRUE,"Exclusions";#N/A,#N/A,TRUE,"Areas";#N/A,#N/A,TRUE,"Summary";#N/A,#N/A,TRUE,"Detail"}</definedName>
    <definedName name="anuj94_1_2" localSheetId="5" hidden="1">{#N/A,#N/A,TRUE,"Front";#N/A,#N/A,TRUE,"Simple Letter";#N/A,#N/A,TRUE,"Inside";#N/A,#N/A,TRUE,"Contents";#N/A,#N/A,TRUE,"Basis";#N/A,#N/A,TRUE,"Inclusions";#N/A,#N/A,TRUE,"Exclusions";#N/A,#N/A,TRUE,"Areas";#N/A,#N/A,TRUE,"Summary";#N/A,#N/A,TRUE,"Detail"}</definedName>
    <definedName name="anuj94_1_2" localSheetId="2" hidden="1">{#N/A,#N/A,TRUE,"Front";#N/A,#N/A,TRUE,"Simple Letter";#N/A,#N/A,TRUE,"Inside";#N/A,#N/A,TRUE,"Contents";#N/A,#N/A,TRUE,"Basis";#N/A,#N/A,TRUE,"Inclusions";#N/A,#N/A,TRUE,"Exclusions";#N/A,#N/A,TRUE,"Areas";#N/A,#N/A,TRUE,"Summary";#N/A,#N/A,TRUE,"Detail"}</definedName>
    <definedName name="anuj94_2" localSheetId="5" hidden="1">{#N/A,#N/A,TRUE,"Front";#N/A,#N/A,TRUE,"Simple Letter";#N/A,#N/A,TRUE,"Inside";#N/A,#N/A,TRUE,"Contents";#N/A,#N/A,TRUE,"Basis";#N/A,#N/A,TRUE,"Inclusions";#N/A,#N/A,TRUE,"Exclusions";#N/A,#N/A,TRUE,"Areas";#N/A,#N/A,TRUE,"Summary";#N/A,#N/A,TRUE,"Detail"}</definedName>
    <definedName name="anuj94_2" localSheetId="2" hidden="1">{#N/A,#N/A,TRUE,"Front";#N/A,#N/A,TRUE,"Simple Letter";#N/A,#N/A,TRUE,"Inside";#N/A,#N/A,TRUE,"Contents";#N/A,#N/A,TRUE,"Basis";#N/A,#N/A,TRUE,"Inclusions";#N/A,#N/A,TRUE,"Exclusions";#N/A,#N/A,TRUE,"Areas";#N/A,#N/A,TRUE,"Summary";#N/A,#N/A,TRUE,"Detail"}</definedName>
    <definedName name="anuj94_2_1" localSheetId="5" hidden="1">{#N/A,#N/A,TRUE,"Front";#N/A,#N/A,TRUE,"Simple Letter";#N/A,#N/A,TRUE,"Inside";#N/A,#N/A,TRUE,"Contents";#N/A,#N/A,TRUE,"Basis";#N/A,#N/A,TRUE,"Inclusions";#N/A,#N/A,TRUE,"Exclusions";#N/A,#N/A,TRUE,"Areas";#N/A,#N/A,TRUE,"Summary";#N/A,#N/A,TRUE,"Detail"}</definedName>
    <definedName name="anuj94_2_1" localSheetId="2" hidden="1">{#N/A,#N/A,TRUE,"Front";#N/A,#N/A,TRUE,"Simple Letter";#N/A,#N/A,TRUE,"Inside";#N/A,#N/A,TRUE,"Contents";#N/A,#N/A,TRUE,"Basis";#N/A,#N/A,TRUE,"Inclusions";#N/A,#N/A,TRUE,"Exclusions";#N/A,#N/A,TRUE,"Areas";#N/A,#N/A,TRUE,"Summary";#N/A,#N/A,TRUE,"Detail"}</definedName>
    <definedName name="anuj94_3" localSheetId="5" hidden="1">{#N/A,#N/A,TRUE,"Front";#N/A,#N/A,TRUE,"Simple Letter";#N/A,#N/A,TRUE,"Inside";#N/A,#N/A,TRUE,"Contents";#N/A,#N/A,TRUE,"Basis";#N/A,#N/A,TRUE,"Inclusions";#N/A,#N/A,TRUE,"Exclusions";#N/A,#N/A,TRUE,"Areas";#N/A,#N/A,TRUE,"Summary";#N/A,#N/A,TRUE,"Detail"}</definedName>
    <definedName name="anuj94_3" localSheetId="2" hidden="1">{#N/A,#N/A,TRUE,"Front";#N/A,#N/A,TRUE,"Simple Letter";#N/A,#N/A,TRUE,"Inside";#N/A,#N/A,TRUE,"Contents";#N/A,#N/A,TRUE,"Basis";#N/A,#N/A,TRUE,"Inclusions";#N/A,#N/A,TRUE,"Exclusions";#N/A,#N/A,TRUE,"Areas";#N/A,#N/A,TRUE,"Summary";#N/A,#N/A,TRUE,"Detail"}</definedName>
    <definedName name="anuj94_4" localSheetId="5" hidden="1">{#N/A,#N/A,TRUE,"Front";#N/A,#N/A,TRUE,"Simple Letter";#N/A,#N/A,TRUE,"Inside";#N/A,#N/A,TRUE,"Contents";#N/A,#N/A,TRUE,"Basis";#N/A,#N/A,TRUE,"Inclusions";#N/A,#N/A,TRUE,"Exclusions";#N/A,#N/A,TRUE,"Areas";#N/A,#N/A,TRUE,"Summary";#N/A,#N/A,TRUE,"Detail"}</definedName>
    <definedName name="anuj94_4" localSheetId="2" hidden="1">{#N/A,#N/A,TRUE,"Front";#N/A,#N/A,TRUE,"Simple Letter";#N/A,#N/A,TRUE,"Inside";#N/A,#N/A,TRUE,"Contents";#N/A,#N/A,TRUE,"Basis";#N/A,#N/A,TRUE,"Inclusions";#N/A,#N/A,TRUE,"Exclusions";#N/A,#N/A,TRUE,"Areas";#N/A,#N/A,TRUE,"Summary";#N/A,#N/A,TRUE,"Detail"}</definedName>
    <definedName name="anuj96" localSheetId="5" hidden="1">{#N/A,#N/A,TRUE,"Front";#N/A,#N/A,TRUE,"Simple Letter";#N/A,#N/A,TRUE,"Inside";#N/A,#N/A,TRUE,"Contents";#N/A,#N/A,TRUE,"Basis";#N/A,#N/A,TRUE,"Inclusions";#N/A,#N/A,TRUE,"Exclusions";#N/A,#N/A,TRUE,"Areas";#N/A,#N/A,TRUE,"Summary";#N/A,#N/A,TRUE,"Detail"}</definedName>
    <definedName name="anuj96" localSheetId="2" hidden="1">{#N/A,#N/A,TRUE,"Front";#N/A,#N/A,TRUE,"Simple Letter";#N/A,#N/A,TRUE,"Inside";#N/A,#N/A,TRUE,"Contents";#N/A,#N/A,TRUE,"Basis";#N/A,#N/A,TRUE,"Inclusions";#N/A,#N/A,TRUE,"Exclusions";#N/A,#N/A,TRUE,"Areas";#N/A,#N/A,TRUE,"Summary";#N/A,#N/A,TRUE,"Detail"}</definedName>
    <definedName name="anuj96_1" localSheetId="5" hidden="1">{#N/A,#N/A,TRUE,"Front";#N/A,#N/A,TRUE,"Simple Letter";#N/A,#N/A,TRUE,"Inside";#N/A,#N/A,TRUE,"Contents";#N/A,#N/A,TRUE,"Basis";#N/A,#N/A,TRUE,"Inclusions";#N/A,#N/A,TRUE,"Exclusions";#N/A,#N/A,TRUE,"Areas";#N/A,#N/A,TRUE,"Summary";#N/A,#N/A,TRUE,"Detail"}</definedName>
    <definedName name="anuj96_1" localSheetId="2" hidden="1">{#N/A,#N/A,TRUE,"Front";#N/A,#N/A,TRUE,"Simple Letter";#N/A,#N/A,TRUE,"Inside";#N/A,#N/A,TRUE,"Contents";#N/A,#N/A,TRUE,"Basis";#N/A,#N/A,TRUE,"Inclusions";#N/A,#N/A,TRUE,"Exclusions";#N/A,#N/A,TRUE,"Areas";#N/A,#N/A,TRUE,"Summary";#N/A,#N/A,TRUE,"Detail"}</definedName>
    <definedName name="anuj96_1_1" localSheetId="5" hidden="1">{#N/A,#N/A,TRUE,"Front";#N/A,#N/A,TRUE,"Simple Letter";#N/A,#N/A,TRUE,"Inside";#N/A,#N/A,TRUE,"Contents";#N/A,#N/A,TRUE,"Basis";#N/A,#N/A,TRUE,"Inclusions";#N/A,#N/A,TRUE,"Exclusions";#N/A,#N/A,TRUE,"Areas";#N/A,#N/A,TRUE,"Summary";#N/A,#N/A,TRUE,"Detail"}</definedName>
    <definedName name="anuj96_1_1" localSheetId="2" hidden="1">{#N/A,#N/A,TRUE,"Front";#N/A,#N/A,TRUE,"Simple Letter";#N/A,#N/A,TRUE,"Inside";#N/A,#N/A,TRUE,"Contents";#N/A,#N/A,TRUE,"Basis";#N/A,#N/A,TRUE,"Inclusions";#N/A,#N/A,TRUE,"Exclusions";#N/A,#N/A,TRUE,"Areas";#N/A,#N/A,TRUE,"Summary";#N/A,#N/A,TRUE,"Detail"}</definedName>
    <definedName name="anuj96_1_2" localSheetId="5" hidden="1">{#N/A,#N/A,TRUE,"Front";#N/A,#N/A,TRUE,"Simple Letter";#N/A,#N/A,TRUE,"Inside";#N/A,#N/A,TRUE,"Contents";#N/A,#N/A,TRUE,"Basis";#N/A,#N/A,TRUE,"Inclusions";#N/A,#N/A,TRUE,"Exclusions";#N/A,#N/A,TRUE,"Areas";#N/A,#N/A,TRUE,"Summary";#N/A,#N/A,TRUE,"Detail"}</definedName>
    <definedName name="anuj96_1_2" localSheetId="2" hidden="1">{#N/A,#N/A,TRUE,"Front";#N/A,#N/A,TRUE,"Simple Letter";#N/A,#N/A,TRUE,"Inside";#N/A,#N/A,TRUE,"Contents";#N/A,#N/A,TRUE,"Basis";#N/A,#N/A,TRUE,"Inclusions";#N/A,#N/A,TRUE,"Exclusions";#N/A,#N/A,TRUE,"Areas";#N/A,#N/A,TRUE,"Summary";#N/A,#N/A,TRUE,"Detail"}</definedName>
    <definedName name="anuj96_2" localSheetId="5" hidden="1">{#N/A,#N/A,TRUE,"Front";#N/A,#N/A,TRUE,"Simple Letter";#N/A,#N/A,TRUE,"Inside";#N/A,#N/A,TRUE,"Contents";#N/A,#N/A,TRUE,"Basis";#N/A,#N/A,TRUE,"Inclusions";#N/A,#N/A,TRUE,"Exclusions";#N/A,#N/A,TRUE,"Areas";#N/A,#N/A,TRUE,"Summary";#N/A,#N/A,TRUE,"Detail"}</definedName>
    <definedName name="anuj96_2" localSheetId="2" hidden="1">{#N/A,#N/A,TRUE,"Front";#N/A,#N/A,TRUE,"Simple Letter";#N/A,#N/A,TRUE,"Inside";#N/A,#N/A,TRUE,"Contents";#N/A,#N/A,TRUE,"Basis";#N/A,#N/A,TRUE,"Inclusions";#N/A,#N/A,TRUE,"Exclusions";#N/A,#N/A,TRUE,"Areas";#N/A,#N/A,TRUE,"Summary";#N/A,#N/A,TRUE,"Detail"}</definedName>
    <definedName name="anuj96_2_1" localSheetId="5" hidden="1">{#N/A,#N/A,TRUE,"Front";#N/A,#N/A,TRUE,"Simple Letter";#N/A,#N/A,TRUE,"Inside";#N/A,#N/A,TRUE,"Contents";#N/A,#N/A,TRUE,"Basis";#N/A,#N/A,TRUE,"Inclusions";#N/A,#N/A,TRUE,"Exclusions";#N/A,#N/A,TRUE,"Areas";#N/A,#N/A,TRUE,"Summary";#N/A,#N/A,TRUE,"Detail"}</definedName>
    <definedName name="anuj96_2_1" localSheetId="2" hidden="1">{#N/A,#N/A,TRUE,"Front";#N/A,#N/A,TRUE,"Simple Letter";#N/A,#N/A,TRUE,"Inside";#N/A,#N/A,TRUE,"Contents";#N/A,#N/A,TRUE,"Basis";#N/A,#N/A,TRUE,"Inclusions";#N/A,#N/A,TRUE,"Exclusions";#N/A,#N/A,TRUE,"Areas";#N/A,#N/A,TRUE,"Summary";#N/A,#N/A,TRUE,"Detail"}</definedName>
    <definedName name="anuj96_3" localSheetId="5" hidden="1">{#N/A,#N/A,TRUE,"Front";#N/A,#N/A,TRUE,"Simple Letter";#N/A,#N/A,TRUE,"Inside";#N/A,#N/A,TRUE,"Contents";#N/A,#N/A,TRUE,"Basis";#N/A,#N/A,TRUE,"Inclusions";#N/A,#N/A,TRUE,"Exclusions";#N/A,#N/A,TRUE,"Areas";#N/A,#N/A,TRUE,"Summary";#N/A,#N/A,TRUE,"Detail"}</definedName>
    <definedName name="anuj96_3" localSheetId="2" hidden="1">{#N/A,#N/A,TRUE,"Front";#N/A,#N/A,TRUE,"Simple Letter";#N/A,#N/A,TRUE,"Inside";#N/A,#N/A,TRUE,"Contents";#N/A,#N/A,TRUE,"Basis";#N/A,#N/A,TRUE,"Inclusions";#N/A,#N/A,TRUE,"Exclusions";#N/A,#N/A,TRUE,"Areas";#N/A,#N/A,TRUE,"Summary";#N/A,#N/A,TRUE,"Detail"}</definedName>
    <definedName name="anuj96_4" localSheetId="5" hidden="1">{#N/A,#N/A,TRUE,"Front";#N/A,#N/A,TRUE,"Simple Letter";#N/A,#N/A,TRUE,"Inside";#N/A,#N/A,TRUE,"Contents";#N/A,#N/A,TRUE,"Basis";#N/A,#N/A,TRUE,"Inclusions";#N/A,#N/A,TRUE,"Exclusions";#N/A,#N/A,TRUE,"Areas";#N/A,#N/A,TRUE,"Summary";#N/A,#N/A,TRUE,"Detail"}</definedName>
    <definedName name="anuj96_4" localSheetId="2" hidden="1">{#N/A,#N/A,TRUE,"Front";#N/A,#N/A,TRUE,"Simple Letter";#N/A,#N/A,TRUE,"Inside";#N/A,#N/A,TRUE,"Contents";#N/A,#N/A,TRUE,"Basis";#N/A,#N/A,TRUE,"Inclusions";#N/A,#N/A,TRUE,"Exclusions";#N/A,#N/A,TRUE,"Areas";#N/A,#N/A,TRUE,"Summary";#N/A,#N/A,TRUE,"Detail"}</definedName>
    <definedName name="anuj98" localSheetId="7">#REF!</definedName>
    <definedName name="anuj98" localSheetId="1">#REF!</definedName>
    <definedName name="anuj98" localSheetId="3">#REF!</definedName>
    <definedName name="anuj98">#REF!</definedName>
    <definedName name="anuj99" localSheetId="7">#REF!</definedName>
    <definedName name="anuj99" localSheetId="1">#REF!</definedName>
    <definedName name="anuj99" localSheetId="3">#REF!</definedName>
    <definedName name="anuj99">#REF!</definedName>
    <definedName name="ANUP" localSheetId="7">#REF!</definedName>
    <definedName name="ANUP" localSheetId="1">#REF!</definedName>
    <definedName name="ANUP" localSheetId="3">#REF!</definedName>
    <definedName name="ANUP">#REF!</definedName>
    <definedName name="Aone" localSheetId="7">#REF!</definedName>
    <definedName name="Aone" localSheetId="1">#REF!</definedName>
    <definedName name="Aone" localSheetId="3">#REF!</definedName>
    <definedName name="Aone">#REF!</definedName>
    <definedName name="apDays" localSheetId="7">#REF!</definedName>
    <definedName name="apDays" localSheetId="1">#REF!</definedName>
    <definedName name="apDays" localSheetId="3">#REF!</definedName>
    <definedName name="apDays">#REF!</definedName>
    <definedName name="apet" localSheetId="7">#REF!</definedName>
    <definedName name="apet" localSheetId="1">#REF!</definedName>
    <definedName name="apet" localSheetId="3">#REF!</definedName>
    <definedName name="apet">#REF!</definedName>
    <definedName name="apm" localSheetId="7">#REF!</definedName>
    <definedName name="apm" localSheetId="1">#REF!</definedName>
    <definedName name="apm" localSheetId="3">#REF!</definedName>
    <definedName name="apm">#REF!</definedName>
    <definedName name="apm_bax.contract" localSheetId="7">#REF!</definedName>
    <definedName name="apm_bax.contract" localSheetId="1">#REF!</definedName>
    <definedName name="apm_bax.contract" localSheetId="3">#REF!</definedName>
    <definedName name="apm_bax.contract">#REF!</definedName>
    <definedName name="apm_bax.now" localSheetId="7">#REF!</definedName>
    <definedName name="apm_bax.now" localSheetId="1">#REF!</definedName>
    <definedName name="apm_bax.now" localSheetId="3">#REF!</definedName>
    <definedName name="apm_bax.now">#REF!</definedName>
    <definedName name="apm_bax.old" localSheetId="7">#REF!</definedName>
    <definedName name="apm_bax.old" localSheetId="1">#REF!</definedName>
    <definedName name="apm_bax.old" localSheetId="3">#REF!</definedName>
    <definedName name="apm_bax.old">#REF!</definedName>
    <definedName name="apm_bax.old.now" localSheetId="7">#REF!</definedName>
    <definedName name="apm_bax.old.now" localSheetId="1">#REF!</definedName>
    <definedName name="apm_bax.old.now" localSheetId="3">#REF!</definedName>
    <definedName name="apm_bax.old.now">#REF!</definedName>
    <definedName name="apm_bax.old.payment" localSheetId="7">#REF!</definedName>
    <definedName name="apm_bax.old.payment" localSheetId="1">#REF!</definedName>
    <definedName name="apm_bax.old.payment" localSheetId="3">#REF!</definedName>
    <definedName name="apm_bax.old.payment">#REF!</definedName>
    <definedName name="apm_bax.old.vo.app" localSheetId="7">#REF!</definedName>
    <definedName name="apm_bax.old.vo.app" localSheetId="1">#REF!</definedName>
    <definedName name="apm_bax.old.vo.app" localSheetId="3">#REF!</definedName>
    <definedName name="apm_bax.old.vo.app">#REF!</definedName>
    <definedName name="apm_bax.payment" localSheetId="7">#REF!</definedName>
    <definedName name="apm_bax.payment" localSheetId="1">#REF!</definedName>
    <definedName name="apm_bax.payment" localSheetId="3">#REF!</definedName>
    <definedName name="apm_bax.payment">#REF!</definedName>
    <definedName name="apm_bax.rev" localSheetId="7">#REF!</definedName>
    <definedName name="apm_bax.rev" localSheetId="1">#REF!</definedName>
    <definedName name="apm_bax.rev" localSheetId="3">#REF!</definedName>
    <definedName name="apm_bax.rev">#REF!</definedName>
    <definedName name="apm_bax.tot.contract" localSheetId="7">#REF!</definedName>
    <definedName name="apm_bax.tot.contract" localSheetId="1">#REF!</definedName>
    <definedName name="apm_bax.tot.contract" localSheetId="3">#REF!</definedName>
    <definedName name="apm_bax.tot.contract">#REF!</definedName>
    <definedName name="apm_bax.tot.now" localSheetId="7">#REF!</definedName>
    <definedName name="apm_bax.tot.now" localSheetId="1">#REF!</definedName>
    <definedName name="apm_bax.tot.now" localSheetId="3">#REF!</definedName>
    <definedName name="apm_bax.tot.now">#REF!</definedName>
    <definedName name="apm_bax.tot.payment" localSheetId="7">#REF!</definedName>
    <definedName name="apm_bax.tot.payment" localSheetId="1">#REF!</definedName>
    <definedName name="apm_bax.tot.payment" localSheetId="3">#REF!</definedName>
    <definedName name="apm_bax.tot.payment">#REF!</definedName>
    <definedName name="apm_bax.tot.vo.app" localSheetId="7">#REF!</definedName>
    <definedName name="apm_bax.tot.vo.app" localSheetId="1">#REF!</definedName>
    <definedName name="apm_bax.tot.vo.app" localSheetId="3">#REF!</definedName>
    <definedName name="apm_bax.tot.vo.app">#REF!</definedName>
    <definedName name="apm_bax.vo.app" localSheetId="7">#REF!</definedName>
    <definedName name="apm_bax.vo.app" localSheetId="1">#REF!</definedName>
    <definedName name="apm_bax.vo.app" localSheetId="3">#REF!</definedName>
    <definedName name="apm_bax.vo.app">#REF!</definedName>
    <definedName name="apm_ccu.bs" localSheetId="7">#REF!</definedName>
    <definedName name="apm_ccu.bs" localSheetId="1">#REF!</definedName>
    <definedName name="apm_ccu.bs" localSheetId="3">#REF!</definedName>
    <definedName name="apm_ccu.bs">#REF!</definedName>
    <definedName name="apm_ccu.bs.now" localSheetId="7">#REF!</definedName>
    <definedName name="apm_ccu.bs.now" localSheetId="1">#REF!</definedName>
    <definedName name="apm_ccu.bs.now" localSheetId="3">#REF!</definedName>
    <definedName name="apm_ccu.bs.now">#REF!</definedName>
    <definedName name="apm_ccu.bs.payment" localSheetId="7">#REF!</definedName>
    <definedName name="apm_ccu.bs.payment" localSheetId="1">#REF!</definedName>
    <definedName name="apm_ccu.bs.payment" localSheetId="3">#REF!</definedName>
    <definedName name="apm_ccu.bs.payment">#REF!</definedName>
    <definedName name="apm_ccu.bs.vo.app" localSheetId="7">#REF!</definedName>
    <definedName name="apm_ccu.bs.vo.app" localSheetId="1">#REF!</definedName>
    <definedName name="apm_ccu.bs.vo.app" localSheetId="3">#REF!</definedName>
    <definedName name="apm_ccu.bs.vo.app">#REF!</definedName>
    <definedName name="apm_ccu.cert" localSheetId="7">#REF!</definedName>
    <definedName name="apm_ccu.cert" localSheetId="1">#REF!</definedName>
    <definedName name="apm_ccu.cert" localSheetId="3">#REF!</definedName>
    <definedName name="apm_ccu.cert">#REF!</definedName>
    <definedName name="apm_ccu.contract" localSheetId="7">#REF!</definedName>
    <definedName name="apm_ccu.contract" localSheetId="1">#REF!</definedName>
    <definedName name="apm_ccu.contract" localSheetId="3">#REF!</definedName>
    <definedName name="apm_ccu.contract">#REF!</definedName>
    <definedName name="apm_ccu.contract.now" localSheetId="7">#REF!</definedName>
    <definedName name="apm_ccu.contract.now" localSheetId="1">#REF!</definedName>
    <definedName name="apm_ccu.contract.now" localSheetId="3">#REF!</definedName>
    <definedName name="apm_ccu.contract.now">#REF!</definedName>
    <definedName name="apm_ccu.fire" localSheetId="7">#REF!</definedName>
    <definedName name="apm_ccu.fire" localSheetId="1">#REF!</definedName>
    <definedName name="apm_ccu.fire" localSheetId="3">#REF!</definedName>
    <definedName name="apm_ccu.fire">#REF!</definedName>
    <definedName name="apm_ccu.fire.now" localSheetId="7">#REF!</definedName>
    <definedName name="apm_ccu.fire.now" localSheetId="1">#REF!</definedName>
    <definedName name="apm_ccu.fire.now" localSheetId="3">#REF!</definedName>
    <definedName name="apm_ccu.fire.now">#REF!</definedName>
    <definedName name="apm_ccu.fire.payment" localSheetId="7">#REF!</definedName>
    <definedName name="apm_ccu.fire.payment" localSheetId="1">#REF!</definedName>
    <definedName name="apm_ccu.fire.payment" localSheetId="3">#REF!</definedName>
    <definedName name="apm_ccu.fire.payment">#REF!</definedName>
    <definedName name="apm_ccu.fire.vo.app" localSheetId="7">#REF!</definedName>
    <definedName name="apm_ccu.fire.vo.app" localSheetId="1">#REF!</definedName>
    <definedName name="apm_ccu.fire.vo.app" localSheetId="3">#REF!</definedName>
    <definedName name="apm_ccu.fire.vo.app">#REF!</definedName>
    <definedName name="apm_ccu.furn" localSheetId="7">#REF!</definedName>
    <definedName name="apm_ccu.furn" localSheetId="1">#REF!</definedName>
    <definedName name="apm_ccu.furn" localSheetId="3">#REF!</definedName>
    <definedName name="apm_ccu.furn">#REF!</definedName>
    <definedName name="apm_ccu.furn.vo.app" localSheetId="7">#REF!</definedName>
    <definedName name="apm_ccu.furn.vo.app" localSheetId="1">#REF!</definedName>
    <definedName name="apm_ccu.furn.vo.app" localSheetId="3">#REF!</definedName>
    <definedName name="apm_ccu.furn.vo.app">#REF!</definedName>
    <definedName name="apm_ccu.mon" localSheetId="7">#REF!</definedName>
    <definedName name="apm_ccu.mon" localSheetId="1">#REF!</definedName>
    <definedName name="apm_ccu.mon" localSheetId="3">#REF!</definedName>
    <definedName name="apm_ccu.mon">#REF!</definedName>
    <definedName name="apm_ccu.mon.vo.app" localSheetId="7">#REF!</definedName>
    <definedName name="apm_ccu.mon.vo.app" localSheetId="1">#REF!</definedName>
    <definedName name="apm_ccu.mon.vo.app" localSheetId="3">#REF!</definedName>
    <definedName name="apm_ccu.mon.vo.app">#REF!</definedName>
    <definedName name="apm_ccu.payment" localSheetId="7">#REF!</definedName>
    <definedName name="apm_ccu.payment" localSheetId="1">#REF!</definedName>
    <definedName name="apm_ccu.payment" localSheetId="3">#REF!</definedName>
    <definedName name="apm_ccu.payment">#REF!</definedName>
    <definedName name="apm_ccu.rev" localSheetId="7">#REF!</definedName>
    <definedName name="apm_ccu.rev" localSheetId="1">#REF!</definedName>
    <definedName name="apm_ccu.rev" localSheetId="3">#REF!</definedName>
    <definedName name="apm_ccu.rev">#REF!</definedName>
    <definedName name="apm_ccu.tot.contract" localSheetId="7">#REF!</definedName>
    <definedName name="apm_ccu.tot.contract" localSheetId="1">#REF!</definedName>
    <definedName name="apm_ccu.tot.contract" localSheetId="3">#REF!</definedName>
    <definedName name="apm_ccu.tot.contract">#REF!</definedName>
    <definedName name="apm_ccu.tot.now" localSheetId="7">#REF!</definedName>
    <definedName name="apm_ccu.tot.now" localSheetId="1">#REF!</definedName>
    <definedName name="apm_ccu.tot.now" localSheetId="3">#REF!</definedName>
    <definedName name="apm_ccu.tot.now">#REF!</definedName>
    <definedName name="apm_ccu.tot.payment" localSheetId="7">#REF!</definedName>
    <definedName name="apm_ccu.tot.payment" localSheetId="1">#REF!</definedName>
    <definedName name="apm_ccu.tot.payment" localSheetId="3">#REF!</definedName>
    <definedName name="apm_ccu.tot.payment">#REF!</definedName>
    <definedName name="apm_ccu.tot.vo.app" localSheetId="7">#REF!</definedName>
    <definedName name="apm_ccu.tot.vo.app" localSheetId="1">#REF!</definedName>
    <definedName name="apm_ccu.tot.vo.app" localSheetId="3">#REF!</definedName>
    <definedName name="apm_ccu.tot.vo.app">#REF!</definedName>
    <definedName name="apm_ccu.vo.app" localSheetId="7">#REF!</definedName>
    <definedName name="apm_ccu.vo.app" localSheetId="1">#REF!</definedName>
    <definedName name="apm_ccu.vo.app" localSheetId="3">#REF!</definedName>
    <definedName name="apm_ccu.vo.app">#REF!</definedName>
    <definedName name="apm_dax.app.vo" localSheetId="7">#REF!</definedName>
    <definedName name="apm_dax.app.vo" localSheetId="1">#REF!</definedName>
    <definedName name="apm_dax.app.vo" localSheetId="3">#REF!</definedName>
    <definedName name="apm_dax.app.vo">#REF!</definedName>
    <definedName name="apm_dax.bs.fee" localSheetId="7">#REF!</definedName>
    <definedName name="apm_dax.bs.fee" localSheetId="1">#REF!</definedName>
    <definedName name="apm_dax.bs.fee" localSheetId="3">#REF!</definedName>
    <definedName name="apm_dax.bs.fee">#REF!</definedName>
    <definedName name="apm_dax.bs.now" localSheetId="7">#REF!</definedName>
    <definedName name="apm_dax.bs.now" localSheetId="1">#REF!</definedName>
    <definedName name="apm_dax.bs.now" localSheetId="3">#REF!</definedName>
    <definedName name="apm_dax.bs.now">#REF!</definedName>
    <definedName name="apm_dax.bs.payment" localSheetId="7">#REF!</definedName>
    <definedName name="apm_dax.bs.payment" localSheetId="1">#REF!</definedName>
    <definedName name="apm_dax.bs.payment" localSheetId="3">#REF!</definedName>
    <definedName name="apm_dax.bs.payment">#REF!</definedName>
    <definedName name="apm_dax.bs.vo.app" localSheetId="7">#REF!</definedName>
    <definedName name="apm_dax.bs.vo.app" localSheetId="1">#REF!</definedName>
    <definedName name="apm_dax.bs.vo.app" localSheetId="3">#REF!</definedName>
    <definedName name="apm_dax.bs.vo.app">#REF!</definedName>
    <definedName name="apm_dax.cert" localSheetId="7">#REF!</definedName>
    <definedName name="apm_dax.cert" localSheetId="1">#REF!</definedName>
    <definedName name="apm_dax.cert" localSheetId="3">#REF!</definedName>
    <definedName name="apm_dax.cert">#REF!</definedName>
    <definedName name="apm_dax.com.now" localSheetId="7">#REF!</definedName>
    <definedName name="apm_dax.com.now" localSheetId="1">#REF!</definedName>
    <definedName name="apm_dax.com.now" localSheetId="3">#REF!</definedName>
    <definedName name="apm_dax.com.now">#REF!</definedName>
    <definedName name="apm_dax.com.payment" localSheetId="7">#REF!</definedName>
    <definedName name="apm_dax.com.payment" localSheetId="1">#REF!</definedName>
    <definedName name="apm_dax.com.payment" localSheetId="3">#REF!</definedName>
    <definedName name="apm_dax.com.payment">#REF!</definedName>
    <definedName name="apm_dax.com.vo.app" localSheetId="7">#REF!</definedName>
    <definedName name="apm_dax.com.vo.app" localSheetId="1">#REF!</definedName>
    <definedName name="apm_dax.com.vo.app" localSheetId="3">#REF!</definedName>
    <definedName name="apm_dax.com.vo.app">#REF!</definedName>
    <definedName name="apm_dax.consult.fee" localSheetId="7">#REF!</definedName>
    <definedName name="apm_dax.consult.fee" localSheetId="1">#REF!</definedName>
    <definedName name="apm_dax.consult.fee" localSheetId="3">#REF!</definedName>
    <definedName name="apm_dax.consult.fee">#REF!</definedName>
    <definedName name="apm_dax.consult.now" localSheetId="7">#REF!</definedName>
    <definedName name="apm_dax.consult.now" localSheetId="1">#REF!</definedName>
    <definedName name="apm_dax.consult.now" localSheetId="3">#REF!</definedName>
    <definedName name="apm_dax.consult.now">#REF!</definedName>
    <definedName name="apm_dax.consult.payment" localSheetId="7">#REF!</definedName>
    <definedName name="apm_dax.consult.payment" localSheetId="1">#REF!</definedName>
    <definedName name="apm_dax.consult.payment" localSheetId="3">#REF!</definedName>
    <definedName name="apm_dax.consult.payment">#REF!</definedName>
    <definedName name="apm_dax.consult.vo.app" localSheetId="7">#REF!</definedName>
    <definedName name="apm_dax.consult.vo.app" localSheetId="1">#REF!</definedName>
    <definedName name="apm_dax.consult.vo.app" localSheetId="3">#REF!</definedName>
    <definedName name="apm_dax.consult.vo.app">#REF!</definedName>
    <definedName name="apm_dax.contract.now" localSheetId="7">#REF!</definedName>
    <definedName name="apm_dax.contract.now" localSheetId="1">#REF!</definedName>
    <definedName name="apm_dax.contract.now" localSheetId="3">#REF!</definedName>
    <definedName name="apm_dax.contract.now">#REF!</definedName>
    <definedName name="apm_dax.contractor" localSheetId="7">#REF!</definedName>
    <definedName name="apm_dax.contractor" localSheetId="1">#REF!</definedName>
    <definedName name="apm_dax.contractor" localSheetId="3">#REF!</definedName>
    <definedName name="apm_dax.contractor">#REF!</definedName>
    <definedName name="apm_dax.ffe" localSheetId="7">#REF!</definedName>
    <definedName name="apm_dax.ffe" localSheetId="1">#REF!</definedName>
    <definedName name="apm_dax.ffe" localSheetId="3">#REF!</definedName>
    <definedName name="apm_dax.ffe">#REF!</definedName>
    <definedName name="apm_dax.ffe.now" localSheetId="7">#REF!</definedName>
    <definedName name="apm_dax.ffe.now" localSheetId="1">#REF!</definedName>
    <definedName name="apm_dax.ffe.now" localSheetId="3">#REF!</definedName>
    <definedName name="apm_dax.ffe.now">#REF!</definedName>
    <definedName name="apm_dax.ffe.payment" localSheetId="7">#REF!</definedName>
    <definedName name="apm_dax.ffe.payment" localSheetId="1">#REF!</definedName>
    <definedName name="apm_dax.ffe.payment" localSheetId="3">#REF!</definedName>
    <definedName name="apm_dax.ffe.payment">#REF!</definedName>
    <definedName name="apm_dax.ffe.vo.app" localSheetId="7">#REF!</definedName>
    <definedName name="apm_dax.ffe.vo.app" localSheetId="1">#REF!</definedName>
    <definedName name="apm_dax.ffe.vo.app" localSheetId="3">#REF!</definedName>
    <definedName name="apm_dax.ffe.vo.app">#REF!</definedName>
    <definedName name="apm_dax.hosp" localSheetId="7">#REF!</definedName>
    <definedName name="apm_dax.hosp" localSheetId="1">#REF!</definedName>
    <definedName name="apm_dax.hosp" localSheetId="3">#REF!</definedName>
    <definedName name="apm_dax.hosp">#REF!</definedName>
    <definedName name="apm_dax.hosp.com" localSheetId="7">#REF!</definedName>
    <definedName name="apm_dax.hosp.com" localSheetId="1">#REF!</definedName>
    <definedName name="apm_dax.hosp.com" localSheetId="3">#REF!</definedName>
    <definedName name="apm_dax.hosp.com">#REF!</definedName>
    <definedName name="apm_dax.hosp.comm" localSheetId="7">#REF!</definedName>
    <definedName name="apm_dax.hosp.comm" localSheetId="1">#REF!</definedName>
    <definedName name="apm_dax.hosp.comm" localSheetId="3">#REF!</definedName>
    <definedName name="apm_dax.hosp.comm">#REF!</definedName>
    <definedName name="apm_dax.hosp.now" localSheetId="7">#REF!</definedName>
    <definedName name="apm_dax.hosp.now" localSheetId="1">#REF!</definedName>
    <definedName name="apm_dax.hosp.now" localSheetId="3">#REF!</definedName>
    <definedName name="apm_dax.hosp.now">#REF!</definedName>
    <definedName name="apm_dax.hosp.payment" localSheetId="7">#REF!</definedName>
    <definedName name="apm_dax.hosp.payment" localSheetId="1">#REF!</definedName>
    <definedName name="apm_dax.hosp.payment" localSheetId="3">#REF!</definedName>
    <definedName name="apm_dax.hosp.payment">#REF!</definedName>
    <definedName name="apm_dax.hosp.vo.app" localSheetId="7">#REF!</definedName>
    <definedName name="apm_dax.hosp.vo.app" localSheetId="1">#REF!</definedName>
    <definedName name="apm_dax.hosp.vo.app" localSheetId="3">#REF!</definedName>
    <definedName name="apm_dax.hosp.vo.app">#REF!</definedName>
    <definedName name="apm_dax.pabx" localSheetId="7">#REF!</definedName>
    <definedName name="apm_dax.pabx" localSheetId="1">#REF!</definedName>
    <definedName name="apm_dax.pabx" localSheetId="3">#REF!</definedName>
    <definedName name="apm_dax.pabx">#REF!</definedName>
    <definedName name="apm_dax.pabx.now" localSheetId="7">#REF!</definedName>
    <definedName name="apm_dax.pabx.now" localSheetId="1">#REF!</definedName>
    <definedName name="apm_dax.pabx.now" localSheetId="3">#REF!</definedName>
    <definedName name="apm_dax.pabx.now">#REF!</definedName>
    <definedName name="apm_dax.pabx.payment" localSheetId="7">#REF!</definedName>
    <definedName name="apm_dax.pabx.payment" localSheetId="1">#REF!</definedName>
    <definedName name="apm_dax.pabx.payment" localSheetId="3">#REF!</definedName>
    <definedName name="apm_dax.pabx.payment">#REF!</definedName>
    <definedName name="apm_dax.pabx.vo.app" localSheetId="7">#REF!</definedName>
    <definedName name="apm_dax.pabx.vo.app" localSheetId="1">#REF!</definedName>
    <definedName name="apm_dax.pabx.vo.app" localSheetId="3">#REF!</definedName>
    <definedName name="apm_dax.pabx.vo.app">#REF!</definedName>
    <definedName name="apm_dax.payment" localSheetId="7">#REF!</definedName>
    <definedName name="apm_dax.payment" localSheetId="1">#REF!</definedName>
    <definedName name="apm_dax.payment" localSheetId="3">#REF!</definedName>
    <definedName name="apm_dax.payment">#REF!</definedName>
    <definedName name="apm_dax.pm.fee" localSheetId="7">#REF!</definedName>
    <definedName name="apm_dax.pm.fee" localSheetId="1">#REF!</definedName>
    <definedName name="apm_dax.pm.fee" localSheetId="3">#REF!</definedName>
    <definedName name="apm_dax.pm.fee">#REF!</definedName>
    <definedName name="apm_dax.pm.now" localSheetId="7">#REF!</definedName>
    <definedName name="apm_dax.pm.now" localSheetId="1">#REF!</definedName>
    <definedName name="apm_dax.pm.now" localSheetId="3">#REF!</definedName>
    <definedName name="apm_dax.pm.now">#REF!</definedName>
    <definedName name="apm_dax.pm.payment" localSheetId="7">#REF!</definedName>
    <definedName name="apm_dax.pm.payment" localSheetId="1">#REF!</definedName>
    <definedName name="apm_dax.pm.payment" localSheetId="3">#REF!</definedName>
    <definedName name="apm_dax.pm.payment">#REF!</definedName>
    <definedName name="apm_dax.pm.vo.app" localSheetId="7">#REF!</definedName>
    <definedName name="apm_dax.pm.vo.app" localSheetId="1">#REF!</definedName>
    <definedName name="apm_dax.pm.vo.app" localSheetId="3">#REF!</definedName>
    <definedName name="apm_dax.pm.vo.app">#REF!</definedName>
    <definedName name="apm_dax.ps" localSheetId="7">#REF!</definedName>
    <definedName name="apm_dax.ps" localSheetId="1">#REF!</definedName>
    <definedName name="apm_dax.ps" localSheetId="3">#REF!</definedName>
    <definedName name="apm_dax.ps">#REF!</definedName>
    <definedName name="apm_dax.qs.fee" localSheetId="7">#REF!</definedName>
    <definedName name="apm_dax.qs.fee" localSheetId="1">#REF!</definedName>
    <definedName name="apm_dax.qs.fee" localSheetId="3">#REF!</definedName>
    <definedName name="apm_dax.qs.fee">#REF!</definedName>
    <definedName name="apm_dax.qs.now" localSheetId="7">#REF!</definedName>
    <definedName name="apm_dax.qs.now" localSheetId="1">#REF!</definedName>
    <definedName name="apm_dax.qs.now" localSheetId="3">#REF!</definedName>
    <definedName name="apm_dax.qs.now">#REF!</definedName>
    <definedName name="apm_dax.qs.payment" localSheetId="7">#REF!</definedName>
    <definedName name="apm_dax.qs.payment" localSheetId="1">#REF!</definedName>
    <definedName name="apm_dax.qs.payment" localSheetId="3">#REF!</definedName>
    <definedName name="apm_dax.qs.payment">#REF!</definedName>
    <definedName name="apm_dax.qs.vo.app" localSheetId="7">#REF!</definedName>
    <definedName name="apm_dax.qs.vo.app" localSheetId="1">#REF!</definedName>
    <definedName name="apm_dax.qs.vo.app" localSheetId="3">#REF!</definedName>
    <definedName name="apm_dax.qs.vo.app">#REF!</definedName>
    <definedName name="apm_dax.special.now" localSheetId="7">#REF!</definedName>
    <definedName name="apm_dax.special.now" localSheetId="1">#REF!</definedName>
    <definedName name="apm_dax.special.now" localSheetId="3">#REF!</definedName>
    <definedName name="apm_dax.special.now">#REF!</definedName>
    <definedName name="apm_dax.specialist.fee" localSheetId="7">#REF!</definedName>
    <definedName name="apm_dax.specialist.fee" localSheetId="1">#REF!</definedName>
    <definedName name="apm_dax.specialist.fee" localSheetId="3">#REF!</definedName>
    <definedName name="apm_dax.specialist.fee">#REF!</definedName>
    <definedName name="apm_dax.specialist.payment" localSheetId="7">#REF!</definedName>
    <definedName name="apm_dax.specialist.payment" localSheetId="1">#REF!</definedName>
    <definedName name="apm_dax.specialist.payment" localSheetId="3">#REF!</definedName>
    <definedName name="apm_dax.specialist.payment">#REF!</definedName>
    <definedName name="apm_dax.specialist.vo.app" localSheetId="7">#REF!</definedName>
    <definedName name="apm_dax.specialist.vo.app" localSheetId="1">#REF!</definedName>
    <definedName name="apm_dax.specialist.vo.app" localSheetId="3">#REF!</definedName>
    <definedName name="apm_dax.specialist.vo.app">#REF!</definedName>
    <definedName name="apm_dem.consult" localSheetId="7">#REF!</definedName>
    <definedName name="apm_dem.consult" localSheetId="1">#REF!</definedName>
    <definedName name="apm_dem.consult" localSheetId="3">#REF!</definedName>
    <definedName name="apm_dem.consult">#REF!</definedName>
    <definedName name="apm_dem.consult.now" localSheetId="7">#REF!</definedName>
    <definedName name="apm_dem.consult.now" localSheetId="1">#REF!</definedName>
    <definedName name="apm_dem.consult.now" localSheetId="3">#REF!</definedName>
    <definedName name="apm_dem.consult.now">#REF!</definedName>
    <definedName name="apm_dem.consult.payment" localSheetId="7">#REF!</definedName>
    <definedName name="apm_dem.consult.payment" localSheetId="1">#REF!</definedName>
    <definedName name="apm_dem.consult.payment" localSheetId="3">#REF!</definedName>
    <definedName name="apm_dem.consult.payment">#REF!</definedName>
    <definedName name="apm_dem.consult.vo.app" localSheetId="7">#REF!</definedName>
    <definedName name="apm_dem.consult.vo.app" localSheetId="1">#REF!</definedName>
    <definedName name="apm_dem.consult.vo.app" localSheetId="3">#REF!</definedName>
    <definedName name="apm_dem.consult.vo.app">#REF!</definedName>
    <definedName name="apm_dem.contract" localSheetId="7">#REF!</definedName>
    <definedName name="apm_dem.contract" localSheetId="1">#REF!</definedName>
    <definedName name="apm_dem.contract" localSheetId="3">#REF!</definedName>
    <definedName name="apm_dem.contract">#REF!</definedName>
    <definedName name="apm_dem.contract.now" localSheetId="7">#REF!</definedName>
    <definedName name="apm_dem.contract.now" localSheetId="1">#REF!</definedName>
    <definedName name="apm_dem.contract.now" localSheetId="3">#REF!</definedName>
    <definedName name="apm_dem.contract.now">#REF!</definedName>
    <definedName name="apm_dem.contract.payment" localSheetId="7">#REF!</definedName>
    <definedName name="apm_dem.contract.payment" localSheetId="1">#REF!</definedName>
    <definedName name="apm_dem.contract.payment" localSheetId="3">#REF!</definedName>
    <definedName name="apm_dem.contract.payment">#REF!</definedName>
    <definedName name="apm_dem.contract.vo.app" localSheetId="7">#REF!</definedName>
    <definedName name="apm_dem.contract.vo.app" localSheetId="1">#REF!</definedName>
    <definedName name="apm_dem.contract.vo.app" localSheetId="3">#REF!</definedName>
    <definedName name="apm_dem.contract.vo.app">#REF!</definedName>
    <definedName name="apm_dem.furn" localSheetId="7">#REF!</definedName>
    <definedName name="apm_dem.furn" localSheetId="1">#REF!</definedName>
    <definedName name="apm_dem.furn" localSheetId="3">#REF!</definedName>
    <definedName name="apm_dem.furn">#REF!</definedName>
    <definedName name="apm_dem.furn.now" localSheetId="7">#REF!</definedName>
    <definedName name="apm_dem.furn.now" localSheetId="1">#REF!</definedName>
    <definedName name="apm_dem.furn.now" localSheetId="3">#REF!</definedName>
    <definedName name="apm_dem.furn.now">#REF!</definedName>
    <definedName name="apm_dem.furn.payment" localSheetId="7">#REF!</definedName>
    <definedName name="apm_dem.furn.payment" localSheetId="1">#REF!</definedName>
    <definedName name="apm_dem.furn.payment" localSheetId="3">#REF!</definedName>
    <definedName name="apm_dem.furn.payment">#REF!</definedName>
    <definedName name="apm_dem.furn.vo.app" localSheetId="7">#REF!</definedName>
    <definedName name="apm_dem.furn.vo.app" localSheetId="1">#REF!</definedName>
    <definedName name="apm_dem.furn.vo.app" localSheetId="3">#REF!</definedName>
    <definedName name="apm_dem.furn.vo.app">#REF!</definedName>
    <definedName name="apm_dem.hosp" localSheetId="7">#REF!</definedName>
    <definedName name="apm_dem.hosp" localSheetId="1">#REF!</definedName>
    <definedName name="apm_dem.hosp" localSheetId="3">#REF!</definedName>
    <definedName name="apm_dem.hosp">#REF!</definedName>
    <definedName name="apm_dem.hosp.now" localSheetId="7">#REF!</definedName>
    <definedName name="apm_dem.hosp.now" localSheetId="1">#REF!</definedName>
    <definedName name="apm_dem.hosp.now" localSheetId="3">#REF!</definedName>
    <definedName name="apm_dem.hosp.now">#REF!</definedName>
    <definedName name="apm_dem.hosp.payment" localSheetId="7">#REF!</definedName>
    <definedName name="apm_dem.hosp.payment" localSheetId="1">#REF!</definedName>
    <definedName name="apm_dem.hosp.payment" localSheetId="3">#REF!</definedName>
    <definedName name="apm_dem.hosp.payment">#REF!</definedName>
    <definedName name="apm_dem.hosp.vo.app" localSheetId="7">#REF!</definedName>
    <definedName name="apm_dem.hosp.vo.app" localSheetId="1">#REF!</definedName>
    <definedName name="apm_dem.hosp.vo.app" localSheetId="3">#REF!</definedName>
    <definedName name="apm_dem.hosp.vo.app">#REF!</definedName>
    <definedName name="apm_dem.mon" localSheetId="7">#REF!</definedName>
    <definedName name="apm_dem.mon" localSheetId="1">#REF!</definedName>
    <definedName name="apm_dem.mon" localSheetId="3">#REF!</definedName>
    <definedName name="apm_dem.mon">#REF!</definedName>
    <definedName name="apm_dem.mon.now" localSheetId="7">#REF!</definedName>
    <definedName name="apm_dem.mon.now" localSheetId="1">#REF!</definedName>
    <definedName name="apm_dem.mon.now" localSheetId="3">#REF!</definedName>
    <definedName name="apm_dem.mon.now">#REF!</definedName>
    <definedName name="apm_dem.mon.payment" localSheetId="7">#REF!</definedName>
    <definedName name="apm_dem.mon.payment" localSheetId="1">#REF!</definedName>
    <definedName name="apm_dem.mon.payment" localSheetId="3">#REF!</definedName>
    <definedName name="apm_dem.mon.payment">#REF!</definedName>
    <definedName name="apm_dem.mon.vo.app" localSheetId="7">#REF!</definedName>
    <definedName name="apm_dem.mon.vo.app" localSheetId="1">#REF!</definedName>
    <definedName name="apm_dem.mon.vo.app" localSheetId="3">#REF!</definedName>
    <definedName name="apm_dem.mon.vo.app">#REF!</definedName>
    <definedName name="apm_dem.rev" localSheetId="7">#REF!</definedName>
    <definedName name="apm_dem.rev" localSheetId="1">#REF!</definedName>
    <definedName name="apm_dem.rev" localSheetId="3">#REF!</definedName>
    <definedName name="apm_dem.rev">#REF!</definedName>
    <definedName name="apm_dem.tot.contract" localSheetId="7">#REF!</definedName>
    <definedName name="apm_dem.tot.contract" localSheetId="1">#REF!</definedName>
    <definedName name="apm_dem.tot.contract" localSheetId="3">#REF!</definedName>
    <definedName name="apm_dem.tot.contract">#REF!</definedName>
    <definedName name="apm_dem.tot.now" localSheetId="7">#REF!</definedName>
    <definedName name="apm_dem.tot.now" localSheetId="1">#REF!</definedName>
    <definedName name="apm_dem.tot.now" localSheetId="3">#REF!</definedName>
    <definedName name="apm_dem.tot.now">#REF!</definedName>
    <definedName name="apm_dem.tot.payment" localSheetId="7">#REF!</definedName>
    <definedName name="apm_dem.tot.payment" localSheetId="1">#REF!</definedName>
    <definedName name="apm_dem.tot.payment" localSheetId="3">#REF!</definedName>
    <definedName name="apm_dem.tot.payment">#REF!</definedName>
    <definedName name="apm_dem.tot.vo.app" localSheetId="7">#REF!</definedName>
    <definedName name="apm_dem.tot.vo.app" localSheetId="1">#REF!</definedName>
    <definedName name="apm_dem.tot.vo.app" localSheetId="3">#REF!</definedName>
    <definedName name="apm_dem.tot.vo.app">#REF!</definedName>
    <definedName name="apm_icu.bs" localSheetId="7">#REF!</definedName>
    <definedName name="apm_icu.bs" localSheetId="1">#REF!</definedName>
    <definedName name="apm_icu.bs" localSheetId="3">#REF!</definedName>
    <definedName name="apm_icu.bs">#REF!</definedName>
    <definedName name="apm_icu.bs.now" localSheetId="7">#REF!</definedName>
    <definedName name="apm_icu.bs.now" localSheetId="1">#REF!</definedName>
    <definedName name="apm_icu.bs.now" localSheetId="3">#REF!</definedName>
    <definedName name="apm_icu.bs.now">#REF!</definedName>
    <definedName name="apm_icu.bs.payment" localSheetId="7">#REF!</definedName>
    <definedName name="apm_icu.bs.payment" localSheetId="1">#REF!</definedName>
    <definedName name="apm_icu.bs.payment" localSheetId="3">#REF!</definedName>
    <definedName name="apm_icu.bs.payment">#REF!</definedName>
    <definedName name="apm_icu.bs.vo.app" localSheetId="7">#REF!</definedName>
    <definedName name="apm_icu.bs.vo.app" localSheetId="1">#REF!</definedName>
    <definedName name="apm_icu.bs.vo.app" localSheetId="3">#REF!</definedName>
    <definedName name="apm_icu.bs.vo.app">#REF!</definedName>
    <definedName name="apm_icu.cert" localSheetId="7">#REF!</definedName>
    <definedName name="apm_icu.cert" localSheetId="1">#REF!</definedName>
    <definedName name="apm_icu.cert" localSheetId="3">#REF!</definedName>
    <definedName name="apm_icu.cert">#REF!</definedName>
    <definedName name="apm_icu.contract" localSheetId="7">#REF!</definedName>
    <definedName name="apm_icu.contract" localSheetId="1">#REF!</definedName>
    <definedName name="apm_icu.contract" localSheetId="3">#REF!</definedName>
    <definedName name="apm_icu.contract">#REF!</definedName>
    <definedName name="apm_icu.contract.now" localSheetId="7">#REF!</definedName>
    <definedName name="apm_icu.contract.now" localSheetId="1">#REF!</definedName>
    <definedName name="apm_icu.contract.now" localSheetId="3">#REF!</definedName>
    <definedName name="apm_icu.contract.now">#REF!</definedName>
    <definedName name="apm_icu.furn" localSheetId="7">#REF!</definedName>
    <definedName name="apm_icu.furn" localSheetId="1">#REF!</definedName>
    <definedName name="apm_icu.furn" localSheetId="3">#REF!</definedName>
    <definedName name="apm_icu.furn">#REF!</definedName>
    <definedName name="apm_icu.furn.vo.app" localSheetId="7">#REF!</definedName>
    <definedName name="apm_icu.furn.vo.app" localSheetId="1">#REF!</definedName>
    <definedName name="apm_icu.furn.vo.app" localSheetId="3">#REF!</definedName>
    <definedName name="apm_icu.furn.vo.app">#REF!</definedName>
    <definedName name="apm_icu.mon" localSheetId="7">#REF!</definedName>
    <definedName name="apm_icu.mon" localSheetId="1">#REF!</definedName>
    <definedName name="apm_icu.mon" localSheetId="3">#REF!</definedName>
    <definedName name="apm_icu.mon">#REF!</definedName>
    <definedName name="apm_icu.mon.vo.app" localSheetId="7">#REF!</definedName>
    <definedName name="apm_icu.mon.vo.app" localSheetId="1">#REF!</definedName>
    <definedName name="apm_icu.mon.vo.app" localSheetId="3">#REF!</definedName>
    <definedName name="apm_icu.mon.vo.app">#REF!</definedName>
    <definedName name="apm_icu.payment" localSheetId="7">#REF!</definedName>
    <definedName name="apm_icu.payment" localSheetId="1">#REF!</definedName>
    <definedName name="apm_icu.payment" localSheetId="3">#REF!</definedName>
    <definedName name="apm_icu.payment">#REF!</definedName>
    <definedName name="apm_icu.rev" localSheetId="7">#REF!</definedName>
    <definedName name="apm_icu.rev" localSheetId="1">#REF!</definedName>
    <definedName name="apm_icu.rev" localSheetId="3">#REF!</definedName>
    <definedName name="apm_icu.rev">#REF!</definedName>
    <definedName name="apm_icu.tot.contract" localSheetId="7">#REF!</definedName>
    <definedName name="apm_icu.tot.contract" localSheetId="1">#REF!</definedName>
    <definedName name="apm_icu.tot.contract" localSheetId="3">#REF!</definedName>
    <definedName name="apm_icu.tot.contract">#REF!</definedName>
    <definedName name="apm_icu.tot.now" localSheetId="7">#REF!</definedName>
    <definedName name="apm_icu.tot.now" localSheetId="1">#REF!</definedName>
    <definedName name="apm_icu.tot.now" localSheetId="3">#REF!</definedName>
    <definedName name="apm_icu.tot.now">#REF!</definedName>
    <definedName name="apm_icu.tot.payment" localSheetId="7">#REF!</definedName>
    <definedName name="apm_icu.tot.payment" localSheetId="1">#REF!</definedName>
    <definedName name="apm_icu.tot.payment" localSheetId="3">#REF!</definedName>
    <definedName name="apm_icu.tot.payment">#REF!</definedName>
    <definedName name="apm_icu.tot.vo.app" localSheetId="7">#REF!</definedName>
    <definedName name="apm_icu.tot.vo.app" localSheetId="1">#REF!</definedName>
    <definedName name="apm_icu.tot.vo.app" localSheetId="3">#REF!</definedName>
    <definedName name="apm_icu.tot.vo.app">#REF!</definedName>
    <definedName name="apm_icu.vo.app" localSheetId="7">#REF!</definedName>
    <definedName name="apm_icu.vo.app" localSheetId="1">#REF!</definedName>
    <definedName name="apm_icu.vo.app" localSheetId="3">#REF!</definedName>
    <definedName name="apm_icu.vo.app">#REF!</definedName>
    <definedName name="apm_temp.cert" localSheetId="7">#REF!</definedName>
    <definedName name="apm_temp.cert" localSheetId="1">#REF!</definedName>
    <definedName name="apm_temp.cert" localSheetId="3">#REF!</definedName>
    <definedName name="apm_temp.cert">#REF!</definedName>
    <definedName name="APRIL" localSheetId="7">#REF!</definedName>
    <definedName name="APRIL" localSheetId="1">#REF!</definedName>
    <definedName name="APRIL" localSheetId="3">#REF!</definedName>
    <definedName name="APRIL">#REF!</definedName>
    <definedName name="april_qty" localSheetId="7">#REF!</definedName>
    <definedName name="april_qty" localSheetId="1">#REF!</definedName>
    <definedName name="april_qty" localSheetId="3">#REF!</definedName>
    <definedName name="april_qty">#REF!</definedName>
    <definedName name="aPrimeRate" localSheetId="7">#REF!</definedName>
    <definedName name="aPrimeRate" localSheetId="1">#REF!</definedName>
    <definedName name="aPrimeRate" localSheetId="3">#REF!</definedName>
    <definedName name="aPrimeRate">#REF!</definedName>
    <definedName name="AQ" localSheetId="7">#REF!</definedName>
    <definedName name="AQ" localSheetId="1">#REF!</definedName>
    <definedName name="AQ" localSheetId="3">#REF!</definedName>
    <definedName name="AQ">#REF!</definedName>
    <definedName name="AQWE" localSheetId="5" hidden="1">{#N/A,#N/A,FALSE,"mpph1";#N/A,#N/A,FALSE,"mpmseb";#N/A,#N/A,FALSE,"mpph2"}</definedName>
    <definedName name="AQWE" localSheetId="2" hidden="1">{#N/A,#N/A,FALSE,"mpph1";#N/A,#N/A,FALSE,"mpmseb";#N/A,#N/A,FALSE,"mpph2"}</definedName>
    <definedName name="arctanz" localSheetId="7">#REF!</definedName>
    <definedName name="arctanz" localSheetId="1">#REF!</definedName>
    <definedName name="arctanz" localSheetId="3">#REF!</definedName>
    <definedName name="arctanz">#REF!</definedName>
    <definedName name="arDays" localSheetId="7">#REF!</definedName>
    <definedName name="arDays" localSheetId="1">#REF!</definedName>
    <definedName name="arDays" localSheetId="3">#REF!</definedName>
    <definedName name="arDays">#REF!</definedName>
    <definedName name="area" localSheetId="7">#REF!</definedName>
    <definedName name="area" localSheetId="1">#REF!</definedName>
    <definedName name="area" localSheetId="3">#REF!</definedName>
    <definedName name="area">#REF!</definedName>
    <definedName name="Area_stampa_MI" localSheetId="7">#REF!</definedName>
    <definedName name="Area_stampa_MI" localSheetId="1">#REF!</definedName>
    <definedName name="Area_stampa_MI" localSheetId="3">#REF!</definedName>
    <definedName name="Area_stampa_MI">#REF!</definedName>
    <definedName name="AREAS_CA_CANOPY__WAREHOUSE" localSheetId="7">#REF!</definedName>
    <definedName name="AREAS_CA_CANOPY__WAREHOUSE" localSheetId="1">#REF!</definedName>
    <definedName name="AREAS_CA_CANOPY__WAREHOUSE" localSheetId="3">#REF!</definedName>
    <definedName name="AREAS_CA_CANOPY__WAREHOUSE">#REF!</definedName>
    <definedName name="AREAS_CB_Canteen_Building" localSheetId="7">#REF!</definedName>
    <definedName name="AREAS_CB_Canteen_Building" localSheetId="1">#REF!</definedName>
    <definedName name="AREAS_CB_Canteen_Building" localSheetId="3">#REF!</definedName>
    <definedName name="AREAS_CB_Canteen_Building">#REF!</definedName>
    <definedName name="AREAS_CIPT_Tanker_CIP_Shed" localSheetId="7">#REF!</definedName>
    <definedName name="AREAS_CIPT_Tanker_CIP_Shed" localSheetId="1">#REF!</definedName>
    <definedName name="AREAS_CIPT_Tanker_CIP_Shed" localSheetId="3">#REF!</definedName>
    <definedName name="AREAS_CIPT_Tanker_CIP_Shed">#REF!</definedName>
    <definedName name="AREAS_CLRR_Contract_Labour_Rest_Room" localSheetId="7">#REF!</definedName>
    <definedName name="AREAS_CLRR_Contract_Labour_Rest_Room" localSheetId="1">#REF!</definedName>
    <definedName name="AREAS_CLRR_Contract_Labour_Rest_Room" localSheetId="3">#REF!</definedName>
    <definedName name="AREAS_CLRR_Contract_Labour_Rest_Room">#REF!</definedName>
    <definedName name="AREAS_CS_Chemical_Store" localSheetId="7">#REF!</definedName>
    <definedName name="AREAS_CS_Chemical_Store" localSheetId="1">#REF!</definedName>
    <definedName name="AREAS_CS_Chemical_Store" localSheetId="3">#REF!</definedName>
    <definedName name="AREAS_CS_Chemical_Store">#REF!</definedName>
    <definedName name="AREAS_ETPC_ETP_Civil_Works" localSheetId="7">#REF!</definedName>
    <definedName name="AREAS_ETPC_ETP_Civil_Works" localSheetId="1">#REF!</definedName>
    <definedName name="AREAS_ETPC_ETP_Civil_Works" localSheetId="3">#REF!</definedName>
    <definedName name="AREAS_ETPC_ETP_Civil_Works">#REF!</definedName>
    <definedName name="AREAS_EX_EXTERNAL_WORKS" localSheetId="7">#REF!</definedName>
    <definedName name="AREAS_EX_EXTERNAL_WORKS" localSheetId="1">#REF!</definedName>
    <definedName name="AREAS_EX_EXTERNAL_WORKS" localSheetId="3">#REF!</definedName>
    <definedName name="AREAS_EX_EXTERNAL_WORKS">#REF!</definedName>
    <definedName name="AREAS_FC_Farmer_s_Conference" localSheetId="7">#REF!</definedName>
    <definedName name="AREAS_FC_Farmer_s_Conference" localSheetId="1">#REF!</definedName>
    <definedName name="AREAS_FC_Farmer_s_Conference" localSheetId="3">#REF!</definedName>
    <definedName name="AREAS_FC_Farmer_s_Conference">#REF!</definedName>
    <definedName name="AREAS_FU_Fumigation" localSheetId="7">#REF!</definedName>
    <definedName name="AREAS_FU_Fumigation" localSheetId="1">#REF!</definedName>
    <definedName name="AREAS_FU_Fumigation" localSheetId="3">#REF!</definedName>
    <definedName name="AREAS_FU_Fumigation">#REF!</definedName>
    <definedName name="AREAS_GA_General_Area___Overall" localSheetId="7">#REF!</definedName>
    <definedName name="AREAS_GA_General_Area___Overall" localSheetId="1">#REF!</definedName>
    <definedName name="AREAS_GA_General_Area___Overall" localSheetId="3">#REF!</definedName>
    <definedName name="AREAS_GA_General_Area___Overall">#REF!</definedName>
    <definedName name="AREAS_GP_Guard_Posts" localSheetId="7">#REF!</definedName>
    <definedName name="AREAS_GP_Guard_Posts" localSheetId="1">#REF!</definedName>
    <definedName name="AREAS_GP_Guard_Posts" localSheetId="3">#REF!</definedName>
    <definedName name="AREAS_GP_Guard_Posts">#REF!</definedName>
    <definedName name="AREAS_LS_LubeOil_Stores" localSheetId="7">#REF!</definedName>
    <definedName name="AREAS_LS_LubeOil_Stores" localSheetId="1">#REF!</definedName>
    <definedName name="AREAS_LS_LubeOil_Stores" localSheetId="3">#REF!</definedName>
    <definedName name="AREAS_LS_LubeOil_Stores">#REF!</definedName>
    <definedName name="AREAS_MR_TB_Milk_Reception_Tanker_s_Bay" localSheetId="7">#REF!</definedName>
    <definedName name="AREAS_MR_TB_Milk_Reception_Tanker_s_Bay" localSheetId="1">#REF!</definedName>
    <definedName name="AREAS_MR_TB_Milk_Reception_Tanker_s_Bay" localSheetId="3">#REF!</definedName>
    <definedName name="AREAS_MR_TB_Milk_Reception_Tanker_s_Bay">#REF!</definedName>
    <definedName name="AREAS_MTF_Milk_Tank_Foundations" localSheetId="7">#REF!</definedName>
    <definedName name="AREAS_MTF_Milk_Tank_Foundations" localSheetId="1">#REF!</definedName>
    <definedName name="AREAS_MTF_Milk_Tank_Foundations" localSheetId="3">#REF!</definedName>
    <definedName name="AREAS_MTF_Milk_Tank_Foundations">#REF!</definedName>
    <definedName name="AREAS_PB_PROCESS_BUILDING" localSheetId="7">#REF!</definedName>
    <definedName name="AREAS_PB_PROCESS_BUILDING" localSheetId="1">#REF!</definedName>
    <definedName name="AREAS_PB_PROCESS_BUILDING" localSheetId="3">#REF!</definedName>
    <definedName name="AREAS_PB_PROCESS_BUILDING">#REF!</definedName>
    <definedName name="AREAS_PR_Pipe_Racks" localSheetId="7">#REF!</definedName>
    <definedName name="AREAS_PR_Pipe_Racks" localSheetId="1">#REF!</definedName>
    <definedName name="AREAS_PR_Pipe_Racks" localSheetId="3">#REF!</definedName>
    <definedName name="AREAS_PR_Pipe_Racks">#REF!</definedName>
    <definedName name="AREAS_SR_2_Security_Room___2" localSheetId="7">#REF!</definedName>
    <definedName name="AREAS_SR_2_Security_Room___2" localSheetId="1">#REF!</definedName>
    <definedName name="AREAS_SR_2_Security_Room___2" localSheetId="3">#REF!</definedName>
    <definedName name="AREAS_SR_2_Security_Room___2">#REF!</definedName>
    <definedName name="AREAS_SR_3_Store_Room" localSheetId="7">#REF!</definedName>
    <definedName name="AREAS_SR_3_Store_Room" localSheetId="1">#REF!</definedName>
    <definedName name="AREAS_SR_3_Store_Room" localSheetId="3">#REF!</definedName>
    <definedName name="AREAS_SR_3_Store_Room">#REF!</definedName>
    <definedName name="AREAS_ST_Stacks_near_Utility_Buildings" localSheetId="7">#REF!</definedName>
    <definedName name="AREAS_ST_Stacks_near_Utility_Buildings" localSheetId="1">#REF!</definedName>
    <definedName name="AREAS_ST_Stacks_near_Utility_Buildings" localSheetId="3">#REF!</definedName>
    <definedName name="AREAS_ST_Stacks_near_Utility_Buildings">#REF!</definedName>
    <definedName name="AREAS_SY_Scrap_Yard" localSheetId="7">#REF!</definedName>
    <definedName name="AREAS_SY_Scrap_Yard" localSheetId="1">#REF!</definedName>
    <definedName name="AREAS_SY_Scrap_Yard" localSheetId="3">#REF!</definedName>
    <definedName name="AREAS_SY_Scrap_Yard">#REF!</definedName>
    <definedName name="AREAS_TWW_Truck_Wheel_Wash" localSheetId="7">#REF!</definedName>
    <definedName name="AREAS_TWW_Truck_Wheel_Wash" localSheetId="1">#REF!</definedName>
    <definedName name="AREAS_TWW_Truck_Wheel_Wash" localSheetId="3">#REF!</definedName>
    <definedName name="AREAS_TWW_Truck_Wheel_Wash">#REF!</definedName>
    <definedName name="AREAS_TY_Transformer_Yard" localSheetId="7">#REF!</definedName>
    <definedName name="AREAS_TY_Transformer_Yard" localSheetId="1">#REF!</definedName>
    <definedName name="AREAS_TY_Transformer_Yard" localSheetId="3">#REF!</definedName>
    <definedName name="AREAS_TY_Transformer_Yard">#REF!</definedName>
    <definedName name="AREAS_UB_UTILITY_BLOCK" localSheetId="7">#REF!</definedName>
    <definedName name="AREAS_UB_UTILITY_BLOCK" localSheetId="1">#REF!</definedName>
    <definedName name="AREAS_UB_UTILITY_BLOCK" localSheetId="3">#REF!</definedName>
    <definedName name="AREAS_UB_UTILITY_BLOCK">#REF!</definedName>
    <definedName name="AREAS_WH_Ware_House_Area" localSheetId="7">#REF!</definedName>
    <definedName name="AREAS_WH_Ware_House_Area" localSheetId="1">#REF!</definedName>
    <definedName name="AREAS_WH_Ware_House_Area" localSheetId="3">#REF!</definedName>
    <definedName name="AREAS_WH_Ware_House_Area">#REF!</definedName>
    <definedName name="aRevolverSpread" localSheetId="7">#REF!</definedName>
    <definedName name="aRevolverSpread" localSheetId="1">#REF!</definedName>
    <definedName name="aRevolverSpread" localSheetId="3">#REF!</definedName>
    <definedName name="aRevolverSpread">#REF!</definedName>
    <definedName name="arif" localSheetId="7">#REF!</definedName>
    <definedName name="arif" localSheetId="1">#REF!</definedName>
    <definedName name="arif" localSheetId="3">#REF!</definedName>
    <definedName name="arif">#REF!</definedName>
    <definedName name="arrow.down">"â"</definedName>
    <definedName name="arrow.left">"ß"</definedName>
    <definedName name="arrow.right">"à"</definedName>
    <definedName name="arrow.up">"á"</definedName>
    <definedName name="ARUN" localSheetId="7" hidden="1">#REF!</definedName>
    <definedName name="ARUN" localSheetId="1" hidden="1">#REF!</definedName>
    <definedName name="ARUN" localSheetId="3" hidden="1">#REF!</definedName>
    <definedName name="ARUN" hidden="1">#REF!</definedName>
    <definedName name="AS_PER_TALLY_31_09_04_ONYX_List1" localSheetId="7">#REF!</definedName>
    <definedName name="AS_PER_TALLY_31_09_04_ONYX_List1" localSheetId="1">#REF!</definedName>
    <definedName name="AS_PER_TALLY_31_09_04_ONYX_List1" localSheetId="3">#REF!</definedName>
    <definedName name="AS_PER_TALLY_31_09_04_ONYX_List1">#REF!</definedName>
    <definedName name="AS2DocOpenMode" hidden="1">"AS2DocumentEdit"</definedName>
    <definedName name="asa" localSheetId="5" hidden="1">{#N/A,#N/A,FALSE,"COVER1.XLS ";#N/A,#N/A,FALSE,"RACT1.XLS";#N/A,#N/A,FALSE,"RACT2.XLS";#N/A,#N/A,FALSE,"ECCMP";#N/A,#N/A,FALSE,"WELDER.XLS"}</definedName>
    <definedName name="asa" localSheetId="2" hidden="1">{#N/A,#N/A,FALSE,"COVER1.XLS ";#N/A,#N/A,FALSE,"RACT1.XLS";#N/A,#N/A,FALSE,"RACT2.XLS";#N/A,#N/A,FALSE,"ECCMP";#N/A,#N/A,FALSE,"WELDER.XLS"}</definedName>
    <definedName name="asad" localSheetId="5" hidden="1">{#N/A,#N/A,FALSE,"str_title";#N/A,#N/A,FALSE,"SUM";#N/A,#N/A,FALSE,"Scope";#N/A,#N/A,FALSE,"PIE-Jn";#N/A,#N/A,FALSE,"PIE-Jn_Hz";#N/A,#N/A,FALSE,"Liq_Plan";#N/A,#N/A,FALSE,"S_Curve";#N/A,#N/A,FALSE,"Liq_Prof";#N/A,#N/A,FALSE,"Man_Pwr";#N/A,#N/A,FALSE,"Man_Prof"}</definedName>
    <definedName name="asad" localSheetId="2" hidden="1">{#N/A,#N/A,FALSE,"str_title";#N/A,#N/A,FALSE,"SUM";#N/A,#N/A,FALSE,"Scope";#N/A,#N/A,FALSE,"PIE-Jn";#N/A,#N/A,FALSE,"PIE-Jn_Hz";#N/A,#N/A,FALSE,"Liq_Plan";#N/A,#N/A,FALSE,"S_Curve";#N/A,#N/A,FALSE,"Liq_Prof";#N/A,#N/A,FALSE,"Man_Pwr";#N/A,#N/A,FALSE,"Man_Prof"}</definedName>
    <definedName name="asc" localSheetId="7">#REF!</definedName>
    <definedName name="asc" localSheetId="1">#REF!</definedName>
    <definedName name="asc" localSheetId="3">#REF!</definedName>
    <definedName name="asc">#REF!</definedName>
    <definedName name="asdads" localSheetId="7">#REF!</definedName>
    <definedName name="asdads" localSheetId="1">#REF!</definedName>
    <definedName name="asdads" localSheetId="3">#REF!</definedName>
    <definedName name="asdads">#REF!</definedName>
    <definedName name="asdas" localSheetId="7">#REF!</definedName>
    <definedName name="asdas" localSheetId="1">#REF!</definedName>
    <definedName name="asdas" localSheetId="3">#REF!</definedName>
    <definedName name="asdas">#REF!</definedName>
    <definedName name="asdasd" localSheetId="7">#REF!</definedName>
    <definedName name="asdasd" localSheetId="1">#REF!</definedName>
    <definedName name="asdasd" localSheetId="3">#REF!</definedName>
    <definedName name="asdasd">#REF!</definedName>
    <definedName name="ASDASDASD" localSheetId="7">#REF!</definedName>
    <definedName name="ASDASDASD" localSheetId="1">#REF!</definedName>
    <definedName name="ASDASDASD" localSheetId="3">#REF!</definedName>
    <definedName name="ASDASDASD">#REF!</definedName>
    <definedName name="asdd" localSheetId="7">#REF!</definedName>
    <definedName name="asdd" localSheetId="1">#REF!</definedName>
    <definedName name="asdd" localSheetId="3">#REF!</definedName>
    <definedName name="asdd">#REF!</definedName>
    <definedName name="ASDDDDDDDDDDDD" localSheetId="7">#REF!</definedName>
    <definedName name="ASDDDDDDDDDDDD" localSheetId="1">#REF!</definedName>
    <definedName name="ASDDDDDDDDDDDD" localSheetId="3">#REF!</definedName>
    <definedName name="ASDDDDDDDDDDDD">#REF!</definedName>
    <definedName name="asdf" localSheetId="7">#REF!</definedName>
    <definedName name="asdf" localSheetId="1">#REF!</definedName>
    <definedName name="asdf" localSheetId="3">#REF!</definedName>
    <definedName name="asdf">#REF!</definedName>
    <definedName name="asdfs" localSheetId="7">#REF!</definedName>
    <definedName name="asdfs" localSheetId="1">#REF!</definedName>
    <definedName name="asdfs" localSheetId="3">#REF!</definedName>
    <definedName name="asdfs">#REF!</definedName>
    <definedName name="asdfsa" localSheetId="7" hidden="1">#REF!</definedName>
    <definedName name="asdfsa" localSheetId="1" hidden="1">#REF!</definedName>
    <definedName name="asdfsa" localSheetId="3" hidden="1">#REF!</definedName>
    <definedName name="asdfsa" hidden="1">#REF!</definedName>
    <definedName name="asdsdfsda" localSheetId="7">#REF!</definedName>
    <definedName name="asdsdfsda" localSheetId="1">#REF!</definedName>
    <definedName name="asdsdfsda" localSheetId="3">#REF!</definedName>
    <definedName name="asdsdfsda">#REF!</definedName>
    <definedName name="asf" localSheetId="7">#REF!</definedName>
    <definedName name="asf" localSheetId="1">#REF!</definedName>
    <definedName name="asf" localSheetId="3">#REF!</definedName>
    <definedName name="asf">#REF!</definedName>
    <definedName name="ASFFFF" localSheetId="7">#REF!</definedName>
    <definedName name="ASFFFF" localSheetId="1">#REF!</definedName>
    <definedName name="ASFFFF" localSheetId="3">#REF!</definedName>
    <definedName name="ASFFFF">#REF!</definedName>
    <definedName name="asg" localSheetId="7">#REF!</definedName>
    <definedName name="asg" localSheetId="1">#REF!</definedName>
    <definedName name="asg" localSheetId="3">#REF!</definedName>
    <definedName name="asg">#REF!</definedName>
    <definedName name="ASHOKA" localSheetId="7">#REF!</definedName>
    <definedName name="ASHOKA" localSheetId="1">#REF!</definedName>
    <definedName name="ASHOKA" localSheetId="3">#REF!</definedName>
    <definedName name="ASHOKA">#REF!</definedName>
    <definedName name="asi" localSheetId="7">#REF!</definedName>
    <definedName name="asi" localSheetId="1">#REF!</definedName>
    <definedName name="asi" localSheetId="3">#REF!</definedName>
    <definedName name="asi">#REF!</definedName>
    <definedName name="ASJGQUISG" localSheetId="7">#REF!</definedName>
    <definedName name="ASJGQUISG" localSheetId="1">#REF!</definedName>
    <definedName name="ASJGQUISG" localSheetId="3">#REF!</definedName>
    <definedName name="ASJGQUISG">#REF!</definedName>
    <definedName name="asjk" localSheetId="5" hidden="1">{"form-D1",#N/A,FALSE,"FORM-D1";"form-D1_amt",#N/A,FALSE,"FORM-D1"}</definedName>
    <definedName name="asjk" localSheetId="2" hidden="1">{"form-D1",#N/A,FALSE,"FORM-D1";"form-D1_amt",#N/A,FALSE,"FORM-D1"}</definedName>
    <definedName name="asjk_1" localSheetId="5" hidden="1">{"form-D1",#N/A,FALSE,"FORM-D1";"form-D1_amt",#N/A,FALSE,"FORM-D1"}</definedName>
    <definedName name="asjk_1" localSheetId="2" hidden="1">{"form-D1",#N/A,FALSE,"FORM-D1";"form-D1_amt",#N/A,FALSE,"FORM-D1"}</definedName>
    <definedName name="asjk_1_1" localSheetId="5" hidden="1">{"form-D1",#N/A,FALSE,"FORM-D1";"form-D1_amt",#N/A,FALSE,"FORM-D1"}</definedName>
    <definedName name="asjk_1_1" localSheetId="2" hidden="1">{"form-D1",#N/A,FALSE,"FORM-D1";"form-D1_amt",#N/A,FALSE,"FORM-D1"}</definedName>
    <definedName name="asjk_1_2" localSheetId="5" hidden="1">{"form-D1",#N/A,FALSE,"FORM-D1";"form-D1_amt",#N/A,FALSE,"FORM-D1"}</definedName>
    <definedName name="asjk_1_2" localSheetId="2" hidden="1">{"form-D1",#N/A,FALSE,"FORM-D1";"form-D1_amt",#N/A,FALSE,"FORM-D1"}</definedName>
    <definedName name="asjk_2" localSheetId="5" hidden="1">{"form-D1",#N/A,FALSE,"FORM-D1";"form-D1_amt",#N/A,FALSE,"FORM-D1"}</definedName>
    <definedName name="asjk_2" localSheetId="2" hidden="1">{"form-D1",#N/A,FALSE,"FORM-D1";"form-D1_amt",#N/A,FALSE,"FORM-D1"}</definedName>
    <definedName name="asjk_2_1" localSheetId="5" hidden="1">{"form-D1",#N/A,FALSE,"FORM-D1";"form-D1_amt",#N/A,FALSE,"FORM-D1"}</definedName>
    <definedName name="asjk_2_1" localSheetId="2" hidden="1">{"form-D1",#N/A,FALSE,"FORM-D1";"form-D1_amt",#N/A,FALSE,"FORM-D1"}</definedName>
    <definedName name="asjk_3" localSheetId="5" hidden="1">{"form-D1",#N/A,FALSE,"FORM-D1";"form-D1_amt",#N/A,FALSE,"FORM-D1"}</definedName>
    <definedName name="asjk_3" localSheetId="2" hidden="1">{"form-D1",#N/A,FALSE,"FORM-D1";"form-D1_amt",#N/A,FALSE,"FORM-D1"}</definedName>
    <definedName name="asjk_3_1" localSheetId="5" hidden="1">{"form-D1",#N/A,FALSE,"FORM-D1";"form-D1_amt",#N/A,FALSE,"FORM-D1"}</definedName>
    <definedName name="asjk_3_1" localSheetId="2" hidden="1">{"form-D1",#N/A,FALSE,"FORM-D1";"form-D1_amt",#N/A,FALSE,"FORM-D1"}</definedName>
    <definedName name="asjk_4" localSheetId="5" hidden="1">{"form-D1",#N/A,FALSE,"FORM-D1";"form-D1_amt",#N/A,FALSE,"FORM-D1"}</definedName>
    <definedName name="asjk_4" localSheetId="2" hidden="1">{"form-D1",#N/A,FALSE,"FORM-D1";"form-D1_amt",#N/A,FALSE,"FORM-D1"}</definedName>
    <definedName name="asjk_4_1" localSheetId="5" hidden="1">{"form-D1",#N/A,FALSE,"FORM-D1";"form-D1_amt",#N/A,FALSE,"FORM-D1"}</definedName>
    <definedName name="asjk_4_1" localSheetId="2" hidden="1">{"form-D1",#N/A,FALSE,"FORM-D1";"form-D1_amt",#N/A,FALSE,"FORM-D1"}</definedName>
    <definedName name="asjk_5" localSheetId="5" hidden="1">{"form-D1",#N/A,FALSE,"FORM-D1";"form-D1_amt",#N/A,FALSE,"FORM-D1"}</definedName>
    <definedName name="asjk_5" localSheetId="2" hidden="1">{"form-D1",#N/A,FALSE,"FORM-D1";"form-D1_amt",#N/A,FALSE,"FORM-D1"}</definedName>
    <definedName name="asjk_5_1" localSheetId="5" hidden="1">{"form-D1",#N/A,FALSE,"FORM-D1";"form-D1_amt",#N/A,FALSE,"FORM-D1"}</definedName>
    <definedName name="asjk_5_1" localSheetId="2" hidden="1">{"form-D1",#N/A,FALSE,"FORM-D1";"form-D1_amt",#N/A,FALSE,"FORM-D1"}</definedName>
    <definedName name="asocia" localSheetId="7">#REF!</definedName>
    <definedName name="asocia" localSheetId="1">#REF!</definedName>
    <definedName name="asocia" localSheetId="3">#REF!</definedName>
    <definedName name="asocia">#REF!</definedName>
    <definedName name="ass" localSheetId="7">#REF!</definedName>
    <definedName name="ass" localSheetId="1">#REF!</definedName>
    <definedName name="ass" localSheetId="3">#REF!</definedName>
    <definedName name="ass">#REF!</definedName>
    <definedName name="assa"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t" localSheetId="7">#REF!</definedName>
    <definedName name="ast" localSheetId="1">#REF!</definedName>
    <definedName name="ast" localSheetId="3">#REF!</definedName>
    <definedName name="ast">#REF!</definedName>
    <definedName name="astb" localSheetId="7">#REF!</definedName>
    <definedName name="astb" localSheetId="1">#REF!</definedName>
    <definedName name="astb" localSheetId="3">#REF!</definedName>
    <definedName name="astb">#REF!</definedName>
    <definedName name="astt" localSheetId="7">#REF!</definedName>
    <definedName name="astt" localSheetId="1">#REF!</definedName>
    <definedName name="astt" localSheetId="3">#REF!</definedName>
    <definedName name="astt">#REF!</definedName>
    <definedName name="aSurTax" localSheetId="7">#REF!</definedName>
    <definedName name="aSurTax" localSheetId="1">#REF!</definedName>
    <definedName name="aSurTax" localSheetId="3">#REF!</definedName>
    <definedName name="aSurTax">#REF!</definedName>
    <definedName name="At" localSheetId="7">#REF!</definedName>
    <definedName name="At" localSheetId="1">#REF!</definedName>
    <definedName name="At" localSheetId="3">#REF!</definedName>
    <definedName name="At">#REF!</definedName>
    <definedName name="Athree" localSheetId="7">#REF!</definedName>
    <definedName name="Athree" localSheetId="1">#REF!</definedName>
    <definedName name="Athree" localSheetId="3">#REF!</definedName>
    <definedName name="Athree">#REF!</definedName>
    <definedName name="Atwo" localSheetId="7">#REF!</definedName>
    <definedName name="Atwo" localSheetId="1">#REF!</definedName>
    <definedName name="Atwo" localSheetId="3">#REF!</definedName>
    <definedName name="Atwo">#REF!</definedName>
    <definedName name="AuxConsmp" localSheetId="7">#REF!</definedName>
    <definedName name="AuxConsmp" localSheetId="1">#REF!</definedName>
    <definedName name="AuxConsmp" localSheetId="3">#REF!</definedName>
    <definedName name="AuxConsmp">#REF!</definedName>
    <definedName name="AuxConsmp_I" localSheetId="7">#REF!</definedName>
    <definedName name="AuxConsmp_I" localSheetId="1">#REF!</definedName>
    <definedName name="AuxConsmp_I" localSheetId="3">#REF!</definedName>
    <definedName name="AuxConsmp_I">#REF!</definedName>
    <definedName name="AuxRelay" localSheetId="7">#REF!</definedName>
    <definedName name="AuxRelay" localSheetId="1">#REF!</definedName>
    <definedName name="AuxRelay" localSheetId="3">#REF!</definedName>
    <definedName name="AuxRelay">#REF!</definedName>
    <definedName name="avi" localSheetId="7">#REF!</definedName>
    <definedName name="avi" localSheetId="1">#REF!</definedName>
    <definedName name="avi" localSheetId="3">#REF!</definedName>
    <definedName name="avi">#REF!</definedName>
    <definedName name="AWAWWWWAA" localSheetId="7">#REF!</definedName>
    <definedName name="AWAWWWWAA" localSheetId="1">#REF!</definedName>
    <definedName name="AWAWWWWAA" localSheetId="3">#REF!</definedName>
    <definedName name="AWAWWWWAA">#REF!</definedName>
    <definedName name="B" localSheetId="7">#REF!</definedName>
    <definedName name="B" localSheetId="1">#REF!</definedName>
    <definedName name="B" localSheetId="3">#REF!</definedName>
    <definedName name="B">#REF!</definedName>
    <definedName name="b.jangaiah" localSheetId="7">#REF!</definedName>
    <definedName name="b.jangaiah" localSheetId="1">#REF!</definedName>
    <definedName name="b.jangaiah" localSheetId="3">#REF!</definedName>
    <definedName name="b.jangaiah">#REF!</definedName>
    <definedName name="b.nos" localSheetId="7">#REF!</definedName>
    <definedName name="b.nos" localSheetId="1">#REF!</definedName>
    <definedName name="b.nos" localSheetId="3">#REF!</definedName>
    <definedName name="b.nos">#REF!</definedName>
    <definedName name="B___0" localSheetId="7">#REF!</definedName>
    <definedName name="B___0" localSheetId="1">#REF!</definedName>
    <definedName name="B___0" localSheetId="3">#REF!</definedName>
    <definedName name="B___0">#REF!</definedName>
    <definedName name="B___13" localSheetId="7">#REF!</definedName>
    <definedName name="B___13" localSheetId="1">#REF!</definedName>
    <definedName name="B___13" localSheetId="3">#REF!</definedName>
    <definedName name="B___13">#REF!</definedName>
    <definedName name="B1501." localSheetId="7">#REF!</definedName>
    <definedName name="B1501." localSheetId="1">#REF!</definedName>
    <definedName name="B1501." localSheetId="3">#REF!</definedName>
    <definedName name="B1501.">#REF!</definedName>
    <definedName name="B1Length" localSheetId="7">#REF!</definedName>
    <definedName name="B1Length" localSheetId="1">#REF!</definedName>
    <definedName name="B1Length" localSheetId="3">#REF!</definedName>
    <definedName name="B1Length">#REF!</definedName>
    <definedName name="B2Length" localSheetId="7">#REF!</definedName>
    <definedName name="B2Length" localSheetId="1">#REF!</definedName>
    <definedName name="B2Length" localSheetId="3">#REF!</definedName>
    <definedName name="B2Length">#REF!</definedName>
    <definedName name="B3Length" localSheetId="7">#REF!</definedName>
    <definedName name="B3Length" localSheetId="1">#REF!</definedName>
    <definedName name="B3Length" localSheetId="3">#REF!</definedName>
    <definedName name="B3Length">#REF!</definedName>
    <definedName name="B4a" localSheetId="7">#REF!</definedName>
    <definedName name="B4a" localSheetId="1">#REF!</definedName>
    <definedName name="B4a" localSheetId="3">#REF!</definedName>
    <definedName name="B4a">#REF!</definedName>
    <definedName name="b5a" localSheetId="7">#REF!</definedName>
    <definedName name="b5a" localSheetId="1">#REF!</definedName>
    <definedName name="b5a" localSheetId="3">#REF!</definedName>
    <definedName name="b5a">#REF!</definedName>
    <definedName name="B5Length" localSheetId="7">#REF!</definedName>
    <definedName name="B5Length" localSheetId="1">#REF!</definedName>
    <definedName name="B5Length" localSheetId="3">#REF!</definedName>
    <definedName name="B5Length">#REF!</definedName>
    <definedName name="B8Length" localSheetId="7">#REF!</definedName>
    <definedName name="B8Length" localSheetId="1">#REF!</definedName>
    <definedName name="B8Length" localSheetId="3">#REF!</definedName>
    <definedName name="B8Length">#REF!</definedName>
    <definedName name="BADWE" localSheetId="5" hidden="1">{#N/A,#N/A,FALSE,"mpph1";#N/A,#N/A,FALSE,"mpmseb";#N/A,#N/A,FALSE,"mpph2"}</definedName>
    <definedName name="BADWE" localSheetId="2" hidden="1">{#N/A,#N/A,FALSE,"mpph1";#N/A,#N/A,FALSE,"mpmseb";#N/A,#N/A,FALSE,"mpph2"}</definedName>
    <definedName name="Band" localSheetId="7">#REF!</definedName>
    <definedName name="Band" localSheetId="1">#REF!</definedName>
    <definedName name="Band" localSheetId="3">#REF!</definedName>
    <definedName name="Band">#REF!</definedName>
    <definedName name="Banquet" localSheetId="7">#REF!</definedName>
    <definedName name="Banquet" localSheetId="1">#REF!</definedName>
    <definedName name="Banquet" localSheetId="3">#REF!</definedName>
    <definedName name="Banquet">#REF!</definedName>
    <definedName name="BASD" localSheetId="7">#REF!</definedName>
    <definedName name="BASD" localSheetId="1">#REF!</definedName>
    <definedName name="BASD" localSheetId="3">#REF!</definedName>
    <definedName name="BASD">#REF!</definedName>
    <definedName name="baseYear" localSheetId="7">#REF!</definedName>
    <definedName name="baseYear" localSheetId="1">#REF!</definedName>
    <definedName name="baseYear" localSheetId="3">#REF!</definedName>
    <definedName name="baseYear">#REF!</definedName>
    <definedName name="bat" localSheetId="7">#REF!</definedName>
    <definedName name="bat" localSheetId="1">#REF!</definedName>
    <definedName name="bat" localSheetId="3">#REF!</definedName>
    <definedName name="bat">#REF!</definedName>
    <definedName name="bbb" localSheetId="7">#REF!</definedName>
    <definedName name="bbb" localSheetId="1">#REF!</definedName>
    <definedName name="bbb" localSheetId="3">#REF!</definedName>
    <definedName name="bbb">#REF!</definedName>
    <definedName name="bbbbbbbbb" localSheetId="7">#REF!</definedName>
    <definedName name="bbbbbbbbb" localSheetId="1">#REF!</definedName>
    <definedName name="bbbbbbbbb" localSheetId="3">#REF!</definedName>
    <definedName name="bbbbbbbbb">#REF!</definedName>
    <definedName name="bbbbbbbbbb" localSheetId="7" hidden="1">#REF!</definedName>
    <definedName name="bbbbbbbbbb" localSheetId="1" hidden="1">#REF!</definedName>
    <definedName name="bbbbbbbbbb" localSheetId="3" hidden="1">#REF!</definedName>
    <definedName name="bbbbbbbbbb" hidden="1">#REF!</definedName>
    <definedName name="bboiler" localSheetId="7">#REF!</definedName>
    <definedName name="bboiler" localSheetId="1">#REF!</definedName>
    <definedName name="bboiler" localSheetId="3">#REF!</definedName>
    <definedName name="bboiler">#REF!</definedName>
    <definedName name="bc" localSheetId="5" hidden="1">{#N/A,#N/A,FALSE,"One Pager";#N/A,#N/A,FALSE,"Technical"}</definedName>
    <definedName name="bc" localSheetId="2" hidden="1">{#N/A,#N/A,FALSE,"One Pager";#N/A,#N/A,FALSE,"Technical"}</definedName>
    <definedName name="bct" localSheetId="7">#REF!</definedName>
    <definedName name="bct" localSheetId="1">#REF!</definedName>
    <definedName name="bct" localSheetId="3">#REF!</definedName>
    <definedName name="bct">#REF!</definedName>
    <definedName name="bcvv" localSheetId="7">#REF!</definedName>
    <definedName name="bcvv" localSheetId="1">#REF!</definedName>
    <definedName name="bcvv" localSheetId="3">#REF!</definedName>
    <definedName name="bcvv">#REF!</definedName>
    <definedName name="beam" localSheetId="7">#REF!</definedName>
    <definedName name="beam" localSheetId="1">#REF!</definedName>
    <definedName name="beam" localSheetId="3">#REF!</definedName>
    <definedName name="beam">#REF!</definedName>
    <definedName name="beam1" localSheetId="7">#REF!</definedName>
    <definedName name="beam1" localSheetId="1">#REF!</definedName>
    <definedName name="beam1" localSheetId="3">#REF!</definedName>
    <definedName name="beam1">#REF!</definedName>
    <definedName name="beam11" localSheetId="7">#REF!</definedName>
    <definedName name="beam11" localSheetId="1">#REF!</definedName>
    <definedName name="beam11" localSheetId="3">#REF!</definedName>
    <definedName name="beam11">#REF!</definedName>
    <definedName name="beam2" localSheetId="7">#REF!</definedName>
    <definedName name="beam2" localSheetId="1">#REF!</definedName>
    <definedName name="beam2" localSheetId="3">#REF!</definedName>
    <definedName name="beam2">#REF!</definedName>
    <definedName name="BEAM3" localSheetId="7">#REF!</definedName>
    <definedName name="BEAM3" localSheetId="1">#REF!</definedName>
    <definedName name="BEAM3" localSheetId="3">#REF!</definedName>
    <definedName name="BEAM3">#REF!</definedName>
    <definedName name="BEAM5" localSheetId="7">#REF!</definedName>
    <definedName name="BEAM5" localSheetId="1">#REF!</definedName>
    <definedName name="BEAM5" localSheetId="3">#REF!</definedName>
    <definedName name="BEAM5">#REF!</definedName>
    <definedName name="BeamLength" localSheetId="7">#REF!</definedName>
    <definedName name="BeamLength" localSheetId="1">#REF!</definedName>
    <definedName name="BeamLength" localSheetId="3">#REF!</definedName>
    <definedName name="BeamLength">#REF!</definedName>
    <definedName name="BEAMS" localSheetId="7">#REF!</definedName>
    <definedName name="BEAMS" localSheetId="1">#REF!</definedName>
    <definedName name="BEAMS" localSheetId="3">#REF!</definedName>
    <definedName name="BEAMS">#REF!</definedName>
    <definedName name="Beg_Bal" localSheetId="7">#REF!</definedName>
    <definedName name="Beg_Bal" localSheetId="1">#REF!</definedName>
    <definedName name="Beg_Bal" localSheetId="3">#REF!</definedName>
    <definedName name="Beg_Bal">#REF!</definedName>
    <definedName name="bel" localSheetId="7">#REF!</definedName>
    <definedName name="bel" localSheetId="1">#REF!</definedName>
    <definedName name="bel" localSheetId="3">#REF!</definedName>
    <definedName name="bel">#REF!</definedName>
    <definedName name="BEND" localSheetId="7">#REF!</definedName>
    <definedName name="BEND" localSheetId="1">#REF!</definedName>
    <definedName name="BEND" localSheetId="3">#REF!</definedName>
    <definedName name="BEND">#REF!</definedName>
    <definedName name="bends" localSheetId="7">#REF!</definedName>
    <definedName name="bends" localSheetId="1">#REF!</definedName>
    <definedName name="bends" localSheetId="3">#REF!</definedName>
    <definedName name="bends">#REF!</definedName>
    <definedName name="beta" localSheetId="7">#REF!</definedName>
    <definedName name="beta" localSheetId="1">#REF!</definedName>
    <definedName name="beta" localSheetId="3">#REF!</definedName>
    <definedName name="beta">#REF!</definedName>
    <definedName name="BGrP" localSheetId="7">#REF!</definedName>
    <definedName name="BGrP" localSheetId="1">#REF!</definedName>
    <definedName name="BGrP" localSheetId="3">#REF!</definedName>
    <definedName name="BGrP">#REF!</definedName>
    <definedName name="bhagwan" localSheetId="7">#REF!</definedName>
    <definedName name="bhagwan" localSheetId="1">#REF!</definedName>
    <definedName name="bhagwan" localSheetId="3">#REF!</definedName>
    <definedName name="bhagwan">#REF!</definedName>
    <definedName name="bhg" localSheetId="7">#REF!</definedName>
    <definedName name="bhg" localSheetId="1">#REF!</definedName>
    <definedName name="bhg" localSheetId="3">#REF!</definedName>
    <definedName name="bhg">#REF!</definedName>
    <definedName name="bhjbh" localSheetId="7">#REF!</definedName>
    <definedName name="bhjbh" localSheetId="1">#REF!</definedName>
    <definedName name="bhjbh" localSheetId="3">#REF!</definedName>
    <definedName name="bhjbh">#REF!</definedName>
    <definedName name="bijalpur2"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ts65" localSheetId="7">#REF!</definedName>
    <definedName name="Bits65" localSheetId="1">#REF!</definedName>
    <definedName name="Bits65" localSheetId="3">#REF!</definedName>
    <definedName name="Bits65">#REF!</definedName>
    <definedName name="bjlc" localSheetId="7">#REF!</definedName>
    <definedName name="bjlc" localSheetId="1">#REF!</definedName>
    <definedName name="bjlc" localSheetId="3">#REF!</definedName>
    <definedName name="bjlc">#REF!</definedName>
    <definedName name="bl" localSheetId="7">#REF!</definedName>
    <definedName name="bl" localSheetId="1">#REF!</definedName>
    <definedName name="bl" localSheetId="3">#REF!</definedName>
    <definedName name="bl">#REF!</definedName>
    <definedName name="block" localSheetId="7">#REF!</definedName>
    <definedName name="block" localSheetId="1">#REF!</definedName>
    <definedName name="block" localSheetId="3">#REF!</definedName>
    <definedName name="block">#REF!</definedName>
    <definedName name="Block02" localSheetId="7">#REF!</definedName>
    <definedName name="Block02" localSheetId="1">#REF!</definedName>
    <definedName name="Block02" localSheetId="3">#REF!</definedName>
    <definedName name="Block02">#REF!</definedName>
    <definedName name="Block03" localSheetId="7">#REF!</definedName>
    <definedName name="Block03" localSheetId="1">#REF!</definedName>
    <definedName name="Block03" localSheetId="3">#REF!</definedName>
    <definedName name="Block03">#REF!</definedName>
    <definedName name="Block04" localSheetId="7">#REF!</definedName>
    <definedName name="Block04" localSheetId="1">#REF!</definedName>
    <definedName name="Block04" localSheetId="3">#REF!</definedName>
    <definedName name="Block04">#REF!</definedName>
    <definedName name="Block05" localSheetId="7">#REF!</definedName>
    <definedName name="Block05" localSheetId="1">#REF!</definedName>
    <definedName name="Block05" localSheetId="3">#REF!</definedName>
    <definedName name="Block05">#REF!</definedName>
    <definedName name="Block06" localSheetId="7">#REF!</definedName>
    <definedName name="Block06" localSheetId="1">#REF!</definedName>
    <definedName name="Block06" localSheetId="3">#REF!</definedName>
    <definedName name="Block06">#REF!</definedName>
    <definedName name="Block07" localSheetId="7">#REF!</definedName>
    <definedName name="Block07" localSheetId="1">#REF!</definedName>
    <definedName name="Block07" localSheetId="3">#REF!</definedName>
    <definedName name="Block07">#REF!</definedName>
    <definedName name="block1" localSheetId="7">#REF!</definedName>
    <definedName name="block1" localSheetId="1">#REF!</definedName>
    <definedName name="block1" localSheetId="3">#REF!</definedName>
    <definedName name="block1">#REF!</definedName>
    <definedName name="block100" localSheetId="7">#REF!</definedName>
    <definedName name="block100" localSheetId="1">#REF!</definedName>
    <definedName name="block100" localSheetId="3">#REF!</definedName>
    <definedName name="block100">#REF!</definedName>
    <definedName name="BLOCK2" localSheetId="7">#REF!</definedName>
    <definedName name="BLOCK2" localSheetId="1">#REF!</definedName>
    <definedName name="BLOCK2" localSheetId="3">#REF!</definedName>
    <definedName name="BLOCK2">#REF!</definedName>
    <definedName name="BLOCK3" localSheetId="7">#REF!</definedName>
    <definedName name="BLOCK3" localSheetId="1">#REF!</definedName>
    <definedName name="BLOCK3" localSheetId="3">#REF!</definedName>
    <definedName name="BLOCK3">#REF!</definedName>
    <definedName name="BLOCK4" localSheetId="7">#REF!</definedName>
    <definedName name="BLOCK4" localSheetId="1">#REF!</definedName>
    <definedName name="BLOCK4" localSheetId="3">#REF!</definedName>
    <definedName name="BLOCK4">#REF!</definedName>
    <definedName name="blv_100" localSheetId="7">#REF!</definedName>
    <definedName name="blv_100" localSheetId="1">#REF!</definedName>
    <definedName name="blv_100" localSheetId="3">#REF!</definedName>
    <definedName name="blv_100">#REF!</definedName>
    <definedName name="blv_150" localSheetId="7">#REF!</definedName>
    <definedName name="blv_150" localSheetId="1">#REF!</definedName>
    <definedName name="blv_150" localSheetId="3">#REF!</definedName>
    <definedName name="blv_150">#REF!</definedName>
    <definedName name="blv_200" localSheetId="7">#REF!</definedName>
    <definedName name="blv_200" localSheetId="1">#REF!</definedName>
    <definedName name="blv_200" localSheetId="3">#REF!</definedName>
    <definedName name="blv_200">#REF!</definedName>
    <definedName name="blv_25" localSheetId="7">#REF!</definedName>
    <definedName name="blv_25" localSheetId="1">#REF!</definedName>
    <definedName name="blv_25" localSheetId="3">#REF!</definedName>
    <definedName name="blv_25">#REF!</definedName>
    <definedName name="blv_250" localSheetId="7">#REF!</definedName>
    <definedName name="blv_250" localSheetId="1">#REF!</definedName>
    <definedName name="blv_250" localSheetId="3">#REF!</definedName>
    <definedName name="blv_250">#REF!</definedName>
    <definedName name="blv_300" localSheetId="7">#REF!</definedName>
    <definedName name="blv_300" localSheetId="1">#REF!</definedName>
    <definedName name="blv_300" localSheetId="3">#REF!</definedName>
    <definedName name="blv_300">#REF!</definedName>
    <definedName name="blv_32" localSheetId="7">#REF!</definedName>
    <definedName name="blv_32" localSheetId="1">#REF!</definedName>
    <definedName name="blv_32" localSheetId="3">#REF!</definedName>
    <definedName name="blv_32">#REF!</definedName>
    <definedName name="blv_40" localSheetId="7">#REF!</definedName>
    <definedName name="blv_40" localSheetId="1">#REF!</definedName>
    <definedName name="blv_40" localSheetId="3">#REF!</definedName>
    <definedName name="blv_40">#REF!</definedName>
    <definedName name="blv_400" localSheetId="7">#REF!</definedName>
    <definedName name="blv_400" localSheetId="1">#REF!</definedName>
    <definedName name="blv_400" localSheetId="3">#REF!</definedName>
    <definedName name="blv_400">#REF!</definedName>
    <definedName name="blv_50" localSheetId="7">#REF!</definedName>
    <definedName name="blv_50" localSheetId="1">#REF!</definedName>
    <definedName name="blv_50" localSheetId="3">#REF!</definedName>
    <definedName name="blv_50">#REF!</definedName>
    <definedName name="blv_500" localSheetId="7">#REF!</definedName>
    <definedName name="blv_500" localSheetId="1">#REF!</definedName>
    <definedName name="blv_500" localSheetId="3">#REF!</definedName>
    <definedName name="blv_500">#REF!</definedName>
    <definedName name="blv_65" localSheetId="7">#REF!</definedName>
    <definedName name="blv_65" localSheetId="1">#REF!</definedName>
    <definedName name="blv_65" localSheetId="3">#REF!</definedName>
    <definedName name="blv_65">#REF!</definedName>
    <definedName name="blv_80" localSheetId="7">#REF!</definedName>
    <definedName name="blv_80" localSheetId="1">#REF!</definedName>
    <definedName name="blv_80" localSheetId="3">#REF!</definedName>
    <definedName name="blv_80">#REF!</definedName>
    <definedName name="BM" localSheetId="7">#REF!</definedName>
    <definedName name="BM" localSheetId="1">#REF!</definedName>
    <definedName name="BM" localSheetId="3">#REF!</definedName>
    <definedName name="BM">#REF!</definedName>
    <definedName name="bn" localSheetId="7">#REF!</definedName>
    <definedName name="bn" localSheetId="1">#REF!</definedName>
    <definedName name="bn" localSheetId="3">#REF!</definedName>
    <definedName name="bn">#REF!</definedName>
    <definedName name="Bock1" localSheetId="7">#REF!</definedName>
    <definedName name="Bock1" localSheetId="1">#REF!</definedName>
    <definedName name="Bock1" localSheetId="3">#REF!</definedName>
    <definedName name="Bock1">#REF!</definedName>
    <definedName name="BoilEfficy" localSheetId="7">#REF!</definedName>
    <definedName name="BoilEfficy" localSheetId="1">#REF!</definedName>
    <definedName name="BoilEfficy" localSheetId="3">#REF!</definedName>
    <definedName name="BoilEfficy">#REF!</definedName>
    <definedName name="BoilEfficy_I" localSheetId="7">#REF!</definedName>
    <definedName name="BoilEfficy_I" localSheetId="1">#REF!</definedName>
    <definedName name="BoilEfficy_I" localSheetId="3">#REF!</definedName>
    <definedName name="BoilEfficy_I">#REF!</definedName>
    <definedName name="BOISAR_BAYWISE" localSheetId="7">#REF!</definedName>
    <definedName name="BOISAR_BAYWISE" localSheetId="1">#REF!</definedName>
    <definedName name="BOISAR_BAYWISE" localSheetId="3">#REF!</definedName>
    <definedName name="BOISAR_BAYWISE">#REF!</definedName>
    <definedName name="bol" localSheetId="7">#REF!</definedName>
    <definedName name="bol" localSheetId="1">#REF!</definedName>
    <definedName name="bol" localSheetId="3">#REF!</definedName>
    <definedName name="bol">#REF!</definedName>
    <definedName name="boml" localSheetId="7">#REF!</definedName>
    <definedName name="boml" localSheetId="1">#REF!</definedName>
    <definedName name="boml" localSheetId="3">#REF!</definedName>
    <definedName name="boml">#REF!</definedName>
    <definedName name="boml1" localSheetId="7">#REF!</definedName>
    <definedName name="boml1" localSheetId="1">#REF!</definedName>
    <definedName name="boml1" localSheetId="3">#REF!</definedName>
    <definedName name="boml1">#REF!</definedName>
    <definedName name="BOQ" localSheetId="7">#REF!</definedName>
    <definedName name="BOQ" localSheetId="1">#REF!</definedName>
    <definedName name="BOQ" localSheetId="3">#REF!</definedName>
    <definedName name="BOQ">#REF!</definedName>
    <definedName name="BOTA" localSheetId="7">#REF!</definedName>
    <definedName name="BOTA" localSheetId="1">#REF!</definedName>
    <definedName name="BOTA" localSheetId="3">#REF!</definedName>
    <definedName name="BOTA">#REF!</definedName>
    <definedName name="botl" localSheetId="7">#REF!</definedName>
    <definedName name="botl" localSheetId="1">#REF!</definedName>
    <definedName name="botl" localSheetId="3">#REF!</definedName>
    <definedName name="botl">#REF!</definedName>
    <definedName name="botl1" localSheetId="7">#REF!</definedName>
    <definedName name="botl1" localSheetId="1">#REF!</definedName>
    <definedName name="botl1" localSheetId="3">#REF!</definedName>
    <definedName name="botl1">#REF!</definedName>
    <definedName name="botn" localSheetId="7">#REF!</definedName>
    <definedName name="botn" localSheetId="1">#REF!</definedName>
    <definedName name="botn" localSheetId="3">#REF!</definedName>
    <definedName name="botn">#REF!</definedName>
    <definedName name="bp" localSheetId="7">#REF!</definedName>
    <definedName name="bp" localSheetId="1">#REF!</definedName>
    <definedName name="bp" localSheetId="3">#REF!</definedName>
    <definedName name="bp">#REF!</definedName>
    <definedName name="breadth" localSheetId="7">#REF!</definedName>
    <definedName name="breadth" localSheetId="1">#REF!</definedName>
    <definedName name="breadth" localSheetId="3">#REF!</definedName>
    <definedName name="breadth">#REF!</definedName>
    <definedName name="Breaks" localSheetId="7">#REF!</definedName>
    <definedName name="Breaks" localSheetId="1">#REF!</definedName>
    <definedName name="Breaks" localSheetId="3">#REF!</definedName>
    <definedName name="Breaks">#REF!</definedName>
    <definedName name="BRICK2F" localSheetId="7">#REF!</definedName>
    <definedName name="BRICK2F" localSheetId="1">#REF!</definedName>
    <definedName name="BRICK2F" localSheetId="3">#REF!</definedName>
    <definedName name="BRICK2F">#REF!</definedName>
    <definedName name="BRICK3F" localSheetId="7">#REF!</definedName>
    <definedName name="BRICK3F" localSheetId="1">#REF!</definedName>
    <definedName name="BRICK3F" localSheetId="3">#REF!</definedName>
    <definedName name="BRICK3F">#REF!</definedName>
    <definedName name="BRICK4F" localSheetId="7">#REF!</definedName>
    <definedName name="BRICK4F" localSheetId="1">#REF!</definedName>
    <definedName name="BRICK4F" localSheetId="3">#REF!</definedName>
    <definedName name="BRICK4F">#REF!</definedName>
    <definedName name="BRICKFF" localSheetId="7">#REF!</definedName>
    <definedName name="BRICKFF" localSheetId="1">#REF!</definedName>
    <definedName name="BRICKFF" localSheetId="3">#REF!</definedName>
    <definedName name="BRICKFF">#REF!</definedName>
    <definedName name="BRICKGF" localSheetId="7">#REF!</definedName>
    <definedName name="BRICKGF" localSheetId="1">#REF!</definedName>
    <definedName name="BRICKGF" localSheetId="3">#REF!</definedName>
    <definedName name="BRICKGF">#REF!</definedName>
    <definedName name="bs" localSheetId="7">#REF!</definedName>
    <definedName name="bs" localSheetId="1">#REF!</definedName>
    <definedName name="bs" localSheetId="3">#REF!</definedName>
    <definedName name="bs">#REF!</definedName>
    <definedName name="bsec1" localSheetId="7">#REF!</definedName>
    <definedName name="bsec1" localSheetId="1">#REF!</definedName>
    <definedName name="bsec1" localSheetId="3">#REF!</definedName>
    <definedName name="bsec1">#REF!</definedName>
    <definedName name="BSEC11" localSheetId="7">#REF!</definedName>
    <definedName name="BSEC11" localSheetId="1">#REF!</definedName>
    <definedName name="BSEC11" localSheetId="3">#REF!</definedName>
    <definedName name="BSEC11">#REF!</definedName>
    <definedName name="BSEC12" localSheetId="7">#REF!</definedName>
    <definedName name="BSEC12" localSheetId="1">#REF!</definedName>
    <definedName name="BSEC12" localSheetId="3">#REF!</definedName>
    <definedName name="BSEC12">#REF!</definedName>
    <definedName name="bsec2" localSheetId="7">#REF!</definedName>
    <definedName name="bsec2" localSheetId="1">#REF!</definedName>
    <definedName name="bsec2" localSheetId="3">#REF!</definedName>
    <definedName name="bsec2">#REF!</definedName>
    <definedName name="bsec22" localSheetId="7">#REF!</definedName>
    <definedName name="bsec22" localSheetId="1">#REF!</definedName>
    <definedName name="bsec22" localSheetId="3">#REF!</definedName>
    <definedName name="bsec22">#REF!</definedName>
    <definedName name="bsec3" localSheetId="7">#REF!</definedName>
    <definedName name="bsec3" localSheetId="1">#REF!</definedName>
    <definedName name="bsec3" localSheetId="3">#REF!</definedName>
    <definedName name="bsec3">#REF!</definedName>
    <definedName name="BSEC31" localSheetId="7">#REF!</definedName>
    <definedName name="BSEC31" localSheetId="1">#REF!</definedName>
    <definedName name="BSEC31" localSheetId="3">#REF!</definedName>
    <definedName name="BSEC31">#REF!</definedName>
    <definedName name="bsec33" localSheetId="7">#REF!</definedName>
    <definedName name="bsec33" localSheetId="1">#REF!</definedName>
    <definedName name="bsec33" localSheetId="3">#REF!</definedName>
    <definedName name="bsec33">#REF!</definedName>
    <definedName name="bsec35" localSheetId="7">#REF!</definedName>
    <definedName name="bsec35" localSheetId="1">#REF!</definedName>
    <definedName name="bsec35" localSheetId="3">#REF!</definedName>
    <definedName name="bsec35">#REF!</definedName>
    <definedName name="bsec4" localSheetId="7">#REF!</definedName>
    <definedName name="bsec4" localSheetId="1">#REF!</definedName>
    <definedName name="bsec4" localSheetId="3">#REF!</definedName>
    <definedName name="bsec4">#REF!</definedName>
    <definedName name="bsec44" localSheetId="7">#REF!</definedName>
    <definedName name="bsec44" localSheetId="1">#REF!</definedName>
    <definedName name="bsec44" localSheetId="3">#REF!</definedName>
    <definedName name="bsec44">#REF!</definedName>
    <definedName name="bsec45" localSheetId="7">#REF!</definedName>
    <definedName name="bsec45" localSheetId="1">#REF!</definedName>
    <definedName name="bsec45" localSheetId="3">#REF!</definedName>
    <definedName name="bsec45">#REF!</definedName>
    <definedName name="bsec5" localSheetId="7">#REF!</definedName>
    <definedName name="bsec5" localSheetId="1">#REF!</definedName>
    <definedName name="bsec5" localSheetId="3">#REF!</definedName>
    <definedName name="bsec5">#REF!</definedName>
    <definedName name="BSEC56" localSheetId="7">#REF!</definedName>
    <definedName name="BSEC56" localSheetId="1">#REF!</definedName>
    <definedName name="BSEC56" localSheetId="3">#REF!</definedName>
    <definedName name="BSEC56">#REF!</definedName>
    <definedName name="bsec6" localSheetId="7">#REF!</definedName>
    <definedName name="bsec6" localSheetId="1">#REF!</definedName>
    <definedName name="bsec6" localSheetId="3">#REF!</definedName>
    <definedName name="bsec6">#REF!</definedName>
    <definedName name="bsec66" localSheetId="7">#REF!</definedName>
    <definedName name="bsec66" localSheetId="1">#REF!</definedName>
    <definedName name="bsec66" localSheetId="3">#REF!</definedName>
    <definedName name="bsec66">#REF!</definedName>
    <definedName name="BSEC67" localSheetId="7">#REF!</definedName>
    <definedName name="BSEC67" localSheetId="1">#REF!</definedName>
    <definedName name="BSEC67" localSheetId="3">#REF!</definedName>
    <definedName name="BSEC67">#REF!</definedName>
    <definedName name="BSEC7" localSheetId="7">#REF!</definedName>
    <definedName name="BSEC7" localSheetId="1">#REF!</definedName>
    <definedName name="BSEC7" localSheetId="3">#REF!</definedName>
    <definedName name="BSEC7">#REF!</definedName>
    <definedName name="bsr" localSheetId="7">#REF!</definedName>
    <definedName name="bsr" localSheetId="1">#REF!</definedName>
    <definedName name="bsr" localSheetId="3">#REF!</definedName>
    <definedName name="bsr">#REF!</definedName>
    <definedName name="bua" localSheetId="7">#REF!</definedName>
    <definedName name="bua" localSheetId="1">#REF!</definedName>
    <definedName name="bua" localSheetId="3">#REF!</definedName>
    <definedName name="bua">#REF!</definedName>
    <definedName name="bud_autho.org" localSheetId="7">#REF!</definedName>
    <definedName name="bud_autho.org" localSheetId="1">#REF!</definedName>
    <definedName name="bud_autho.org" localSheetId="3">#REF!</definedName>
    <definedName name="bud_autho.org">#REF!</definedName>
    <definedName name="bud_autho.trf" localSheetId="7">#REF!</definedName>
    <definedName name="bud_autho.trf" localSheetId="1">#REF!</definedName>
    <definedName name="bud_autho.trf" localSheetId="3">#REF!</definedName>
    <definedName name="bud_autho.trf">#REF!</definedName>
    <definedName name="bud_ccu.org" localSheetId="7">#REF!</definedName>
    <definedName name="bud_ccu.org" localSheetId="1">#REF!</definedName>
    <definedName name="bud_ccu.org" localSheetId="3">#REF!</definedName>
    <definedName name="bud_ccu.org">#REF!</definedName>
    <definedName name="bud_ccu.trf" localSheetId="7">#REF!</definedName>
    <definedName name="bud_ccu.trf" localSheetId="1">#REF!</definedName>
    <definedName name="bud_ccu.trf" localSheetId="3">#REF!</definedName>
    <definedName name="bud_ccu.trf">#REF!</definedName>
    <definedName name="bud_com.org" localSheetId="7">#REF!</definedName>
    <definedName name="bud_com.org" localSheetId="1">#REF!</definedName>
    <definedName name="bud_com.org" localSheetId="3">#REF!</definedName>
    <definedName name="bud_com.org">#REF!</definedName>
    <definedName name="bud_com.trf" localSheetId="7">#REF!</definedName>
    <definedName name="bud_com.trf" localSheetId="1">#REF!</definedName>
    <definedName name="bud_com.trf" localSheetId="3">#REF!</definedName>
    <definedName name="bud_com.trf">#REF!</definedName>
    <definedName name="bud_dax.con" localSheetId="7">#REF!</definedName>
    <definedName name="bud_dax.con" localSheetId="1">#REF!</definedName>
    <definedName name="bud_dax.con" localSheetId="3">#REF!</definedName>
    <definedName name="bud_dax.con">#REF!</definedName>
    <definedName name="bud_dax.con.org" localSheetId="7">#REF!</definedName>
    <definedName name="bud_dax.con.org" localSheetId="1">#REF!</definedName>
    <definedName name="bud_dax.con.org" localSheetId="3">#REF!</definedName>
    <definedName name="bud_dax.con.org">#REF!</definedName>
    <definedName name="bud_dax.con.trf" localSheetId="7">#REF!</definedName>
    <definedName name="bud_dax.con.trf" localSheetId="1">#REF!</definedName>
    <definedName name="bud_dax.con.trf" localSheetId="3">#REF!</definedName>
    <definedName name="bud_dax.con.trf">#REF!</definedName>
    <definedName name="bud_dax.org" localSheetId="7">#REF!</definedName>
    <definedName name="bud_dax.org" localSheetId="1">#REF!</definedName>
    <definedName name="bud_dax.org" localSheetId="3">#REF!</definedName>
    <definedName name="bud_dax.org">#REF!</definedName>
    <definedName name="bud_dax.rev" localSheetId="7">#REF!</definedName>
    <definedName name="bud_dax.rev" localSheetId="1">#REF!</definedName>
    <definedName name="bud_dax.rev" localSheetId="3">#REF!</definedName>
    <definedName name="bud_dax.rev">#REF!</definedName>
    <definedName name="bud_dax.trf" localSheetId="7">#REF!</definedName>
    <definedName name="bud_dax.trf" localSheetId="1">#REF!</definedName>
    <definedName name="bud_dax.trf" localSheetId="3">#REF!</definedName>
    <definedName name="bud_dax.trf">#REF!</definedName>
    <definedName name="bud_dem.org" localSheetId="7">#REF!</definedName>
    <definedName name="bud_dem.org" localSheetId="1">#REF!</definedName>
    <definedName name="bud_dem.org" localSheetId="3">#REF!</definedName>
    <definedName name="bud_dem.org">#REF!</definedName>
    <definedName name="bud_dem.trf" localSheetId="7">#REF!</definedName>
    <definedName name="bud_dem.trf" localSheetId="1">#REF!</definedName>
    <definedName name="bud_dem.trf" localSheetId="3">#REF!</definedName>
    <definedName name="bud_dem.trf">#REF!</definedName>
    <definedName name="bud_fee.org" localSheetId="7">#REF!</definedName>
    <definedName name="bud_fee.org" localSheetId="1">#REF!</definedName>
    <definedName name="bud_fee.org" localSheetId="3">#REF!</definedName>
    <definedName name="bud_fee.org">#REF!</definedName>
    <definedName name="bud_fee.trf" localSheetId="7">#REF!</definedName>
    <definedName name="bud_fee.trf" localSheetId="1">#REF!</definedName>
    <definedName name="bud_fee.trf" localSheetId="3">#REF!</definedName>
    <definedName name="bud_fee.trf">#REF!</definedName>
    <definedName name="bud_furn.org" localSheetId="7">#REF!</definedName>
    <definedName name="bud_furn.org" localSheetId="1">#REF!</definedName>
    <definedName name="bud_furn.org" localSheetId="3">#REF!</definedName>
    <definedName name="bud_furn.org">#REF!</definedName>
    <definedName name="bud_furn.trf" localSheetId="7">#REF!</definedName>
    <definedName name="bud_furn.trf" localSheetId="1">#REF!</definedName>
    <definedName name="bud_furn.trf" localSheetId="3">#REF!</definedName>
    <definedName name="bud_furn.trf">#REF!</definedName>
    <definedName name="bud_icu.org" localSheetId="7">#REF!</definedName>
    <definedName name="bud_icu.org" localSheetId="1">#REF!</definedName>
    <definedName name="bud_icu.org" localSheetId="3">#REF!</definedName>
    <definedName name="bud_icu.org">#REF!</definedName>
    <definedName name="bud_icu.trf" localSheetId="7">#REF!</definedName>
    <definedName name="bud_icu.trf" localSheetId="1">#REF!</definedName>
    <definedName name="bud_icu.trf" localSheetId="3">#REF!</definedName>
    <definedName name="bud_icu.trf">#REF!</definedName>
    <definedName name="bud_pcon.org" localSheetId="7">#REF!</definedName>
    <definedName name="bud_pcon.org" localSheetId="1">#REF!</definedName>
    <definedName name="bud_pcon.org" localSheetId="3">#REF!</definedName>
    <definedName name="bud_pcon.org">#REF!</definedName>
    <definedName name="bud_pcon.trf" localSheetId="7">#REF!</definedName>
    <definedName name="bud_pcon.trf" localSheetId="1">#REF!</definedName>
    <definedName name="bud_pcon.trf" localSheetId="3">#REF!</definedName>
    <definedName name="bud_pcon.trf">#REF!</definedName>
    <definedName name="bud_sun.org" localSheetId="7">#REF!</definedName>
    <definedName name="bud_sun.org" localSheetId="1">#REF!</definedName>
    <definedName name="bud_sun.org" localSheetId="3">#REF!</definedName>
    <definedName name="bud_sun.org">#REF!</definedName>
    <definedName name="bud_sun.trf" localSheetId="7">#REF!</definedName>
    <definedName name="bud_sun.trf" localSheetId="1">#REF!</definedName>
    <definedName name="bud_sun.trf" localSheetId="3">#REF!</definedName>
    <definedName name="bud_sun.trf">#REF!</definedName>
    <definedName name="BUDDHA" localSheetId="7">#REF!</definedName>
    <definedName name="BUDDHA" localSheetId="1">#REF!</definedName>
    <definedName name="BUDDHA" localSheetId="3">#REF!</definedName>
    <definedName name="BUDDHA">#REF!</definedName>
    <definedName name="budget" localSheetId="7">#REF!</definedName>
    <definedName name="budget" localSheetId="1">#REF!</definedName>
    <definedName name="budget" localSheetId="3">#REF!</definedName>
    <definedName name="budget">#REF!</definedName>
    <definedName name="building" localSheetId="7">#REF!</definedName>
    <definedName name="building" localSheetId="1">#REF!</definedName>
    <definedName name="building" localSheetId="3">#REF!</definedName>
    <definedName name="building">#REF!</definedName>
    <definedName name="building___0" localSheetId="7">#REF!</definedName>
    <definedName name="building___0" localSheetId="1">#REF!</definedName>
    <definedName name="building___0" localSheetId="3">#REF!</definedName>
    <definedName name="building___0">#REF!</definedName>
    <definedName name="building___11" localSheetId="7">#REF!</definedName>
    <definedName name="building___11" localSheetId="1">#REF!</definedName>
    <definedName name="building___11" localSheetId="3">#REF!</definedName>
    <definedName name="building___11">#REF!</definedName>
    <definedName name="building___12" localSheetId="7">#REF!</definedName>
    <definedName name="building___12" localSheetId="1">#REF!</definedName>
    <definedName name="building___12" localSheetId="3">#REF!</definedName>
    <definedName name="building___12">#REF!</definedName>
    <definedName name="BuiltIn_Print_Area" localSheetId="7">#REF!</definedName>
    <definedName name="BuiltIn_Print_Area" localSheetId="1">#REF!</definedName>
    <definedName name="BuiltIn_Print_Area" localSheetId="3">#REF!</definedName>
    <definedName name="BuiltIn_Print_Area">#REF!</definedName>
    <definedName name="BuiltIn_Print_Area___0" localSheetId="7">#REF!</definedName>
    <definedName name="BuiltIn_Print_Area___0" localSheetId="1">#REF!</definedName>
    <definedName name="BuiltIn_Print_Area___0" localSheetId="3">#REF!</definedName>
    <definedName name="BuiltIn_Print_Area___0">#REF!</definedName>
    <definedName name="BuiltIn_Print_Area___0___0" localSheetId="7">#REF!</definedName>
    <definedName name="BuiltIn_Print_Area___0___0" localSheetId="1">#REF!</definedName>
    <definedName name="BuiltIn_Print_Area___0___0" localSheetId="3">#REF!</definedName>
    <definedName name="BuiltIn_Print_Area___0___0">#REF!</definedName>
    <definedName name="BuiltIn_Print_Area___0___0___0" localSheetId="7">#REF!</definedName>
    <definedName name="BuiltIn_Print_Area___0___0___0" localSheetId="1">#REF!</definedName>
    <definedName name="BuiltIn_Print_Area___0___0___0" localSheetId="3">#REF!</definedName>
    <definedName name="BuiltIn_Print_Area___0___0___0">#REF!</definedName>
    <definedName name="BuiltIn_Print_Area___0___0___0___0" localSheetId="7">#REF!</definedName>
    <definedName name="BuiltIn_Print_Area___0___0___0___0" localSheetId="1">#REF!</definedName>
    <definedName name="BuiltIn_Print_Area___0___0___0___0" localSheetId="3">#REF!</definedName>
    <definedName name="BuiltIn_Print_Area___0___0___0___0">#REF!</definedName>
    <definedName name="BuiltIn_Print_Area___0___0___0___0___0" localSheetId="7">#REF!</definedName>
    <definedName name="BuiltIn_Print_Area___0___0___0___0___0" localSheetId="1">#REF!</definedName>
    <definedName name="BuiltIn_Print_Area___0___0___0___0___0" localSheetId="3">#REF!</definedName>
    <definedName name="BuiltIn_Print_Area___0___0___0___0___0">#REF!</definedName>
    <definedName name="BuiltIn_Print_Area___0___0___0___0___0___0" localSheetId="7">#REF!</definedName>
    <definedName name="BuiltIn_Print_Area___0___0___0___0___0___0" localSheetId="1">#REF!</definedName>
    <definedName name="BuiltIn_Print_Area___0___0___0___0___0___0" localSheetId="3">#REF!</definedName>
    <definedName name="BuiltIn_Print_Area___0___0___0___0___0___0">#REF!</definedName>
    <definedName name="BuiltIn_Print_Area___0___0___0___0___0___0___0" localSheetId="7">#REF!</definedName>
    <definedName name="BuiltIn_Print_Area___0___0___0___0___0___0___0" localSheetId="1">#REF!</definedName>
    <definedName name="BuiltIn_Print_Area___0___0___0___0___0___0___0" localSheetId="3">#REF!</definedName>
    <definedName name="BuiltIn_Print_Area___0___0___0___0___0___0___0">#REF!</definedName>
    <definedName name="BuiltIn_Print_Area___0___0___0___0___0___0___0___0" localSheetId="7">#REF!</definedName>
    <definedName name="BuiltIn_Print_Area___0___0___0___0___0___0___0___0" localSheetId="1">#REF!</definedName>
    <definedName name="BuiltIn_Print_Area___0___0___0___0___0___0___0___0" localSheetId="3">#REF!</definedName>
    <definedName name="BuiltIn_Print_Area___0___0___0___0___0___0___0___0">#REF!</definedName>
    <definedName name="BuiltIn_Print_Area___0___0___0___0___0___0___0___0___0" localSheetId="7">#REF!</definedName>
    <definedName name="BuiltIn_Print_Area___0___0___0___0___0___0___0___0___0" localSheetId="1">#REF!</definedName>
    <definedName name="BuiltIn_Print_Area___0___0___0___0___0___0___0___0___0" localSheetId="3">#REF!</definedName>
    <definedName name="BuiltIn_Print_Area___0___0___0___0___0___0___0___0___0">#REF!</definedName>
    <definedName name="BuiltIn_Print_Area___0___0___0___0___0___0___0___0___0___0" localSheetId="7">#REF!</definedName>
    <definedName name="BuiltIn_Print_Area___0___0___0___0___0___0___0___0___0___0" localSheetId="1">#REF!</definedName>
    <definedName name="BuiltIn_Print_Area___0___0___0___0___0___0___0___0___0___0" localSheetId="3">#REF!</definedName>
    <definedName name="BuiltIn_Print_Area___0___0___0___0___0___0___0___0___0___0">#REF!</definedName>
    <definedName name="BuiltIn_Print_Area___0___0___0___0___0___0___0___0___0___0___0" localSheetId="7">#REF!</definedName>
    <definedName name="BuiltIn_Print_Area___0___0___0___0___0___0___0___0___0___0___0" localSheetId="1">#REF!</definedName>
    <definedName name="BuiltIn_Print_Area___0___0___0___0___0___0___0___0___0___0___0" localSheetId="3">#REF!</definedName>
    <definedName name="BuiltIn_Print_Area___0___0___0___0___0___0___0___0___0___0___0">#REF!</definedName>
    <definedName name="BuiltIn_Print_Area___0___0___0___0___0___0___0___0___0___0___0___0" localSheetId="7">#REF!</definedName>
    <definedName name="BuiltIn_Print_Area___0___0___0___0___0___0___0___0___0___0___0___0" localSheetId="1">#REF!</definedName>
    <definedName name="BuiltIn_Print_Area___0___0___0___0___0___0___0___0___0___0___0___0" localSheetId="3">#REF!</definedName>
    <definedName name="BuiltIn_Print_Area___0___0___0___0___0___0___0___0___0___0___0___0">#REF!</definedName>
    <definedName name="BuiltIn_Print_Area___0___0___0___0___0___0___0___0___0___0___0___0___0" localSheetId="7">#REF!</definedName>
    <definedName name="BuiltIn_Print_Area___0___0___0___0___0___0___0___0___0___0___0___0___0" localSheetId="1">#REF!</definedName>
    <definedName name="BuiltIn_Print_Area___0___0___0___0___0___0___0___0___0___0___0___0___0" localSheetId="3">#REF!</definedName>
    <definedName name="BuiltIn_Print_Area___0___0___0___0___0___0___0___0___0___0___0___0___0">#REF!</definedName>
    <definedName name="BuiltIn_Print_Area___0___0___0___0___0___0___0___0___0___0___0___0___0___0" localSheetId="7">#REF!</definedName>
    <definedName name="BuiltIn_Print_Area___0___0___0___0___0___0___0___0___0___0___0___0___0___0" localSheetId="1">#REF!</definedName>
    <definedName name="BuiltIn_Print_Area___0___0___0___0___0___0___0___0___0___0___0___0___0___0" localSheetId="3">#REF!</definedName>
    <definedName name="BuiltIn_Print_Area___0___0___0___0___0___0___0___0___0___0___0___0___0___0">#REF!</definedName>
    <definedName name="BuiltIn_Print_Titles" localSheetId="7">#REF!</definedName>
    <definedName name="BuiltIn_Print_Titles" localSheetId="1">#REF!</definedName>
    <definedName name="BuiltIn_Print_Titles" localSheetId="3">#REF!</definedName>
    <definedName name="BuiltIn_Print_Titles">#REF!</definedName>
    <definedName name="BuiltIn_Print_Titles___0">#N/A</definedName>
    <definedName name="BuiltIn_Print_Titles___0___0" localSheetId="7">#REF!</definedName>
    <definedName name="BuiltIn_Print_Titles___0___0" localSheetId="1">#REF!</definedName>
    <definedName name="BuiltIn_Print_Titles___0___0" localSheetId="3">#REF!</definedName>
    <definedName name="BuiltIn_Print_Titles___0___0">#REF!</definedName>
    <definedName name="BuiltIn_Print_Titles___0___0___0" localSheetId="7">#REF!</definedName>
    <definedName name="BuiltIn_Print_Titles___0___0___0" localSheetId="1">#REF!</definedName>
    <definedName name="BuiltIn_Print_Titles___0___0___0" localSheetId="3">#REF!</definedName>
    <definedName name="BuiltIn_Print_Titles___0___0___0">#REF!</definedName>
    <definedName name="BuiltIn_Print_Titles___0___0___0___0" localSheetId="7">#REF!</definedName>
    <definedName name="BuiltIn_Print_Titles___0___0___0___0" localSheetId="1">#REF!</definedName>
    <definedName name="BuiltIn_Print_Titles___0___0___0___0" localSheetId="3">#REF!</definedName>
    <definedName name="BuiltIn_Print_Titles___0___0___0___0">#REF!</definedName>
    <definedName name="BuiltIn_Print_Titles___0___0___0___0___0" localSheetId="7">#REF!</definedName>
    <definedName name="BuiltIn_Print_Titles___0___0___0___0___0" localSheetId="1">#REF!</definedName>
    <definedName name="BuiltIn_Print_Titles___0___0___0___0___0" localSheetId="3">#REF!</definedName>
    <definedName name="BuiltIn_Print_Titles___0___0___0___0___0">#REF!</definedName>
    <definedName name="BuiltIn_Print_Titles___0___0___0___0___0___0" localSheetId="7">#REF!</definedName>
    <definedName name="BuiltIn_Print_Titles___0___0___0___0___0___0" localSheetId="1">#REF!</definedName>
    <definedName name="BuiltIn_Print_Titles___0___0___0___0___0___0" localSheetId="3">#REF!</definedName>
    <definedName name="BuiltIn_Print_Titles___0___0___0___0___0___0">#REF!</definedName>
    <definedName name="BuiltIn_Print_Titles___0___0___0___0___0___0___0" localSheetId="7">#REF!</definedName>
    <definedName name="BuiltIn_Print_Titles___0___0___0___0___0___0___0" localSheetId="1">#REF!</definedName>
    <definedName name="BuiltIn_Print_Titles___0___0___0___0___0___0___0" localSheetId="3">#REF!</definedName>
    <definedName name="BuiltIn_Print_Titles___0___0___0___0___0___0___0">#REF!</definedName>
    <definedName name="BuiltIn_Print_Titles___0___0___0___0___0___0___0___0" localSheetId="7">#REF!</definedName>
    <definedName name="BuiltIn_Print_Titles___0___0___0___0___0___0___0___0" localSheetId="1">#REF!</definedName>
    <definedName name="BuiltIn_Print_Titles___0___0___0___0___0___0___0___0" localSheetId="3">#REF!</definedName>
    <definedName name="BuiltIn_Print_Titles___0___0___0___0___0___0___0___0">#REF!</definedName>
    <definedName name="BuiltIn_Print_Titles___0___0___0___0___0___0___0___0___0" localSheetId="7">#REF!</definedName>
    <definedName name="BuiltIn_Print_Titles___0___0___0___0___0___0___0___0___0" localSheetId="1">#REF!</definedName>
    <definedName name="BuiltIn_Print_Titles___0___0___0___0___0___0___0___0___0" localSheetId="3">#REF!</definedName>
    <definedName name="BuiltIn_Print_Titles___0___0___0___0___0___0___0___0___0">#REF!</definedName>
    <definedName name="BuiltIn_Print_Titles___0___0___0___0___0___0___0___0___0___0" localSheetId="7">#REF!</definedName>
    <definedName name="BuiltIn_Print_Titles___0___0___0___0___0___0___0___0___0___0" localSheetId="1">#REF!</definedName>
    <definedName name="BuiltIn_Print_Titles___0___0___0___0___0___0___0___0___0___0" localSheetId="3">#REF!</definedName>
    <definedName name="BuiltIn_Print_Titles___0___0___0___0___0___0___0___0___0___0">#REF!</definedName>
    <definedName name="BuiltIn_Print_Titles___0___0___0___0___0___0___0___0___0___0___0" localSheetId="7">#REF!</definedName>
    <definedName name="BuiltIn_Print_Titles___0___0___0___0___0___0___0___0___0___0___0" localSheetId="1">#REF!</definedName>
    <definedName name="BuiltIn_Print_Titles___0___0___0___0___0___0___0___0___0___0___0" localSheetId="3">#REF!</definedName>
    <definedName name="BuiltIn_Print_Titles___0___0___0___0___0___0___0___0___0___0___0">#REF!</definedName>
    <definedName name="BuiltIn_Print_Titles___0___0___0___0___0___0___0___0___0___0___0___0" localSheetId="7">#REF!</definedName>
    <definedName name="BuiltIn_Print_Titles___0___0___0___0___0___0___0___0___0___0___0___0" localSheetId="1">#REF!</definedName>
    <definedName name="BuiltIn_Print_Titles___0___0___0___0___0___0___0___0___0___0___0___0" localSheetId="3">#REF!</definedName>
    <definedName name="BuiltIn_Print_Titles___0___0___0___0___0___0___0___0___0___0___0___0">#REF!</definedName>
    <definedName name="BuiltIn_Print_Titles___0___0___0___0___0___0___0___0___0___0___0___0___0" localSheetId="7">#REF!</definedName>
    <definedName name="BuiltIn_Print_Titles___0___0___0___0___0___0___0___0___0___0___0___0___0" localSheetId="1">#REF!</definedName>
    <definedName name="BuiltIn_Print_Titles___0___0___0___0___0___0___0___0___0___0___0___0___0" localSheetId="3">#REF!</definedName>
    <definedName name="BuiltIn_Print_Titles___0___0___0___0___0___0___0___0___0___0___0___0___0">#REF!</definedName>
    <definedName name="BuiltIn_Print_Titles___0___0___0___0___0___0___0___0___0___0___0___0___0___0" localSheetId="7">#REF!</definedName>
    <definedName name="BuiltIn_Print_Titles___0___0___0___0___0___0___0___0___0___0___0___0___0___0" localSheetId="1">#REF!</definedName>
    <definedName name="BuiltIn_Print_Titles___0___0___0___0___0___0___0___0___0___0___0___0___0___0" localSheetId="3">#REF!</definedName>
    <definedName name="BuiltIn_Print_Titles___0___0___0___0___0___0___0___0___0___0___0___0___0___0">#REF!</definedName>
    <definedName name="BUS" localSheetId="7">#REF!</definedName>
    <definedName name="BUS" localSheetId="1">#REF!</definedName>
    <definedName name="BUS" localSheetId="3">#REF!</definedName>
    <definedName name="BUS">#REF!</definedName>
    <definedName name="Button_5">"AS_PER_TALLY_31_09_04_ONYX_List"</definedName>
    <definedName name="Button_7">"AS_PER_TALLY_31_09_04_ONYX_List1"</definedName>
    <definedName name="Button_8">"AS_PER_TALLY_31_09_04_ONYX_List1"</definedName>
    <definedName name="bvcvhcv" localSheetId="7">#REF!</definedName>
    <definedName name="bvcvhcv" localSheetId="1">#REF!</definedName>
    <definedName name="bvcvhcv" localSheetId="3">#REF!</definedName>
    <definedName name="bvcvhcv">#REF!</definedName>
    <definedName name="bw" localSheetId="7">#REF!</definedName>
    <definedName name="bw" localSheetId="1">#REF!</definedName>
    <definedName name="bw" localSheetId="3">#REF!</definedName>
    <definedName name="bw">#REF!</definedName>
    <definedName name="Bwire" localSheetId="7">#REF!</definedName>
    <definedName name="Bwire" localSheetId="1">#REF!</definedName>
    <definedName name="Bwire" localSheetId="3">#REF!</definedName>
    <definedName name="Bwire">#REF!</definedName>
    <definedName name="Bx" localSheetId="7">#REF!</definedName>
    <definedName name="Bx" localSheetId="1">#REF!</definedName>
    <definedName name="Bx" localSheetId="3">#REF!</definedName>
    <definedName name="Bx">#REF!</definedName>
    <definedName name="Bx___0" localSheetId="7">#REF!</definedName>
    <definedName name="Bx___0" localSheetId="1">#REF!</definedName>
    <definedName name="Bx___0" localSheetId="3">#REF!</definedName>
    <definedName name="Bx___0">#REF!</definedName>
    <definedName name="Bx___13" localSheetId="7">#REF!</definedName>
    <definedName name="Bx___13" localSheetId="1">#REF!</definedName>
    <definedName name="Bx___13" localSheetId="3">#REF!</definedName>
    <definedName name="Bx___13">#REF!</definedName>
    <definedName name="C.L.WALL" localSheetId="7">#REF!</definedName>
    <definedName name="C.L.WALL" localSheetId="1">#REF!</definedName>
    <definedName name="C.L.WALL" localSheetId="3">#REF!</definedName>
    <definedName name="C.L.WALL">#REF!</definedName>
    <definedName name="C.L.WALL1" localSheetId="7">#REF!</definedName>
    <definedName name="C.L.WALL1" localSheetId="1">#REF!</definedName>
    <definedName name="C.L.WALL1" localSheetId="3">#REF!</definedName>
    <definedName name="C.L.WALL1">#REF!</definedName>
    <definedName name="c.nos" localSheetId="7">#REF!</definedName>
    <definedName name="c.nos" localSheetId="1">#REF!</definedName>
    <definedName name="c.nos" localSheetId="3">#REF!</definedName>
    <definedName name="c.nos">#REF!</definedName>
    <definedName name="C.S.WALL" localSheetId="7">#REF!</definedName>
    <definedName name="C.S.WALL" localSheetId="1">#REF!</definedName>
    <definedName name="C.S.WALL" localSheetId="3">#REF!</definedName>
    <definedName name="C.S.WALL">#REF!</definedName>
    <definedName name="c_" localSheetId="7">#REF!</definedName>
    <definedName name="c_" localSheetId="1">#REF!</definedName>
    <definedName name="c_" localSheetId="3">#REF!</definedName>
    <definedName name="c_">#REF!</definedName>
    <definedName name="ca">188*1.5</definedName>
    <definedName name="ca1boq" localSheetId="7">#REF!</definedName>
    <definedName name="ca1boq" localSheetId="1">#REF!</definedName>
    <definedName name="ca1boq" localSheetId="3">#REF!</definedName>
    <definedName name="ca1boq">#REF!</definedName>
    <definedName name="cabinet" localSheetId="7">#REF!</definedName>
    <definedName name="cabinet" localSheetId="1">#REF!</definedName>
    <definedName name="cabinet" localSheetId="3">#REF!</definedName>
    <definedName name="cabinet">#REF!</definedName>
    <definedName name="CABLE" localSheetId="7">#REF!</definedName>
    <definedName name="CABLE" localSheetId="1">#REF!</definedName>
    <definedName name="CABLE" localSheetId="3">#REF!</definedName>
    <definedName name="CABLE">#REF!</definedName>
    <definedName name="CalFicVal" localSheetId="7">#REF!</definedName>
    <definedName name="CalFicVal" localSheetId="1">#REF!</definedName>
    <definedName name="CalFicVal" localSheetId="3">#REF!</definedName>
    <definedName name="CalFicVal">#REF!</definedName>
    <definedName name="CalFicVal_I" localSheetId="7">#REF!</definedName>
    <definedName name="CalFicVal_I" localSheetId="1">#REF!</definedName>
    <definedName name="CalFicVal_I" localSheetId="3">#REF!</definedName>
    <definedName name="CalFicVal_I">#REF!</definedName>
    <definedName name="Calorfic_Value" localSheetId="7">#REF!</definedName>
    <definedName name="Calorfic_Value" localSheetId="1">#REF!</definedName>
    <definedName name="Calorfic_Value" localSheetId="3">#REF!</definedName>
    <definedName name="Calorfic_Value">#REF!</definedName>
    <definedName name="calpersteel" localSheetId="7">#REF!</definedName>
    <definedName name="calpersteel" localSheetId="1">#REF!</definedName>
    <definedName name="calpersteel" localSheetId="3">#REF!</definedName>
    <definedName name="calpersteel">#REF!</definedName>
    <definedName name="CAPAPR" localSheetId="7">#REF!</definedName>
    <definedName name="CAPAPR" localSheetId="1">#REF!</definedName>
    <definedName name="CAPAPR" localSheetId="3">#REF!</definedName>
    <definedName name="CAPAPR">#REF!</definedName>
    <definedName name="CAPAUG" localSheetId="7">#REF!</definedName>
    <definedName name="CAPAUG" localSheetId="1">#REF!</definedName>
    <definedName name="CAPAUG" localSheetId="3">#REF!</definedName>
    <definedName name="CAPAUG">#REF!</definedName>
    <definedName name="CAPDEC" localSheetId="7">#REF!</definedName>
    <definedName name="CAPDEC" localSheetId="1">#REF!</definedName>
    <definedName name="CAPDEC" localSheetId="3">#REF!</definedName>
    <definedName name="CAPDEC">#REF!</definedName>
    <definedName name="CAPFEB" localSheetId="7">#REF!</definedName>
    <definedName name="CAPFEB" localSheetId="1">#REF!</definedName>
    <definedName name="CAPFEB" localSheetId="3">#REF!</definedName>
    <definedName name="CAPFEB">#REF!</definedName>
    <definedName name="capital" localSheetId="7">#REF!</definedName>
    <definedName name="capital" localSheetId="1">#REF!</definedName>
    <definedName name="capital" localSheetId="3">#REF!</definedName>
    <definedName name="capital">#REF!</definedName>
    <definedName name="CAPJAN" localSheetId="7">#REF!</definedName>
    <definedName name="CAPJAN" localSheetId="1">#REF!</definedName>
    <definedName name="CAPJAN" localSheetId="3">#REF!</definedName>
    <definedName name="CAPJAN">#REF!</definedName>
    <definedName name="CAPJUL" localSheetId="7">#REF!</definedName>
    <definedName name="CAPJUL" localSheetId="1">#REF!</definedName>
    <definedName name="CAPJUL" localSheetId="3">#REF!</definedName>
    <definedName name="CAPJUL">#REF!</definedName>
    <definedName name="CAPJUN" localSheetId="7">#REF!</definedName>
    <definedName name="CAPJUN" localSheetId="1">#REF!</definedName>
    <definedName name="CAPJUN" localSheetId="3">#REF!</definedName>
    <definedName name="CAPJUN">#REF!</definedName>
    <definedName name="CAPMAR" localSheetId="7">#REF!</definedName>
    <definedName name="CAPMAR" localSheetId="1">#REF!</definedName>
    <definedName name="CAPMAR" localSheetId="3">#REF!</definedName>
    <definedName name="CAPMAR">#REF!</definedName>
    <definedName name="CAPMAY" localSheetId="7">#REF!</definedName>
    <definedName name="CAPMAY" localSheetId="1">#REF!</definedName>
    <definedName name="CAPMAY" localSheetId="3">#REF!</definedName>
    <definedName name="CAPMAY">#REF!</definedName>
    <definedName name="CAPNOV" localSheetId="7">#REF!</definedName>
    <definedName name="CAPNOV" localSheetId="1">#REF!</definedName>
    <definedName name="CAPNOV" localSheetId="3">#REF!</definedName>
    <definedName name="CAPNOV">#REF!</definedName>
    <definedName name="CAPOCT" localSheetId="7">#REF!</definedName>
    <definedName name="CAPOCT" localSheetId="1">#REF!</definedName>
    <definedName name="CAPOCT" localSheetId="3">#REF!</definedName>
    <definedName name="CAPOCT">#REF!</definedName>
    <definedName name="CAPSEP" localSheetId="7">#REF!</definedName>
    <definedName name="CAPSEP" localSheetId="1">#REF!</definedName>
    <definedName name="CAPSEP" localSheetId="3">#REF!</definedName>
    <definedName name="CAPSEP">#REF!</definedName>
    <definedName name="CapUtil1" localSheetId="7">#REF!</definedName>
    <definedName name="CapUtil1" localSheetId="1">#REF!</definedName>
    <definedName name="CapUtil1" localSheetId="3">#REF!</definedName>
    <definedName name="CapUtil1">#REF!</definedName>
    <definedName name="CapUtil1_I" localSheetId="7">#REF!</definedName>
    <definedName name="CapUtil1_I" localSheetId="1">#REF!</definedName>
    <definedName name="CapUtil1_I" localSheetId="3">#REF!</definedName>
    <definedName name="CapUtil1_I">#REF!</definedName>
    <definedName name="CapUtil2" localSheetId="7">#REF!</definedName>
    <definedName name="CapUtil2" localSheetId="1">#REF!</definedName>
    <definedName name="CapUtil2" localSheetId="3">#REF!</definedName>
    <definedName name="CapUtil2">#REF!</definedName>
    <definedName name="CapUtil2_I" localSheetId="7">#REF!</definedName>
    <definedName name="CapUtil2_I" localSheetId="1">#REF!</definedName>
    <definedName name="CapUtil2_I" localSheetId="3">#REF!</definedName>
    <definedName name="CapUtil2_I">#REF!</definedName>
    <definedName name="CapUtil3" localSheetId="7">#REF!</definedName>
    <definedName name="CapUtil3" localSheetId="1">#REF!</definedName>
    <definedName name="CapUtil3" localSheetId="3">#REF!</definedName>
    <definedName name="CapUtil3">#REF!</definedName>
    <definedName name="CapUtil3_I" localSheetId="7">#REF!</definedName>
    <definedName name="CapUtil3_I" localSheetId="1">#REF!</definedName>
    <definedName name="CapUtil3_I" localSheetId="3">#REF!</definedName>
    <definedName name="CapUtil3_I">#REF!</definedName>
    <definedName name="carpet" localSheetId="7">#REF!</definedName>
    <definedName name="carpet" localSheetId="1">#REF!</definedName>
    <definedName name="carpet" localSheetId="3">#REF!</definedName>
    <definedName name="carpet">#REF!</definedName>
    <definedName name="carpet___0" localSheetId="7">#REF!</definedName>
    <definedName name="carpet___0" localSheetId="1">#REF!</definedName>
    <definedName name="carpet___0" localSheetId="3">#REF!</definedName>
    <definedName name="carpet___0">#REF!</definedName>
    <definedName name="carpet___11" localSheetId="7">#REF!</definedName>
    <definedName name="carpet___11" localSheetId="1">#REF!</definedName>
    <definedName name="carpet___11" localSheetId="3">#REF!</definedName>
    <definedName name="carpet___11">#REF!</definedName>
    <definedName name="carpet___12" localSheetId="7">#REF!</definedName>
    <definedName name="carpet___12" localSheetId="1">#REF!</definedName>
    <definedName name="carpet___12" localSheetId="3">#REF!</definedName>
    <definedName name="carpet___12">#REF!</definedName>
    <definedName name="CARPET1" localSheetId="7">#REF!</definedName>
    <definedName name="CARPET1" localSheetId="1">#REF!</definedName>
    <definedName name="CARPET1" localSheetId="3">#REF!</definedName>
    <definedName name="CARPET1">#REF!</definedName>
    <definedName name="cash_bank" localSheetId="7">#REF!</definedName>
    <definedName name="cash_bank" localSheetId="1">#REF!</definedName>
    <definedName name="cash_bank" localSheetId="3">#REF!</definedName>
    <definedName name="cash_bank">#REF!</definedName>
    <definedName name="CASH_OUT" localSheetId="7">#REF!</definedName>
    <definedName name="CASH_OUT" localSheetId="1">#REF!</definedName>
    <definedName name="CASH_OUT" localSheetId="3">#REF!</definedName>
    <definedName name="CASH_OUT">#REF!</definedName>
    <definedName name="cashflow_3" localSheetId="7">#REF!</definedName>
    <definedName name="cashflow_3" localSheetId="1">#REF!</definedName>
    <definedName name="cashflow_3" localSheetId="3">#REF!</definedName>
    <definedName name="cashflow_3">#REF!</definedName>
    <definedName name="cashflow1" localSheetId="7">#REF!</definedName>
    <definedName name="cashflow1" localSheetId="1">#REF!</definedName>
    <definedName name="cashflow1" localSheetId="3">#REF!</definedName>
    <definedName name="cashflow1">#REF!</definedName>
    <definedName name="category" localSheetId="7">#REF!</definedName>
    <definedName name="category" localSheetId="1">#REF!</definedName>
    <definedName name="category" localSheetId="3">#REF!</definedName>
    <definedName name="category">#REF!</definedName>
    <definedName name="Category_All" localSheetId="7">#REF!</definedName>
    <definedName name="Category_All" localSheetId="1">#REF!</definedName>
    <definedName name="Category_All" localSheetId="3">#REF!</definedName>
    <definedName name="Category_All">#REF!</definedName>
    <definedName name="CATIN">#N/A</definedName>
    <definedName name="CATJYOU">#N/A</definedName>
    <definedName name="CATREC">#N/A</definedName>
    <definedName name="CATSYU">#N/A</definedName>
    <definedName name="CB" localSheetId="7">#REF!</definedName>
    <definedName name="CB" localSheetId="1">#REF!</definedName>
    <definedName name="CB" localSheetId="3">#REF!</definedName>
    <definedName name="CB">#REF!</definedName>
    <definedName name="CBBC6460">"SOUTHCITY SHOPPING MALL"</definedName>
    <definedName name="CBBK6526">"GODREJ WATERSIDE"</definedName>
    <definedName name="CBBX6465">"MEDICAL COLLEGE AT AGARTALA"</definedName>
    <definedName name="cbgl1" localSheetId="7">#REF!</definedName>
    <definedName name="cbgl1" localSheetId="1">#REF!</definedName>
    <definedName name="cbgl1" localSheetId="3">#REF!</definedName>
    <definedName name="cbgl1">#REF!</definedName>
    <definedName name="cbgl2" localSheetId="7">#REF!</definedName>
    <definedName name="cbgl2" localSheetId="1">#REF!</definedName>
    <definedName name="cbgl2" localSheetId="3">#REF!</definedName>
    <definedName name="cbgl2">#REF!</definedName>
    <definedName name="cbgl3" localSheetId="7">#REF!</definedName>
    <definedName name="cbgl3" localSheetId="1">#REF!</definedName>
    <definedName name="cbgl3" localSheetId="3">#REF!</definedName>
    <definedName name="cbgl3">#REF!</definedName>
    <definedName name="cbgl4" localSheetId="7">#REF!</definedName>
    <definedName name="cbgl4" localSheetId="1">#REF!</definedName>
    <definedName name="cbgl4" localSheetId="3">#REF!</definedName>
    <definedName name="cbgl4">#REF!</definedName>
    <definedName name="CBHG6464">"GAMES VILLAGE AT GUWAHATI"</definedName>
    <definedName name="cc" localSheetId="7">#REF!</definedName>
    <definedName name="cc" localSheetId="1">#REF!</definedName>
    <definedName name="cc" localSheetId="3">#REF!</definedName>
    <definedName name="cc">#REF!</definedName>
    <definedName name="CC5a" localSheetId="7">#REF!</definedName>
    <definedName name="CC5a" localSheetId="1">#REF!</definedName>
    <definedName name="CC5a" localSheetId="3">#REF!</definedName>
    <definedName name="CC5a">#REF!</definedName>
    <definedName name="CC5a1" localSheetId="7">#REF!</definedName>
    <definedName name="CC5a1" localSheetId="1">#REF!</definedName>
    <definedName name="CC5a1" localSheetId="3">#REF!</definedName>
    <definedName name="CC5a1">#REF!</definedName>
    <definedName name="cca" localSheetId="7">#REF!</definedName>
    <definedName name="cca" localSheetId="1">#REF!</definedName>
    <definedName name="cca" localSheetId="3">#REF!</definedName>
    <definedName name="cca">#REF!</definedName>
    <definedName name="CCB" localSheetId="7">#REF!</definedName>
    <definedName name="CCB" localSheetId="1">#REF!</definedName>
    <definedName name="CCB" localSheetId="3">#REF!</definedName>
    <definedName name="CCB">#REF!</definedName>
    <definedName name="CCBG4934">"SOMANI HOUSING"</definedName>
    <definedName name="CCBO4733">"DAV SCHOOL"</definedName>
    <definedName name="CCBX4600">"HOSPITAL COMPLEX-NEIGRIHMS"</definedName>
    <definedName name="ccc" localSheetId="7">#REF!</definedName>
    <definedName name="ccc" localSheetId="1">#REF!</definedName>
    <definedName name="ccc" localSheetId="3">#REF!</definedName>
    <definedName name="ccc">#REF!</definedName>
    <definedName name="cccc" localSheetId="7">#REF!</definedName>
    <definedName name="cccc" localSheetId="1">#REF!</definedName>
    <definedName name="cccc" localSheetId="3">#REF!</definedName>
    <definedName name="cccc">#REF!</definedName>
    <definedName name="ccccc" localSheetId="5" hidden="1">{#N/A,#N/A,FALSE,"mpph1";#N/A,#N/A,FALSE,"mpmseb";#N/A,#N/A,FALSE,"mpph2"}</definedName>
    <definedName name="ccccc" localSheetId="2" hidden="1">{#N/A,#N/A,FALSE,"mpph1";#N/A,#N/A,FALSE,"mpmseb";#N/A,#N/A,FALSE,"mpph2"}</definedName>
    <definedName name="ccolagl" localSheetId="7">#REF!</definedName>
    <definedName name="ccolagl" localSheetId="1">#REF!</definedName>
    <definedName name="ccolagl" localSheetId="3">#REF!</definedName>
    <definedName name="ccolagl">#REF!</definedName>
    <definedName name="cdu" localSheetId="5" hidden="1">{#N/A,#N/A,FALSE,"COVER.XLS";#N/A,#N/A,FALSE,"RACT1.XLS";#N/A,#N/A,FALSE,"RACT2.XLS";#N/A,#N/A,FALSE,"ECCMP";#N/A,#N/A,FALSE,"WELDER.XLS"}</definedName>
    <definedName name="cdu" localSheetId="2" hidden="1">{#N/A,#N/A,FALSE,"COVER.XLS";#N/A,#N/A,FALSE,"RACT1.XLS";#N/A,#N/A,FALSE,"RACT2.XLS";#N/A,#N/A,FALSE,"ECCMP";#N/A,#N/A,FALSE,"WELDER.XLS"}</definedName>
    <definedName name="Ceiling_Fin" localSheetId="7">#REF!</definedName>
    <definedName name="Ceiling_Fin" localSheetId="1">#REF!</definedName>
    <definedName name="Ceiling_Fin" localSheetId="3">#REF!</definedName>
    <definedName name="Ceiling_Fin">#REF!</definedName>
    <definedName name="Ceiling_Finishes" localSheetId="7">#REF!</definedName>
    <definedName name="Ceiling_Finishes" localSheetId="1">#REF!</definedName>
    <definedName name="Ceiling_Finishes" localSheetId="3">#REF!</definedName>
    <definedName name="Ceiling_Finishes">#REF!</definedName>
    <definedName name="Cement">"$#REF!.$B$5"</definedName>
    <definedName name="Cement_124" localSheetId="7">#REF!</definedName>
    <definedName name="Cement_124" localSheetId="1">#REF!</definedName>
    <definedName name="Cement_124" localSheetId="3">#REF!</definedName>
    <definedName name="Cement_124">#REF!</definedName>
    <definedName name="CENTER" localSheetId="7" hidden="1">#REF!</definedName>
    <definedName name="CENTER" localSheetId="1" hidden="1">#REF!</definedName>
    <definedName name="CENTER" localSheetId="3" hidden="1">#REF!</definedName>
    <definedName name="CENTER" hidden="1">#REF!</definedName>
    <definedName name="Central_Services" localSheetId="7">#REF!</definedName>
    <definedName name="Central_Services" localSheetId="1">#REF!</definedName>
    <definedName name="Central_Services" localSheetId="3">#REF!</definedName>
    <definedName name="Central_Services">#REF!</definedName>
    <definedName name="cfa" localSheetId="7">#REF!</definedName>
    <definedName name="cfa" localSheetId="1">#REF!</definedName>
    <definedName name="cfa" localSheetId="3">#REF!</definedName>
    <definedName name="cfa">#REF!</definedName>
    <definedName name="cfb" localSheetId="7">#REF!</definedName>
    <definedName name="cfb" localSheetId="1">#REF!</definedName>
    <definedName name="cfb" localSheetId="3">#REF!</definedName>
    <definedName name="cfb">#REF!</definedName>
    <definedName name="cfbeams" localSheetId="7">#REF!</definedName>
    <definedName name="cfbeams" localSheetId="1">#REF!</definedName>
    <definedName name="cfbeams" localSheetId="3">#REF!</definedName>
    <definedName name="cfbeams">#REF!</definedName>
    <definedName name="cfsalb" localSheetId="7">#REF!</definedName>
    <definedName name="cfsalb" localSheetId="1">#REF!</definedName>
    <definedName name="cfsalb" localSheetId="3">#REF!</definedName>
    <definedName name="cfsalb">#REF!</definedName>
    <definedName name="cfslab" localSheetId="7">#REF!</definedName>
    <definedName name="cfslab" localSheetId="1">#REF!</definedName>
    <definedName name="cfslab" localSheetId="3">#REF!</definedName>
    <definedName name="cfslab">#REF!</definedName>
    <definedName name="ch" localSheetId="7">#REF!</definedName>
    <definedName name="ch" localSheetId="1">#REF!</definedName>
    <definedName name="ch" localSheetId="3">#REF!</definedName>
    <definedName name="ch">#REF!</definedName>
    <definedName name="Cha" localSheetId="5" hidden="1">{#N/A,#N/A,FALSE,"gc (2)"}</definedName>
    <definedName name="Cha" localSheetId="2" hidden="1">{#N/A,#N/A,FALSE,"gc (2)"}</definedName>
    <definedName name="ChartData_Monthly" localSheetId="7">#REF!</definedName>
    <definedName name="ChartData_Monthly" localSheetId="1">#REF!</definedName>
    <definedName name="ChartData_Monthly" localSheetId="3">#REF!</definedName>
    <definedName name="ChartData_Monthly">#REF!</definedName>
    <definedName name="ChartData_Weekly" localSheetId="7">#REF!</definedName>
    <definedName name="ChartData_Weekly" localSheetId="1">#REF!</definedName>
    <definedName name="ChartData_Weekly" localSheetId="3">#REF!</definedName>
    <definedName name="ChartData_Weekly">#REF!</definedName>
    <definedName name="check" localSheetId="7">#REF!</definedName>
    <definedName name="check" localSheetId="1">#REF!</definedName>
    <definedName name="check" localSheetId="3">#REF!</definedName>
    <definedName name="check">#REF!</definedName>
    <definedName name="CHECK12" localSheetId="7">#REF!</definedName>
    <definedName name="CHECK12" localSheetId="1">#REF!</definedName>
    <definedName name="CHECK12" localSheetId="3">#REF!</definedName>
    <definedName name="CHECK12">#REF!</definedName>
    <definedName name="checked" localSheetId="7">#REF!</definedName>
    <definedName name="checked" localSheetId="1">#REF!</definedName>
    <definedName name="checked" localSheetId="3">#REF!</definedName>
    <definedName name="checked">#REF!</definedName>
    <definedName name="City" localSheetId="7">#REF!</definedName>
    <definedName name="City" localSheetId="1">#REF!</definedName>
    <definedName name="City" localSheetId="3">#REF!</definedName>
    <definedName name="City">#REF!</definedName>
    <definedName name="CKECK112" localSheetId="7">#REF!</definedName>
    <definedName name="CKECK112" localSheetId="1">#REF!</definedName>
    <definedName name="CKECK112" localSheetId="3">#REF!</definedName>
    <definedName name="CKECK112">#REF!</definedName>
    <definedName name="CL" localSheetId="7">#REF!</definedName>
    <definedName name="CL" localSheetId="1">#REF!</definedName>
    <definedName name="CL" localSheetId="3">#REF!</definedName>
    <definedName name="CL">#REF!</definedName>
    <definedName name="clbs" localSheetId="7">#REF!</definedName>
    <definedName name="clbs" localSheetId="1">#REF!</definedName>
    <definedName name="clbs" localSheetId="3">#REF!</definedName>
    <definedName name="clbs">#REF!</definedName>
    <definedName name="cld" localSheetId="7">#REF!</definedName>
    <definedName name="cld" localSheetId="1">#REF!</definedName>
    <definedName name="cld" localSheetId="3">#REF!</definedName>
    <definedName name="cld">#REF!</definedName>
    <definedName name="Cleaning" localSheetId="7">#REF!</definedName>
    <definedName name="Cleaning" localSheetId="1">#REF!</definedName>
    <definedName name="Cleaning" localSheetId="3">#REF!</definedName>
    <definedName name="Cleaning">#REF!</definedName>
    <definedName name="ClientAddress1" localSheetId="7">#REF!</definedName>
    <definedName name="ClientAddress1" localSheetId="1">#REF!</definedName>
    <definedName name="ClientAddress1" localSheetId="3">#REF!</definedName>
    <definedName name="ClientAddress1">#REF!</definedName>
    <definedName name="ClientAddress2" localSheetId="7">#REF!</definedName>
    <definedName name="ClientAddress2" localSheetId="1">#REF!</definedName>
    <definedName name="ClientAddress2" localSheetId="3">#REF!</definedName>
    <definedName name="ClientAddress2">#REF!</definedName>
    <definedName name="ClientCity" localSheetId="7">#REF!</definedName>
    <definedName name="ClientCity" localSheetId="1">#REF!</definedName>
    <definedName name="ClientCity" localSheetId="3">#REF!</definedName>
    <definedName name="ClientCity">#REF!</definedName>
    <definedName name="ClientCountry" localSheetId="7">#REF!</definedName>
    <definedName name="ClientCountry" localSheetId="1">#REF!</definedName>
    <definedName name="ClientCountry" localSheetId="3">#REF!</definedName>
    <definedName name="ClientCountry">#REF!</definedName>
    <definedName name="ClientEmail" localSheetId="7">#REF!</definedName>
    <definedName name="ClientEmail" localSheetId="1">#REF!</definedName>
    <definedName name="ClientEmail" localSheetId="3">#REF!</definedName>
    <definedName name="ClientEmail">#REF!</definedName>
    <definedName name="ClientFax" localSheetId="7">#REF!</definedName>
    <definedName name="ClientFax" localSheetId="1">#REF!</definedName>
    <definedName name="ClientFax" localSheetId="3">#REF!</definedName>
    <definedName name="ClientFax">#REF!</definedName>
    <definedName name="ClientPhone" localSheetId="7">#REF!</definedName>
    <definedName name="ClientPhone" localSheetId="1">#REF!</definedName>
    <definedName name="ClientPhone" localSheetId="3">#REF!</definedName>
    <definedName name="ClientPhone">#REF!</definedName>
    <definedName name="ClientState" localSheetId="7">#REF!</definedName>
    <definedName name="ClientState" localSheetId="1">#REF!</definedName>
    <definedName name="ClientState" localSheetId="3">#REF!</definedName>
    <definedName name="ClientState">#REF!</definedName>
    <definedName name="ClientZip" localSheetId="7">#REF!</definedName>
    <definedName name="ClientZip" localSheetId="1">#REF!</definedName>
    <definedName name="ClientZip" localSheetId="3">#REF!</definedName>
    <definedName name="ClientZip">#REF!</definedName>
    <definedName name="clintels" localSheetId="7">#REF!</definedName>
    <definedName name="clintels" localSheetId="1">#REF!</definedName>
    <definedName name="clintels" localSheetId="3">#REF!</definedName>
    <definedName name="clintels">#REF!</definedName>
    <definedName name="cll" localSheetId="7">#REF!</definedName>
    <definedName name="cll" localSheetId="1">#REF!</definedName>
    <definedName name="cll" localSheetId="3">#REF!</definedName>
    <definedName name="cll">#REF!</definedName>
    <definedName name="clobs" localSheetId="7">#REF!</definedName>
    <definedName name="clobs" localSheetId="1">#REF!</definedName>
    <definedName name="clobs" localSheetId="3">#REF!</definedName>
    <definedName name="clobs">#REF!</definedName>
    <definedName name="clod" localSheetId="7">#REF!</definedName>
    <definedName name="clod" localSheetId="1">#REF!</definedName>
    <definedName name="clod" localSheetId="3">#REF!</definedName>
    <definedName name="clod">#REF!</definedName>
    <definedName name="clol" localSheetId="7">#REF!</definedName>
    <definedName name="clol" localSheetId="1">#REF!</definedName>
    <definedName name="clol" localSheetId="3">#REF!</definedName>
    <definedName name="clol">#REF!</definedName>
    <definedName name="clot" localSheetId="7">#REF!</definedName>
    <definedName name="clot" localSheetId="1">#REF!</definedName>
    <definedName name="clot" localSheetId="3">#REF!</definedName>
    <definedName name="clot">#REF!</definedName>
    <definedName name="clt" localSheetId="7">#REF!</definedName>
    <definedName name="clt" localSheetId="1">#REF!</definedName>
    <definedName name="clt" localSheetId="3">#REF!</definedName>
    <definedName name="clt">#REF!</definedName>
    <definedName name="CM_14" localSheetId="7">#REF!</definedName>
    <definedName name="CM_14" localSheetId="1">#REF!</definedName>
    <definedName name="CM_14" localSheetId="3">#REF!</definedName>
    <definedName name="CM_14">#REF!</definedName>
    <definedName name="CoalCost" localSheetId="7">#REF!</definedName>
    <definedName name="CoalCost" localSheetId="1">#REF!</definedName>
    <definedName name="CoalCost" localSheetId="3">#REF!</definedName>
    <definedName name="CoalCost">#REF!</definedName>
    <definedName name="CoalCost_I" localSheetId="7">#REF!</definedName>
    <definedName name="CoalCost_I" localSheetId="1">#REF!</definedName>
    <definedName name="CoalCost_I" localSheetId="3">#REF!</definedName>
    <definedName name="CoalCost_I">#REF!</definedName>
    <definedName name="CoalWasChrgs" localSheetId="7">#REF!</definedName>
    <definedName name="CoalWasChrgs" localSheetId="1">#REF!</definedName>
    <definedName name="CoalWasChrgs" localSheetId="3">#REF!</definedName>
    <definedName name="CoalWasChrgs">#REF!</definedName>
    <definedName name="CoalWasChrgs_I" localSheetId="7">#REF!</definedName>
    <definedName name="CoalWasChrgs_I" localSheetId="1">#REF!</definedName>
    <definedName name="CoalWasChrgs_I" localSheetId="3">#REF!</definedName>
    <definedName name="CoalWasChrgs_I">#REF!</definedName>
    <definedName name="Coarsesand" localSheetId="7">#REF!</definedName>
    <definedName name="Coarsesand" localSheetId="1">#REF!</definedName>
    <definedName name="Coarsesand" localSheetId="3">#REF!</definedName>
    <definedName name="Coarsesand">#REF!</definedName>
    <definedName name="Code" localSheetId="7" hidden="1">#REF!</definedName>
    <definedName name="Code" localSheetId="1" hidden="1">#REF!</definedName>
    <definedName name="Code" localSheetId="3" hidden="1">#REF!</definedName>
    <definedName name="Code" hidden="1">#REF!</definedName>
    <definedName name="CODE0002" localSheetId="7">#REF!</definedName>
    <definedName name="CODE0002" localSheetId="1">#REF!</definedName>
    <definedName name="CODE0002" localSheetId="3">#REF!</definedName>
    <definedName name="CODE0002">#REF!</definedName>
    <definedName name="CODE0012" localSheetId="7">#REF!</definedName>
    <definedName name="CODE0012" localSheetId="1">#REF!</definedName>
    <definedName name="CODE0012" localSheetId="3">#REF!</definedName>
    <definedName name="CODE0012">#REF!</definedName>
    <definedName name="code0101" localSheetId="7">#REF!</definedName>
    <definedName name="code0101" localSheetId="1">#REF!</definedName>
    <definedName name="code0101" localSheetId="3">#REF!</definedName>
    <definedName name="code0101">#REF!</definedName>
    <definedName name="code0102" localSheetId="7">#REF!</definedName>
    <definedName name="code0102" localSheetId="1">#REF!</definedName>
    <definedName name="code0102" localSheetId="3">#REF!</definedName>
    <definedName name="code0102">#REF!</definedName>
    <definedName name="code0114" localSheetId="7">#REF!</definedName>
    <definedName name="code0114" localSheetId="1">#REF!</definedName>
    <definedName name="code0114" localSheetId="3">#REF!</definedName>
    <definedName name="code0114">#REF!</definedName>
    <definedName name="code0115" localSheetId="7">#REF!</definedName>
    <definedName name="code0115" localSheetId="1">#REF!</definedName>
    <definedName name="code0115" localSheetId="3">#REF!</definedName>
    <definedName name="code0115">#REF!</definedName>
    <definedName name="code0123" localSheetId="7">#REF!</definedName>
    <definedName name="code0123" localSheetId="1">#REF!</definedName>
    <definedName name="code0123" localSheetId="3">#REF!</definedName>
    <definedName name="code0123">#REF!</definedName>
    <definedName name="code0124" localSheetId="7">#REF!</definedName>
    <definedName name="code0124" localSheetId="1">#REF!</definedName>
    <definedName name="code0124" localSheetId="3">#REF!</definedName>
    <definedName name="code0124">#REF!</definedName>
    <definedName name="CODE0155" localSheetId="7">#REF!</definedName>
    <definedName name="CODE0155" localSheetId="1">#REF!</definedName>
    <definedName name="CODE0155" localSheetId="3">#REF!</definedName>
    <definedName name="CODE0155">#REF!</definedName>
    <definedName name="CODE0293" localSheetId="7">#REF!</definedName>
    <definedName name="CODE0293" localSheetId="1">#REF!</definedName>
    <definedName name="CODE0293" localSheetId="3">#REF!</definedName>
    <definedName name="CODE0293">#REF!</definedName>
    <definedName name="CODE0295" localSheetId="7">#REF!</definedName>
    <definedName name="CODE0295" localSheetId="1">#REF!</definedName>
    <definedName name="CODE0295" localSheetId="3">#REF!</definedName>
    <definedName name="CODE0295">#REF!</definedName>
    <definedName name="CODE0297" localSheetId="7">#REF!</definedName>
    <definedName name="CODE0297" localSheetId="1">#REF!</definedName>
    <definedName name="CODE0297" localSheetId="3">#REF!</definedName>
    <definedName name="CODE0297">#REF!</definedName>
    <definedName name="CODE0367" localSheetId="7">#REF!</definedName>
    <definedName name="CODE0367" localSheetId="1">#REF!</definedName>
    <definedName name="CODE0367" localSheetId="3">#REF!</definedName>
    <definedName name="CODE0367">#REF!</definedName>
    <definedName name="CODE0982" localSheetId="7">#REF!</definedName>
    <definedName name="CODE0982" localSheetId="1">#REF!</definedName>
    <definedName name="CODE0982" localSheetId="3">#REF!</definedName>
    <definedName name="CODE0982">#REF!</definedName>
    <definedName name="code0983" localSheetId="7">#REF!</definedName>
    <definedName name="code0983" localSheetId="1">#REF!</definedName>
    <definedName name="code0983" localSheetId="3">#REF!</definedName>
    <definedName name="code0983">#REF!</definedName>
    <definedName name="code1005" localSheetId="7">#REF!</definedName>
    <definedName name="code1005" localSheetId="1">#REF!</definedName>
    <definedName name="code1005" localSheetId="3">#REF!</definedName>
    <definedName name="code1005">#REF!</definedName>
    <definedName name="code2107" localSheetId="7">#REF!</definedName>
    <definedName name="code2107" localSheetId="1">#REF!</definedName>
    <definedName name="code2107" localSheetId="3">#REF!</definedName>
    <definedName name="code2107">#REF!</definedName>
    <definedName name="CODE2108" localSheetId="7">#REF!</definedName>
    <definedName name="CODE2108" localSheetId="1">#REF!</definedName>
    <definedName name="CODE2108" localSheetId="3">#REF!</definedName>
    <definedName name="CODE2108">#REF!</definedName>
    <definedName name="code2110" localSheetId="7">#REF!</definedName>
    <definedName name="code2110" localSheetId="1">#REF!</definedName>
    <definedName name="code2110" localSheetId="3">#REF!</definedName>
    <definedName name="code2110">#REF!</definedName>
    <definedName name="code2113" localSheetId="7">#REF!</definedName>
    <definedName name="code2113" localSheetId="1">#REF!</definedName>
    <definedName name="code2113" localSheetId="3">#REF!</definedName>
    <definedName name="code2113">#REF!</definedName>
    <definedName name="code2115" localSheetId="7">#REF!</definedName>
    <definedName name="code2115" localSheetId="1">#REF!</definedName>
    <definedName name="code2115" localSheetId="3">#REF!</definedName>
    <definedName name="code2115">#REF!</definedName>
    <definedName name="code2201" localSheetId="7">#REF!</definedName>
    <definedName name="code2201" localSheetId="1">#REF!</definedName>
    <definedName name="code2201" localSheetId="3">#REF!</definedName>
    <definedName name="code2201">#REF!</definedName>
    <definedName name="code2202" localSheetId="7">#REF!</definedName>
    <definedName name="code2202" localSheetId="1">#REF!</definedName>
    <definedName name="code2202" localSheetId="3">#REF!</definedName>
    <definedName name="code2202">#REF!</definedName>
    <definedName name="code2203" localSheetId="7">#REF!</definedName>
    <definedName name="code2203" localSheetId="1">#REF!</definedName>
    <definedName name="code2203" localSheetId="3">#REF!</definedName>
    <definedName name="code2203">#REF!</definedName>
    <definedName name="code2205" localSheetId="7">#REF!</definedName>
    <definedName name="code2205" localSheetId="1">#REF!</definedName>
    <definedName name="code2205" localSheetId="3">#REF!</definedName>
    <definedName name="code2205">#REF!</definedName>
    <definedName name="code2206" localSheetId="7">#REF!</definedName>
    <definedName name="code2206" localSheetId="1">#REF!</definedName>
    <definedName name="code2206" localSheetId="3">#REF!</definedName>
    <definedName name="code2206">#REF!</definedName>
    <definedName name="code2209" localSheetId="7">#REF!</definedName>
    <definedName name="code2209" localSheetId="1">#REF!</definedName>
    <definedName name="code2209" localSheetId="3">#REF!</definedName>
    <definedName name="code2209">#REF!</definedName>
    <definedName name="code2261" localSheetId="7">#REF!</definedName>
    <definedName name="code2261" localSheetId="1">#REF!</definedName>
    <definedName name="code2261" localSheetId="3">#REF!</definedName>
    <definedName name="code2261">#REF!</definedName>
    <definedName name="code2602" localSheetId="7">#REF!</definedName>
    <definedName name="code2602" localSheetId="1">#REF!</definedName>
    <definedName name="code2602" localSheetId="3">#REF!</definedName>
    <definedName name="code2602">#REF!</definedName>
    <definedName name="code7335" localSheetId="7">#REF!</definedName>
    <definedName name="code7335" localSheetId="1">#REF!</definedName>
    <definedName name="code7335" localSheetId="3">#REF!</definedName>
    <definedName name="code7335">#REF!</definedName>
    <definedName name="code9999" localSheetId="7">#REF!</definedName>
    <definedName name="code9999" localSheetId="1">#REF!</definedName>
    <definedName name="code9999" localSheetId="3">#REF!</definedName>
    <definedName name="code9999">#REF!</definedName>
    <definedName name="coimbatore" localSheetId="7">#REF!</definedName>
    <definedName name="coimbatore" localSheetId="1">#REF!</definedName>
    <definedName name="coimbatore" localSheetId="3">#REF!</definedName>
    <definedName name="coimbatore">#REF!</definedName>
    <definedName name="col" localSheetId="7">#REF!</definedName>
    <definedName name="col" localSheetId="1">#REF!</definedName>
    <definedName name="col" localSheetId="3">#REF!</definedName>
    <definedName name="col">#REF!</definedName>
    <definedName name="col___0" localSheetId="7">#REF!</definedName>
    <definedName name="col___0" localSheetId="1">#REF!</definedName>
    <definedName name="col___0" localSheetId="3">#REF!</definedName>
    <definedName name="col___0">#REF!</definedName>
    <definedName name="col___11" localSheetId="7">#REF!</definedName>
    <definedName name="col___11" localSheetId="1">#REF!</definedName>
    <definedName name="col___11" localSheetId="3">#REF!</definedName>
    <definedName name="col___11">#REF!</definedName>
    <definedName name="col___12" localSheetId="7">#REF!</definedName>
    <definedName name="col___12" localSheetId="1">#REF!</definedName>
    <definedName name="col___12" localSheetId="3">#REF!</definedName>
    <definedName name="col___12">#REF!</definedName>
    <definedName name="Colbgl" localSheetId="7">#REF!</definedName>
    <definedName name="Colbgl" localSheetId="1">#REF!</definedName>
    <definedName name="Colbgl" localSheetId="3">#REF!</definedName>
    <definedName name="Colbgl">#REF!</definedName>
    <definedName name="colbgl2" localSheetId="7">#REF!</definedName>
    <definedName name="colbgl2" localSheetId="1">#REF!</definedName>
    <definedName name="colbgl2" localSheetId="3">#REF!</definedName>
    <definedName name="colbgl2">#REF!</definedName>
    <definedName name="COLSK10" localSheetId="7">#REF!</definedName>
    <definedName name="COLSK10" localSheetId="1">#REF!</definedName>
    <definedName name="COLSK10" localSheetId="3">#REF!</definedName>
    <definedName name="COLSK10">#REF!</definedName>
    <definedName name="COLSK11" localSheetId="7">#REF!</definedName>
    <definedName name="COLSK11" localSheetId="1">#REF!</definedName>
    <definedName name="COLSK11" localSheetId="3">#REF!</definedName>
    <definedName name="COLSK11">#REF!</definedName>
    <definedName name="COLSK16" localSheetId="7">#REF!</definedName>
    <definedName name="COLSK16" localSheetId="1">#REF!</definedName>
    <definedName name="COLSK16" localSheetId="3">#REF!</definedName>
    <definedName name="COLSK16">#REF!</definedName>
    <definedName name="columnLength" localSheetId="7">#REF!</definedName>
    <definedName name="columnLength" localSheetId="1">#REF!</definedName>
    <definedName name="columnLength" localSheetId="3">#REF!</definedName>
    <definedName name="columnLength">#REF!</definedName>
    <definedName name="ColumnReft" localSheetId="7">#REF!</definedName>
    <definedName name="ColumnReft" localSheetId="1">#REF!</definedName>
    <definedName name="ColumnReft" localSheetId="3">#REF!</definedName>
    <definedName name="ColumnReft">#REF!</definedName>
    <definedName name="Columns" localSheetId="7">#REF!</definedName>
    <definedName name="Columns" localSheetId="1">#REF!</definedName>
    <definedName name="Columns" localSheetId="3">#REF!</definedName>
    <definedName name="Columns">#REF!</definedName>
    <definedName name="com" localSheetId="5" hidden="1">{#N/A,#N/A,FALSE,"mpph1";#N/A,#N/A,FALSE,"mpmseb";#N/A,#N/A,FALSE,"mpph2"}</definedName>
    <definedName name="com" localSheetId="2" hidden="1">{#N/A,#N/A,FALSE,"mpph1";#N/A,#N/A,FALSE,"mpmseb";#N/A,#N/A,FALSE,"mpph2"}</definedName>
    <definedName name="commMaxDiv" localSheetId="7">#REF!</definedName>
    <definedName name="commMaxDiv" localSheetId="1">#REF!</definedName>
    <definedName name="commMaxDiv" localSheetId="3">#REF!</definedName>
    <definedName name="commMaxDiv">#REF!</definedName>
    <definedName name="Communications" localSheetId="7">#REF!</definedName>
    <definedName name="Communications" localSheetId="1">#REF!</definedName>
    <definedName name="Communications" localSheetId="3">#REF!</definedName>
    <definedName name="Communications">#REF!</definedName>
    <definedName name="COMP250" localSheetId="7">#REF!</definedName>
    <definedName name="COMP250" localSheetId="1">#REF!</definedName>
    <definedName name="COMP250" localSheetId="3">#REF!</definedName>
    <definedName name="COMP250">#REF!</definedName>
    <definedName name="Company" localSheetId="7">#REF!</definedName>
    <definedName name="Company" localSheetId="1">#REF!</definedName>
    <definedName name="Company" localSheetId="3">#REF!</definedName>
    <definedName name="Company">#REF!</definedName>
    <definedName name="CompanyInfo1">"JCI"</definedName>
    <definedName name="CompanyInfo2">"JCI"</definedName>
    <definedName name="COMPARISON" localSheetId="5" hidden="1">{#N/A,#N/A,FALSE,"mpph1";#N/A,#N/A,FALSE,"mpmseb";#N/A,#N/A,FALSE,"mpph2"}</definedName>
    <definedName name="COMPARISON" localSheetId="2" hidden="1">{#N/A,#N/A,FALSE,"mpph1";#N/A,#N/A,FALSE,"mpmseb";#N/A,#N/A,FALSE,"mpph2"}</definedName>
    <definedName name="cond2" localSheetId="7">#REF!</definedName>
    <definedName name="cond2" localSheetId="1">#REF!</definedName>
    <definedName name="cond2" localSheetId="3">#REF!</definedName>
    <definedName name="cond2">#REF!</definedName>
    <definedName name="confli" localSheetId="7">#REF!</definedName>
    <definedName name="confli" localSheetId="1">#REF!</definedName>
    <definedName name="confli" localSheetId="3">#REF!</definedName>
    <definedName name="confli">#REF!</definedName>
    <definedName name="conm10" localSheetId="7">#REF!</definedName>
    <definedName name="conm10" localSheetId="1">#REF!</definedName>
    <definedName name="conm10" localSheetId="3">#REF!</definedName>
    <definedName name="conm10">#REF!</definedName>
    <definedName name="conm15" localSheetId="7">#REF!</definedName>
    <definedName name="conm15" localSheetId="1">#REF!</definedName>
    <definedName name="conm15" localSheetId="3">#REF!</definedName>
    <definedName name="conm15">#REF!</definedName>
    <definedName name="conm20" localSheetId="7">#REF!</definedName>
    <definedName name="conm20" localSheetId="1">#REF!</definedName>
    <definedName name="conm20" localSheetId="3">#REF!</definedName>
    <definedName name="conm20">#REF!</definedName>
    <definedName name="CONS" localSheetId="7">#REF!</definedName>
    <definedName name="CONS" localSheetId="1">#REF!</definedName>
    <definedName name="CONS" localSheetId="3">#REF!</definedName>
    <definedName name="CONS">#REF!</definedName>
    <definedName name="_xlnm.Consolidate_Area">#N/A</definedName>
    <definedName name="constrn" localSheetId="7">#REF!</definedName>
    <definedName name="constrn" localSheetId="1">#REF!</definedName>
    <definedName name="constrn" localSheetId="3">#REF!</definedName>
    <definedName name="constrn">#REF!</definedName>
    <definedName name="Construction_Period" localSheetId="7">#REF!</definedName>
    <definedName name="Construction_Period" localSheetId="1">#REF!</definedName>
    <definedName name="Construction_Period" localSheetId="3">#REF!</definedName>
    <definedName name="Construction_Period">#REF!</definedName>
    <definedName name="cont" localSheetId="7">#REF!</definedName>
    <definedName name="cont" localSheetId="1">#REF!</definedName>
    <definedName name="cont" localSheetId="3">#REF!</definedName>
    <definedName name="cont">#REF!</definedName>
    <definedName name="Contact" localSheetId="7">#REF!</definedName>
    <definedName name="Contact" localSheetId="1">#REF!</definedName>
    <definedName name="Contact" localSheetId="3">#REF!</definedName>
    <definedName name="Contact">#REF!</definedName>
    <definedName name="ConTariff" localSheetId="7">#REF!</definedName>
    <definedName name="ConTariff" localSheetId="1">#REF!</definedName>
    <definedName name="ConTariff" localSheetId="3">#REF!</definedName>
    <definedName name="ConTariff">#REF!</definedName>
    <definedName name="ConTariff_I" localSheetId="7">#REF!</definedName>
    <definedName name="ConTariff_I" localSheetId="1">#REF!</definedName>
    <definedName name="ConTariff_I" localSheetId="3">#REF!</definedName>
    <definedName name="ConTariff_I">#REF!</definedName>
    <definedName name="content" localSheetId="7">#REF!</definedName>
    <definedName name="content" localSheetId="1">#REF!</definedName>
    <definedName name="content" localSheetId="3">#REF!</definedName>
    <definedName name="content">#REF!</definedName>
    <definedName name="ContractName">"Contract"</definedName>
    <definedName name="ContractNumber">"88888888"</definedName>
    <definedName name="cord" localSheetId="7">#REF!</definedName>
    <definedName name="cord" localSheetId="1">#REF!</definedName>
    <definedName name="cord" localSheetId="3">#REF!</definedName>
    <definedName name="cord">#REF!</definedName>
    <definedName name="Core" localSheetId="7">#REF!</definedName>
    <definedName name="Core" localSheetId="1">#REF!</definedName>
    <definedName name="Core" localSheetId="3">#REF!</definedName>
    <definedName name="Core">#REF!</definedName>
    <definedName name="CorridorArea" localSheetId="7">#REF!</definedName>
    <definedName name="CorridorArea" localSheetId="1">#REF!</definedName>
    <definedName name="CorridorArea" localSheetId="3">#REF!</definedName>
    <definedName name="CorridorArea">#REF!</definedName>
    <definedName name="CorridorPerimeter" localSheetId="7">#REF!</definedName>
    <definedName name="CorridorPerimeter" localSheetId="1">#REF!</definedName>
    <definedName name="CorridorPerimeter" localSheetId="3">#REF!</definedName>
    <definedName name="CorridorPerimeter">#REF!</definedName>
    <definedName name="cosq" localSheetId="7">#REF!</definedName>
    <definedName name="cosq" localSheetId="1">#REF!</definedName>
    <definedName name="cosq" localSheetId="3">#REF!</definedName>
    <definedName name="cosq">#REF!</definedName>
    <definedName name="cost" localSheetId="7">#REF!</definedName>
    <definedName name="cost" localSheetId="1">#REF!</definedName>
    <definedName name="cost" localSheetId="3">#REF!</definedName>
    <definedName name="cost">#REF!</definedName>
    <definedName name="Cost_code" localSheetId="7">#REF!</definedName>
    <definedName name="Cost_code" localSheetId="1">#REF!</definedName>
    <definedName name="Cost_code" localSheetId="3">#REF!</definedName>
    <definedName name="Cost_code">#REF!</definedName>
    <definedName name="Cost_Per_Manday" localSheetId="7">#REF!</definedName>
    <definedName name="Cost_Per_Manday" localSheetId="1">#REF!</definedName>
    <definedName name="Cost_Per_Manday" localSheetId="3">#REF!</definedName>
    <definedName name="Cost_Per_Manday">#REF!</definedName>
    <definedName name="cost_sum" localSheetId="7">#REF!</definedName>
    <definedName name="cost_sum" localSheetId="1">#REF!</definedName>
    <definedName name="cost_sum" localSheetId="3">#REF!</definedName>
    <definedName name="cost_sum">#REF!</definedName>
    <definedName name="Cost10" localSheetId="7">#REF!</definedName>
    <definedName name="Cost10" localSheetId="1">#REF!</definedName>
    <definedName name="Cost10" localSheetId="3">#REF!</definedName>
    <definedName name="Cost10">#REF!</definedName>
    <definedName name="CostCoal" localSheetId="7">#REF!</definedName>
    <definedName name="CostCoal" localSheetId="1">#REF!</definedName>
    <definedName name="CostCoal" localSheetId="3">#REF!</definedName>
    <definedName name="CostCoal">#REF!</definedName>
    <definedName name="CostCoal_I" localSheetId="7">#REF!</definedName>
    <definedName name="CostCoal_I" localSheetId="1">#REF!</definedName>
    <definedName name="CostCoal_I" localSheetId="3">#REF!</definedName>
    <definedName name="CostCoal_I">#REF!</definedName>
    <definedName name="costcod" localSheetId="7">#REF!</definedName>
    <definedName name="costcod" localSheetId="1">#REF!</definedName>
    <definedName name="costcod" localSheetId="3">#REF!</definedName>
    <definedName name="costcod">#REF!</definedName>
    <definedName name="costcode" localSheetId="7">#REF!</definedName>
    <definedName name="costcode" localSheetId="1">#REF!</definedName>
    <definedName name="costcode" localSheetId="3">#REF!</definedName>
    <definedName name="costcode">#REF!</definedName>
    <definedName name="CostRej" localSheetId="7">#REF!</definedName>
    <definedName name="CostRej" localSheetId="1">#REF!</definedName>
    <definedName name="CostRej" localSheetId="3">#REF!</definedName>
    <definedName name="CostRej">#REF!</definedName>
    <definedName name="CostRej_I" localSheetId="7">#REF!</definedName>
    <definedName name="CostRej_I" localSheetId="1">#REF!</definedName>
    <definedName name="CostRej_I" localSheetId="3">#REF!</definedName>
    <definedName name="CostRej_I">#REF!</definedName>
    <definedName name="COU" localSheetId="7">#REF!</definedName>
    <definedName name="COU" localSheetId="1">#REF!</definedName>
    <definedName name="COU" localSheetId="3">#REF!</definedName>
    <definedName name="COU">#REF!</definedName>
    <definedName name="COU___0" localSheetId="7">#REF!</definedName>
    <definedName name="COU___0" localSheetId="1">#REF!</definedName>
    <definedName name="COU___0" localSheetId="3">#REF!</definedName>
    <definedName name="COU___0">#REF!</definedName>
    <definedName name="COU___13" localSheetId="7">#REF!</definedName>
    <definedName name="COU___13" localSheetId="1">#REF!</definedName>
    <definedName name="COU___13" localSheetId="3">#REF!</definedName>
    <definedName name="COU___13">#REF!</definedName>
    <definedName name="Country" localSheetId="7">#REF!</definedName>
    <definedName name="Country" localSheetId="1">#REF!</definedName>
    <definedName name="Country" localSheetId="3">#REF!</definedName>
    <definedName name="Country">#REF!</definedName>
    <definedName name="CP" localSheetId="7">#REF!</definedName>
    <definedName name="CP" localSheetId="1">#REF!</definedName>
    <definedName name="CP" localSheetId="3">#REF!</definedName>
    <definedName name="CP">#REF!</definedName>
    <definedName name="CRB" localSheetId="7">#REF!</definedName>
    <definedName name="CRB" localSheetId="1">#REF!</definedName>
    <definedName name="CRB" localSheetId="3">#REF!</definedName>
    <definedName name="CRB">#REF!</definedName>
    <definedName name="CRBC5556">"MILLENNIUM CENTRE AT AIZAWL"</definedName>
    <definedName name="CRBC6404">"IT PARK FOR HSBC - KOLKATA"</definedName>
    <definedName name="CRBO5640">"WIPRO LTD - SD AND IT CENTRE"</definedName>
    <definedName name="CRBO5977">"VISION COMPTECH"</definedName>
    <definedName name="CRBO5985">"SMIMS- GANGTOK"</definedName>
    <definedName name="CRBS6134">"NGS - GUWAHATI"</definedName>
    <definedName name="CRBS6428">"RAJIV GANDHI INDOOR STADIUM - GMDA, GUWAHATI"</definedName>
    <definedName name="CRBX5955">"PKG-1 FOR NEIGRIHMS, SHILLONG"</definedName>
    <definedName name="Creditors" localSheetId="7">#REF!</definedName>
    <definedName name="Creditors" localSheetId="1">#REF!</definedName>
    <definedName name="Creditors" localSheetId="3">#REF!</definedName>
    <definedName name="Creditors">#REF!</definedName>
    <definedName name="Creditors_I" localSheetId="7">#REF!</definedName>
    <definedName name="Creditors_I" localSheetId="1">#REF!</definedName>
    <definedName name="Creditors_I" localSheetId="3">#REF!</definedName>
    <definedName name="Creditors_I">#REF!</definedName>
    <definedName name="CRIT" localSheetId="5" hidden="1">{#N/A,#N/A,FALSE,"consu_cover";#N/A,#N/A,FALSE,"consu_strategy";#N/A,#N/A,FALSE,"consu_flow";#N/A,#N/A,FALSE,"Summary_reqmt";#N/A,#N/A,FALSE,"field_ppg";#N/A,#N/A,FALSE,"ppg_shop";#N/A,#N/A,FALSE,"strl";#N/A,#N/A,FALSE,"tankages";#N/A,#N/A,FALSE,"gases"}</definedName>
    <definedName name="CRIT" localSheetId="2" hidden="1">{#N/A,#N/A,FALSE,"consu_cover";#N/A,#N/A,FALSE,"consu_strategy";#N/A,#N/A,FALSE,"consu_flow";#N/A,#N/A,FALSE,"Summary_reqmt";#N/A,#N/A,FALSE,"field_ppg";#N/A,#N/A,FALSE,"ppg_shop";#N/A,#N/A,FALSE,"strl";#N/A,#N/A,FALSE,"tankages";#N/A,#N/A,FALSE,"gases"}</definedName>
    <definedName name="CRITICAL" localSheetId="5" hidden="1">{#N/A,#N/A,FALSE,"consu_cover";#N/A,#N/A,FALSE,"consu_strategy";#N/A,#N/A,FALSE,"consu_flow";#N/A,#N/A,FALSE,"Summary_reqmt";#N/A,#N/A,FALSE,"field_ppg";#N/A,#N/A,FALSE,"ppg_shop";#N/A,#N/A,FALSE,"strl";#N/A,#N/A,FALSE,"tankages";#N/A,#N/A,FALSE,"gases"}</definedName>
    <definedName name="CRITICAL" localSheetId="2" hidden="1">{#N/A,#N/A,FALSE,"consu_cover";#N/A,#N/A,FALSE,"consu_strategy";#N/A,#N/A,FALSE,"consu_flow";#N/A,#N/A,FALSE,"Summary_reqmt";#N/A,#N/A,FALSE,"field_ppg";#N/A,#N/A,FALSE,"ppg_shop";#N/A,#N/A,FALSE,"strl";#N/A,#N/A,FALSE,"tankages";#N/A,#N/A,FALSE,"gases"}</definedName>
    <definedName name="CRMB60" localSheetId="7">#REF!</definedName>
    <definedName name="CRMB60" localSheetId="1">#REF!</definedName>
    <definedName name="CRMB60" localSheetId="3">#REF!</definedName>
    <definedName name="CRMB60">#REF!</definedName>
    <definedName name="crore">10000000</definedName>
    <definedName name="cross">"û"</definedName>
    <definedName name="Cs" localSheetId="7">#REF!</definedName>
    <definedName name="Cs" localSheetId="1">#REF!</definedName>
    <definedName name="Cs" localSheetId="3">#REF!</definedName>
    <definedName name="Cs">#REF!</definedName>
    <definedName name="Cs___0" localSheetId="7">#REF!</definedName>
    <definedName name="Cs___0" localSheetId="1">#REF!</definedName>
    <definedName name="Cs___0" localSheetId="3">#REF!</definedName>
    <definedName name="Cs___0">#REF!</definedName>
    <definedName name="Cs___13" localSheetId="7">#REF!</definedName>
    <definedName name="Cs___13" localSheetId="1">#REF!</definedName>
    <definedName name="Cs___13" localSheetId="3">#REF!</definedName>
    <definedName name="Cs___13">#REF!</definedName>
    <definedName name="csl" localSheetId="7">#REF!</definedName>
    <definedName name="csl" localSheetId="1">#REF!</definedName>
    <definedName name="csl" localSheetId="3">#REF!</definedName>
    <definedName name="csl">#REF!</definedName>
    <definedName name="csshade" localSheetId="7">#REF!</definedName>
    <definedName name="csshade" localSheetId="1">#REF!</definedName>
    <definedName name="csshade" localSheetId="3">#REF!</definedName>
    <definedName name="csshade">#REF!</definedName>
    <definedName name="cst" localSheetId="7">#REF!</definedName>
    <definedName name="cst" localSheetId="1">#REF!</definedName>
    <definedName name="cst" localSheetId="3">#REF!</definedName>
    <definedName name="cst">#REF!</definedName>
    <definedName name="CT" localSheetId="7">#REF!</definedName>
    <definedName name="CT" localSheetId="1">#REF!</definedName>
    <definedName name="CT" localSheetId="3">#REF!</definedName>
    <definedName name="CT">#REF!</definedName>
    <definedName name="CTR" localSheetId="7">#REF!</definedName>
    <definedName name="CTR" localSheetId="1">#REF!</definedName>
    <definedName name="CTR" localSheetId="3">#REF!</definedName>
    <definedName name="CTR">#REF!</definedName>
    <definedName name="Ctype" localSheetId="7">#REF!</definedName>
    <definedName name="Ctype" localSheetId="1">#REF!</definedName>
    <definedName name="Ctype" localSheetId="3">#REF!</definedName>
    <definedName name="Ctype">#REF!</definedName>
    <definedName name="cummeas_June1006" localSheetId="7">#REF!</definedName>
    <definedName name="cummeas_June1006" localSheetId="1">#REF!</definedName>
    <definedName name="cummeas_June1006" localSheetId="3">#REF!</definedName>
    <definedName name="cummeas_June1006">#REF!</definedName>
    <definedName name="cummeas_may1006" localSheetId="7">#REF!</definedName>
    <definedName name="cummeas_may1006" localSheetId="1">#REF!</definedName>
    <definedName name="cummeas_may1006" localSheetId="3">#REF!</definedName>
    <definedName name="cummeas_may1006">#REF!</definedName>
    <definedName name="cummeas_up_to_mar" localSheetId="7">#REF!</definedName>
    <definedName name="cummeas_up_to_mar" localSheetId="1">#REF!</definedName>
    <definedName name="cummeas_up_to_mar" localSheetId="3">#REF!</definedName>
    <definedName name="cummeas_up_to_mar">#REF!</definedName>
    <definedName name="curr" localSheetId="7">#REF!</definedName>
    <definedName name="curr" localSheetId="1">#REF!</definedName>
    <definedName name="curr" localSheetId="3">#REF!</definedName>
    <definedName name="curr">#REF!</definedName>
    <definedName name="curr_liab_prov" localSheetId="7">#REF!</definedName>
    <definedName name="curr_liab_prov" localSheetId="1">#REF!</definedName>
    <definedName name="curr_liab_prov" localSheetId="3">#REF!</definedName>
    <definedName name="curr_liab_prov">#REF!</definedName>
    <definedName name="current1" localSheetId="7">#REF!</definedName>
    <definedName name="current1" localSheetId="1">#REF!</definedName>
    <definedName name="current1" localSheetId="3">#REF!</definedName>
    <definedName name="current1">#REF!</definedName>
    <definedName name="current2" localSheetId="7">#REF!</definedName>
    <definedName name="current2" localSheetId="1">#REF!</definedName>
    <definedName name="current2" localSheetId="3">#REF!</definedName>
    <definedName name="current2">#REF!</definedName>
    <definedName name="current3" localSheetId="7">#REF!</definedName>
    <definedName name="current3" localSheetId="1">#REF!</definedName>
    <definedName name="current3" localSheetId="3">#REF!</definedName>
    <definedName name="current3">#REF!</definedName>
    <definedName name="current4" localSheetId="7">#REF!</definedName>
    <definedName name="current4" localSheetId="1">#REF!</definedName>
    <definedName name="current4" localSheetId="3">#REF!</definedName>
    <definedName name="current4">#REF!</definedName>
    <definedName name="current5" localSheetId="7">#REF!</definedName>
    <definedName name="current5" localSheetId="1">#REF!</definedName>
    <definedName name="current5" localSheetId="3">#REF!</definedName>
    <definedName name="current5">#REF!</definedName>
    <definedName name="CURVE" localSheetId="5" hidden="1">{#N/A,#N/A,FALSE,"COVER1.XLS ";#N/A,#N/A,FALSE,"RACT1.XLS";#N/A,#N/A,FALSE,"RACT2.XLS";#N/A,#N/A,FALSE,"ECCMP";#N/A,#N/A,FALSE,"WELDER.XLS"}</definedName>
    <definedName name="CURVE" localSheetId="2" hidden="1">{#N/A,#N/A,FALSE,"COVER1.XLS ";#N/A,#N/A,FALSE,"RACT1.XLS";#N/A,#N/A,FALSE,"RACT2.XLS";#N/A,#N/A,FALSE,"ECCMP";#N/A,#N/A,FALSE,"WELDER.XLS"}</definedName>
    <definedName name="Customer">" "</definedName>
    <definedName name="cutoutArea" localSheetId="7">#REF!</definedName>
    <definedName name="cutoutArea" localSheetId="1">#REF!</definedName>
    <definedName name="cutoutArea" localSheetId="3">#REF!</definedName>
    <definedName name="cutoutArea">#REF!</definedName>
    <definedName name="cutoutPerimeter" localSheetId="7">#REF!</definedName>
    <definedName name="cutoutPerimeter" localSheetId="1">#REF!</definedName>
    <definedName name="cutoutPerimeter" localSheetId="3">#REF!</definedName>
    <definedName name="cutoutPerimeter">#REF!</definedName>
    <definedName name="Cv" localSheetId="7">#REF!</definedName>
    <definedName name="Cv" localSheetId="1">#REF!</definedName>
    <definedName name="Cv" localSheetId="3">#REF!</definedName>
    <definedName name="Cv">#REF!</definedName>
    <definedName name="cv_100" localSheetId="7">#REF!</definedName>
    <definedName name="cv_100" localSheetId="1">#REF!</definedName>
    <definedName name="cv_100" localSheetId="3">#REF!</definedName>
    <definedName name="cv_100">#REF!</definedName>
    <definedName name="cv_150" localSheetId="7">#REF!</definedName>
    <definedName name="cv_150" localSheetId="1">#REF!</definedName>
    <definedName name="cv_150" localSheetId="3">#REF!</definedName>
    <definedName name="cv_150">#REF!</definedName>
    <definedName name="cv_200" localSheetId="7">#REF!</definedName>
    <definedName name="cv_200" localSheetId="1">#REF!</definedName>
    <definedName name="cv_200" localSheetId="3">#REF!</definedName>
    <definedName name="cv_200">#REF!</definedName>
    <definedName name="cv_25" localSheetId="7">#REF!</definedName>
    <definedName name="cv_25" localSheetId="1">#REF!</definedName>
    <definedName name="cv_25" localSheetId="3">#REF!</definedName>
    <definedName name="cv_25">#REF!</definedName>
    <definedName name="cv_250" localSheetId="7">#REF!</definedName>
    <definedName name="cv_250" localSheetId="1">#REF!</definedName>
    <definedName name="cv_250" localSheetId="3">#REF!</definedName>
    <definedName name="cv_250">#REF!</definedName>
    <definedName name="cv_300" localSheetId="7">#REF!</definedName>
    <definedName name="cv_300" localSheetId="1">#REF!</definedName>
    <definedName name="cv_300" localSheetId="3">#REF!</definedName>
    <definedName name="cv_300">#REF!</definedName>
    <definedName name="cv_32" localSheetId="7">#REF!</definedName>
    <definedName name="cv_32" localSheetId="1">#REF!</definedName>
    <definedName name="cv_32" localSheetId="3">#REF!</definedName>
    <definedName name="cv_32">#REF!</definedName>
    <definedName name="cv_40" localSheetId="7">#REF!</definedName>
    <definedName name="cv_40" localSheetId="1">#REF!</definedName>
    <definedName name="cv_40" localSheetId="3">#REF!</definedName>
    <definedName name="cv_40">#REF!</definedName>
    <definedName name="cv_400" localSheetId="7">#REF!</definedName>
    <definedName name="cv_400" localSheetId="1">#REF!</definedName>
    <definedName name="cv_400" localSheetId="3">#REF!</definedName>
    <definedName name="cv_400">#REF!</definedName>
    <definedName name="cv_50" localSheetId="7">#REF!</definedName>
    <definedName name="cv_50" localSheetId="1">#REF!</definedName>
    <definedName name="cv_50" localSheetId="3">#REF!</definedName>
    <definedName name="cv_50">#REF!</definedName>
    <definedName name="cv_500" localSheetId="7">#REF!</definedName>
    <definedName name="cv_500" localSheetId="1">#REF!</definedName>
    <definedName name="cv_500" localSheetId="3">#REF!</definedName>
    <definedName name="cv_500">#REF!</definedName>
    <definedName name="cv_65" localSheetId="7">#REF!</definedName>
    <definedName name="cv_65" localSheetId="1">#REF!</definedName>
    <definedName name="cv_65" localSheetId="3">#REF!</definedName>
    <definedName name="cv_65">#REF!</definedName>
    <definedName name="cv_80" localSheetId="7">#REF!</definedName>
    <definedName name="cv_80" localSheetId="1">#REF!</definedName>
    <definedName name="cv_80" localSheetId="3">#REF!</definedName>
    <definedName name="cv_80">#REF!</definedName>
    <definedName name="CVT" localSheetId="7">#REF!</definedName>
    <definedName name="CVT" localSheetId="1">#REF!</definedName>
    <definedName name="CVT" localSheetId="3">#REF!</definedName>
    <definedName name="CVT">#REF!</definedName>
    <definedName name="cw">20</definedName>
    <definedName name="cx" localSheetId="7">#REF!</definedName>
    <definedName name="cx" localSheetId="1">#REF!</definedName>
    <definedName name="cx" localSheetId="3">#REF!</definedName>
    <definedName name="cx">#REF!</definedName>
    <definedName name="D" localSheetId="7">#REF!</definedName>
    <definedName name="D" localSheetId="1">#REF!</definedName>
    <definedName name="D" localSheetId="3">#REF!</definedName>
    <definedName name="D">#REF!</definedName>
    <definedName name="d.nos" localSheetId="7">#REF!</definedName>
    <definedName name="d.nos" localSheetId="1">#REF!</definedName>
    <definedName name="d.nos" localSheetId="3">#REF!</definedName>
    <definedName name="d.nos">#REF!</definedName>
    <definedName name="D_" localSheetId="7">#REF!</definedName>
    <definedName name="D_" localSheetId="1">#REF!</definedName>
    <definedName name="D_" localSheetId="3">#REF!</definedName>
    <definedName name="D_">#REF!</definedName>
    <definedName name="d___0" localSheetId="7">#REF!</definedName>
    <definedName name="d___0" localSheetId="1">#REF!</definedName>
    <definedName name="d___0" localSheetId="3">#REF!</definedName>
    <definedName name="d___0">#REF!</definedName>
    <definedName name="d___13" localSheetId="7">#REF!</definedName>
    <definedName name="d___13" localSheetId="1">#REF!</definedName>
    <definedName name="d___13" localSheetId="3">#REF!</definedName>
    <definedName name="d___13">#REF!</definedName>
    <definedName name="D_1" localSheetId="7">#REF!</definedName>
    <definedName name="D_1" localSheetId="1">#REF!</definedName>
    <definedName name="D_1" localSheetId="3">#REF!</definedName>
    <definedName name="D_1">#REF!</definedName>
    <definedName name="D_2" localSheetId="7">#REF!</definedName>
    <definedName name="D_2" localSheetId="1">#REF!</definedName>
    <definedName name="D_2" localSheetId="3">#REF!</definedName>
    <definedName name="D_2">#REF!</definedName>
    <definedName name="D_3" localSheetId="7">#REF!</definedName>
    <definedName name="D_3" localSheetId="1">#REF!</definedName>
    <definedName name="D_3" localSheetId="3">#REF!</definedName>
    <definedName name="D_3">#REF!</definedName>
    <definedName name="dad" localSheetId="7">#REF!</definedName>
    <definedName name="dad" localSheetId="1">#REF!</definedName>
    <definedName name="dad" localSheetId="3">#REF!</definedName>
    <definedName name="dad">#REF!</definedName>
    <definedName name="dadadad" localSheetId="7">#REF!</definedName>
    <definedName name="dadadad" localSheetId="1">#REF!</definedName>
    <definedName name="dadadad" localSheetId="3">#REF!</definedName>
    <definedName name="dadadad">#REF!</definedName>
    <definedName name="Daff" localSheetId="7">#REF!</definedName>
    <definedName name="Daff" localSheetId="1">#REF!</definedName>
    <definedName name="Daff" localSheetId="3">#REF!</definedName>
    <definedName name="Daff">#REF!</definedName>
    <definedName name="DAGG" localSheetId="7">#REF!</definedName>
    <definedName name="DAGG" localSheetId="1">#REF!</definedName>
    <definedName name="DAGG" localSheetId="3">#REF!</definedName>
    <definedName name="DAGG">#REF!</definedName>
    <definedName name="DAK" localSheetId="7">#REF!</definedName>
    <definedName name="DAK" localSheetId="1">#REF!</definedName>
    <definedName name="DAK" localSheetId="3">#REF!</definedName>
    <definedName name="DAK">#REF!</definedName>
    <definedName name="DAKS" localSheetId="7">#REF!</definedName>
    <definedName name="DAKS" localSheetId="1">#REF!</definedName>
    <definedName name="DAKS" localSheetId="3">#REF!</definedName>
    <definedName name="DAKS">#REF!</definedName>
    <definedName name="DAKSH" localSheetId="7">#REF!</definedName>
    <definedName name="DAKSH" localSheetId="1">#REF!</definedName>
    <definedName name="DAKSH" localSheetId="3">#REF!</definedName>
    <definedName name="DAKSH">#REF!</definedName>
    <definedName name="dam" localSheetId="7">#REF!</definedName>
    <definedName name="dam" localSheetId="1">#REF!</definedName>
    <definedName name="dam" localSheetId="3">#REF!</definedName>
    <definedName name="dam">#REF!</definedName>
    <definedName name="DASDSQ" localSheetId="7">#REF!</definedName>
    <definedName name="DASDSQ" localSheetId="1">#REF!</definedName>
    <definedName name="DASDSQ" localSheetId="3">#REF!</definedName>
    <definedName name="DASDSQ">#REF!</definedName>
    <definedName name="Data" localSheetId="7">#REF!</definedName>
    <definedName name="Data" localSheetId="1">#REF!</definedName>
    <definedName name="Data" localSheetId="3">#REF!</definedName>
    <definedName name="Data">#REF!</definedName>
    <definedName name="data1" localSheetId="7" hidden="1">#REF!</definedName>
    <definedName name="data1" localSheetId="1" hidden="1">#REF!</definedName>
    <definedName name="data1" localSheetId="3" hidden="1">#REF!</definedName>
    <definedName name="data1" hidden="1">#REF!</definedName>
    <definedName name="DATA134110" localSheetId="2">#REF!</definedName>
    <definedName name="DATA134125" localSheetId="2">#REF!</definedName>
    <definedName name="DATA134160" localSheetId="7">#REF!</definedName>
    <definedName name="DATA134160" localSheetId="1">#REF!</definedName>
    <definedName name="DATA134160" localSheetId="3">#REF!</definedName>
    <definedName name="DATA134160">#REF!</definedName>
    <definedName name="DATA134180" localSheetId="7">#REF!</definedName>
    <definedName name="DATA134180" localSheetId="1">#REF!</definedName>
    <definedName name="DATA134180" localSheetId="3">#REF!</definedName>
    <definedName name="DATA134180">#REF!</definedName>
    <definedName name="DATA134200" localSheetId="7">#REF!</definedName>
    <definedName name="DATA134200" localSheetId="1">#REF!</definedName>
    <definedName name="DATA134200" localSheetId="3">#REF!</definedName>
    <definedName name="DATA134200">#REF!</definedName>
    <definedName name="DATA134225" localSheetId="7">#REF!</definedName>
    <definedName name="DATA134225" localSheetId="1">#REF!</definedName>
    <definedName name="DATA134225" localSheetId="3">#REF!</definedName>
    <definedName name="DATA134225">#REF!</definedName>
    <definedName name="DATA134250" localSheetId="7">#REF!</definedName>
    <definedName name="DATA134250" localSheetId="1">#REF!</definedName>
    <definedName name="DATA134250" localSheetId="3">#REF!</definedName>
    <definedName name="DATA134250">#REF!</definedName>
    <definedName name="DATA134280" localSheetId="7">#REF!</definedName>
    <definedName name="DATA134280" localSheetId="1">#REF!</definedName>
    <definedName name="DATA134280" localSheetId="3">#REF!</definedName>
    <definedName name="DATA134280">#REF!</definedName>
    <definedName name="DATA134315" localSheetId="7">#REF!</definedName>
    <definedName name="DATA134315" localSheetId="1">#REF!</definedName>
    <definedName name="DATA134315" localSheetId="3">#REF!</definedName>
    <definedName name="DATA134315">#REF!</definedName>
    <definedName name="DATA134355" localSheetId="7">#REF!</definedName>
    <definedName name="DATA134355" localSheetId="1">#REF!</definedName>
    <definedName name="DATA134355" localSheetId="3">#REF!</definedName>
    <definedName name="DATA134355">#REF!</definedName>
    <definedName name="DATA134400" localSheetId="7">#REF!</definedName>
    <definedName name="DATA134400" localSheetId="1">#REF!</definedName>
    <definedName name="DATA134400" localSheetId="3">#REF!</definedName>
    <definedName name="DATA134400">#REF!</definedName>
    <definedName name="DATA13450" localSheetId="7">#REF!</definedName>
    <definedName name="DATA13450" localSheetId="1">#REF!</definedName>
    <definedName name="DATA13450" localSheetId="3">#REF!</definedName>
    <definedName name="DATA13450">#REF!</definedName>
    <definedName name="DATA13463" localSheetId="7">#REF!</definedName>
    <definedName name="DATA13463" localSheetId="1">#REF!</definedName>
    <definedName name="DATA13463" localSheetId="3">#REF!</definedName>
    <definedName name="DATA13463">#REF!</definedName>
    <definedName name="DATA13475" localSheetId="7">#REF!</definedName>
    <definedName name="DATA13475" localSheetId="1">#REF!</definedName>
    <definedName name="DATA13475" localSheetId="3">#REF!</definedName>
    <definedName name="DATA13475">#REF!</definedName>
    <definedName name="DATA13490" localSheetId="7">#REF!</definedName>
    <definedName name="DATA13490" localSheetId="1">#REF!</definedName>
    <definedName name="DATA13490" localSheetId="3">#REF!</definedName>
    <definedName name="DATA13490">#REF!</definedName>
    <definedName name="DATA135110" localSheetId="7">#REF!</definedName>
    <definedName name="DATA135110" localSheetId="1">#REF!</definedName>
    <definedName name="DATA135110" localSheetId="3">#REF!</definedName>
    <definedName name="DATA135110">#REF!</definedName>
    <definedName name="DATA135125" localSheetId="7">#REF!</definedName>
    <definedName name="DATA135125" localSheetId="1">#REF!</definedName>
    <definedName name="DATA135125" localSheetId="3">#REF!</definedName>
    <definedName name="DATA135125">#REF!</definedName>
    <definedName name="DATA135140" localSheetId="7">#REF!</definedName>
    <definedName name="DATA135140" localSheetId="1">#REF!</definedName>
    <definedName name="DATA135140" localSheetId="3">#REF!</definedName>
    <definedName name="DATA135140">#REF!</definedName>
    <definedName name="DATA135160" localSheetId="7">#REF!</definedName>
    <definedName name="DATA135160" localSheetId="1">#REF!</definedName>
    <definedName name="DATA135160" localSheetId="3">#REF!</definedName>
    <definedName name="DATA135160">#REF!</definedName>
    <definedName name="DATA135180" localSheetId="7">#REF!</definedName>
    <definedName name="DATA135180" localSheetId="1">#REF!</definedName>
    <definedName name="DATA135180" localSheetId="3">#REF!</definedName>
    <definedName name="DATA135180">#REF!</definedName>
    <definedName name="DATA135200" localSheetId="7">#REF!</definedName>
    <definedName name="DATA135200" localSheetId="1">#REF!</definedName>
    <definedName name="DATA135200" localSheetId="3">#REF!</definedName>
    <definedName name="DATA135200">#REF!</definedName>
    <definedName name="DATA135225" localSheetId="7">#REF!</definedName>
    <definedName name="DATA135225" localSheetId="1">#REF!</definedName>
    <definedName name="DATA135225" localSheetId="3">#REF!</definedName>
    <definedName name="DATA135225">#REF!</definedName>
    <definedName name="DATA135250" localSheetId="7">#REF!</definedName>
    <definedName name="DATA135250" localSheetId="1">#REF!</definedName>
    <definedName name="DATA135250" localSheetId="3">#REF!</definedName>
    <definedName name="DATA135250">#REF!</definedName>
    <definedName name="DATA135280" localSheetId="7">#REF!</definedName>
    <definedName name="DATA135280" localSheetId="1">#REF!</definedName>
    <definedName name="DATA135280" localSheetId="3">#REF!</definedName>
    <definedName name="DATA135280">#REF!</definedName>
    <definedName name="DATA135315" localSheetId="7">#REF!</definedName>
    <definedName name="DATA135315" localSheetId="1">#REF!</definedName>
    <definedName name="DATA135315" localSheetId="3">#REF!</definedName>
    <definedName name="DATA135315">#REF!</definedName>
    <definedName name="DATA135355" localSheetId="7">#REF!</definedName>
    <definedName name="DATA135355" localSheetId="1">#REF!</definedName>
    <definedName name="DATA135355" localSheetId="3">#REF!</definedName>
    <definedName name="DATA135355">#REF!</definedName>
    <definedName name="DATA135400" localSheetId="7">#REF!</definedName>
    <definedName name="DATA135400" localSheetId="1">#REF!</definedName>
    <definedName name="DATA135400" localSheetId="3">#REF!</definedName>
    <definedName name="DATA135400">#REF!</definedName>
    <definedName name="DATA13550" localSheetId="7">#REF!</definedName>
    <definedName name="DATA13550" localSheetId="1">#REF!</definedName>
    <definedName name="DATA13550" localSheetId="3">#REF!</definedName>
    <definedName name="DATA13550">#REF!</definedName>
    <definedName name="DATA13563" localSheetId="7">#REF!</definedName>
    <definedName name="DATA13563" localSheetId="1">#REF!</definedName>
    <definedName name="DATA13563" localSheetId="3">#REF!</definedName>
    <definedName name="DATA13563">#REF!</definedName>
    <definedName name="DATA13575" localSheetId="7">#REF!</definedName>
    <definedName name="DATA13575" localSheetId="1">#REF!</definedName>
    <definedName name="DATA13575" localSheetId="3">#REF!</definedName>
    <definedName name="DATA13575">#REF!</definedName>
    <definedName name="DATA13590" localSheetId="7">#REF!</definedName>
    <definedName name="DATA13590" localSheetId="1">#REF!</definedName>
    <definedName name="DATA13590" localSheetId="3">#REF!</definedName>
    <definedName name="DATA13590">#REF!</definedName>
    <definedName name="DATA136A" localSheetId="7">#REF!</definedName>
    <definedName name="DATA136A" localSheetId="1">#REF!</definedName>
    <definedName name="DATA136A" localSheetId="3">#REF!</definedName>
    <definedName name="DATA136A">#REF!</definedName>
    <definedName name="DATA136B" localSheetId="7">#REF!</definedName>
    <definedName name="DATA136B" localSheetId="1">#REF!</definedName>
    <definedName name="DATA136B" localSheetId="3">#REF!</definedName>
    <definedName name="DATA136B">#REF!</definedName>
    <definedName name="DATA136C" localSheetId="7">#REF!</definedName>
    <definedName name="DATA136C" localSheetId="1">#REF!</definedName>
    <definedName name="DATA136C" localSheetId="3">#REF!</definedName>
    <definedName name="DATA136C">#REF!</definedName>
    <definedName name="DATA136D" localSheetId="7">#REF!</definedName>
    <definedName name="DATA136D" localSheetId="1">#REF!</definedName>
    <definedName name="DATA136D" localSheetId="3">#REF!</definedName>
    <definedName name="DATA136D">#REF!</definedName>
    <definedName name="DATA136E" localSheetId="7">#REF!</definedName>
    <definedName name="DATA136E" localSheetId="1">#REF!</definedName>
    <definedName name="DATA136E" localSheetId="3">#REF!</definedName>
    <definedName name="DATA136E">#REF!</definedName>
    <definedName name="DATA136F" localSheetId="7">#REF!</definedName>
    <definedName name="DATA136F" localSheetId="1">#REF!</definedName>
    <definedName name="DATA136F" localSheetId="3">#REF!</definedName>
    <definedName name="DATA136F">#REF!</definedName>
    <definedName name="DATA136G" localSheetId="7">#REF!</definedName>
    <definedName name="DATA136G" localSheetId="1">#REF!</definedName>
    <definedName name="DATA136G" localSheetId="3">#REF!</definedName>
    <definedName name="DATA136G">#REF!</definedName>
    <definedName name="DATA136H" localSheetId="7">#REF!</definedName>
    <definedName name="DATA136H" localSheetId="1">#REF!</definedName>
    <definedName name="DATA136H" localSheetId="3">#REF!</definedName>
    <definedName name="DATA136H">#REF!</definedName>
    <definedName name="DATA136I" localSheetId="7">#REF!</definedName>
    <definedName name="DATA136I" localSheetId="1">#REF!</definedName>
    <definedName name="DATA136I" localSheetId="3">#REF!</definedName>
    <definedName name="DATA136I">#REF!</definedName>
    <definedName name="DATA136J" localSheetId="7">#REF!</definedName>
    <definedName name="DATA136J" localSheetId="1">#REF!</definedName>
    <definedName name="DATA136J" localSheetId="3">#REF!</definedName>
    <definedName name="DATA136J">#REF!</definedName>
    <definedName name="DATA136K" localSheetId="7">#REF!</definedName>
    <definedName name="DATA136K" localSheetId="1">#REF!</definedName>
    <definedName name="DATA136K" localSheetId="3">#REF!</definedName>
    <definedName name="DATA136K">#REF!</definedName>
    <definedName name="DATA136L" localSheetId="7">#REF!</definedName>
    <definedName name="DATA136L" localSheetId="1">#REF!</definedName>
    <definedName name="DATA136L" localSheetId="3">#REF!</definedName>
    <definedName name="DATA136L">#REF!</definedName>
    <definedName name="DATA136M" localSheetId="7">#REF!</definedName>
    <definedName name="DATA136M" localSheetId="1">#REF!</definedName>
    <definedName name="DATA136M" localSheetId="3">#REF!</definedName>
    <definedName name="DATA136M">#REF!</definedName>
    <definedName name="DATA136N" localSheetId="7">#REF!</definedName>
    <definedName name="DATA136N" localSheetId="1">#REF!</definedName>
    <definedName name="DATA136N" localSheetId="3">#REF!</definedName>
    <definedName name="DATA136N">#REF!</definedName>
    <definedName name="DATA136O" localSheetId="7">#REF!</definedName>
    <definedName name="DATA136O" localSheetId="1">#REF!</definedName>
    <definedName name="DATA136O" localSheetId="3">#REF!</definedName>
    <definedName name="DATA136O">#REF!</definedName>
    <definedName name="DATA136P" localSheetId="7">#REF!</definedName>
    <definedName name="DATA136P" localSheetId="1">#REF!</definedName>
    <definedName name="DATA136P" localSheetId="3">#REF!</definedName>
    <definedName name="DATA136P">#REF!</definedName>
    <definedName name="DATA137I" localSheetId="7">#REF!</definedName>
    <definedName name="DATA137I" localSheetId="1">#REF!</definedName>
    <definedName name="DATA137I" localSheetId="3">#REF!</definedName>
    <definedName name="DATA137I">#REF!</definedName>
    <definedName name="DATA137II" localSheetId="7">#REF!</definedName>
    <definedName name="DATA137II" localSheetId="1">#REF!</definedName>
    <definedName name="DATA137II" localSheetId="3">#REF!</definedName>
    <definedName name="DATA137II">#REF!</definedName>
    <definedName name="DATA137III" localSheetId="7">#REF!</definedName>
    <definedName name="DATA137III" localSheetId="1">#REF!</definedName>
    <definedName name="DATA137III" localSheetId="3">#REF!</definedName>
    <definedName name="DATA137III">#REF!</definedName>
    <definedName name="DATA137IV" localSheetId="7">#REF!</definedName>
    <definedName name="DATA137IV" localSheetId="1">#REF!</definedName>
    <definedName name="DATA137IV" localSheetId="3">#REF!</definedName>
    <definedName name="DATA137IV">#REF!</definedName>
    <definedName name="DATA137V" localSheetId="7">#REF!</definedName>
    <definedName name="DATA137V" localSheetId="1">#REF!</definedName>
    <definedName name="DATA137V" localSheetId="3">#REF!</definedName>
    <definedName name="DATA137V">#REF!</definedName>
    <definedName name="DATA138I" localSheetId="7">#REF!</definedName>
    <definedName name="DATA138I" localSheetId="1">#REF!</definedName>
    <definedName name="DATA138I" localSheetId="3">#REF!</definedName>
    <definedName name="DATA138I">#REF!</definedName>
    <definedName name="DATA138II" localSheetId="7">#REF!</definedName>
    <definedName name="DATA138II" localSheetId="1">#REF!</definedName>
    <definedName name="DATA138II" localSheetId="3">#REF!</definedName>
    <definedName name="DATA138II">#REF!</definedName>
    <definedName name="DATA138III" localSheetId="7">#REF!</definedName>
    <definedName name="DATA138III" localSheetId="1">#REF!</definedName>
    <definedName name="DATA138III" localSheetId="3">#REF!</definedName>
    <definedName name="DATA138III">#REF!</definedName>
    <definedName name="DATA138IV" localSheetId="7">#REF!</definedName>
    <definedName name="DATA138IV" localSheetId="1">#REF!</definedName>
    <definedName name="DATA138IV" localSheetId="3">#REF!</definedName>
    <definedName name="DATA138IV">#REF!</definedName>
    <definedName name="DATA138V" localSheetId="7">#REF!</definedName>
    <definedName name="DATA138V" localSheetId="1">#REF!</definedName>
    <definedName name="DATA138V" localSheetId="3">#REF!</definedName>
    <definedName name="DATA138V">#REF!</definedName>
    <definedName name="DATA138VI" localSheetId="7">#REF!</definedName>
    <definedName name="DATA138VI" localSheetId="1">#REF!</definedName>
    <definedName name="DATA138VI" localSheetId="3">#REF!</definedName>
    <definedName name="DATA138VI">#REF!</definedName>
    <definedName name="DATA139IX" localSheetId="7">#REF!</definedName>
    <definedName name="DATA139IX" localSheetId="1">#REF!</definedName>
    <definedName name="DATA139IX" localSheetId="3">#REF!</definedName>
    <definedName name="DATA139IX">#REF!</definedName>
    <definedName name="DATA139V" localSheetId="7">#REF!</definedName>
    <definedName name="DATA139V" localSheetId="1">#REF!</definedName>
    <definedName name="DATA139V" localSheetId="3">#REF!</definedName>
    <definedName name="DATA139V">#REF!</definedName>
    <definedName name="DATA139VI" localSheetId="7">#REF!</definedName>
    <definedName name="DATA139VI" localSheetId="1">#REF!</definedName>
    <definedName name="DATA139VI" localSheetId="3">#REF!</definedName>
    <definedName name="DATA139VI">#REF!</definedName>
    <definedName name="DATA139VII" localSheetId="7">#REF!</definedName>
    <definedName name="DATA139VII" localSheetId="1">#REF!</definedName>
    <definedName name="DATA139VII" localSheetId="3">#REF!</definedName>
    <definedName name="DATA139VII">#REF!</definedName>
    <definedName name="DATA139VIII" localSheetId="7">#REF!</definedName>
    <definedName name="DATA139VIII" localSheetId="1">#REF!</definedName>
    <definedName name="DATA139VIII" localSheetId="3">#REF!</definedName>
    <definedName name="DATA139VIII">#REF!</definedName>
    <definedName name="DATA140I" localSheetId="7">#REF!</definedName>
    <definedName name="DATA140I" localSheetId="1">#REF!</definedName>
    <definedName name="DATA140I" localSheetId="3">#REF!</definedName>
    <definedName name="DATA140I">#REF!</definedName>
    <definedName name="DATA140II" localSheetId="7">#REF!</definedName>
    <definedName name="DATA140II" localSheetId="1">#REF!</definedName>
    <definedName name="DATA140II" localSheetId="3">#REF!</definedName>
    <definedName name="DATA140II">#REF!</definedName>
    <definedName name="DATA140III" localSheetId="7">#REF!</definedName>
    <definedName name="DATA140III" localSheetId="1">#REF!</definedName>
    <definedName name="DATA140III" localSheetId="3">#REF!</definedName>
    <definedName name="DATA140III">#REF!</definedName>
    <definedName name="DATA140IV" localSheetId="7">#REF!</definedName>
    <definedName name="DATA140IV" localSheetId="1">#REF!</definedName>
    <definedName name="DATA140IV" localSheetId="3">#REF!</definedName>
    <definedName name="DATA140IV">#REF!</definedName>
    <definedName name="DATA140V" localSheetId="7">#REF!</definedName>
    <definedName name="DATA140V" localSheetId="1">#REF!</definedName>
    <definedName name="DATA140V" localSheetId="3">#REF!</definedName>
    <definedName name="DATA140V">#REF!</definedName>
    <definedName name="DATA141I" localSheetId="7">#REF!</definedName>
    <definedName name="DATA141I" localSheetId="1">#REF!</definedName>
    <definedName name="DATA141I" localSheetId="3">#REF!</definedName>
    <definedName name="DATA141I">#REF!</definedName>
    <definedName name="DATA141II" localSheetId="7">#REF!</definedName>
    <definedName name="DATA141II" localSheetId="1">#REF!</definedName>
    <definedName name="DATA141II" localSheetId="3">#REF!</definedName>
    <definedName name="DATA141II">#REF!</definedName>
    <definedName name="DATA141III" localSheetId="7">#REF!</definedName>
    <definedName name="DATA141III" localSheetId="1">#REF!</definedName>
    <definedName name="DATA141III" localSheetId="3">#REF!</definedName>
    <definedName name="DATA141III">#REF!</definedName>
    <definedName name="DATA141IV" localSheetId="7">#REF!</definedName>
    <definedName name="DATA141IV" localSheetId="1">#REF!</definedName>
    <definedName name="DATA141IV" localSheetId="3">#REF!</definedName>
    <definedName name="DATA141IV">#REF!</definedName>
    <definedName name="DATA141V" localSheetId="7">#REF!</definedName>
    <definedName name="DATA141V" localSheetId="1">#REF!</definedName>
    <definedName name="DATA141V" localSheetId="3">#REF!</definedName>
    <definedName name="DATA141V">#REF!</definedName>
    <definedName name="DATA142I" localSheetId="7">#REF!</definedName>
    <definedName name="DATA142I" localSheetId="1">#REF!</definedName>
    <definedName name="DATA142I" localSheetId="3">#REF!</definedName>
    <definedName name="DATA142I">#REF!</definedName>
    <definedName name="DATA142II" localSheetId="7">#REF!</definedName>
    <definedName name="DATA142II" localSheetId="1">#REF!</definedName>
    <definedName name="DATA142II" localSheetId="3">#REF!</definedName>
    <definedName name="DATA142II">#REF!</definedName>
    <definedName name="DATA142III" localSheetId="7">#REF!</definedName>
    <definedName name="DATA142III" localSheetId="1">#REF!</definedName>
    <definedName name="DATA142III" localSheetId="3">#REF!</definedName>
    <definedName name="DATA142III">#REF!</definedName>
    <definedName name="DATA142IV" localSheetId="7">#REF!</definedName>
    <definedName name="DATA142IV" localSheetId="1">#REF!</definedName>
    <definedName name="DATA142IV" localSheetId="3">#REF!</definedName>
    <definedName name="DATA142IV">#REF!</definedName>
    <definedName name="DATA142V" localSheetId="7">#REF!</definedName>
    <definedName name="DATA142V" localSheetId="1">#REF!</definedName>
    <definedName name="DATA142V" localSheetId="3">#REF!</definedName>
    <definedName name="DATA142V">#REF!</definedName>
    <definedName name="data2" localSheetId="2" hidden="1">#REF!</definedName>
    <definedName name="data3" localSheetId="2" hidden="1">#REF!</definedName>
    <definedName name="_xlnm.Database" localSheetId="7">#REF!</definedName>
    <definedName name="_xlnm.Database" localSheetId="1">#REF!</definedName>
    <definedName name="_xlnm.Database" localSheetId="3">#REF!</definedName>
    <definedName name="_xlnm.Database" localSheetId="2">#REF!</definedName>
    <definedName name="_xlnm.Database">#REF!</definedName>
    <definedName name="Database.File" localSheetId="2" hidden="1">#REF!</definedName>
    <definedName name="dax_con.bal" localSheetId="7">#REF!</definedName>
    <definedName name="dax_con.bal" localSheetId="1">#REF!</definedName>
    <definedName name="dax_con.bal" localSheetId="3">#REF!</definedName>
    <definedName name="dax_con.bal">#REF!</definedName>
    <definedName name="dax_cont.r" localSheetId="7">#REF!</definedName>
    <definedName name="dax_cont.r" localSheetId="1">#REF!</definedName>
    <definedName name="dax_cont.r" localSheetId="3">#REF!</definedName>
    <definedName name="dax_cont.r">#REF!</definedName>
    <definedName name="dax_final.sum" localSheetId="7">#REF!</definedName>
    <definedName name="dax_final.sum" localSheetId="1">#REF!</definedName>
    <definedName name="dax_final.sum" localSheetId="3">#REF!</definedName>
    <definedName name="dax_final.sum">#REF!</definedName>
    <definedName name="dax_org.contract" localSheetId="7">#REF!</definedName>
    <definedName name="dax_org.contract" localSheetId="1">#REF!</definedName>
    <definedName name="dax_org.contract" localSheetId="3">#REF!</definedName>
    <definedName name="dax_org.contract">#REF!</definedName>
    <definedName name="dax_rev.sum" localSheetId="7">#REF!</definedName>
    <definedName name="dax_rev.sum" localSheetId="1">#REF!</definedName>
    <definedName name="dax_rev.sum" localSheetId="3">#REF!</definedName>
    <definedName name="dax_rev.sum">#REF!</definedName>
    <definedName name="dax_uncommit" localSheetId="7">#REF!</definedName>
    <definedName name="dax_uncommit" localSheetId="1">#REF!</definedName>
    <definedName name="dax_uncommit" localSheetId="3">#REF!</definedName>
    <definedName name="dax_uncommit">#REF!</definedName>
    <definedName name="dax_vo.app" localSheetId="7">#REF!</definedName>
    <definedName name="dax_vo.app" localSheetId="1">#REF!</definedName>
    <definedName name="dax_vo.app" localSheetId="3">#REF!</definedName>
    <definedName name="dax_vo.app">#REF!</definedName>
    <definedName name="dax_vo.pend" localSheetId="7">#REF!</definedName>
    <definedName name="dax_vo.pend" localSheetId="1">#REF!</definedName>
    <definedName name="dax_vo.pend" localSheetId="3">#REF!</definedName>
    <definedName name="dax_vo.pend">#REF!</definedName>
    <definedName name="dax_vo.total" localSheetId="7">#REF!</definedName>
    <definedName name="dax_vo.total" localSheetId="1">#REF!</definedName>
    <definedName name="dax_vo.total" localSheetId="3">#REF!</definedName>
    <definedName name="dax_vo.total">#REF!</definedName>
    <definedName name="dax_work.complete" localSheetId="7">#REF!</definedName>
    <definedName name="dax_work.complete" localSheetId="1">#REF!</definedName>
    <definedName name="dax_work.complete" localSheetId="3">#REF!</definedName>
    <definedName name="dax_work.complete">#REF!</definedName>
    <definedName name="Daywork" localSheetId="7">#REF!</definedName>
    <definedName name="Daywork" localSheetId="1">#REF!</definedName>
    <definedName name="Daywork" localSheetId="3">#REF!</definedName>
    <definedName name="Daywork">#REF!</definedName>
    <definedName name="db" localSheetId="7">#REF!</definedName>
    <definedName name="db" localSheetId="1">#REF!</definedName>
    <definedName name="db" localSheetId="3">#REF!</definedName>
    <definedName name="db">#REF!</definedName>
    <definedName name="db___0" localSheetId="7">#REF!</definedName>
    <definedName name="db___0" localSheetId="1">#REF!</definedName>
    <definedName name="db___0" localSheetId="3">#REF!</definedName>
    <definedName name="db___0">#REF!</definedName>
    <definedName name="db___13" localSheetId="7">#REF!</definedName>
    <definedName name="db___13" localSheetId="1">#REF!</definedName>
    <definedName name="db___13" localSheetId="3">#REF!</definedName>
    <definedName name="db___13">#REF!</definedName>
    <definedName name="dbratio" localSheetId="7">#REF!</definedName>
    <definedName name="dbratio" localSheetId="1">#REF!</definedName>
    <definedName name="dbratio" localSheetId="3">#REF!</definedName>
    <definedName name="dbratio">#REF!</definedName>
    <definedName name="dbyb" localSheetId="7">#REF!</definedName>
    <definedName name="dbyb" localSheetId="1">#REF!</definedName>
    <definedName name="dbyb" localSheetId="3">#REF!</definedName>
    <definedName name="dbyb">#REF!</definedName>
    <definedName name="dbyd" localSheetId="7">#REF!</definedName>
    <definedName name="dbyd" localSheetId="1">#REF!</definedName>
    <definedName name="dbyd" localSheetId="3">#REF!</definedName>
    <definedName name="dbyd">#REF!</definedName>
    <definedName name="dc" localSheetId="7">#REF!</definedName>
    <definedName name="dc" localSheetId="1">#REF!</definedName>
    <definedName name="dc" localSheetId="3">#REF!</definedName>
    <definedName name="dc">#REF!</definedName>
    <definedName name="dcbcvbc" localSheetId="7">#REF!</definedName>
    <definedName name="dcbcvbc" localSheetId="1">#REF!</definedName>
    <definedName name="dcbcvbc" localSheetId="3">#REF!</definedName>
    <definedName name="dcbcvbc">#REF!</definedName>
    <definedName name="dd" localSheetId="7">#REF!</definedName>
    <definedName name="dd" localSheetId="1">#REF!</definedName>
    <definedName name="dd" localSheetId="3">#REF!</definedName>
    <definedName name="dd">#REF!</definedName>
    <definedName name="ddd" localSheetId="7">#REF!</definedName>
    <definedName name="ddd" localSheetId="1">#REF!</definedName>
    <definedName name="ddd" localSheetId="3">#REF!</definedName>
    <definedName name="ddd">#REF!</definedName>
    <definedName name="dddd" localSheetId="7">#REF!</definedName>
    <definedName name="dddd" localSheetId="1">#REF!</definedName>
    <definedName name="dddd" localSheetId="3">#REF!</definedName>
    <definedName name="dddd">#REF!</definedName>
    <definedName name="dddddddd" localSheetId="7">#REF!</definedName>
    <definedName name="dddddddd" localSheetId="1">#REF!</definedName>
    <definedName name="dddddddd" localSheetId="3">#REF!</definedName>
    <definedName name="dddddddd">#REF!</definedName>
    <definedName name="ddddddddd" localSheetId="7">#REF!</definedName>
    <definedName name="ddddddddd" localSheetId="1">#REF!</definedName>
    <definedName name="ddddddddd" localSheetId="3">#REF!</definedName>
    <definedName name="ddddddddd">#REF!</definedName>
    <definedName name="dddddddddd" localSheetId="7">#REF!</definedName>
    <definedName name="dddddddddd" localSheetId="1">#REF!</definedName>
    <definedName name="dddddddddd" localSheetId="3">#REF!</definedName>
    <definedName name="dddddddddd">#REF!</definedName>
    <definedName name="ddddddddddd" localSheetId="7">#REF!</definedName>
    <definedName name="ddddddddddd" localSheetId="1">#REF!</definedName>
    <definedName name="ddddddddddd" localSheetId="3">#REF!</definedName>
    <definedName name="ddddddddddd">#REF!</definedName>
    <definedName name="dddddddddddddddddddd" localSheetId="7">#REF!</definedName>
    <definedName name="dddddddddddddddddddd" localSheetId="1">#REF!</definedName>
    <definedName name="dddddddddddddddddddd" localSheetId="3">#REF!</definedName>
    <definedName name="dddddddddddddddddddd">#REF!</definedName>
    <definedName name="ddfffdj" localSheetId="7">#REF!</definedName>
    <definedName name="ddfffdj" localSheetId="1">#REF!</definedName>
    <definedName name="ddfffdj" localSheetId="3">#REF!</definedName>
    <definedName name="ddfffdj">#REF!</definedName>
    <definedName name="de" localSheetId="7">#REF!</definedName>
    <definedName name="de" localSheetId="1">#REF!</definedName>
    <definedName name="de" localSheetId="3">#REF!</definedName>
    <definedName name="de">#REF!</definedName>
    <definedName name="DEBITED" localSheetId="5" hidden="1">{#N/A,#N/A,TRUE,"Front";#N/A,#N/A,TRUE,"Simple Letter";#N/A,#N/A,TRUE,"Inside";#N/A,#N/A,TRUE,"Contents";#N/A,#N/A,TRUE,"Basis";#N/A,#N/A,TRUE,"Inclusions";#N/A,#N/A,TRUE,"Exclusions";#N/A,#N/A,TRUE,"Areas";#N/A,#N/A,TRUE,"Summary";#N/A,#N/A,TRUE,"Detail"}</definedName>
    <definedName name="DEBITED" localSheetId="2" hidden="1">{#N/A,#N/A,TRUE,"Front";#N/A,#N/A,TRUE,"Simple Letter";#N/A,#N/A,TRUE,"Inside";#N/A,#N/A,TRUE,"Contents";#N/A,#N/A,TRUE,"Basis";#N/A,#N/A,TRUE,"Inclusions";#N/A,#N/A,TRUE,"Exclusions";#N/A,#N/A,TRUE,"Areas";#N/A,#N/A,TRUE,"Summary";#N/A,#N/A,TRUE,"Detail"}</definedName>
    <definedName name="DEBITED_1" localSheetId="5" hidden="1">{#N/A,#N/A,TRUE,"Front";#N/A,#N/A,TRUE,"Simple Letter";#N/A,#N/A,TRUE,"Inside";#N/A,#N/A,TRUE,"Contents";#N/A,#N/A,TRUE,"Basis";#N/A,#N/A,TRUE,"Inclusions";#N/A,#N/A,TRUE,"Exclusions";#N/A,#N/A,TRUE,"Areas";#N/A,#N/A,TRUE,"Summary";#N/A,#N/A,TRUE,"Detail"}</definedName>
    <definedName name="DEBITED_1" localSheetId="2" hidden="1">{#N/A,#N/A,TRUE,"Front";#N/A,#N/A,TRUE,"Simple Letter";#N/A,#N/A,TRUE,"Inside";#N/A,#N/A,TRUE,"Contents";#N/A,#N/A,TRUE,"Basis";#N/A,#N/A,TRUE,"Inclusions";#N/A,#N/A,TRUE,"Exclusions";#N/A,#N/A,TRUE,"Areas";#N/A,#N/A,TRUE,"Summary";#N/A,#N/A,TRUE,"Detail"}</definedName>
    <definedName name="DEBITED_1_1" localSheetId="5" hidden="1">{#N/A,#N/A,TRUE,"Front";#N/A,#N/A,TRUE,"Simple Letter";#N/A,#N/A,TRUE,"Inside";#N/A,#N/A,TRUE,"Contents";#N/A,#N/A,TRUE,"Basis";#N/A,#N/A,TRUE,"Inclusions";#N/A,#N/A,TRUE,"Exclusions";#N/A,#N/A,TRUE,"Areas";#N/A,#N/A,TRUE,"Summary";#N/A,#N/A,TRUE,"Detail"}</definedName>
    <definedName name="DEBITED_1_1" localSheetId="2" hidden="1">{#N/A,#N/A,TRUE,"Front";#N/A,#N/A,TRUE,"Simple Letter";#N/A,#N/A,TRUE,"Inside";#N/A,#N/A,TRUE,"Contents";#N/A,#N/A,TRUE,"Basis";#N/A,#N/A,TRUE,"Inclusions";#N/A,#N/A,TRUE,"Exclusions";#N/A,#N/A,TRUE,"Areas";#N/A,#N/A,TRUE,"Summary";#N/A,#N/A,TRUE,"Detail"}</definedName>
    <definedName name="DEBITED_1_2" localSheetId="5" hidden="1">{#N/A,#N/A,TRUE,"Front";#N/A,#N/A,TRUE,"Simple Letter";#N/A,#N/A,TRUE,"Inside";#N/A,#N/A,TRUE,"Contents";#N/A,#N/A,TRUE,"Basis";#N/A,#N/A,TRUE,"Inclusions";#N/A,#N/A,TRUE,"Exclusions";#N/A,#N/A,TRUE,"Areas";#N/A,#N/A,TRUE,"Summary";#N/A,#N/A,TRUE,"Detail"}</definedName>
    <definedName name="DEBITED_1_2" localSheetId="2" hidden="1">{#N/A,#N/A,TRUE,"Front";#N/A,#N/A,TRUE,"Simple Letter";#N/A,#N/A,TRUE,"Inside";#N/A,#N/A,TRUE,"Contents";#N/A,#N/A,TRUE,"Basis";#N/A,#N/A,TRUE,"Inclusions";#N/A,#N/A,TRUE,"Exclusions";#N/A,#N/A,TRUE,"Areas";#N/A,#N/A,TRUE,"Summary";#N/A,#N/A,TRUE,"Detail"}</definedName>
    <definedName name="DEBITED_2" localSheetId="5" hidden="1">{#N/A,#N/A,TRUE,"Front";#N/A,#N/A,TRUE,"Simple Letter";#N/A,#N/A,TRUE,"Inside";#N/A,#N/A,TRUE,"Contents";#N/A,#N/A,TRUE,"Basis";#N/A,#N/A,TRUE,"Inclusions";#N/A,#N/A,TRUE,"Exclusions";#N/A,#N/A,TRUE,"Areas";#N/A,#N/A,TRUE,"Summary";#N/A,#N/A,TRUE,"Detail"}</definedName>
    <definedName name="DEBITED_2" localSheetId="2" hidden="1">{#N/A,#N/A,TRUE,"Front";#N/A,#N/A,TRUE,"Simple Letter";#N/A,#N/A,TRUE,"Inside";#N/A,#N/A,TRUE,"Contents";#N/A,#N/A,TRUE,"Basis";#N/A,#N/A,TRUE,"Inclusions";#N/A,#N/A,TRUE,"Exclusions";#N/A,#N/A,TRUE,"Areas";#N/A,#N/A,TRUE,"Summary";#N/A,#N/A,TRUE,"Detail"}</definedName>
    <definedName name="DEBITED_2_1" localSheetId="5" hidden="1">{#N/A,#N/A,TRUE,"Front";#N/A,#N/A,TRUE,"Simple Letter";#N/A,#N/A,TRUE,"Inside";#N/A,#N/A,TRUE,"Contents";#N/A,#N/A,TRUE,"Basis";#N/A,#N/A,TRUE,"Inclusions";#N/A,#N/A,TRUE,"Exclusions";#N/A,#N/A,TRUE,"Areas";#N/A,#N/A,TRUE,"Summary";#N/A,#N/A,TRUE,"Detail"}</definedName>
    <definedName name="DEBITED_2_1" localSheetId="2" hidden="1">{#N/A,#N/A,TRUE,"Front";#N/A,#N/A,TRUE,"Simple Letter";#N/A,#N/A,TRUE,"Inside";#N/A,#N/A,TRUE,"Contents";#N/A,#N/A,TRUE,"Basis";#N/A,#N/A,TRUE,"Inclusions";#N/A,#N/A,TRUE,"Exclusions";#N/A,#N/A,TRUE,"Areas";#N/A,#N/A,TRUE,"Summary";#N/A,#N/A,TRUE,"Detail"}</definedName>
    <definedName name="DEBITED_3" localSheetId="5" hidden="1">{#N/A,#N/A,TRUE,"Front";#N/A,#N/A,TRUE,"Simple Letter";#N/A,#N/A,TRUE,"Inside";#N/A,#N/A,TRUE,"Contents";#N/A,#N/A,TRUE,"Basis";#N/A,#N/A,TRUE,"Inclusions";#N/A,#N/A,TRUE,"Exclusions";#N/A,#N/A,TRUE,"Areas";#N/A,#N/A,TRUE,"Summary";#N/A,#N/A,TRUE,"Detail"}</definedName>
    <definedName name="DEBITED_3" localSheetId="2" hidden="1">{#N/A,#N/A,TRUE,"Front";#N/A,#N/A,TRUE,"Simple Letter";#N/A,#N/A,TRUE,"Inside";#N/A,#N/A,TRUE,"Contents";#N/A,#N/A,TRUE,"Basis";#N/A,#N/A,TRUE,"Inclusions";#N/A,#N/A,TRUE,"Exclusions";#N/A,#N/A,TRUE,"Areas";#N/A,#N/A,TRUE,"Summary";#N/A,#N/A,TRUE,"Detail"}</definedName>
    <definedName name="DEBITED_4" localSheetId="5" hidden="1">{#N/A,#N/A,TRUE,"Front";#N/A,#N/A,TRUE,"Simple Letter";#N/A,#N/A,TRUE,"Inside";#N/A,#N/A,TRUE,"Contents";#N/A,#N/A,TRUE,"Basis";#N/A,#N/A,TRUE,"Inclusions";#N/A,#N/A,TRUE,"Exclusions";#N/A,#N/A,TRUE,"Areas";#N/A,#N/A,TRUE,"Summary";#N/A,#N/A,TRUE,"Detail"}</definedName>
    <definedName name="DEBITED_4" localSheetId="2" hidden="1">{#N/A,#N/A,TRUE,"Front";#N/A,#N/A,TRUE,"Simple Letter";#N/A,#N/A,TRUE,"Inside";#N/A,#N/A,TRUE,"Contents";#N/A,#N/A,TRUE,"Basis";#N/A,#N/A,TRUE,"Inclusions";#N/A,#N/A,TRUE,"Exclusions";#N/A,#N/A,TRUE,"Areas";#N/A,#N/A,TRUE,"Summary";#N/A,#N/A,TRUE,"Detail"}</definedName>
    <definedName name="Debt_Equity" localSheetId="7">#REF!</definedName>
    <definedName name="Debt_Equity" localSheetId="1">#REF!</definedName>
    <definedName name="Debt_Equity" localSheetId="3">#REF!</definedName>
    <definedName name="Debt_Equity">#REF!</definedName>
    <definedName name="Debt_Int.rate" localSheetId="7">#REF!</definedName>
    <definedName name="Debt_Int.rate" localSheetId="1">#REF!</definedName>
    <definedName name="Debt_Int.rate" localSheetId="3">#REF!</definedName>
    <definedName name="Debt_Int.rate">#REF!</definedName>
    <definedName name="deff" localSheetId="7">#REF!</definedName>
    <definedName name="deff" localSheetId="1">#REF!</definedName>
    <definedName name="deff" localSheetId="3">#REF!</definedName>
    <definedName name="deff">#REF!</definedName>
    <definedName name="DEHRI" localSheetId="7">#REF!</definedName>
    <definedName name="DEHRI" localSheetId="1">#REF!</definedName>
    <definedName name="DEHRI" localSheetId="3">#REF!</definedName>
    <definedName name="DEHRI">#REF!</definedName>
    <definedName name="delk" localSheetId="7">#REF!</definedName>
    <definedName name="delk" localSheetId="1">#REF!</definedName>
    <definedName name="delk" localSheetId="3">#REF!</definedName>
    <definedName name="delk">#REF!</definedName>
    <definedName name="delm" localSheetId="7">#REF!</definedName>
    <definedName name="delm" localSheetId="1">#REF!</definedName>
    <definedName name="delm" localSheetId="3">#REF!</definedName>
    <definedName name="delm">#REF!</definedName>
    <definedName name="delm2" localSheetId="7">#REF!</definedName>
    <definedName name="delm2" localSheetId="1">#REF!</definedName>
    <definedName name="delm2" localSheetId="3">#REF!</definedName>
    <definedName name="delm2">#REF!</definedName>
    <definedName name="delta" localSheetId="7">#REF!</definedName>
    <definedName name="delta" localSheetId="1">#REF!</definedName>
    <definedName name="delta" localSheetId="3">#REF!</definedName>
    <definedName name="delta">#REF!</definedName>
    <definedName name="delta1" localSheetId="7">#REF!</definedName>
    <definedName name="delta1" localSheetId="1">#REF!</definedName>
    <definedName name="delta1" localSheetId="3">#REF!</definedName>
    <definedName name="delta1">#REF!</definedName>
    <definedName name="DELTA20" localSheetId="7">#REF!</definedName>
    <definedName name="DELTA20" localSheetId="1">#REF!</definedName>
    <definedName name="DELTA20" localSheetId="3">#REF!</definedName>
    <definedName name="DELTA20">#REF!</definedName>
    <definedName name="DELTA20___0" localSheetId="7">#REF!</definedName>
    <definedName name="DELTA20___0" localSheetId="1">#REF!</definedName>
    <definedName name="DELTA20___0" localSheetId="3">#REF!</definedName>
    <definedName name="DELTA20___0">#REF!</definedName>
    <definedName name="DELTA20___13" localSheetId="7">#REF!</definedName>
    <definedName name="DELTA20___13" localSheetId="1">#REF!</definedName>
    <definedName name="DELTA20___13" localSheetId="3">#REF!</definedName>
    <definedName name="DELTA20___13">#REF!</definedName>
    <definedName name="DeluxeArea" localSheetId="7">#REF!</definedName>
    <definedName name="DeluxeArea" localSheetId="1">#REF!</definedName>
    <definedName name="DeluxeArea" localSheetId="3">#REF!</definedName>
    <definedName name="DeluxeArea">#REF!</definedName>
    <definedName name="DeluxePerimeter" localSheetId="7">#REF!</definedName>
    <definedName name="DeluxePerimeter" localSheetId="1">#REF!</definedName>
    <definedName name="DeluxePerimeter" localSheetId="3">#REF!</definedName>
    <definedName name="DeluxePerimeter">#REF!</definedName>
    <definedName name="DEMOL" localSheetId="7">#REF!</definedName>
    <definedName name="DEMOL" localSheetId="1">#REF!</definedName>
    <definedName name="DEMOL" localSheetId="3">#REF!</definedName>
    <definedName name="DEMOL">#REF!</definedName>
    <definedName name="Depn" localSheetId="7">#REF!</definedName>
    <definedName name="Depn" localSheetId="1">#REF!</definedName>
    <definedName name="Depn" localSheetId="3">#REF!</definedName>
    <definedName name="Depn">#REF!</definedName>
    <definedName name="DEPTH" localSheetId="7">#REF!</definedName>
    <definedName name="DEPTH" localSheetId="1">#REF!</definedName>
    <definedName name="DEPTH" localSheetId="3">#REF!</definedName>
    <definedName name="DEPTH">#REF!</definedName>
    <definedName name="DER" localSheetId="7">#REF!</definedName>
    <definedName name="DER" localSheetId="1">#REF!</definedName>
    <definedName name="DER" localSheetId="3">#REF!</definedName>
    <definedName name="DER">#REF!</definedName>
    <definedName name="DES" localSheetId="7">#REF!</definedName>
    <definedName name="DES" localSheetId="1">#REF!</definedName>
    <definedName name="DES" localSheetId="3">#REF!</definedName>
    <definedName name="DES">#REF!</definedName>
    <definedName name="Description">"B1"</definedName>
    <definedName name="designed" localSheetId="7">#REF!</definedName>
    <definedName name="designed" localSheetId="1">#REF!</definedName>
    <definedName name="designed" localSheetId="3">#REF!</definedName>
    <definedName name="designed">#REF!</definedName>
    <definedName name="DesignPress" localSheetId="7">#REF!</definedName>
    <definedName name="DesignPress" localSheetId="1">#REF!</definedName>
    <definedName name="DesignPress" localSheetId="3">#REF!</definedName>
    <definedName name="DesignPress">#REF!</definedName>
    <definedName name="DeSiltation" localSheetId="7">#REF!</definedName>
    <definedName name="DeSiltation" localSheetId="1">#REF!</definedName>
    <definedName name="DeSiltation" localSheetId="3">#REF!</definedName>
    <definedName name="DeSiltation">#REF!</definedName>
    <definedName name="devakumar" localSheetId="7">#REF!</definedName>
    <definedName name="devakumar" localSheetId="1">#REF!</definedName>
    <definedName name="devakumar" localSheetId="3">#REF!</definedName>
    <definedName name="devakumar">#REF!</definedName>
    <definedName name="df" localSheetId="7">#REF!</definedName>
    <definedName name="df" localSheetId="1">#REF!</definedName>
    <definedName name="df" localSheetId="3">#REF!</definedName>
    <definedName name="df">#REF!</definedName>
    <definedName name="df_1" localSheetId="5" hidden="1">{"form-D1",#N/A,FALSE,"FORM-D1";"form-D1_amt",#N/A,FALSE,"FORM-D1"}</definedName>
    <definedName name="df_1" localSheetId="2" hidden="1">{"form-D1",#N/A,FALSE,"FORM-D1";"form-D1_amt",#N/A,FALSE,"FORM-D1"}</definedName>
    <definedName name="df_1_1" localSheetId="5" hidden="1">{"form-D1",#N/A,FALSE,"FORM-D1";"form-D1_amt",#N/A,FALSE,"FORM-D1"}</definedName>
    <definedName name="df_1_1" localSheetId="2" hidden="1">{"form-D1",#N/A,FALSE,"FORM-D1";"form-D1_amt",#N/A,FALSE,"FORM-D1"}</definedName>
    <definedName name="df_1_2" localSheetId="5" hidden="1">{"form-D1",#N/A,FALSE,"FORM-D1";"form-D1_amt",#N/A,FALSE,"FORM-D1"}</definedName>
    <definedName name="df_1_2" localSheetId="2" hidden="1">{"form-D1",#N/A,FALSE,"FORM-D1";"form-D1_amt",#N/A,FALSE,"FORM-D1"}</definedName>
    <definedName name="df_2" localSheetId="5" hidden="1">{"form-D1",#N/A,FALSE,"FORM-D1";"form-D1_amt",#N/A,FALSE,"FORM-D1"}</definedName>
    <definedName name="df_2" localSheetId="2" hidden="1">{"form-D1",#N/A,FALSE,"FORM-D1";"form-D1_amt",#N/A,FALSE,"FORM-D1"}</definedName>
    <definedName name="df_2_1" localSheetId="5" hidden="1">{"form-D1",#N/A,FALSE,"FORM-D1";"form-D1_amt",#N/A,FALSE,"FORM-D1"}</definedName>
    <definedName name="df_2_1" localSheetId="2" hidden="1">{"form-D1",#N/A,FALSE,"FORM-D1";"form-D1_amt",#N/A,FALSE,"FORM-D1"}</definedName>
    <definedName name="df_3" localSheetId="5" hidden="1">{"form-D1",#N/A,FALSE,"FORM-D1";"form-D1_amt",#N/A,FALSE,"FORM-D1"}</definedName>
    <definedName name="df_3" localSheetId="2" hidden="1">{"form-D1",#N/A,FALSE,"FORM-D1";"form-D1_amt",#N/A,FALSE,"FORM-D1"}</definedName>
    <definedName name="df_3_1" localSheetId="5" hidden="1">{"form-D1",#N/A,FALSE,"FORM-D1";"form-D1_amt",#N/A,FALSE,"FORM-D1"}</definedName>
    <definedName name="df_3_1" localSheetId="2" hidden="1">{"form-D1",#N/A,FALSE,"FORM-D1";"form-D1_amt",#N/A,FALSE,"FORM-D1"}</definedName>
    <definedName name="df_4" localSheetId="5" hidden="1">{"form-D1",#N/A,FALSE,"FORM-D1";"form-D1_amt",#N/A,FALSE,"FORM-D1"}</definedName>
    <definedName name="df_4" localSheetId="2" hidden="1">{"form-D1",#N/A,FALSE,"FORM-D1";"form-D1_amt",#N/A,FALSE,"FORM-D1"}</definedName>
    <definedName name="DFADAD" localSheetId="7">#REF!</definedName>
    <definedName name="DFADAD" localSheetId="1">#REF!</definedName>
    <definedName name="DFADAD" localSheetId="3">#REF!</definedName>
    <definedName name="DFADAD">#REF!</definedName>
    <definedName name="dfafdasdf" localSheetId="7">#REF!</definedName>
    <definedName name="dfafdasdf" localSheetId="1">#REF!</definedName>
    <definedName name="dfafdasdf" localSheetId="3">#REF!</definedName>
    <definedName name="dfafdasdf">#REF!</definedName>
    <definedName name="dfd" localSheetId="7">#REF!</definedName>
    <definedName name="dfd" localSheetId="1">#REF!</definedName>
    <definedName name="dfd" localSheetId="3">#REF!</definedName>
    <definedName name="dfd">#REF!</definedName>
    <definedName name="DFDDA" localSheetId="7">#REF!</definedName>
    <definedName name="DFDDA" localSheetId="1">#REF!</definedName>
    <definedName name="DFDDA" localSheetId="3">#REF!</definedName>
    <definedName name="DFDDA">#REF!</definedName>
    <definedName name="DFDFG" localSheetId="7">#REF!</definedName>
    <definedName name="DFDFG" localSheetId="1">#REF!</definedName>
    <definedName name="DFDFG" localSheetId="3">#REF!</definedName>
    <definedName name="DFDFG">#REF!</definedName>
    <definedName name="dfg" localSheetId="5" hidden="1">{#N/A,#N/A,FALSE,"gc (2)"}</definedName>
    <definedName name="dfg" localSheetId="2" hidden="1">{#N/A,#N/A,FALSE,"gc (2)"}</definedName>
    <definedName name="dfgdfsg" localSheetId="7">#REF!</definedName>
    <definedName name="dfgdfsg" localSheetId="1">#REF!</definedName>
    <definedName name="dfgdfsg" localSheetId="3">#REF!</definedName>
    <definedName name="dfgdfsg">#REF!</definedName>
    <definedName name="dfgdsfg" localSheetId="7">#REF!</definedName>
    <definedName name="dfgdsfg" localSheetId="1">#REF!</definedName>
    <definedName name="dfgdsfg" localSheetId="3">#REF!</definedName>
    <definedName name="dfgdsfg">#REF!</definedName>
    <definedName name="dfgg" localSheetId="5" hidden="1">{#N/A,#N/A,FALSE,"gc (2)"}</definedName>
    <definedName name="dfgg" localSheetId="2" hidden="1">{#N/A,#N/A,FALSE,"gc (2)"}</definedName>
    <definedName name="dfthrh" localSheetId="7">#REF!</definedName>
    <definedName name="dfthrh" localSheetId="1">#REF!</definedName>
    <definedName name="dfthrh" localSheetId="3">#REF!</definedName>
    <definedName name="dfthrh">#REF!</definedName>
    <definedName name="dg" localSheetId="7">#REF!</definedName>
    <definedName name="dg" localSheetId="1">#REF!</definedName>
    <definedName name="dg" localSheetId="3">#REF!</definedName>
    <definedName name="dg">#REF!</definedName>
    <definedName name="DGDF" localSheetId="7">#REF!</definedName>
    <definedName name="DGDF" localSheetId="1">#REF!</definedName>
    <definedName name="DGDF" localSheetId="3">#REF!</definedName>
    <definedName name="DGDF">#REF!</definedName>
    <definedName name="DGDFG" localSheetId="7">#REF!</definedName>
    <definedName name="DGDFG" localSheetId="1">#REF!</definedName>
    <definedName name="DGDFG" localSheetId="3">#REF!</definedName>
    <definedName name="DGDFG">#REF!</definedName>
    <definedName name="dgfchhh" localSheetId="7">#REF!</definedName>
    <definedName name="dgfchhh" localSheetId="1">#REF!</definedName>
    <definedName name="dgfchhh" localSheetId="3">#REF!</definedName>
    <definedName name="dgfchhh">#REF!</definedName>
    <definedName name="dgfgfd" localSheetId="5" hidden="1">{#N/A,#N/A,FALSE,"COVER.XLS";#N/A,#N/A,FALSE,"RACT1.XLS";#N/A,#N/A,FALSE,"RACT2.XLS";#N/A,#N/A,FALSE,"ECCMP";#N/A,#N/A,FALSE,"WELDER.XLS"}</definedName>
    <definedName name="dgfgfd" localSheetId="2" hidden="1">{#N/A,#N/A,FALSE,"COVER.XLS";#N/A,#N/A,FALSE,"RACT1.XLS";#N/A,#N/A,FALSE,"RACT2.XLS";#N/A,#N/A,FALSE,"ECCMP";#N/A,#N/A,FALSE,"WELDER.XLS"}</definedName>
    <definedName name="dghkl" localSheetId="5" hidden="1">{"'Bill No. 7'!$A$1:$G$32"}</definedName>
    <definedName name="dghkl" localSheetId="2" hidden="1">{"'Bill No. 7'!$A$1:$G$32"}</definedName>
    <definedName name="DHTML" localSheetId="5" hidden="1">{"'Sheet1'!$A$4386:$N$4591"}</definedName>
    <definedName name="DHTML" localSheetId="2" hidden="1">{"'Sheet1'!$A$4386:$N$4591"}</definedName>
    <definedName name="diaties" localSheetId="7">#REF!</definedName>
    <definedName name="diaties" localSheetId="1">#REF!</definedName>
    <definedName name="diaties" localSheetId="3">#REF!</definedName>
    <definedName name="diaties">#REF!</definedName>
    <definedName name="Diesel" localSheetId="7">#REF!</definedName>
    <definedName name="Diesel" localSheetId="1">#REF!</definedName>
    <definedName name="Diesel" localSheetId="3">#REF!</definedName>
    <definedName name="Diesel">#REF!</definedName>
    <definedName name="DILIP" localSheetId="7">#REF!</definedName>
    <definedName name="DILIP" localSheetId="1">#REF!</definedName>
    <definedName name="DILIP" localSheetId="3">#REF!</definedName>
    <definedName name="DILIP">#REF!</definedName>
    <definedName name="DIns" localSheetId="7">#REF!</definedName>
    <definedName name="DIns" localSheetId="1">#REF!</definedName>
    <definedName name="DIns" localSheetId="3">#REF!</definedName>
    <definedName name="DIns">#REF!</definedName>
    <definedName name="Discount" localSheetId="7" hidden="1">#REF!</definedName>
    <definedName name="Discount" localSheetId="1" hidden="1">#REF!</definedName>
    <definedName name="Discount" localSheetId="3" hidden="1">#REF!</definedName>
    <definedName name="Discount" hidden="1">#REF!</definedName>
    <definedName name="discountRate" localSheetId="7">#REF!</definedName>
    <definedName name="discountRate" localSheetId="1">#REF!</definedName>
    <definedName name="discountRate" localSheetId="3">#REF!</definedName>
    <definedName name="discountRate">#REF!</definedName>
    <definedName name="display_area_2" localSheetId="7" hidden="1">#REF!</definedName>
    <definedName name="display_area_2" localSheetId="1" hidden="1">#REF!</definedName>
    <definedName name="display_area_2" localSheetId="3" hidden="1">#REF!</definedName>
    <definedName name="display_area_2" hidden="1">#REF!</definedName>
    <definedName name="Distance" localSheetId="7">#REF!</definedName>
    <definedName name="Distance" localSheetId="1">#REF!</definedName>
    <definedName name="Distance" localSheetId="3">#REF!</definedName>
    <definedName name="Distance">#REF!</definedName>
    <definedName name="div" localSheetId="7">#REF!</definedName>
    <definedName name="div" localSheetId="1">#REF!</definedName>
    <definedName name="div" localSheetId="3">#REF!</definedName>
    <definedName name="div">#REF!</definedName>
    <definedName name="Div_Reserve" localSheetId="7">#REF!</definedName>
    <definedName name="Div_Reserve" localSheetId="1">#REF!</definedName>
    <definedName name="Div_Reserve" localSheetId="3">#REF!</definedName>
    <definedName name="Div_Reserve">#REF!</definedName>
    <definedName name="Div_Tax.Rate" localSheetId="7">#REF!</definedName>
    <definedName name="Div_Tax.Rate" localSheetId="1">#REF!</definedName>
    <definedName name="Div_Tax.Rate" localSheetId="3">#REF!</definedName>
    <definedName name="Div_Tax.Rate">#REF!</definedName>
    <definedName name="dks" localSheetId="7">#REF!</definedName>
    <definedName name="dks" localSheetId="1">#REF!</definedName>
    <definedName name="dks" localSheetId="3">#REF!</definedName>
    <definedName name="dks">#REF!</definedName>
    <definedName name="dkt" localSheetId="7">#REF!</definedName>
    <definedName name="dkt" localSheetId="1">#REF!</definedName>
    <definedName name="dkt" localSheetId="3">#REF!</definedName>
    <definedName name="dkt">#REF!</definedName>
    <definedName name="dl" localSheetId="7">#REF!</definedName>
    <definedName name="dl" localSheetId="1">#REF!</definedName>
    <definedName name="dl" localSheetId="3">#REF!</definedName>
    <definedName name="dl">#REF!</definedName>
    <definedName name="dl___0" localSheetId="7">#REF!</definedName>
    <definedName name="dl___0" localSheetId="1">#REF!</definedName>
    <definedName name="dl___0" localSheetId="3">#REF!</definedName>
    <definedName name="dl___0">#REF!</definedName>
    <definedName name="dl___13" localSheetId="7">#REF!</definedName>
    <definedName name="dl___13" localSheetId="1">#REF!</definedName>
    <definedName name="dl___13" localSheetId="3">#REF!</definedName>
    <definedName name="dl___13">#REF!</definedName>
    <definedName name="Dm" localSheetId="7">#REF!</definedName>
    <definedName name="Dm" localSheetId="1">#REF!</definedName>
    <definedName name="Dm" localSheetId="3">#REF!</definedName>
    <definedName name="Dm">#REF!</definedName>
    <definedName name="DMA" localSheetId="7">#REF!</definedName>
    <definedName name="DMA" localSheetId="1">#REF!</definedName>
    <definedName name="DMA" localSheetId="3">#REF!</definedName>
    <definedName name="DMA">#REF!</definedName>
    <definedName name="dms" localSheetId="7">#REF!</definedName>
    <definedName name="dms" localSheetId="1">#REF!</definedName>
    <definedName name="dms" localSheetId="3">#REF!</definedName>
    <definedName name="dms">#REF!</definedName>
    <definedName name="dmt" localSheetId="7">#REF!</definedName>
    <definedName name="dmt" localSheetId="1">#REF!</definedName>
    <definedName name="dmt" localSheetId="3">#REF!</definedName>
    <definedName name="dmt">#REF!</definedName>
    <definedName name="dn" localSheetId="5" hidden="1">{#N/A,#N/A,FALSE,"COVER1.XLS ";#N/A,#N/A,FALSE,"RACT1.XLS";#N/A,#N/A,FALSE,"RACT2.XLS";#N/A,#N/A,FALSE,"ECCMP";#N/A,#N/A,FALSE,"WELDER.XLS"}</definedName>
    <definedName name="dn" localSheetId="2" hidden="1">{#N/A,#N/A,FALSE,"COVER1.XLS ";#N/A,#N/A,FALSE,"RACT1.XLS";#N/A,#N/A,FALSE,"RACT2.XLS";#N/A,#N/A,FALSE,"ECCMP";#N/A,#N/A,FALSE,"WELDER.XLS"}</definedName>
    <definedName name="docu" localSheetId="7">#REF!</definedName>
    <definedName name="docu" localSheetId="1">#REF!</definedName>
    <definedName name="docu" localSheetId="3">#REF!</definedName>
    <definedName name="docu">#REF!</definedName>
    <definedName name="DocumentName">""</definedName>
    <definedName name="DocumentNumber">""</definedName>
    <definedName name="DOW_CORNING_789_SILICONE_SEALANT" localSheetId="7">#REF!</definedName>
    <definedName name="DOW_CORNING_789_SILICONE_SEALANT" localSheetId="1">#REF!</definedName>
    <definedName name="DOW_CORNING_789_SILICONE_SEALANT" localSheetId="3">#REF!</definedName>
    <definedName name="DOW_CORNING_789_SILICONE_SEALANT">#REF!</definedName>
    <definedName name="Dozer" localSheetId="7">#REF!</definedName>
    <definedName name="Dozer" localSheetId="1">#REF!</definedName>
    <definedName name="Dozer" localSheetId="3">#REF!</definedName>
    <definedName name="Dozer">#REF!</definedName>
    <definedName name="DP" localSheetId="7">#REF!</definedName>
    <definedName name="DP" localSheetId="1">#REF!</definedName>
    <definedName name="DP" localSheetId="3">#REF!</definedName>
    <definedName name="DP">#REF!</definedName>
    <definedName name="dq" localSheetId="7">#REF!</definedName>
    <definedName name="dq" localSheetId="1">#REF!</definedName>
    <definedName name="dq" localSheetId="3">#REF!</definedName>
    <definedName name="dq">#REF!</definedName>
    <definedName name="DR.33" localSheetId="7">#REF!</definedName>
    <definedName name="DR.33" localSheetId="1">#REF!</definedName>
    <definedName name="DR.33" localSheetId="3">#REF!</definedName>
    <definedName name="DR.33">#REF!</definedName>
    <definedName name="DR.46" localSheetId="7">#REF!</definedName>
    <definedName name="DR.46" localSheetId="1">#REF!</definedName>
    <definedName name="DR.46" localSheetId="3">#REF!</definedName>
    <definedName name="DR.46">#REF!</definedName>
    <definedName name="DR.56" localSheetId="7">#REF!</definedName>
    <definedName name="DR.56" localSheetId="1">#REF!</definedName>
    <definedName name="DR.56" localSheetId="3">#REF!</definedName>
    <definedName name="DR.56">#REF!</definedName>
    <definedName name="draseaeAE">#N/A</definedName>
    <definedName name="dratio1" localSheetId="7">#REF!</definedName>
    <definedName name="dratio1" localSheetId="1">#REF!</definedName>
    <definedName name="dratio1" localSheetId="3">#REF!</definedName>
    <definedName name="dratio1">#REF!</definedName>
    <definedName name="Ds" localSheetId="2">#REF!</definedName>
    <definedName name="Ds___0" localSheetId="2">#REF!</definedName>
    <definedName name="dsadaD" localSheetId="5" hidden="1">{#N/A,#N/A,FALSE,"COVER1.XLS ";#N/A,#N/A,FALSE,"RACT1.XLS";#N/A,#N/A,FALSE,"RACT2.XLS";#N/A,#N/A,FALSE,"ECCMP";#N/A,#N/A,FALSE,"WELDER.XLS"}</definedName>
    <definedName name="dsadaD" localSheetId="2" hidden="1">{#N/A,#N/A,FALSE,"COVER1.XLS ";#N/A,#N/A,FALSE,"RACT1.XLS";#N/A,#N/A,FALSE,"RACT2.XLS";#N/A,#N/A,FALSE,"ECCMP";#N/A,#N/A,FALSE,"WELDER.XLS"}</definedName>
    <definedName name="DSCR_Avg" localSheetId="7">#REF!</definedName>
    <definedName name="DSCR_Avg" localSheetId="1">#REF!</definedName>
    <definedName name="DSCR_Avg" localSheetId="3">#REF!</definedName>
    <definedName name="DSCR_Avg">#REF!</definedName>
    <definedName name="DSCR_Min" localSheetId="7">#REF!</definedName>
    <definedName name="DSCR_Min" localSheetId="1">#REF!</definedName>
    <definedName name="DSCR_Min" localSheetId="3">#REF!</definedName>
    <definedName name="DSCR_Min">#REF!</definedName>
    <definedName name="dsds" localSheetId="7">#REF!</definedName>
    <definedName name="dsds" localSheetId="1">#REF!</definedName>
    <definedName name="dsds" localSheetId="3">#REF!</definedName>
    <definedName name="dsds">#REF!</definedName>
    <definedName name="dsfgdsfgsgf" localSheetId="7">#REF!</definedName>
    <definedName name="dsfgdsfgsgf" localSheetId="1">#REF!</definedName>
    <definedName name="dsfgdsfgsgf" localSheetId="3">#REF!</definedName>
    <definedName name="dsfgdsfgsgf">#REF!</definedName>
    <definedName name="dsfgsd" localSheetId="7">#REF!</definedName>
    <definedName name="dsfgsd" localSheetId="1">#REF!</definedName>
    <definedName name="dsfgsd" localSheetId="3">#REF!</definedName>
    <definedName name="dsfgsd">#REF!</definedName>
    <definedName name="dsfj" localSheetId="7" hidden="1">#REF!</definedName>
    <definedName name="dsfj" localSheetId="1" hidden="1">#REF!</definedName>
    <definedName name="dsfj" localSheetId="3" hidden="1">#REF!</definedName>
    <definedName name="dsfj" hidden="1">#REF!</definedName>
    <definedName name="dust" localSheetId="7">#REF!</definedName>
    <definedName name="dust" localSheetId="1">#REF!</definedName>
    <definedName name="dust" localSheetId="3">#REF!</definedName>
    <definedName name="dust">#REF!</definedName>
    <definedName name="Dv" localSheetId="7">#REF!</definedName>
    <definedName name="Dv" localSheetId="1">#REF!</definedName>
    <definedName name="Dv" localSheetId="3">#REF!</definedName>
    <definedName name="Dv">#REF!</definedName>
    <definedName name="E" localSheetId="7">#REF!</definedName>
    <definedName name="E" localSheetId="1">#REF!</definedName>
    <definedName name="E" localSheetId="3">#REF!</definedName>
    <definedName name="E">#REF!</definedName>
    <definedName name="e.anand" localSheetId="7">#REF!</definedName>
    <definedName name="e.anand" localSheetId="1">#REF!</definedName>
    <definedName name="e.anand" localSheetId="3">#REF!</definedName>
    <definedName name="e.anand">#REF!</definedName>
    <definedName name="e.nos" localSheetId="7">#REF!</definedName>
    <definedName name="e.nos" localSheetId="1">#REF!</definedName>
    <definedName name="e.nos" localSheetId="3">#REF!</definedName>
    <definedName name="e.nos">#REF!</definedName>
    <definedName name="e€955" localSheetId="7">#REF!</definedName>
    <definedName name="e€955" localSheetId="1">#REF!</definedName>
    <definedName name="e€955" localSheetId="3">#REF!</definedName>
    <definedName name="e€955">#REF!</definedName>
    <definedName name="Earth" localSheetId="7">#REF!</definedName>
    <definedName name="Earth" localSheetId="1">#REF!</definedName>
    <definedName name="Earth" localSheetId="3">#REF!</definedName>
    <definedName name="Earth">#REF!</definedName>
    <definedName name="ec" localSheetId="7">#REF!</definedName>
    <definedName name="ec" localSheetId="1">#REF!</definedName>
    <definedName name="ec" localSheetId="3">#REF!</definedName>
    <definedName name="ec">#REF!</definedName>
    <definedName name="ece" localSheetId="7">#REF!</definedName>
    <definedName name="ece" localSheetId="1">#REF!</definedName>
    <definedName name="ece" localSheetId="3">#REF!</definedName>
    <definedName name="ece">#REF!</definedName>
    <definedName name="ecs" localSheetId="7">#REF!</definedName>
    <definedName name="ecs" localSheetId="1">#REF!</definedName>
    <definedName name="ecs" localSheetId="3">#REF!</definedName>
    <definedName name="ecs">#REF!</definedName>
    <definedName name="ED" localSheetId="7">#REF!</definedName>
    <definedName name="ED" localSheetId="1">#REF!</definedName>
    <definedName name="ED" localSheetId="3">#REF!</definedName>
    <definedName name="ED">#REF!</definedName>
    <definedName name="edp" localSheetId="7">#REF!</definedName>
    <definedName name="edp" localSheetId="1">#REF!</definedName>
    <definedName name="edp" localSheetId="3">#REF!</definedName>
    <definedName name="edp">#REF!</definedName>
    <definedName name="edu" localSheetId="7">#REF!</definedName>
    <definedName name="edu" localSheetId="1">#REF!</definedName>
    <definedName name="edu" localSheetId="3">#REF!</definedName>
    <definedName name="edu">#REF!</definedName>
    <definedName name="ee" localSheetId="7">#REF!</definedName>
    <definedName name="ee" localSheetId="1">#REF!</definedName>
    <definedName name="ee" localSheetId="3">#REF!</definedName>
    <definedName name="ee">#REF!</definedName>
    <definedName name="eee" localSheetId="7">#REF!</definedName>
    <definedName name="eee" localSheetId="1">#REF!</definedName>
    <definedName name="eee" localSheetId="3">#REF!</definedName>
    <definedName name="eee">#REF!</definedName>
    <definedName name="EEEE" localSheetId="7">#REF!</definedName>
    <definedName name="EEEE" localSheetId="1">#REF!</definedName>
    <definedName name="EEEE" localSheetId="3">#REF!</definedName>
    <definedName name="EEEE">#REF!</definedName>
    <definedName name="eeeeeeeeeee" localSheetId="7">#REF!</definedName>
    <definedName name="eeeeeeeeeee" localSheetId="1">#REF!</definedName>
    <definedName name="eeeeeeeeeee" localSheetId="3">#REF!</definedName>
    <definedName name="eeeeeeeeeee">#REF!</definedName>
    <definedName name="Eela" localSheetId="7">#REF!</definedName>
    <definedName name="Eela" localSheetId="1">#REF!</definedName>
    <definedName name="Eela" localSheetId="3">#REF!</definedName>
    <definedName name="Eela">#REF!</definedName>
    <definedName name="efx" localSheetId="7">#REF!</definedName>
    <definedName name="efx" localSheetId="1">#REF!</definedName>
    <definedName name="efx" localSheetId="3">#REF!</definedName>
    <definedName name="efx">#REF!</definedName>
    <definedName name="efy" localSheetId="7">#REF!</definedName>
    <definedName name="efy" localSheetId="1">#REF!</definedName>
    <definedName name="efy" localSheetId="3">#REF!</definedName>
    <definedName name="efy">#REF!</definedName>
    <definedName name="ELE_CODE" localSheetId="7">#REF!</definedName>
    <definedName name="ELE_CODE" localSheetId="1">#REF!</definedName>
    <definedName name="ELE_CODE" localSheetId="3">#REF!</definedName>
    <definedName name="ELE_CODE">#REF!</definedName>
    <definedName name="Electric_Light___Power" localSheetId="7">#REF!</definedName>
    <definedName name="Electric_Light___Power" localSheetId="1">#REF!</definedName>
    <definedName name="Electric_Light___Power" localSheetId="3">#REF!</definedName>
    <definedName name="Electric_Light___Power">#REF!</definedName>
    <definedName name="ELECTRICAL" localSheetId="5" hidden="1">{#N/A,#N/A,FALSE,"mpph1";#N/A,#N/A,FALSE,"mpmseb";#N/A,#N/A,FALSE,"mpph2"}</definedName>
    <definedName name="ELECTRICAL" localSheetId="2" hidden="1">{#N/A,#N/A,FALSE,"mpph1";#N/A,#N/A,FALSE,"mpmseb";#N/A,#N/A,FALSE,"mpph2"}</definedName>
    <definedName name="Em" localSheetId="7">#REF!</definedName>
    <definedName name="Em" localSheetId="1">#REF!</definedName>
    <definedName name="Em" localSheetId="3">#REF!</definedName>
    <definedName name="Em">#REF!</definedName>
    <definedName name="Em___0" localSheetId="7">#REF!</definedName>
    <definedName name="Em___0" localSheetId="1">#REF!</definedName>
    <definedName name="Em___0" localSheetId="3">#REF!</definedName>
    <definedName name="Em___0">#REF!</definedName>
    <definedName name="Em___13" localSheetId="7">#REF!</definedName>
    <definedName name="Em___13" localSheetId="1">#REF!</definedName>
    <definedName name="Em___13" localSheetId="3">#REF!</definedName>
    <definedName name="Em___13">#REF!</definedName>
    <definedName name="Email" localSheetId="7">#REF!</definedName>
    <definedName name="Email" localSheetId="1">#REF!</definedName>
    <definedName name="Email" localSheetId="3">#REF!</definedName>
    <definedName name="Email">#REF!</definedName>
    <definedName name="EMOL" localSheetId="7">#REF!</definedName>
    <definedName name="EMOL" localSheetId="1">#REF!</definedName>
    <definedName name="EMOL" localSheetId="3">#REF!</definedName>
    <definedName name="EMOL">#REF!</definedName>
    <definedName name="End_Bal" localSheetId="7">#REF!</definedName>
    <definedName name="End_Bal" localSheetId="1">#REF!</definedName>
    <definedName name="End_Bal" localSheetId="3">#REF!</definedName>
    <definedName name="End_Bal">#REF!</definedName>
    <definedName name="Epi" localSheetId="7">#REF!</definedName>
    <definedName name="Epi" localSheetId="1">#REF!</definedName>
    <definedName name="Epi" localSheetId="3">#REF!</definedName>
    <definedName name="Epi">#REF!</definedName>
    <definedName name="er" localSheetId="7">#REF!</definedName>
    <definedName name="er" localSheetId="1">#REF!</definedName>
    <definedName name="er" localSheetId="3">#REF!</definedName>
    <definedName name="er">#REF!</definedName>
    <definedName name="Erection_Cost" localSheetId="7">#REF!</definedName>
    <definedName name="Erection_Cost" localSheetId="1">#REF!</definedName>
    <definedName name="Erection_Cost" localSheetId="3">#REF!</definedName>
    <definedName name="Erection_Cost">#REF!</definedName>
    <definedName name="Erection_Sales" localSheetId="7">#REF!</definedName>
    <definedName name="Erection_Sales" localSheetId="1">#REF!</definedName>
    <definedName name="Erection_Sales" localSheetId="3">#REF!</definedName>
    <definedName name="Erection_Sales">#REF!</definedName>
    <definedName name="erer" localSheetId="7">#REF!</definedName>
    <definedName name="erer" localSheetId="1">#REF!</definedName>
    <definedName name="erer" localSheetId="3">#REF!</definedName>
    <definedName name="erer">#REF!</definedName>
    <definedName name="erretr" localSheetId="7">#REF!</definedName>
    <definedName name="erretr" localSheetId="1">#REF!</definedName>
    <definedName name="erretr" localSheetId="3">#REF!</definedName>
    <definedName name="erretr">#REF!</definedName>
    <definedName name="Error.message.01">"Item not found in bill"</definedName>
    <definedName name="Error.message.02">"Item not defined"</definedName>
    <definedName name="Es" localSheetId="7">#REF!</definedName>
    <definedName name="Es" localSheetId="1">#REF!</definedName>
    <definedName name="Es" localSheetId="3">#REF!</definedName>
    <definedName name="Es">#REF!</definedName>
    <definedName name="Es___0" localSheetId="7">#REF!</definedName>
    <definedName name="Es___0" localSheetId="1">#REF!</definedName>
    <definedName name="Es___0" localSheetId="3">#REF!</definedName>
    <definedName name="Es___0">#REF!</definedName>
    <definedName name="Es___13" localSheetId="7">#REF!</definedName>
    <definedName name="Es___13" localSheetId="1">#REF!</definedName>
    <definedName name="Es___13" localSheetId="3">#REF!</definedName>
    <definedName name="Es___13">#REF!</definedName>
    <definedName name="esc_constcost" localSheetId="7">#REF!</definedName>
    <definedName name="esc_constcost" localSheetId="1">#REF!</definedName>
    <definedName name="esc_constcost" localSheetId="3">#REF!</definedName>
    <definedName name="esc_constcost">#REF!</definedName>
    <definedName name="esc_constcost_I" localSheetId="7">#REF!</definedName>
    <definedName name="esc_constcost_I" localSheetId="1">#REF!</definedName>
    <definedName name="esc_constcost_I" localSheetId="3">#REF!</definedName>
    <definedName name="esc_constcost_I">#REF!</definedName>
    <definedName name="esc_om_I" localSheetId="7">#REF!</definedName>
    <definedName name="esc_om_I" localSheetId="1">#REF!</definedName>
    <definedName name="esc_om_I" localSheetId="3">#REF!</definedName>
    <definedName name="esc_om_I">#REF!</definedName>
    <definedName name="EscAdminWash" localSheetId="7">#REF!</definedName>
    <definedName name="EscAdminWash" localSheetId="1">#REF!</definedName>
    <definedName name="EscAdminWash" localSheetId="3">#REF!</definedName>
    <definedName name="EscAdminWash">#REF!</definedName>
    <definedName name="EscAdminWash_I" localSheetId="7">#REF!</definedName>
    <definedName name="EscAdminWash_I" localSheetId="1">#REF!</definedName>
    <definedName name="EscAdminWash_I" localSheetId="3">#REF!</definedName>
    <definedName name="EscAdminWash_I">#REF!</definedName>
    <definedName name="EscFuel" localSheetId="7">#REF!</definedName>
    <definedName name="EscFuel" localSheetId="1">#REF!</definedName>
    <definedName name="EscFuel" localSheetId="3">#REF!</definedName>
    <definedName name="EscFuel">#REF!</definedName>
    <definedName name="EscFuel_I" localSheetId="7">#REF!</definedName>
    <definedName name="EscFuel_I" localSheetId="1">#REF!</definedName>
    <definedName name="EscFuel_I" localSheetId="3">#REF!</definedName>
    <definedName name="EscFuel_I">#REF!</definedName>
    <definedName name="EscOthExp" localSheetId="7">#REF!</definedName>
    <definedName name="EscOthExp" localSheetId="1">#REF!</definedName>
    <definedName name="EscOthExp" localSheetId="3">#REF!</definedName>
    <definedName name="EscOthExp">#REF!</definedName>
    <definedName name="EscOthExp_I" localSheetId="7">#REF!</definedName>
    <definedName name="EscOthExp_I" localSheetId="1">#REF!</definedName>
    <definedName name="EscOthExp_I" localSheetId="3">#REF!</definedName>
    <definedName name="EscOthExp_I">#REF!</definedName>
    <definedName name="EscSalWash" localSheetId="7">#REF!</definedName>
    <definedName name="EscSalWash" localSheetId="1">#REF!</definedName>
    <definedName name="EscSalWash" localSheetId="3">#REF!</definedName>
    <definedName name="EscSalWash">#REF!</definedName>
    <definedName name="EscSalWash_I" localSheetId="7">#REF!</definedName>
    <definedName name="EscSalWash_I" localSheetId="1">#REF!</definedName>
    <definedName name="EscSalWash_I" localSheetId="3">#REF!</definedName>
    <definedName name="EscSalWash_I">#REF!</definedName>
    <definedName name="EscStorWash" localSheetId="7">#REF!</definedName>
    <definedName name="EscStorWash" localSheetId="1">#REF!</definedName>
    <definedName name="EscStorWash" localSheetId="3">#REF!</definedName>
    <definedName name="EscStorWash">#REF!</definedName>
    <definedName name="EscStorWash_I" localSheetId="7">#REF!</definedName>
    <definedName name="EscStorWash_I" localSheetId="1">#REF!</definedName>
    <definedName name="EscStorWash_I" localSheetId="3">#REF!</definedName>
    <definedName name="EscStorWash_I">#REF!</definedName>
    <definedName name="EscTariff" localSheetId="7">#REF!</definedName>
    <definedName name="EscTariff" localSheetId="1">#REF!</definedName>
    <definedName name="EscTariff" localSheetId="3">#REF!</definedName>
    <definedName name="EscTariff">#REF!</definedName>
    <definedName name="EscTariff_I" localSheetId="7">#REF!</definedName>
    <definedName name="EscTariff_I" localSheetId="1">#REF!</definedName>
    <definedName name="EscTariff_I" localSheetId="3">#REF!</definedName>
    <definedName name="EscTariff_I">#REF!</definedName>
    <definedName name="Ess" localSheetId="7">#REF!</definedName>
    <definedName name="Ess" localSheetId="1">#REF!</definedName>
    <definedName name="Ess" localSheetId="3">#REF!</definedName>
    <definedName name="Ess">#REF!</definedName>
    <definedName name="essai" localSheetId="7">#REF!</definedName>
    <definedName name="essai" localSheetId="1">#REF!</definedName>
    <definedName name="essai" localSheetId="3">#REF!</definedName>
    <definedName name="essai">#REF!</definedName>
    <definedName name="ESSR1" localSheetId="7">#REF!</definedName>
    <definedName name="ESSR1" localSheetId="1">#REF!</definedName>
    <definedName name="ESSR1" localSheetId="3">#REF!</definedName>
    <definedName name="ESSR1">#REF!</definedName>
    <definedName name="ESSR10" localSheetId="7">#REF!</definedName>
    <definedName name="ESSR10" localSheetId="1">#REF!</definedName>
    <definedName name="ESSR10" localSheetId="3">#REF!</definedName>
    <definedName name="ESSR10">#REF!</definedName>
    <definedName name="ESSR11" localSheetId="7">#REF!</definedName>
    <definedName name="ESSR11" localSheetId="1">#REF!</definedName>
    <definedName name="ESSR11" localSheetId="3">#REF!</definedName>
    <definedName name="ESSR11">#REF!</definedName>
    <definedName name="ESSR12" localSheetId="7">#REF!</definedName>
    <definedName name="ESSR12" localSheetId="1">#REF!</definedName>
    <definedName name="ESSR12" localSheetId="3">#REF!</definedName>
    <definedName name="ESSR12">#REF!</definedName>
    <definedName name="ESSR13" localSheetId="7">#REF!</definedName>
    <definedName name="ESSR13" localSheetId="1">#REF!</definedName>
    <definedName name="ESSR13" localSheetId="3">#REF!</definedName>
    <definedName name="ESSR13">#REF!</definedName>
    <definedName name="ESSR2" localSheetId="7">#REF!</definedName>
    <definedName name="ESSR2" localSheetId="1">#REF!</definedName>
    <definedName name="ESSR2" localSheetId="3">#REF!</definedName>
    <definedName name="ESSR2">#REF!</definedName>
    <definedName name="ESSR3" localSheetId="7">#REF!</definedName>
    <definedName name="ESSR3" localSheetId="1">#REF!</definedName>
    <definedName name="ESSR3" localSheetId="3">#REF!</definedName>
    <definedName name="ESSR3">#REF!</definedName>
    <definedName name="ESSR4" localSheetId="7">#REF!</definedName>
    <definedName name="ESSR4" localSheetId="1">#REF!</definedName>
    <definedName name="ESSR4" localSheetId="3">#REF!</definedName>
    <definedName name="ESSR4">#REF!</definedName>
    <definedName name="ESSR5" localSheetId="7">#REF!</definedName>
    <definedName name="ESSR5" localSheetId="1">#REF!</definedName>
    <definedName name="ESSR5" localSheetId="3">#REF!</definedName>
    <definedName name="ESSR5">#REF!</definedName>
    <definedName name="ESSR6" localSheetId="7">#REF!</definedName>
    <definedName name="ESSR6" localSheetId="1">#REF!</definedName>
    <definedName name="ESSR6" localSheetId="3">#REF!</definedName>
    <definedName name="ESSR6">#REF!</definedName>
    <definedName name="ESSR7" localSheetId="7">#REF!</definedName>
    <definedName name="ESSR7" localSheetId="1">#REF!</definedName>
    <definedName name="ESSR7" localSheetId="3">#REF!</definedName>
    <definedName name="ESSR7">#REF!</definedName>
    <definedName name="ESSR8" localSheetId="7">#REF!</definedName>
    <definedName name="ESSR8" localSheetId="1">#REF!</definedName>
    <definedName name="ESSR8" localSheetId="3">#REF!</definedName>
    <definedName name="ESSR8">#REF!</definedName>
    <definedName name="ESSR9" localSheetId="7">#REF!</definedName>
    <definedName name="ESSR9" localSheetId="1">#REF!</definedName>
    <definedName name="ESSR9" localSheetId="3">#REF!</definedName>
    <definedName name="ESSR9">#REF!</definedName>
    <definedName name="Est" localSheetId="7">#REF!</definedName>
    <definedName name="Est" localSheetId="1">#REF!</definedName>
    <definedName name="Est" localSheetId="3">#REF!</definedName>
    <definedName name="Est">#REF!</definedName>
    <definedName name="estimate" localSheetId="7">#REF!</definedName>
    <definedName name="estimate" localSheetId="1">#REF!</definedName>
    <definedName name="estimate" localSheetId="3">#REF!</definedName>
    <definedName name="estimate">#REF!</definedName>
    <definedName name="Estimation" localSheetId="7">#REF!</definedName>
    <definedName name="Estimation" localSheetId="1">#REF!</definedName>
    <definedName name="Estimation" localSheetId="3">#REF!</definedName>
    <definedName name="Estimation">#REF!</definedName>
    <definedName name="Et" localSheetId="7">#REF!</definedName>
    <definedName name="Et" localSheetId="1">#REF!</definedName>
    <definedName name="Et" localSheetId="3">#REF!</definedName>
    <definedName name="Et">#REF!</definedName>
    <definedName name="Et___0" localSheetId="7">#REF!</definedName>
    <definedName name="Et___0" localSheetId="1">#REF!</definedName>
    <definedName name="Et___0" localSheetId="3">#REF!</definedName>
    <definedName name="Et___0">#REF!</definedName>
    <definedName name="Et___13" localSheetId="7">#REF!</definedName>
    <definedName name="Et___13" localSheetId="1">#REF!</definedName>
    <definedName name="Et___13" localSheetId="3">#REF!</definedName>
    <definedName name="Et___13">#REF!</definedName>
    <definedName name="Eta" localSheetId="7">#REF!</definedName>
    <definedName name="Eta" localSheetId="1">#REF!</definedName>
    <definedName name="Eta" localSheetId="3">#REF!</definedName>
    <definedName name="Eta">#REF!</definedName>
    <definedName name="Eth" localSheetId="7">#REF!</definedName>
    <definedName name="Eth" localSheetId="1">#REF!</definedName>
    <definedName name="Eth" localSheetId="3">#REF!</definedName>
    <definedName name="Eth">#REF!</definedName>
    <definedName name="eto" localSheetId="7">#REF!</definedName>
    <definedName name="eto" localSheetId="1">#REF!</definedName>
    <definedName name="eto" localSheetId="3">#REF!</definedName>
    <definedName name="eto">#REF!</definedName>
    <definedName name="EUR" localSheetId="7">#REF!</definedName>
    <definedName name="EUR" localSheetId="1">#REF!</definedName>
    <definedName name="EUR" localSheetId="3">#REF!</definedName>
    <definedName name="EUR">#REF!</definedName>
    <definedName name="euronet" localSheetId="5" hidden="1">{#N/A,#N/A,TRUE,"Front";#N/A,#N/A,TRUE,"Simple Letter";#N/A,#N/A,TRUE,"Inside";#N/A,#N/A,TRUE,"Contents";#N/A,#N/A,TRUE,"Basis";#N/A,#N/A,TRUE,"Inclusions";#N/A,#N/A,TRUE,"Exclusions";#N/A,#N/A,TRUE,"Areas";#N/A,#N/A,TRUE,"Summary";#N/A,#N/A,TRUE,"Detail"}</definedName>
    <definedName name="euronet" localSheetId="2" hidden="1">{#N/A,#N/A,TRUE,"Front";#N/A,#N/A,TRUE,"Simple Letter";#N/A,#N/A,TRUE,"Inside";#N/A,#N/A,TRUE,"Contents";#N/A,#N/A,TRUE,"Basis";#N/A,#N/A,TRUE,"Inclusions";#N/A,#N/A,TRUE,"Exclusions";#N/A,#N/A,TRUE,"Areas";#N/A,#N/A,TRUE,"Summary";#N/A,#N/A,TRUE,"Detail"}</definedName>
    <definedName name="EW" localSheetId="7">#REF!</definedName>
    <definedName name="EW" localSheetId="1">#REF!</definedName>
    <definedName name="EW" localSheetId="3">#REF!</definedName>
    <definedName name="EW">#REF!</definedName>
    <definedName name="ex" localSheetId="7">#REF!</definedName>
    <definedName name="ex" localSheetId="1">#REF!</definedName>
    <definedName name="ex" localSheetId="3">#REF!</definedName>
    <definedName name="ex">#REF!</definedName>
    <definedName name="Excavation" localSheetId="7">#REF!</definedName>
    <definedName name="Excavation" localSheetId="1">#REF!</definedName>
    <definedName name="Excavation" localSheetId="3">#REF!</definedName>
    <definedName name="Excavation">#REF!</definedName>
    <definedName name="excavcl" localSheetId="7">#REF!</definedName>
    <definedName name="excavcl" localSheetId="1">#REF!</definedName>
    <definedName name="excavcl" localSheetId="3">#REF!</definedName>
    <definedName name="excavcl">#REF!</definedName>
    <definedName name="Excel_BuiltIn__FilterDatabase_1_1" localSheetId="7">#REF!</definedName>
    <definedName name="Excel_BuiltIn__FilterDatabase_1_1" localSheetId="1">#REF!</definedName>
    <definedName name="Excel_BuiltIn__FilterDatabase_1_1" localSheetId="3">#REF!</definedName>
    <definedName name="Excel_BuiltIn__FilterDatabase_1_1">#REF!</definedName>
    <definedName name="Excel_BuiltIn__FilterDatabase_2" localSheetId="7">#REF!</definedName>
    <definedName name="Excel_BuiltIn__FilterDatabase_2" localSheetId="1">#REF!</definedName>
    <definedName name="Excel_BuiltIn__FilterDatabase_2" localSheetId="3">#REF!</definedName>
    <definedName name="Excel_BuiltIn__FilterDatabase_2">#REF!</definedName>
    <definedName name="Excel_BuiltIn__FilterDatabase_9" localSheetId="7">#REF!</definedName>
    <definedName name="Excel_BuiltIn__FilterDatabase_9" localSheetId="1">#REF!</definedName>
    <definedName name="Excel_BuiltIn__FilterDatabase_9" localSheetId="3">#REF!</definedName>
    <definedName name="Excel_BuiltIn__FilterDatabase_9">#REF!</definedName>
    <definedName name="Excel_BuiltIn_Criteria_1_1" localSheetId="7">#REF!</definedName>
    <definedName name="Excel_BuiltIn_Criteria_1_1" localSheetId="1">#REF!</definedName>
    <definedName name="Excel_BuiltIn_Criteria_1_1" localSheetId="3">#REF!</definedName>
    <definedName name="Excel_BuiltIn_Criteria_1_1">#REF!</definedName>
    <definedName name="Excel_BuiltIn_Database" localSheetId="7">#REF!</definedName>
    <definedName name="Excel_BuiltIn_Database" localSheetId="1">#REF!</definedName>
    <definedName name="Excel_BuiltIn_Database" localSheetId="3">#REF!</definedName>
    <definedName name="Excel_BuiltIn_Database">#REF!</definedName>
    <definedName name="Excel_BuiltIn_Database_0" localSheetId="7">#REF!</definedName>
    <definedName name="Excel_BuiltIn_Database_0" localSheetId="1">#REF!</definedName>
    <definedName name="Excel_BuiltIn_Database_0" localSheetId="3">#REF!</definedName>
    <definedName name="Excel_BuiltIn_Database_0">#REF!</definedName>
    <definedName name="Excel_BuiltIn_Database_18" localSheetId="7">#REF!</definedName>
    <definedName name="Excel_BuiltIn_Database_18" localSheetId="1">#REF!</definedName>
    <definedName name="Excel_BuiltIn_Database_18" localSheetId="3">#REF!</definedName>
    <definedName name="Excel_BuiltIn_Database_18">#REF!</definedName>
    <definedName name="Excel_BuiltIn_Print_Area" localSheetId="7">#REF!</definedName>
    <definedName name="Excel_BuiltIn_Print_Area" localSheetId="1">#REF!</definedName>
    <definedName name="Excel_BuiltIn_Print_Area" localSheetId="3">#REF!</definedName>
    <definedName name="Excel_BuiltIn_Print_Area">#REF!</definedName>
    <definedName name="Excel_BuiltIn_Print_Area_1" localSheetId="7">#REF!</definedName>
    <definedName name="Excel_BuiltIn_Print_Area_1" localSheetId="1">#REF!</definedName>
    <definedName name="Excel_BuiltIn_Print_Area_1" localSheetId="3">#REF!</definedName>
    <definedName name="Excel_BuiltIn_Print_Area_1">#REF!</definedName>
    <definedName name="Excel_BuiltIn_Print_Area_1_1" localSheetId="7">#REF!</definedName>
    <definedName name="Excel_BuiltIn_Print_Area_1_1" localSheetId="1">#REF!</definedName>
    <definedName name="Excel_BuiltIn_Print_Area_1_1" localSheetId="3">#REF!</definedName>
    <definedName name="Excel_BuiltIn_Print_Area_1_1">#REF!</definedName>
    <definedName name="Excel_BuiltIn_Print_Area_1_2">"$#REF!.$B$3:$D$60"</definedName>
    <definedName name="Excel_BuiltIn_Print_Area_10" localSheetId="7">#REF!</definedName>
    <definedName name="Excel_BuiltIn_Print_Area_10" localSheetId="1">#REF!</definedName>
    <definedName name="Excel_BuiltIn_Print_Area_10" localSheetId="3">#REF!</definedName>
    <definedName name="Excel_BuiltIn_Print_Area_10">#REF!</definedName>
    <definedName name="Excel_BuiltIn_Print_Area_11" localSheetId="7">#REF!</definedName>
    <definedName name="Excel_BuiltIn_Print_Area_11" localSheetId="1">#REF!</definedName>
    <definedName name="Excel_BuiltIn_Print_Area_11" localSheetId="3">#REF!</definedName>
    <definedName name="Excel_BuiltIn_Print_Area_11">#REF!</definedName>
    <definedName name="Excel_BuiltIn_Print_Area_12" localSheetId="7">#REF!</definedName>
    <definedName name="Excel_BuiltIn_Print_Area_12" localSheetId="1">#REF!</definedName>
    <definedName name="Excel_BuiltIn_Print_Area_12" localSheetId="3">#REF!</definedName>
    <definedName name="Excel_BuiltIn_Print_Area_12">#REF!</definedName>
    <definedName name="Excel_BuiltIn_Print_Area_13" localSheetId="7">#REF!</definedName>
    <definedName name="Excel_BuiltIn_Print_Area_13" localSheetId="1">#REF!</definedName>
    <definedName name="Excel_BuiltIn_Print_Area_13" localSheetId="3">#REF!</definedName>
    <definedName name="Excel_BuiltIn_Print_Area_13">#REF!</definedName>
    <definedName name="Excel_BuiltIn_Print_Area_13_1" localSheetId="7">#REF!</definedName>
    <definedName name="Excel_BuiltIn_Print_Area_13_1" localSheetId="1">#REF!</definedName>
    <definedName name="Excel_BuiltIn_Print_Area_13_1" localSheetId="3">#REF!</definedName>
    <definedName name="Excel_BuiltIn_Print_Area_13_1">#REF!</definedName>
    <definedName name="Excel_BuiltIn_Print_Area_14" localSheetId="7">#REF!</definedName>
    <definedName name="Excel_BuiltIn_Print_Area_14" localSheetId="1">#REF!</definedName>
    <definedName name="Excel_BuiltIn_Print_Area_14" localSheetId="3">#REF!</definedName>
    <definedName name="Excel_BuiltIn_Print_Area_14">#REF!</definedName>
    <definedName name="Excel_BuiltIn_Print_Area_15" localSheetId="7">#REF!</definedName>
    <definedName name="Excel_BuiltIn_Print_Area_15" localSheetId="1">#REF!</definedName>
    <definedName name="Excel_BuiltIn_Print_Area_15" localSheetId="3">#REF!</definedName>
    <definedName name="Excel_BuiltIn_Print_Area_15">#REF!</definedName>
    <definedName name="Excel_BuiltIn_Print_Area_15_1" localSheetId="7">#REF!</definedName>
    <definedName name="Excel_BuiltIn_Print_Area_15_1" localSheetId="1">#REF!</definedName>
    <definedName name="Excel_BuiltIn_Print_Area_15_1" localSheetId="3">#REF!</definedName>
    <definedName name="Excel_BuiltIn_Print_Area_15_1">#REF!</definedName>
    <definedName name="Excel_BuiltIn_Print_Area_16" localSheetId="7">#REF!</definedName>
    <definedName name="Excel_BuiltIn_Print_Area_16" localSheetId="1">#REF!</definedName>
    <definedName name="Excel_BuiltIn_Print_Area_16" localSheetId="3">#REF!</definedName>
    <definedName name="Excel_BuiltIn_Print_Area_16">#REF!</definedName>
    <definedName name="Excel_BuiltIn_Print_Area_17" localSheetId="7">#REF!</definedName>
    <definedName name="Excel_BuiltIn_Print_Area_17" localSheetId="1">#REF!</definedName>
    <definedName name="Excel_BuiltIn_Print_Area_17" localSheetId="3">#REF!</definedName>
    <definedName name="Excel_BuiltIn_Print_Area_17">#REF!</definedName>
    <definedName name="Excel_BuiltIn_Print_Area_17_1" localSheetId="7">#REF!</definedName>
    <definedName name="Excel_BuiltIn_Print_Area_17_1" localSheetId="1">#REF!</definedName>
    <definedName name="Excel_BuiltIn_Print_Area_17_1" localSheetId="3">#REF!</definedName>
    <definedName name="Excel_BuiltIn_Print_Area_17_1">#REF!</definedName>
    <definedName name="Excel_BuiltIn_Print_Area_17_1_1" localSheetId="7">#REF!</definedName>
    <definedName name="Excel_BuiltIn_Print_Area_17_1_1" localSheetId="1">#REF!</definedName>
    <definedName name="Excel_BuiltIn_Print_Area_17_1_1" localSheetId="3">#REF!</definedName>
    <definedName name="Excel_BuiltIn_Print_Area_17_1_1">#REF!</definedName>
    <definedName name="Excel_BuiltIn_Print_Area_18" localSheetId="7">#REF!</definedName>
    <definedName name="Excel_BuiltIn_Print_Area_18" localSheetId="1">#REF!</definedName>
    <definedName name="Excel_BuiltIn_Print_Area_18" localSheetId="3">#REF!</definedName>
    <definedName name="Excel_BuiltIn_Print_Area_18">#REF!</definedName>
    <definedName name="Excel_BuiltIn_Print_Area_19" localSheetId="7">#REF!</definedName>
    <definedName name="Excel_BuiltIn_Print_Area_19" localSheetId="1">#REF!</definedName>
    <definedName name="Excel_BuiltIn_Print_Area_19" localSheetId="3">#REF!</definedName>
    <definedName name="Excel_BuiltIn_Print_Area_19">#REF!</definedName>
    <definedName name="Excel_BuiltIn_Print_Area_2" localSheetId="7">#REF!</definedName>
    <definedName name="Excel_BuiltIn_Print_Area_2" localSheetId="1">#REF!</definedName>
    <definedName name="Excel_BuiltIn_Print_Area_2" localSheetId="3">#REF!</definedName>
    <definedName name="Excel_BuiltIn_Print_Area_2">#REF!</definedName>
    <definedName name="Excel_BuiltIn_Print_Area_2_1" localSheetId="7">#REF!</definedName>
    <definedName name="Excel_BuiltIn_Print_Area_2_1" localSheetId="1">#REF!</definedName>
    <definedName name="Excel_BuiltIn_Print_Area_2_1" localSheetId="3">#REF!</definedName>
    <definedName name="Excel_BuiltIn_Print_Area_2_1">#REF!</definedName>
    <definedName name="Excel_BuiltIn_Print_Area_2_1_1_1_1_1_1" localSheetId="7">#REF!</definedName>
    <definedName name="Excel_BuiltIn_Print_Area_2_1_1_1_1_1_1" localSheetId="1">#REF!</definedName>
    <definedName name="Excel_BuiltIn_Print_Area_2_1_1_1_1_1_1" localSheetId="3">#REF!</definedName>
    <definedName name="Excel_BuiltIn_Print_Area_2_1_1_1_1_1_1">#REF!</definedName>
    <definedName name="Excel_BuiltIn_Print_Area_2_1_1_1_1_1_1_1" localSheetId="7">#REF!</definedName>
    <definedName name="Excel_BuiltIn_Print_Area_2_1_1_1_1_1_1_1" localSheetId="1">#REF!</definedName>
    <definedName name="Excel_BuiltIn_Print_Area_2_1_1_1_1_1_1_1" localSheetId="3">#REF!</definedName>
    <definedName name="Excel_BuiltIn_Print_Area_2_1_1_1_1_1_1_1">#REF!</definedName>
    <definedName name="Excel_BuiltIn_Print_Area_2_1_1_1_1_1_1_1_1" localSheetId="7">#REF!</definedName>
    <definedName name="Excel_BuiltIn_Print_Area_2_1_1_1_1_1_1_1_1" localSheetId="1">#REF!</definedName>
    <definedName name="Excel_BuiltIn_Print_Area_2_1_1_1_1_1_1_1_1" localSheetId="3">#REF!</definedName>
    <definedName name="Excel_BuiltIn_Print_Area_2_1_1_1_1_1_1_1_1">#REF!</definedName>
    <definedName name="Excel_BuiltIn_Print_Area_2_1_1_1_1_1_2" localSheetId="7">#REF!</definedName>
    <definedName name="Excel_BuiltIn_Print_Area_2_1_1_1_1_1_2" localSheetId="1">#REF!</definedName>
    <definedName name="Excel_BuiltIn_Print_Area_2_1_1_1_1_1_2" localSheetId="3">#REF!</definedName>
    <definedName name="Excel_BuiltIn_Print_Area_2_1_1_1_1_1_2">#REF!</definedName>
    <definedName name="Excel_BuiltIn_Print_Area_2_1_1_1_1_3" localSheetId="7">#REF!</definedName>
    <definedName name="Excel_BuiltIn_Print_Area_2_1_1_1_1_3" localSheetId="1">#REF!</definedName>
    <definedName name="Excel_BuiltIn_Print_Area_2_1_1_1_1_3" localSheetId="3">#REF!</definedName>
    <definedName name="Excel_BuiltIn_Print_Area_2_1_1_1_1_3">#REF!</definedName>
    <definedName name="Excel_BuiltIn_Print_Area_2_1_1_1_3" localSheetId="7">#REF!</definedName>
    <definedName name="Excel_BuiltIn_Print_Area_2_1_1_1_3" localSheetId="1">#REF!</definedName>
    <definedName name="Excel_BuiltIn_Print_Area_2_1_1_1_3" localSheetId="3">#REF!</definedName>
    <definedName name="Excel_BuiltIn_Print_Area_2_1_1_1_3">#REF!</definedName>
    <definedName name="Excel_BuiltIn_Print_Area_2_1_1_3" localSheetId="7">#REF!</definedName>
    <definedName name="Excel_BuiltIn_Print_Area_2_1_1_3" localSheetId="1">#REF!</definedName>
    <definedName name="Excel_BuiltIn_Print_Area_2_1_1_3" localSheetId="3">#REF!</definedName>
    <definedName name="Excel_BuiltIn_Print_Area_2_1_1_3">#REF!</definedName>
    <definedName name="Excel_BuiltIn_Print_Area_2_1_3" localSheetId="7">#REF!</definedName>
    <definedName name="Excel_BuiltIn_Print_Area_2_1_3" localSheetId="1">#REF!</definedName>
    <definedName name="Excel_BuiltIn_Print_Area_2_1_3" localSheetId="3">#REF!</definedName>
    <definedName name="Excel_BuiltIn_Print_Area_2_1_3">#REF!</definedName>
    <definedName name="Excel_BuiltIn_Print_Area_21" localSheetId="7">#REF!</definedName>
    <definedName name="Excel_BuiltIn_Print_Area_21" localSheetId="1">#REF!</definedName>
    <definedName name="Excel_BuiltIn_Print_Area_21" localSheetId="3">#REF!</definedName>
    <definedName name="Excel_BuiltIn_Print_Area_21">#REF!</definedName>
    <definedName name="Excel_BuiltIn_Print_Area_22" localSheetId="7">#REF!</definedName>
    <definedName name="Excel_BuiltIn_Print_Area_22" localSheetId="1">#REF!</definedName>
    <definedName name="Excel_BuiltIn_Print_Area_22" localSheetId="3">#REF!</definedName>
    <definedName name="Excel_BuiltIn_Print_Area_22">#REF!</definedName>
    <definedName name="Excel_BuiltIn_Print_Area_23" localSheetId="7">#REF!</definedName>
    <definedName name="Excel_BuiltIn_Print_Area_23" localSheetId="1">#REF!</definedName>
    <definedName name="Excel_BuiltIn_Print_Area_23" localSheetId="3">#REF!</definedName>
    <definedName name="Excel_BuiltIn_Print_Area_23">#REF!</definedName>
    <definedName name="Excel_BuiltIn_Print_Area_24" localSheetId="7">#REF!</definedName>
    <definedName name="Excel_BuiltIn_Print_Area_24" localSheetId="1">#REF!</definedName>
    <definedName name="Excel_BuiltIn_Print_Area_24" localSheetId="3">#REF!</definedName>
    <definedName name="Excel_BuiltIn_Print_Area_24">#REF!</definedName>
    <definedName name="Excel_BuiltIn_Print_Area_25" localSheetId="7">#REF!</definedName>
    <definedName name="Excel_BuiltIn_Print_Area_25" localSheetId="1">#REF!</definedName>
    <definedName name="Excel_BuiltIn_Print_Area_25" localSheetId="3">#REF!</definedName>
    <definedName name="Excel_BuiltIn_Print_Area_25">#REF!</definedName>
    <definedName name="Excel_BuiltIn_Print_Area_3" localSheetId="7">#REF!</definedName>
    <definedName name="Excel_BuiltIn_Print_Area_3" localSheetId="1">#REF!</definedName>
    <definedName name="Excel_BuiltIn_Print_Area_3" localSheetId="3">#REF!</definedName>
    <definedName name="Excel_BuiltIn_Print_Area_3">#REF!</definedName>
    <definedName name="Excel_BuiltIn_Print_Area_3_1" localSheetId="7">#REF!</definedName>
    <definedName name="Excel_BuiltIn_Print_Area_3_1" localSheetId="1">#REF!</definedName>
    <definedName name="Excel_BuiltIn_Print_Area_3_1" localSheetId="3">#REF!</definedName>
    <definedName name="Excel_BuiltIn_Print_Area_3_1">#REF!</definedName>
    <definedName name="Excel_BuiltIn_Print_Area_3_1_1" localSheetId="7">#REF!</definedName>
    <definedName name="Excel_BuiltIn_Print_Area_3_1_1" localSheetId="1">#REF!</definedName>
    <definedName name="Excel_BuiltIn_Print_Area_3_1_1" localSheetId="3">#REF!</definedName>
    <definedName name="Excel_BuiltIn_Print_Area_3_1_1">#REF!</definedName>
    <definedName name="Excel_BuiltIn_Print_Area_3_1_1_1" localSheetId="7">#REF!</definedName>
    <definedName name="Excel_BuiltIn_Print_Area_3_1_1_1" localSheetId="1">#REF!</definedName>
    <definedName name="Excel_BuiltIn_Print_Area_3_1_1_1" localSheetId="3">#REF!</definedName>
    <definedName name="Excel_BuiltIn_Print_Area_3_1_1_1">#REF!</definedName>
    <definedName name="Excel_BuiltIn_Print_Area_4" localSheetId="7">#REF!</definedName>
    <definedName name="Excel_BuiltIn_Print_Area_4" localSheetId="1">#REF!</definedName>
    <definedName name="Excel_BuiltIn_Print_Area_4" localSheetId="3">#REF!</definedName>
    <definedName name="Excel_BuiltIn_Print_Area_4">#REF!</definedName>
    <definedName name="Excel_BuiltIn_Print_Area_4_1" localSheetId="7">#REF!</definedName>
    <definedName name="Excel_BuiltIn_Print_Area_4_1" localSheetId="1">#REF!</definedName>
    <definedName name="Excel_BuiltIn_Print_Area_4_1" localSheetId="3">#REF!</definedName>
    <definedName name="Excel_BuiltIn_Print_Area_4_1">#REF!</definedName>
    <definedName name="Excel_BuiltIn_Print_Area_5" localSheetId="7">#REF!</definedName>
    <definedName name="Excel_BuiltIn_Print_Area_5" localSheetId="1">#REF!</definedName>
    <definedName name="Excel_BuiltIn_Print_Area_5" localSheetId="3">#REF!</definedName>
    <definedName name="Excel_BuiltIn_Print_Area_5">#REF!</definedName>
    <definedName name="Excel_BuiltIn_Print_Area_5_1" localSheetId="7">#REF!</definedName>
    <definedName name="Excel_BuiltIn_Print_Area_5_1" localSheetId="1">#REF!</definedName>
    <definedName name="Excel_BuiltIn_Print_Area_5_1" localSheetId="3">#REF!</definedName>
    <definedName name="Excel_BuiltIn_Print_Area_5_1">#REF!</definedName>
    <definedName name="Excel_BuiltIn_Print_Area_6" localSheetId="7">#REF!</definedName>
    <definedName name="Excel_BuiltIn_Print_Area_6" localSheetId="1">#REF!</definedName>
    <definedName name="Excel_BuiltIn_Print_Area_6" localSheetId="3">#REF!</definedName>
    <definedName name="Excel_BuiltIn_Print_Area_6">#REF!</definedName>
    <definedName name="Excel_BuiltIn_Print_Area_7" localSheetId="7">#REF!</definedName>
    <definedName name="Excel_BuiltIn_Print_Area_7" localSheetId="1">#REF!</definedName>
    <definedName name="Excel_BuiltIn_Print_Area_7" localSheetId="3">#REF!</definedName>
    <definedName name="Excel_BuiltIn_Print_Area_7">#REF!</definedName>
    <definedName name="Excel_BuiltIn_Print_Area_7_1" localSheetId="7">#REF!</definedName>
    <definedName name="Excel_BuiltIn_Print_Area_7_1" localSheetId="1">#REF!</definedName>
    <definedName name="Excel_BuiltIn_Print_Area_7_1" localSheetId="3">#REF!</definedName>
    <definedName name="Excel_BuiltIn_Print_Area_7_1">#REF!</definedName>
    <definedName name="Excel_BuiltIn_Print_Area_8" localSheetId="7">#REF!</definedName>
    <definedName name="Excel_BuiltIn_Print_Area_8" localSheetId="1">#REF!</definedName>
    <definedName name="Excel_BuiltIn_Print_Area_8" localSheetId="3">#REF!</definedName>
    <definedName name="Excel_BuiltIn_Print_Area_8">#REF!</definedName>
    <definedName name="Excel_BuiltIn_Print_Area_9" localSheetId="7">#REF!</definedName>
    <definedName name="Excel_BuiltIn_Print_Area_9" localSheetId="1">#REF!</definedName>
    <definedName name="Excel_BuiltIn_Print_Area_9" localSheetId="3">#REF!</definedName>
    <definedName name="Excel_BuiltIn_Print_Area_9">#REF!</definedName>
    <definedName name="Excel_BuiltIn_Print_Titles" localSheetId="7">#REF!,#REF!</definedName>
    <definedName name="Excel_BuiltIn_Print_Titles" localSheetId="1">#REF!,#REF!</definedName>
    <definedName name="Excel_BuiltIn_Print_Titles" localSheetId="3">#REF!,#REF!</definedName>
    <definedName name="Excel_BuiltIn_Print_Titles">#REF!,#REF!</definedName>
    <definedName name="Excel_BuiltIn_Print_Titles_1" localSheetId="7">#REF!</definedName>
    <definedName name="Excel_BuiltIn_Print_Titles_1" localSheetId="1">#REF!</definedName>
    <definedName name="Excel_BuiltIn_Print_Titles_1" localSheetId="3">#REF!</definedName>
    <definedName name="Excel_BuiltIn_Print_Titles_1">#REF!</definedName>
    <definedName name="Excel_BuiltIn_Print_Titles_1_1">"$#REF!.$B$#REF!:$ALU$#REF!"</definedName>
    <definedName name="Excel_BuiltIn_Print_Titles_10" localSheetId="7">#REF!</definedName>
    <definedName name="Excel_BuiltIn_Print_Titles_10" localSheetId="1">#REF!</definedName>
    <definedName name="Excel_BuiltIn_Print_Titles_10" localSheetId="3">#REF!</definedName>
    <definedName name="Excel_BuiltIn_Print_Titles_10">#REF!</definedName>
    <definedName name="Excel_BuiltIn_Print_Titles_11" localSheetId="7">#REF!</definedName>
    <definedName name="Excel_BuiltIn_Print_Titles_11" localSheetId="1">#REF!</definedName>
    <definedName name="Excel_BuiltIn_Print_Titles_11" localSheetId="3">#REF!</definedName>
    <definedName name="Excel_BuiltIn_Print_Titles_11">#REF!</definedName>
    <definedName name="Excel_BuiltIn_Print_Titles_12" localSheetId="7">#REF!</definedName>
    <definedName name="Excel_BuiltIn_Print_Titles_12" localSheetId="1">#REF!</definedName>
    <definedName name="Excel_BuiltIn_Print_Titles_12" localSheetId="3">#REF!</definedName>
    <definedName name="Excel_BuiltIn_Print_Titles_12">#REF!</definedName>
    <definedName name="Excel_BuiltIn_Print_Titles_14" localSheetId="7">#REF!</definedName>
    <definedName name="Excel_BuiltIn_Print_Titles_14" localSheetId="1">#REF!</definedName>
    <definedName name="Excel_BuiltIn_Print_Titles_14" localSheetId="3">#REF!</definedName>
    <definedName name="Excel_BuiltIn_Print_Titles_14">#REF!</definedName>
    <definedName name="Excel_BuiltIn_Print_Titles_15" localSheetId="7">#REF!</definedName>
    <definedName name="Excel_BuiltIn_Print_Titles_15" localSheetId="1">#REF!</definedName>
    <definedName name="Excel_BuiltIn_Print_Titles_15" localSheetId="3">#REF!</definedName>
    <definedName name="Excel_BuiltIn_Print_Titles_15">#REF!</definedName>
    <definedName name="Excel_BuiltIn_Print_Titles_15_1" localSheetId="7">#REF!</definedName>
    <definedName name="Excel_BuiltIn_Print_Titles_15_1" localSheetId="1">#REF!</definedName>
    <definedName name="Excel_BuiltIn_Print_Titles_15_1" localSheetId="3">#REF!</definedName>
    <definedName name="Excel_BuiltIn_Print_Titles_15_1">#REF!</definedName>
    <definedName name="Excel_BuiltIn_Print_Titles_16" localSheetId="7">#REF!</definedName>
    <definedName name="Excel_BuiltIn_Print_Titles_16" localSheetId="1">#REF!</definedName>
    <definedName name="Excel_BuiltIn_Print_Titles_16" localSheetId="3">#REF!</definedName>
    <definedName name="Excel_BuiltIn_Print_Titles_16">#REF!</definedName>
    <definedName name="Excel_BuiltIn_Print_Titles_17" localSheetId="7">#REF!</definedName>
    <definedName name="Excel_BuiltIn_Print_Titles_17" localSheetId="1">#REF!</definedName>
    <definedName name="Excel_BuiltIn_Print_Titles_17" localSheetId="3">#REF!</definedName>
    <definedName name="Excel_BuiltIn_Print_Titles_17">#REF!</definedName>
    <definedName name="Excel_BuiltIn_Print_Titles_18" localSheetId="7">#REF!</definedName>
    <definedName name="Excel_BuiltIn_Print_Titles_18" localSheetId="1">#REF!</definedName>
    <definedName name="Excel_BuiltIn_Print_Titles_18" localSheetId="3">#REF!</definedName>
    <definedName name="Excel_BuiltIn_Print_Titles_18">#REF!</definedName>
    <definedName name="Excel_BuiltIn_Print_Titles_19_1" localSheetId="7">#REF!</definedName>
    <definedName name="Excel_BuiltIn_Print_Titles_19_1" localSheetId="1">#REF!</definedName>
    <definedName name="Excel_BuiltIn_Print_Titles_19_1" localSheetId="3">#REF!</definedName>
    <definedName name="Excel_BuiltIn_Print_Titles_19_1">#REF!</definedName>
    <definedName name="Excel_BuiltIn_Print_Titles_2" localSheetId="7">#REF!</definedName>
    <definedName name="Excel_BuiltIn_Print_Titles_2" localSheetId="1">#REF!</definedName>
    <definedName name="Excel_BuiltIn_Print_Titles_2" localSheetId="3">#REF!</definedName>
    <definedName name="Excel_BuiltIn_Print_Titles_2">#REF!</definedName>
    <definedName name="Excel_BuiltIn_Print_Titles_2_1" localSheetId="7">#REF!</definedName>
    <definedName name="Excel_BuiltIn_Print_Titles_2_1" localSheetId="1">#REF!</definedName>
    <definedName name="Excel_BuiltIn_Print_Titles_2_1" localSheetId="3">#REF!</definedName>
    <definedName name="Excel_BuiltIn_Print_Titles_2_1">#REF!</definedName>
    <definedName name="Excel_BuiltIn_Print_Titles_2_1_1" localSheetId="7">#REF!</definedName>
    <definedName name="Excel_BuiltIn_Print_Titles_2_1_1" localSheetId="1">#REF!</definedName>
    <definedName name="Excel_BuiltIn_Print_Titles_2_1_1" localSheetId="3">#REF!</definedName>
    <definedName name="Excel_BuiltIn_Print_Titles_2_1_1">#REF!</definedName>
    <definedName name="Excel_BuiltIn_Print_Titles_2_1_1_1" localSheetId="7">#REF!</definedName>
    <definedName name="Excel_BuiltIn_Print_Titles_2_1_1_1" localSheetId="1">#REF!</definedName>
    <definedName name="Excel_BuiltIn_Print_Titles_2_1_1_1" localSheetId="3">#REF!</definedName>
    <definedName name="Excel_BuiltIn_Print_Titles_2_1_1_1">#REF!</definedName>
    <definedName name="Excel_BuiltIn_Print_Titles_2_1_1_1_1" localSheetId="7">#REF!</definedName>
    <definedName name="Excel_BuiltIn_Print_Titles_2_1_1_1_1" localSheetId="1">#REF!</definedName>
    <definedName name="Excel_BuiltIn_Print_Titles_2_1_1_1_1" localSheetId="3">#REF!</definedName>
    <definedName name="Excel_BuiltIn_Print_Titles_2_1_1_1_1">#REF!</definedName>
    <definedName name="Excel_BuiltIn_Print_Titles_3" localSheetId="7">#REF!</definedName>
    <definedName name="Excel_BuiltIn_Print_Titles_3" localSheetId="1">#REF!</definedName>
    <definedName name="Excel_BuiltIn_Print_Titles_3" localSheetId="3">#REF!</definedName>
    <definedName name="Excel_BuiltIn_Print_Titles_3">#REF!</definedName>
    <definedName name="Excel_BuiltIn_Print_Titles_3_1" localSheetId="7">#REF!</definedName>
    <definedName name="Excel_BuiltIn_Print_Titles_3_1" localSheetId="1">#REF!</definedName>
    <definedName name="Excel_BuiltIn_Print_Titles_3_1" localSheetId="3">#REF!</definedName>
    <definedName name="Excel_BuiltIn_Print_Titles_3_1">#REF!</definedName>
    <definedName name="Excel_BuiltIn_Print_Titles_4" localSheetId="7">#REF!</definedName>
    <definedName name="Excel_BuiltIn_Print_Titles_4" localSheetId="1">#REF!</definedName>
    <definedName name="Excel_BuiltIn_Print_Titles_4" localSheetId="3">#REF!</definedName>
    <definedName name="Excel_BuiltIn_Print_Titles_4">#REF!</definedName>
    <definedName name="Excel_BuiltIn_Print_Titles_5" localSheetId="7">#REF!</definedName>
    <definedName name="Excel_BuiltIn_Print_Titles_5" localSheetId="1">#REF!</definedName>
    <definedName name="Excel_BuiltIn_Print_Titles_5" localSheetId="3">#REF!</definedName>
    <definedName name="Excel_BuiltIn_Print_Titles_5">#REF!</definedName>
    <definedName name="Excel_BuiltIn_Print_Titles_5_1" localSheetId="7">#REF!</definedName>
    <definedName name="Excel_BuiltIn_Print_Titles_5_1" localSheetId="1">#REF!</definedName>
    <definedName name="Excel_BuiltIn_Print_Titles_5_1" localSheetId="3">#REF!</definedName>
    <definedName name="Excel_BuiltIn_Print_Titles_5_1">#REF!</definedName>
    <definedName name="Excel_BuiltIn_Print_Titles_6" localSheetId="7">#REF!</definedName>
    <definedName name="Excel_BuiltIn_Print_Titles_6" localSheetId="1">#REF!</definedName>
    <definedName name="Excel_BuiltIn_Print_Titles_6" localSheetId="3">#REF!</definedName>
    <definedName name="Excel_BuiltIn_Print_Titles_6">#REF!</definedName>
    <definedName name="Excel_BuiltIn_Print_Titles_7" localSheetId="7">#REF!</definedName>
    <definedName name="Excel_BuiltIn_Print_Titles_7" localSheetId="1">#REF!</definedName>
    <definedName name="Excel_BuiltIn_Print_Titles_7" localSheetId="3">#REF!</definedName>
    <definedName name="Excel_BuiltIn_Print_Titles_7">#REF!</definedName>
    <definedName name="Excel_BuiltIn_Print_Titles_8" localSheetId="7">#REF!</definedName>
    <definedName name="Excel_BuiltIn_Print_Titles_8" localSheetId="1">#REF!</definedName>
    <definedName name="Excel_BuiltIn_Print_Titles_8" localSheetId="3">#REF!</definedName>
    <definedName name="Excel_BuiltIn_Print_Titles_8">#REF!</definedName>
    <definedName name="Excel_BuiltIn_Print_Titles_9" localSheetId="7">#REF!</definedName>
    <definedName name="Excel_BuiltIn_Print_Titles_9" localSheetId="1">#REF!</definedName>
    <definedName name="Excel_BuiltIn_Print_Titles_9" localSheetId="3">#REF!</definedName>
    <definedName name="Excel_BuiltIn_Print_Titles_9">#REF!</definedName>
    <definedName name="Excel_BuiltIn_Print_Titles_9_1" localSheetId="7">#REF!</definedName>
    <definedName name="Excel_BuiltIn_Print_Titles_9_1" localSheetId="1">#REF!</definedName>
    <definedName name="Excel_BuiltIn_Print_Titles_9_1" localSheetId="3">#REF!</definedName>
    <definedName name="Excel_BuiltIn_Print_Titles_9_1">#REF!</definedName>
    <definedName name="excf" localSheetId="7">#REF!</definedName>
    <definedName name="excf" localSheetId="1">#REF!</definedName>
    <definedName name="excf" localSheetId="3">#REF!</definedName>
    <definedName name="excf">#REF!</definedName>
    <definedName name="ExciseDuty" localSheetId="7">#REF!</definedName>
    <definedName name="ExciseDuty" localSheetId="1">#REF!</definedName>
    <definedName name="ExciseDuty" localSheetId="3">#REF!</definedName>
    <definedName name="ExciseDuty">#REF!</definedName>
    <definedName name="EXIT" localSheetId="7">#REF!</definedName>
    <definedName name="EXIT" localSheetId="1">#REF!</definedName>
    <definedName name="EXIT" localSheetId="3">#REF!</definedName>
    <definedName name="EXIT">#REF!</definedName>
    <definedName name="Exp1.4MW" localSheetId="7">#REF!</definedName>
    <definedName name="Exp1.4MW" localSheetId="1">#REF!</definedName>
    <definedName name="Exp1.4MW" localSheetId="3">#REF!</definedName>
    <definedName name="Exp1.4MW">#REF!</definedName>
    <definedName name="Exp1.4MW_I" localSheetId="7">#REF!</definedName>
    <definedName name="Exp1.4MW_I" localSheetId="1">#REF!</definedName>
    <definedName name="Exp1.4MW_I" localSheetId="3">#REF!</definedName>
    <definedName name="Exp1.4MW_I">#REF!</definedName>
    <definedName name="ext" localSheetId="7">#REF!</definedName>
    <definedName name="ext" localSheetId="1">#REF!</definedName>
    <definedName name="ext" localSheetId="3">#REF!</definedName>
    <definedName name="ext">#REF!</definedName>
    <definedName name="External" localSheetId="7">#REF!</definedName>
    <definedName name="External" localSheetId="1">#REF!</definedName>
    <definedName name="External" localSheetId="3">#REF!</definedName>
    <definedName name="External">#REF!</definedName>
    <definedName name="External__Water_Supply" localSheetId="7">#REF!</definedName>
    <definedName name="External__Water_Supply" localSheetId="1">#REF!</definedName>
    <definedName name="External__Water_Supply" localSheetId="3">#REF!</definedName>
    <definedName name="External__Water_Supply">#REF!</definedName>
    <definedName name="External_Alterations___Renovations" localSheetId="7">#REF!</definedName>
    <definedName name="External_Alterations___Renovations" localSheetId="1">#REF!</definedName>
    <definedName name="External_Alterations___Renovations" localSheetId="3">#REF!</definedName>
    <definedName name="External_Alterations___Renovations">#REF!</definedName>
    <definedName name="External_Communications" localSheetId="7">#REF!</definedName>
    <definedName name="External_Communications" localSheetId="1">#REF!</definedName>
    <definedName name="External_Communications" localSheetId="3">#REF!</definedName>
    <definedName name="External_Communications">#REF!</definedName>
    <definedName name="External_Doors" localSheetId="7">#REF!</definedName>
    <definedName name="External_Doors" localSheetId="1">#REF!</definedName>
    <definedName name="External_Doors" localSheetId="3">#REF!</definedName>
    <definedName name="External_Doors">#REF!</definedName>
    <definedName name="External_Electrical" localSheetId="7">#REF!</definedName>
    <definedName name="External_Electrical" localSheetId="1">#REF!</definedName>
    <definedName name="External_Electrical" localSheetId="3">#REF!</definedName>
    <definedName name="External_Electrical">#REF!</definedName>
    <definedName name="External_Fire_Protection" localSheetId="7">#REF!</definedName>
    <definedName name="External_Fire_Protection" localSheetId="1">#REF!</definedName>
    <definedName name="External_Fire_Protection" localSheetId="3">#REF!</definedName>
    <definedName name="External_Fire_Protection">#REF!</definedName>
    <definedName name="External_Gas" localSheetId="7">#REF!</definedName>
    <definedName name="External_Gas" localSheetId="1">#REF!</definedName>
    <definedName name="External_Gas" localSheetId="3">#REF!</definedName>
    <definedName name="External_Gas">#REF!</definedName>
    <definedName name="External_Sewer" localSheetId="7">#REF!</definedName>
    <definedName name="External_Sewer" localSheetId="1">#REF!</definedName>
    <definedName name="External_Sewer" localSheetId="3">#REF!</definedName>
    <definedName name="External_Sewer">#REF!</definedName>
    <definedName name="External_Special_Services" localSheetId="7">#REF!</definedName>
    <definedName name="External_Special_Services" localSheetId="1">#REF!</definedName>
    <definedName name="External_Special_Services" localSheetId="3">#REF!</definedName>
    <definedName name="External_Special_Services">#REF!</definedName>
    <definedName name="External_Stormwater" localSheetId="7">#REF!</definedName>
    <definedName name="External_Stormwater" localSheetId="1">#REF!</definedName>
    <definedName name="External_Stormwater" localSheetId="3">#REF!</definedName>
    <definedName name="External_Stormwater">#REF!</definedName>
    <definedName name="External_Walls" localSheetId="7">#REF!</definedName>
    <definedName name="External_Walls" localSheetId="1">#REF!</definedName>
    <definedName name="External_Walls" localSheetId="3">#REF!</definedName>
    <definedName name="External_Walls">#REF!</definedName>
    <definedName name="Extra_Pay" localSheetId="7">#REF!</definedName>
    <definedName name="Extra_Pay" localSheetId="1">#REF!</definedName>
    <definedName name="Extra_Pay" localSheetId="3">#REF!</definedName>
    <definedName name="Extra_Pay">#REF!</definedName>
    <definedName name="ey" localSheetId="7">#REF!</definedName>
    <definedName name="ey" localSheetId="1">#REF!</definedName>
    <definedName name="ey" localSheetId="3">#REF!</definedName>
    <definedName name="ey">#REF!</definedName>
    <definedName name="f" localSheetId="7">#REF!</definedName>
    <definedName name="f" localSheetId="1">#REF!</definedName>
    <definedName name="f" localSheetId="3">#REF!</definedName>
    <definedName name="f">#REF!</definedName>
    <definedName name="f.nos" localSheetId="7">#REF!</definedName>
    <definedName name="f.nos" localSheetId="1">#REF!</definedName>
    <definedName name="f.nos" localSheetId="3">#REF!</definedName>
    <definedName name="f.nos">#REF!</definedName>
    <definedName name="f_1" localSheetId="5" hidden="1">{"form-D1",#N/A,FALSE,"FORM-D1";"form-D1_amt",#N/A,FALSE,"FORM-D1"}</definedName>
    <definedName name="f_1" localSheetId="2" hidden="1">{"form-D1",#N/A,FALSE,"FORM-D1";"form-D1_amt",#N/A,FALSE,"FORM-D1"}</definedName>
    <definedName name="f_1_1" localSheetId="5" hidden="1">{"form-D1",#N/A,FALSE,"FORM-D1";"form-D1_amt",#N/A,FALSE,"FORM-D1"}</definedName>
    <definedName name="f_1_1" localSheetId="2" hidden="1">{"form-D1",#N/A,FALSE,"FORM-D1";"form-D1_amt",#N/A,FALSE,"FORM-D1"}</definedName>
    <definedName name="f_1_2" localSheetId="5" hidden="1">{"form-D1",#N/A,FALSE,"FORM-D1";"form-D1_amt",#N/A,FALSE,"FORM-D1"}</definedName>
    <definedName name="f_1_2" localSheetId="2" hidden="1">{"form-D1",#N/A,FALSE,"FORM-D1";"form-D1_amt",#N/A,FALSE,"FORM-D1"}</definedName>
    <definedName name="f_2" localSheetId="5" hidden="1">{"form-D1",#N/A,FALSE,"FORM-D1";"form-D1_amt",#N/A,FALSE,"FORM-D1"}</definedName>
    <definedName name="f_2" localSheetId="2" hidden="1">{"form-D1",#N/A,FALSE,"FORM-D1";"form-D1_amt",#N/A,FALSE,"FORM-D1"}</definedName>
    <definedName name="f_2_1" localSheetId="5" hidden="1">{"form-D1",#N/A,FALSE,"FORM-D1";"form-D1_amt",#N/A,FALSE,"FORM-D1"}</definedName>
    <definedName name="f_2_1" localSheetId="2" hidden="1">{"form-D1",#N/A,FALSE,"FORM-D1";"form-D1_amt",#N/A,FALSE,"FORM-D1"}</definedName>
    <definedName name="f_3" localSheetId="5" hidden="1">{"form-D1",#N/A,FALSE,"FORM-D1";"form-D1_amt",#N/A,FALSE,"FORM-D1"}</definedName>
    <definedName name="f_3" localSheetId="2" hidden="1">{"form-D1",#N/A,FALSE,"FORM-D1";"form-D1_amt",#N/A,FALSE,"FORM-D1"}</definedName>
    <definedName name="f_3_1" localSheetId="5" hidden="1">{"form-D1",#N/A,FALSE,"FORM-D1";"form-D1_amt",#N/A,FALSE,"FORM-D1"}</definedName>
    <definedName name="f_3_1" localSheetId="2" hidden="1">{"form-D1",#N/A,FALSE,"FORM-D1";"form-D1_amt",#N/A,FALSE,"FORM-D1"}</definedName>
    <definedName name="f_4" localSheetId="5" hidden="1">{"form-D1",#N/A,FALSE,"FORM-D1";"form-D1_amt",#N/A,FALSE,"FORM-D1"}</definedName>
    <definedName name="f_4" localSheetId="2" hidden="1">{"form-D1",#N/A,FALSE,"FORM-D1";"form-D1_amt",#N/A,FALSE,"FORM-D1"}</definedName>
    <definedName name="f162." localSheetId="7">#REF!</definedName>
    <definedName name="f162." localSheetId="1">#REF!</definedName>
    <definedName name="f162." localSheetId="3">#REF!</definedName>
    <definedName name="f162.">#REF!</definedName>
    <definedName name="f2_" localSheetId="7">#REF!</definedName>
    <definedName name="f2_" localSheetId="1">#REF!</definedName>
    <definedName name="f2_" localSheetId="3">#REF!</definedName>
    <definedName name="f2_">#REF!</definedName>
    <definedName name="f534." localSheetId="7">#REF!</definedName>
    <definedName name="f534." localSheetId="1">#REF!</definedName>
    <definedName name="f534." localSheetId="3">#REF!</definedName>
    <definedName name="f534.">#REF!</definedName>
    <definedName name="fa" localSheetId="7">#REF!</definedName>
    <definedName name="fa" localSheetId="1">#REF!</definedName>
    <definedName name="fa" localSheetId="3">#REF!</definedName>
    <definedName name="fa">#REF!</definedName>
    <definedName name="FabricatedTMT" localSheetId="7">#REF!</definedName>
    <definedName name="FabricatedTMT" localSheetId="1">#REF!</definedName>
    <definedName name="FabricatedTMT" localSheetId="3">#REF!</definedName>
    <definedName name="FabricatedTMT">#REF!</definedName>
    <definedName name="fac" localSheetId="7">#REF!</definedName>
    <definedName name="fac" localSheetId="1">#REF!</definedName>
    <definedName name="fac" localSheetId="3">#REF!</definedName>
    <definedName name="fac">#REF!</definedName>
    <definedName name="fact" localSheetId="7">#REF!</definedName>
    <definedName name="fact" localSheetId="1">#REF!</definedName>
    <definedName name="fact" localSheetId="3">#REF!</definedName>
    <definedName name="fact">#REF!</definedName>
    <definedName name="FAH" localSheetId="7">#REF!</definedName>
    <definedName name="FAH" localSheetId="1">#REF!</definedName>
    <definedName name="FAH" localSheetId="3">#REF!</definedName>
    <definedName name="FAH">#REF!</definedName>
    <definedName name="Fax" localSheetId="7">#REF!</definedName>
    <definedName name="Fax" localSheetId="1">#REF!</definedName>
    <definedName name="Fax" localSheetId="3">#REF!</definedName>
    <definedName name="Fax">#REF!</definedName>
    <definedName name="Fb" localSheetId="7">#REF!</definedName>
    <definedName name="Fb" localSheetId="1">#REF!</definedName>
    <definedName name="Fb" localSheetId="3">#REF!</definedName>
    <definedName name="Fb">#REF!</definedName>
    <definedName name="fbeam" localSheetId="7">#REF!</definedName>
    <definedName name="fbeam" localSheetId="1">#REF!</definedName>
    <definedName name="fbeam" localSheetId="3">#REF!</definedName>
    <definedName name="fbeam">#REF!</definedName>
    <definedName name="FBEAM1" localSheetId="7">#REF!</definedName>
    <definedName name="FBEAM1" localSheetId="1">#REF!</definedName>
    <definedName name="FBEAM1" localSheetId="3">#REF!</definedName>
    <definedName name="FBEAM1">#REF!</definedName>
    <definedName name="fbeam10" localSheetId="7">#REF!</definedName>
    <definedName name="fbeam10" localSheetId="1">#REF!</definedName>
    <definedName name="fbeam10" localSheetId="3">#REF!</definedName>
    <definedName name="fbeam10">#REF!</definedName>
    <definedName name="fbeam101" localSheetId="7">#REF!</definedName>
    <definedName name="fbeam101" localSheetId="1">#REF!</definedName>
    <definedName name="fbeam101" localSheetId="3">#REF!</definedName>
    <definedName name="fbeam101">#REF!</definedName>
    <definedName name="FBEAM12" localSheetId="7">#REF!</definedName>
    <definedName name="FBEAM12" localSheetId="1">#REF!</definedName>
    <definedName name="FBEAM12" localSheetId="3">#REF!</definedName>
    <definedName name="FBEAM12">#REF!</definedName>
    <definedName name="FBEAM13" localSheetId="7">#REF!</definedName>
    <definedName name="FBEAM13" localSheetId="1">#REF!</definedName>
    <definedName name="FBEAM13" localSheetId="3">#REF!</definedName>
    <definedName name="FBEAM13">#REF!</definedName>
    <definedName name="fbeam2" localSheetId="7">#REF!</definedName>
    <definedName name="fbeam2" localSheetId="1">#REF!</definedName>
    <definedName name="fbeam2" localSheetId="3">#REF!</definedName>
    <definedName name="fbeam2">#REF!</definedName>
    <definedName name="FBEAM23" localSheetId="7">#REF!</definedName>
    <definedName name="FBEAM23" localSheetId="1">#REF!</definedName>
    <definedName name="FBEAM23" localSheetId="3">#REF!</definedName>
    <definedName name="FBEAM23">#REF!</definedName>
    <definedName name="FC" localSheetId="5" hidden="1">{#N/A,#N/A,FALSE,"gc (2)"}</definedName>
    <definedName name="FC" localSheetId="2" hidden="1">{#N/A,#N/A,FALSE,"gc (2)"}</definedName>
    <definedName name="FCode" localSheetId="7" hidden="1">#REF!</definedName>
    <definedName name="FCode" localSheetId="1" hidden="1">#REF!</definedName>
    <definedName name="FCode" localSheetId="3" hidden="1">#REF!</definedName>
    <definedName name="FCode" hidden="1">#REF!</definedName>
    <definedName name="fcr" localSheetId="7">#REF!</definedName>
    <definedName name="fcr" localSheetId="1">#REF!</definedName>
    <definedName name="fcr" localSheetId="3">#REF!</definedName>
    <definedName name="fcr">#REF!</definedName>
    <definedName name="fdf" localSheetId="7">#REF!</definedName>
    <definedName name="fdf" localSheetId="1">#REF!</definedName>
    <definedName name="fdf" localSheetId="3">#REF!</definedName>
    <definedName name="fdf">#REF!</definedName>
    <definedName name="fdghdgfh" localSheetId="7">#REF!</definedName>
    <definedName name="fdghdgfh" localSheetId="1">#REF!</definedName>
    <definedName name="fdghdgfh" localSheetId="3">#REF!</definedName>
    <definedName name="fdghdgfh">#REF!</definedName>
    <definedName name="fdhjfju" localSheetId="7">#REF!</definedName>
    <definedName name="fdhjfju" localSheetId="1">#REF!</definedName>
    <definedName name="fdhjfju" localSheetId="3">#REF!</definedName>
    <definedName name="fdhjfju">#REF!</definedName>
    <definedName name="fdrop" localSheetId="7">#REF!</definedName>
    <definedName name="fdrop" localSheetId="1">#REF!</definedName>
    <definedName name="fdrop" localSheetId="3">#REF!</definedName>
    <definedName name="fdrop">#REF!</definedName>
    <definedName name="fdrop1" localSheetId="7">#REF!</definedName>
    <definedName name="fdrop1" localSheetId="1">#REF!</definedName>
    <definedName name="fdrop1" localSheetId="3">#REF!</definedName>
    <definedName name="fdrop1">#REF!</definedName>
    <definedName name="fdrop10" localSheetId="7">#REF!</definedName>
    <definedName name="fdrop10" localSheetId="1">#REF!</definedName>
    <definedName name="fdrop10" localSheetId="3">#REF!</definedName>
    <definedName name="fdrop10">#REF!</definedName>
    <definedName name="fdrop101" localSheetId="7">#REF!</definedName>
    <definedName name="fdrop101" localSheetId="1">#REF!</definedName>
    <definedName name="fdrop101" localSheetId="3">#REF!</definedName>
    <definedName name="fdrop101">#REF!</definedName>
    <definedName name="fdrop102" localSheetId="7">#REF!</definedName>
    <definedName name="fdrop102" localSheetId="1">#REF!</definedName>
    <definedName name="fdrop102" localSheetId="3">#REF!</definedName>
    <definedName name="fdrop102">#REF!</definedName>
    <definedName name="FDROP11" localSheetId="7">#REF!</definedName>
    <definedName name="FDROP11" localSheetId="1">#REF!</definedName>
    <definedName name="FDROP11" localSheetId="3">#REF!</definedName>
    <definedName name="FDROP11">#REF!</definedName>
    <definedName name="fdrop111" localSheetId="7">#REF!</definedName>
    <definedName name="fdrop111" localSheetId="1">#REF!</definedName>
    <definedName name="fdrop111" localSheetId="3">#REF!</definedName>
    <definedName name="fdrop111">#REF!</definedName>
    <definedName name="fdrop12" localSheetId="7">#REF!</definedName>
    <definedName name="fdrop12" localSheetId="1">#REF!</definedName>
    <definedName name="fdrop12" localSheetId="3">#REF!</definedName>
    <definedName name="fdrop12">#REF!</definedName>
    <definedName name="FDROP121" localSheetId="7">#REF!</definedName>
    <definedName name="FDROP121" localSheetId="1">#REF!</definedName>
    <definedName name="FDROP121" localSheetId="3">#REF!</definedName>
    <definedName name="FDROP121">#REF!</definedName>
    <definedName name="FDROP13" localSheetId="7">#REF!</definedName>
    <definedName name="FDROP13" localSheetId="1">#REF!</definedName>
    <definedName name="FDROP13" localSheetId="3">#REF!</definedName>
    <definedName name="FDROP13">#REF!</definedName>
    <definedName name="FDROP14" localSheetId="7">#REF!</definedName>
    <definedName name="FDROP14" localSheetId="1">#REF!</definedName>
    <definedName name="FDROP14" localSheetId="3">#REF!</definedName>
    <definedName name="FDROP14">#REF!</definedName>
    <definedName name="FDROP15" localSheetId="7">#REF!</definedName>
    <definedName name="FDROP15" localSheetId="1">#REF!</definedName>
    <definedName name="FDROP15" localSheetId="3">#REF!</definedName>
    <definedName name="FDROP15">#REF!</definedName>
    <definedName name="FDROP16" localSheetId="7">#REF!</definedName>
    <definedName name="FDROP16" localSheetId="1">#REF!</definedName>
    <definedName name="FDROP16" localSheetId="3">#REF!</definedName>
    <definedName name="FDROP16">#REF!</definedName>
    <definedName name="FDROP17" localSheetId="7">#REF!</definedName>
    <definedName name="FDROP17" localSheetId="1">#REF!</definedName>
    <definedName name="FDROP17" localSheetId="3">#REF!</definedName>
    <definedName name="FDROP17">#REF!</definedName>
    <definedName name="FDROP2" localSheetId="7">#REF!</definedName>
    <definedName name="FDROP2" localSheetId="1">#REF!</definedName>
    <definedName name="FDROP2" localSheetId="3">#REF!</definedName>
    <definedName name="FDROP2">#REF!</definedName>
    <definedName name="fdrop3" localSheetId="7">#REF!</definedName>
    <definedName name="fdrop3" localSheetId="1">#REF!</definedName>
    <definedName name="fdrop3" localSheetId="3">#REF!</definedName>
    <definedName name="fdrop3">#REF!</definedName>
    <definedName name="FEB_05" localSheetId="7">#REF!</definedName>
    <definedName name="FEB_05" localSheetId="1">#REF!</definedName>
    <definedName name="FEB_05" localSheetId="3">#REF!</definedName>
    <definedName name="FEB_05">#REF!</definedName>
    <definedName name="feb_qty_rev_3" localSheetId="7">#REF!</definedName>
    <definedName name="feb_qty_rev_3" localSheetId="1">#REF!</definedName>
    <definedName name="feb_qty_rev_3" localSheetId="3">#REF!</definedName>
    <definedName name="feb_qty_rev_3">#REF!</definedName>
    <definedName name="feb_rev4_qty" localSheetId="7">#REF!</definedName>
    <definedName name="feb_rev4_qty" localSheetId="1">#REF!</definedName>
    <definedName name="feb_rev4_qty" localSheetId="3">#REF!</definedName>
    <definedName name="feb_rev4_qty">#REF!</definedName>
    <definedName name="fee_autho.contract" localSheetId="7">#REF!</definedName>
    <definedName name="fee_autho.contract" localSheetId="1">#REF!</definedName>
    <definedName name="fee_autho.contract" localSheetId="3">#REF!</definedName>
    <definedName name="fee_autho.contract">#REF!</definedName>
    <definedName name="fee_autho.now" localSheetId="7">#REF!</definedName>
    <definedName name="fee_autho.now" localSheetId="1">#REF!</definedName>
    <definedName name="fee_autho.now" localSheetId="3">#REF!</definedName>
    <definedName name="fee_autho.now">#REF!</definedName>
    <definedName name="fee_autho.payment" localSheetId="7">#REF!</definedName>
    <definedName name="fee_autho.payment" localSheetId="1">#REF!</definedName>
    <definedName name="fee_autho.payment" localSheetId="3">#REF!</definedName>
    <definedName name="fee_autho.payment">#REF!</definedName>
    <definedName name="fee_autho.uncommit" localSheetId="7">#REF!</definedName>
    <definedName name="fee_autho.uncommit" localSheetId="1">#REF!</definedName>
    <definedName name="fee_autho.uncommit" localSheetId="3">#REF!</definedName>
    <definedName name="fee_autho.uncommit">#REF!</definedName>
    <definedName name="fee_autho.vo.app" localSheetId="7">#REF!</definedName>
    <definedName name="fee_autho.vo.app" localSheetId="1">#REF!</definedName>
    <definedName name="fee_autho.vo.app" localSheetId="3">#REF!</definedName>
    <definedName name="fee_autho.vo.app">#REF!</definedName>
    <definedName name="fee_autho.vo.pend" localSheetId="7">#REF!</definedName>
    <definedName name="fee_autho.vo.pend" localSheetId="1">#REF!</definedName>
    <definedName name="fee_autho.vo.pend" localSheetId="3">#REF!</definedName>
    <definedName name="fee_autho.vo.pend">#REF!</definedName>
    <definedName name="fee_contract" localSheetId="7">#REF!</definedName>
    <definedName name="fee_contract" localSheetId="1">#REF!</definedName>
    <definedName name="fee_contract" localSheetId="3">#REF!</definedName>
    <definedName name="fee_contract">#REF!</definedName>
    <definedName name="fee_now" localSheetId="7">#REF!</definedName>
    <definedName name="fee_now" localSheetId="1">#REF!</definedName>
    <definedName name="fee_now" localSheetId="3">#REF!</definedName>
    <definedName name="fee_now">#REF!</definedName>
    <definedName name="fee_payment" localSheetId="7">#REF!</definedName>
    <definedName name="fee_payment" localSheetId="1">#REF!</definedName>
    <definedName name="fee_payment" localSheetId="3">#REF!</definedName>
    <definedName name="fee_payment">#REF!</definedName>
    <definedName name="fee_uncommit" localSheetId="7">#REF!</definedName>
    <definedName name="fee_uncommit" localSheetId="1">#REF!</definedName>
    <definedName name="fee_uncommit" localSheetId="3">#REF!</definedName>
    <definedName name="fee_uncommit">#REF!</definedName>
    <definedName name="fee_vo.app" localSheetId="7">#REF!</definedName>
    <definedName name="fee_vo.app" localSheetId="1">#REF!</definedName>
    <definedName name="fee_vo.app" localSheetId="3">#REF!</definedName>
    <definedName name="fee_vo.app">#REF!</definedName>
    <definedName name="fee_vo.pend" localSheetId="7">#REF!</definedName>
    <definedName name="fee_vo.pend" localSheetId="1">#REF!</definedName>
    <definedName name="fee_vo.pend" localSheetId="3">#REF!</definedName>
    <definedName name="fee_vo.pend">#REF!</definedName>
    <definedName name="FEF">#N/A</definedName>
    <definedName name="FEG">#N/A</definedName>
    <definedName name="FELOADER" localSheetId="7">#REF!</definedName>
    <definedName name="FELOADER" localSheetId="1">#REF!</definedName>
    <definedName name="FELOADER" localSheetId="3">#REF!</definedName>
    <definedName name="FELOADER">#REF!</definedName>
    <definedName name="Fences___Gates" localSheetId="7">#REF!</definedName>
    <definedName name="Fences___Gates" localSheetId="1">#REF!</definedName>
    <definedName name="Fences___Gates" localSheetId="3">#REF!</definedName>
    <definedName name="Fences___Gates">#REF!</definedName>
    <definedName name="FF" localSheetId="7">#REF!</definedName>
    <definedName name="FF" localSheetId="1">#REF!</definedName>
    <definedName name="FF" localSheetId="3">#REF!</definedName>
    <definedName name="FF">#REF!</definedName>
    <definedName name="ff_1" localSheetId="5" hidden="1">{"form-D1",#N/A,FALSE,"FORM-D1";"form-D1_amt",#N/A,FALSE,"FORM-D1"}</definedName>
    <definedName name="ff_1" localSheetId="2" hidden="1">{"form-D1",#N/A,FALSE,"FORM-D1";"form-D1_amt",#N/A,FALSE,"FORM-D1"}</definedName>
    <definedName name="ff_1_1" localSheetId="5" hidden="1">{"form-D1",#N/A,FALSE,"FORM-D1";"form-D1_amt",#N/A,FALSE,"FORM-D1"}</definedName>
    <definedName name="ff_1_1" localSheetId="2" hidden="1">{"form-D1",#N/A,FALSE,"FORM-D1";"form-D1_amt",#N/A,FALSE,"FORM-D1"}</definedName>
    <definedName name="ff_1_2" localSheetId="5" hidden="1">{"form-D1",#N/A,FALSE,"FORM-D1";"form-D1_amt",#N/A,FALSE,"FORM-D1"}</definedName>
    <definedName name="ff_1_2" localSheetId="2" hidden="1">{"form-D1",#N/A,FALSE,"FORM-D1";"form-D1_amt",#N/A,FALSE,"FORM-D1"}</definedName>
    <definedName name="ff_2" localSheetId="5" hidden="1">{"form-D1",#N/A,FALSE,"FORM-D1";"form-D1_amt",#N/A,FALSE,"FORM-D1"}</definedName>
    <definedName name="ff_2" localSheetId="2" hidden="1">{"form-D1",#N/A,FALSE,"FORM-D1";"form-D1_amt",#N/A,FALSE,"FORM-D1"}</definedName>
    <definedName name="ff_2_1" localSheetId="5" hidden="1">{"form-D1",#N/A,FALSE,"FORM-D1";"form-D1_amt",#N/A,FALSE,"FORM-D1"}</definedName>
    <definedName name="ff_2_1" localSheetId="2" hidden="1">{"form-D1",#N/A,FALSE,"FORM-D1";"form-D1_amt",#N/A,FALSE,"FORM-D1"}</definedName>
    <definedName name="ff_3" localSheetId="5" hidden="1">{"form-D1",#N/A,FALSE,"FORM-D1";"form-D1_amt",#N/A,FALSE,"FORM-D1"}</definedName>
    <definedName name="ff_3" localSheetId="2" hidden="1">{"form-D1",#N/A,FALSE,"FORM-D1";"form-D1_amt",#N/A,FALSE,"FORM-D1"}</definedName>
    <definedName name="ff_3_1" localSheetId="5" hidden="1">{"form-D1",#N/A,FALSE,"FORM-D1";"form-D1_amt",#N/A,FALSE,"FORM-D1"}</definedName>
    <definedName name="ff_3_1" localSheetId="2" hidden="1">{"form-D1",#N/A,FALSE,"FORM-D1";"form-D1_amt",#N/A,FALSE,"FORM-D1"}</definedName>
    <definedName name="ff_4" localSheetId="5" hidden="1">{"form-D1",#N/A,FALSE,"FORM-D1";"form-D1_amt",#N/A,FALSE,"FORM-D1"}</definedName>
    <definedName name="ff_4" localSheetId="2" hidden="1">{"form-D1",#N/A,FALSE,"FORM-D1";"form-D1_amt",#N/A,FALSE,"FORM-D1"}</definedName>
    <definedName name="ff_4_1" localSheetId="5" hidden="1">{"form-D1",#N/A,FALSE,"FORM-D1";"form-D1_amt",#N/A,FALSE,"FORM-D1"}</definedName>
    <definedName name="ff_4_1" localSheetId="2" hidden="1">{"form-D1",#N/A,FALSE,"FORM-D1";"form-D1_amt",#N/A,FALSE,"FORM-D1"}</definedName>
    <definedName name="ff_5" localSheetId="5" hidden="1">{"form-D1",#N/A,FALSE,"FORM-D1";"form-D1_amt",#N/A,FALSE,"FORM-D1"}</definedName>
    <definedName name="ff_5" localSheetId="2" hidden="1">{"form-D1",#N/A,FALSE,"FORM-D1";"form-D1_amt",#N/A,FALSE,"FORM-D1"}</definedName>
    <definedName name="ff_5_1" localSheetId="5" hidden="1">{"form-D1",#N/A,FALSE,"FORM-D1";"form-D1_amt",#N/A,FALSE,"FORM-D1"}</definedName>
    <definedName name="ff_5_1" localSheetId="2" hidden="1">{"form-D1",#N/A,FALSE,"FORM-D1";"form-D1_amt",#N/A,FALSE,"FORM-D1"}</definedName>
    <definedName name="fffff" localSheetId="7">#REF!</definedName>
    <definedName name="fffff" localSheetId="1">#REF!</definedName>
    <definedName name="fffff" localSheetId="3">#REF!</definedName>
    <definedName name="fffff">#REF!</definedName>
    <definedName name="ffffffffffffff" localSheetId="7">#REF!</definedName>
    <definedName name="ffffffffffffff" localSheetId="1">#REF!</definedName>
    <definedName name="ffffffffffffff" localSheetId="3">#REF!</definedName>
    <definedName name="ffffffffffffff">#REF!</definedName>
    <definedName name="fffffg" localSheetId="5" hidden="1">{"form-D1",#N/A,FALSE,"FORM-D1";"form-D1_amt",#N/A,FALSE,"FORM-D1"}</definedName>
    <definedName name="fffffg" localSheetId="2" hidden="1">{"form-D1",#N/A,FALSE,"FORM-D1";"form-D1_amt",#N/A,FALSE,"FORM-D1"}</definedName>
    <definedName name="fffffg_1" localSheetId="5" hidden="1">{"form-D1",#N/A,FALSE,"FORM-D1";"form-D1_amt",#N/A,FALSE,"FORM-D1"}</definedName>
    <definedName name="fffffg_1" localSheetId="2" hidden="1">{"form-D1",#N/A,FALSE,"FORM-D1";"form-D1_amt",#N/A,FALSE,"FORM-D1"}</definedName>
    <definedName name="fffffg_1_1" localSheetId="5" hidden="1">{"form-D1",#N/A,FALSE,"FORM-D1";"form-D1_amt",#N/A,FALSE,"FORM-D1"}</definedName>
    <definedName name="fffffg_1_1" localSheetId="2" hidden="1">{"form-D1",#N/A,FALSE,"FORM-D1";"form-D1_amt",#N/A,FALSE,"FORM-D1"}</definedName>
    <definedName name="fffffg_1_2" localSheetId="5" hidden="1">{"form-D1",#N/A,FALSE,"FORM-D1";"form-D1_amt",#N/A,FALSE,"FORM-D1"}</definedName>
    <definedName name="fffffg_1_2" localSheetId="2" hidden="1">{"form-D1",#N/A,FALSE,"FORM-D1";"form-D1_amt",#N/A,FALSE,"FORM-D1"}</definedName>
    <definedName name="fffffg_2" localSheetId="5" hidden="1">{"form-D1",#N/A,FALSE,"FORM-D1";"form-D1_amt",#N/A,FALSE,"FORM-D1"}</definedName>
    <definedName name="fffffg_2" localSheetId="2" hidden="1">{"form-D1",#N/A,FALSE,"FORM-D1";"form-D1_amt",#N/A,FALSE,"FORM-D1"}</definedName>
    <definedName name="fffffg_2_1" localSheetId="5" hidden="1">{"form-D1",#N/A,FALSE,"FORM-D1";"form-D1_amt",#N/A,FALSE,"FORM-D1"}</definedName>
    <definedName name="fffffg_2_1" localSheetId="2" hidden="1">{"form-D1",#N/A,FALSE,"FORM-D1";"form-D1_amt",#N/A,FALSE,"FORM-D1"}</definedName>
    <definedName name="fffffg_3" localSheetId="5" hidden="1">{"form-D1",#N/A,FALSE,"FORM-D1";"form-D1_amt",#N/A,FALSE,"FORM-D1"}</definedName>
    <definedName name="fffffg_3" localSheetId="2" hidden="1">{"form-D1",#N/A,FALSE,"FORM-D1";"form-D1_amt",#N/A,FALSE,"FORM-D1"}</definedName>
    <definedName name="fffffg_3_1" localSheetId="5" hidden="1">{"form-D1",#N/A,FALSE,"FORM-D1";"form-D1_amt",#N/A,FALSE,"FORM-D1"}</definedName>
    <definedName name="fffffg_3_1" localSheetId="2" hidden="1">{"form-D1",#N/A,FALSE,"FORM-D1";"form-D1_amt",#N/A,FALSE,"FORM-D1"}</definedName>
    <definedName name="fffffg_4" localSheetId="5" hidden="1">{"form-D1",#N/A,FALSE,"FORM-D1";"form-D1_amt",#N/A,FALSE,"FORM-D1"}</definedName>
    <definedName name="fffffg_4" localSheetId="2" hidden="1">{"form-D1",#N/A,FALSE,"FORM-D1";"form-D1_amt",#N/A,FALSE,"FORM-D1"}</definedName>
    <definedName name="fffffg_4_1" localSheetId="5" hidden="1">{"form-D1",#N/A,FALSE,"FORM-D1";"form-D1_amt",#N/A,FALSE,"FORM-D1"}</definedName>
    <definedName name="fffffg_4_1" localSheetId="2" hidden="1">{"form-D1",#N/A,FALSE,"FORM-D1";"form-D1_amt",#N/A,FALSE,"FORM-D1"}</definedName>
    <definedName name="fffffg_5" localSheetId="5" hidden="1">{"form-D1",#N/A,FALSE,"FORM-D1";"form-D1_amt",#N/A,FALSE,"FORM-D1"}</definedName>
    <definedName name="fffffg_5" localSheetId="2" hidden="1">{"form-D1",#N/A,FALSE,"FORM-D1";"form-D1_amt",#N/A,FALSE,"FORM-D1"}</definedName>
    <definedName name="fffffg_5_1" localSheetId="5" hidden="1">{"form-D1",#N/A,FALSE,"FORM-D1";"form-D1_amt",#N/A,FALSE,"FORM-D1"}</definedName>
    <definedName name="fffffg_5_1" localSheetId="2" hidden="1">{"form-D1",#N/A,FALSE,"FORM-D1";"form-D1_amt",#N/A,FALSE,"FORM-D1"}</definedName>
    <definedName name="FFGB55" localSheetId="7">#REF!</definedName>
    <definedName name="FFGB55" localSheetId="1">#REF!</definedName>
    <definedName name="FFGB55" localSheetId="3">#REF!</definedName>
    <definedName name="FFGB55">#REF!</definedName>
    <definedName name="FFGB56" localSheetId="7">#REF!</definedName>
    <definedName name="FFGB56" localSheetId="1">#REF!</definedName>
    <definedName name="FFGB56" localSheetId="3">#REF!</definedName>
    <definedName name="FFGB56">#REF!</definedName>
    <definedName name="FFGB57" localSheetId="7">#REF!</definedName>
    <definedName name="FFGB57" localSheetId="1">#REF!</definedName>
    <definedName name="FFGB57" localSheetId="3">#REF!</definedName>
    <definedName name="FFGB57">#REF!</definedName>
    <definedName name="FFGB58" localSheetId="7">#REF!</definedName>
    <definedName name="FFGB58" localSheetId="1">#REF!</definedName>
    <definedName name="FFGB58" localSheetId="3">#REF!</definedName>
    <definedName name="FFGB58">#REF!</definedName>
    <definedName name="ffloor" localSheetId="7">#REF!</definedName>
    <definedName name="ffloor" localSheetId="1">#REF!</definedName>
    <definedName name="ffloor" localSheetId="3">#REF!</definedName>
    <definedName name="ffloor">#REF!</definedName>
    <definedName name="fgf" localSheetId="7">#REF!</definedName>
    <definedName name="fgf" localSheetId="1">#REF!</definedName>
    <definedName name="fgf" localSheetId="3">#REF!</definedName>
    <definedName name="fgf">#REF!</definedName>
    <definedName name="fgfdg" localSheetId="7" hidden="1">#REF!</definedName>
    <definedName name="fgfdg" localSheetId="1" hidden="1">#REF!</definedName>
    <definedName name="fgfdg" localSheetId="3" hidden="1">#REF!</definedName>
    <definedName name="fgfdg" hidden="1">#REF!</definedName>
    <definedName name="fggfg" localSheetId="7">#REF!</definedName>
    <definedName name="fggfg" localSheetId="1">#REF!</definedName>
    <definedName name="fggfg" localSheetId="3">#REF!</definedName>
    <definedName name="fggfg">#REF!</definedName>
    <definedName name="fgh" localSheetId="5" hidden="1">{"office ltcg",#N/A,FALSE,"gain01";"IT LTCG",#N/A,FALSE,"gain01"}</definedName>
    <definedName name="fgh" localSheetId="2" hidden="1">{"office ltcg",#N/A,FALSE,"gain01";"IT LTCG",#N/A,FALSE,"gain01"}</definedName>
    <definedName name="fgsadgsgfd" localSheetId="7">#REF!</definedName>
    <definedName name="fgsadgsgfd" localSheetId="1">#REF!</definedName>
    <definedName name="fgsadgsgfd" localSheetId="3">#REF!</definedName>
    <definedName name="fgsadgsgfd">#REF!</definedName>
    <definedName name="fgty" localSheetId="7">#REF!</definedName>
    <definedName name="fgty" localSheetId="1">#REF!</definedName>
    <definedName name="fgty" localSheetId="3">#REF!</definedName>
    <definedName name="fgty">#REF!</definedName>
    <definedName name="Fh" localSheetId="7">#REF!</definedName>
    <definedName name="Fh" localSheetId="1">#REF!</definedName>
    <definedName name="Fh" localSheetId="3">#REF!</definedName>
    <definedName name="Fh">#REF!</definedName>
    <definedName name="Fha" localSheetId="7">#REF!</definedName>
    <definedName name="Fha" localSheetId="1">#REF!</definedName>
    <definedName name="Fha" localSheetId="3">#REF!</definedName>
    <definedName name="Fha">#REF!</definedName>
    <definedName name="fhdsgbh" localSheetId="7">#REF!</definedName>
    <definedName name="fhdsgbh" localSheetId="1">#REF!</definedName>
    <definedName name="fhdsgbh" localSheetId="3">#REF!</definedName>
    <definedName name="fhdsgbh">#REF!</definedName>
    <definedName name="FHFGHFF" localSheetId="7">#REF!</definedName>
    <definedName name="FHFGHFF" localSheetId="1">#REF!</definedName>
    <definedName name="FHFGHFF" localSheetId="3">#REF!</definedName>
    <definedName name="FHFGHFF">#REF!</definedName>
    <definedName name="FHFGHGFH" localSheetId="7">#REF!</definedName>
    <definedName name="FHFGHGFH" localSheetId="1">#REF!</definedName>
    <definedName name="FHFGHGFH" localSheetId="3">#REF!</definedName>
    <definedName name="FHFGHGFH">#REF!</definedName>
    <definedName name="FHGFHFF" localSheetId="7">#REF!</definedName>
    <definedName name="FHGFHFF" localSheetId="1">#REF!</definedName>
    <definedName name="FHGFHFF" localSheetId="3">#REF!</definedName>
    <definedName name="FHGFHFF">#REF!</definedName>
    <definedName name="fhhhh" localSheetId="5" hidden="1">{#N/A,#N/A,FALSE,"str_title";#N/A,#N/A,FALSE,"SUM";#N/A,#N/A,FALSE,"Scope";#N/A,#N/A,FALSE,"PIE-Jn";#N/A,#N/A,FALSE,"PIE-Jn_Hz";#N/A,#N/A,FALSE,"Liq_Plan";#N/A,#N/A,FALSE,"S_Curve";#N/A,#N/A,FALSE,"Liq_Prof";#N/A,#N/A,FALSE,"Man_Pwr";#N/A,#N/A,FALSE,"Man_Prof"}</definedName>
    <definedName name="fhhhh" localSheetId="2" hidden="1">{#N/A,#N/A,FALSE,"str_title";#N/A,#N/A,FALSE,"SUM";#N/A,#N/A,FALSE,"Scope";#N/A,#N/A,FALSE,"PIE-Jn";#N/A,#N/A,FALSE,"PIE-Jn_Hz";#N/A,#N/A,FALSE,"Liq_Plan";#N/A,#N/A,FALSE,"S_Curve";#N/A,#N/A,FALSE,"Liq_Prof";#N/A,#N/A,FALSE,"Man_Pwr";#N/A,#N/A,FALSE,"Man_Prof"}</definedName>
    <definedName name="FHNFHFHF" localSheetId="7">#REF!</definedName>
    <definedName name="FHNFHFHF" localSheetId="1">#REF!</definedName>
    <definedName name="FHNFHFHF" localSheetId="3">#REF!</definedName>
    <definedName name="FHNFHFHF">#REF!</definedName>
    <definedName name="fhryu" localSheetId="7">#REF!</definedName>
    <definedName name="fhryu" localSheetId="1">#REF!</definedName>
    <definedName name="fhryu" localSheetId="3">#REF!</definedName>
    <definedName name="fhryu">#REF!</definedName>
    <definedName name="Fhwa" localSheetId="7">#REF!</definedName>
    <definedName name="Fhwa" localSheetId="1">#REF!</definedName>
    <definedName name="Fhwa" localSheetId="3">#REF!</definedName>
    <definedName name="Fhwa">#REF!</definedName>
    <definedName name="Fhwl" localSheetId="7">#REF!</definedName>
    <definedName name="Fhwl" localSheetId="1">#REF!</definedName>
    <definedName name="Fhwl" localSheetId="3">#REF!</definedName>
    <definedName name="Fhwl">#REF!</definedName>
    <definedName name="fil" localSheetId="7" hidden="1">#REF!</definedName>
    <definedName name="fil" localSheetId="1" hidden="1">#REF!</definedName>
    <definedName name="fil" localSheetId="3" hidden="1">#REF!</definedName>
    <definedName name="fil" hidden="1">#REF!</definedName>
    <definedName name="file" localSheetId="7">#REF!</definedName>
    <definedName name="file" localSheetId="1">#REF!</definedName>
    <definedName name="file" localSheetId="3">#REF!</definedName>
    <definedName name="file">#REF!</definedName>
    <definedName name="File.Type" localSheetId="7" hidden="1">#REF!</definedName>
    <definedName name="File.Type" localSheetId="1" hidden="1">#REF!</definedName>
    <definedName name="File.Type" localSheetId="3" hidden="1">#REF!</definedName>
    <definedName name="File.Type" hidden="1">#REF!</definedName>
    <definedName name="File_Used" localSheetId="7">#REF!</definedName>
    <definedName name="File_Used" localSheetId="1">#REF!</definedName>
    <definedName name="File_Used" localSheetId="3">#REF!</definedName>
    <definedName name="File_Used">#REF!</definedName>
    <definedName name="Fin" localSheetId="5" hidden="1">{#N/A,#N/A,TRUE,"Financials";#N/A,#N/A,TRUE,"Operating Statistics";#N/A,#N/A,TRUE,"Capex &amp; Depreciation";#N/A,#N/A,TRUE,"Debt"}</definedName>
    <definedName name="Fin" localSheetId="2" hidden="1">{#N/A,#N/A,TRUE,"Financials";#N/A,#N/A,TRUE,"Operating Statistics";#N/A,#N/A,TRUE,"Capex &amp; Depreciation";#N/A,#N/A,TRUE,"Debt"}</definedName>
    <definedName name="finishesArea" localSheetId="7">#REF!</definedName>
    <definedName name="finishesArea" localSheetId="1">#REF!</definedName>
    <definedName name="finishesArea" localSheetId="3">#REF!</definedName>
    <definedName name="finishesArea">#REF!</definedName>
    <definedName name="finishesPerimeter" localSheetId="7">#REF!</definedName>
    <definedName name="finishesPerimeter" localSheetId="1">#REF!</definedName>
    <definedName name="finishesPerimeter" localSheetId="3">#REF!</definedName>
    <definedName name="finishesPerimeter">#REF!</definedName>
    <definedName name="finishing" localSheetId="7">#REF!</definedName>
    <definedName name="finishing" localSheetId="1">#REF!</definedName>
    <definedName name="finishing" localSheetId="3">#REF!</definedName>
    <definedName name="finishing">#REF!</definedName>
    <definedName name="Fire_Protection" localSheetId="7">#REF!</definedName>
    <definedName name="Fire_Protection" localSheetId="1">#REF!</definedName>
    <definedName name="Fire_Protection" localSheetId="3">#REF!</definedName>
    <definedName name="Fire_Protection">#REF!</definedName>
    <definedName name="first" localSheetId="7">#REF!</definedName>
    <definedName name="first" localSheetId="1">#REF!</definedName>
    <definedName name="first" localSheetId="3">#REF!</definedName>
    <definedName name="first">#REF!</definedName>
    <definedName name="firstValve" localSheetId="7">#REF!</definedName>
    <definedName name="firstValve" localSheetId="1">#REF!</definedName>
    <definedName name="firstValve" localSheetId="3">#REF!</definedName>
    <definedName name="firstValve">#REF!</definedName>
    <definedName name="firstYear" localSheetId="7">#REF!</definedName>
    <definedName name="firstYear" localSheetId="1">#REF!</definedName>
    <definedName name="firstYear" localSheetId="3">#REF!</definedName>
    <definedName name="firstYear">#REF!</definedName>
    <definedName name="FIT" localSheetId="7">#REF!</definedName>
    <definedName name="FIT" localSheetId="1">#REF!</definedName>
    <definedName name="FIT" localSheetId="3">#REF!</definedName>
    <definedName name="FIT">#REF!</definedName>
    <definedName name="FIT___0" localSheetId="7">#REF!</definedName>
    <definedName name="FIT___0" localSheetId="1">#REF!</definedName>
    <definedName name="FIT___0" localSheetId="3">#REF!</definedName>
    <definedName name="FIT___0">#REF!</definedName>
    <definedName name="FIT___13" localSheetId="7">#REF!</definedName>
    <definedName name="FIT___13" localSheetId="1">#REF!</definedName>
    <definedName name="FIT___13" localSheetId="3">#REF!</definedName>
    <definedName name="FIT___13">#REF!</definedName>
    <definedName name="Fitments" localSheetId="7">#REF!</definedName>
    <definedName name="Fitments" localSheetId="1">#REF!</definedName>
    <definedName name="Fitments" localSheetId="3">#REF!</definedName>
    <definedName name="Fitments">#REF!</definedName>
    <definedName name="fixed" localSheetId="7">#REF!</definedName>
    <definedName name="fixed" localSheetId="1">#REF!</definedName>
    <definedName name="fixed" localSheetId="3">#REF!</definedName>
    <definedName name="fixed">#REF!</definedName>
    <definedName name="fixed_asset" localSheetId="7">#REF!</definedName>
    <definedName name="fixed_asset" localSheetId="1">#REF!</definedName>
    <definedName name="fixed_asset" localSheetId="3">#REF!</definedName>
    <definedName name="fixed_asset">#REF!</definedName>
    <definedName name="fj_100" localSheetId="7">#REF!</definedName>
    <definedName name="fj_100" localSheetId="1">#REF!</definedName>
    <definedName name="fj_100" localSheetId="3">#REF!</definedName>
    <definedName name="fj_100">#REF!</definedName>
    <definedName name="fj_150" localSheetId="7">#REF!</definedName>
    <definedName name="fj_150" localSheetId="1">#REF!</definedName>
    <definedName name="fj_150" localSheetId="3">#REF!</definedName>
    <definedName name="fj_150">#REF!</definedName>
    <definedName name="fj_200" localSheetId="7">#REF!</definedName>
    <definedName name="fj_200" localSheetId="1">#REF!</definedName>
    <definedName name="fj_200" localSheetId="3">#REF!</definedName>
    <definedName name="fj_200">#REF!</definedName>
    <definedName name="fj_25" localSheetId="7">#REF!</definedName>
    <definedName name="fj_25" localSheetId="1">#REF!</definedName>
    <definedName name="fj_25" localSheetId="3">#REF!</definedName>
    <definedName name="fj_25">#REF!</definedName>
    <definedName name="fj_250" localSheetId="7">#REF!</definedName>
    <definedName name="fj_250" localSheetId="1">#REF!</definedName>
    <definedName name="fj_250" localSheetId="3">#REF!</definedName>
    <definedName name="fj_250">#REF!</definedName>
    <definedName name="fj_300" localSheetId="7">#REF!</definedName>
    <definedName name="fj_300" localSheetId="1">#REF!</definedName>
    <definedName name="fj_300" localSheetId="3">#REF!</definedName>
    <definedName name="fj_300">#REF!</definedName>
    <definedName name="fj_32" localSheetId="7">#REF!</definedName>
    <definedName name="fj_32" localSheetId="1">#REF!</definedName>
    <definedName name="fj_32" localSheetId="3">#REF!</definedName>
    <definedName name="fj_32">#REF!</definedName>
    <definedName name="fj_40" localSheetId="7">#REF!</definedName>
    <definedName name="fj_40" localSheetId="1">#REF!</definedName>
    <definedName name="fj_40" localSheetId="3">#REF!</definedName>
    <definedName name="fj_40">#REF!</definedName>
    <definedName name="fj_400" localSheetId="7">#REF!</definedName>
    <definedName name="fj_400" localSheetId="1">#REF!</definedName>
    <definedName name="fj_400" localSheetId="3">#REF!</definedName>
    <definedName name="fj_400">#REF!</definedName>
    <definedName name="fj_50" localSheetId="7">#REF!</definedName>
    <definedName name="fj_50" localSheetId="1">#REF!</definedName>
    <definedName name="fj_50" localSheetId="3">#REF!</definedName>
    <definedName name="fj_50">#REF!</definedName>
    <definedName name="fj_500" localSheetId="7">#REF!</definedName>
    <definedName name="fj_500" localSheetId="1">#REF!</definedName>
    <definedName name="fj_500" localSheetId="3">#REF!</definedName>
    <definedName name="fj_500">#REF!</definedName>
    <definedName name="fj_65" localSheetId="7">#REF!</definedName>
    <definedName name="fj_65" localSheetId="1">#REF!</definedName>
    <definedName name="fj_65" localSheetId="3">#REF!</definedName>
    <definedName name="fj_65">#REF!</definedName>
    <definedName name="fj_80" localSheetId="7">#REF!</definedName>
    <definedName name="fj_80" localSheetId="1">#REF!</definedName>
    <definedName name="fj_80" localSheetId="3">#REF!</definedName>
    <definedName name="fj_80">#REF!</definedName>
    <definedName name="flag1" localSheetId="7">#REF!</definedName>
    <definedName name="flag1" localSheetId="1">#REF!</definedName>
    <definedName name="flag1" localSheetId="3">#REF!</definedName>
    <definedName name="flag1">#REF!</definedName>
    <definedName name="Floor" localSheetId="7">#REF!</definedName>
    <definedName name="Floor" localSheetId="1">#REF!</definedName>
    <definedName name="Floor" localSheetId="3">#REF!</definedName>
    <definedName name="Floor">#REF!</definedName>
    <definedName name="Floor_Fin" localSheetId="7">#REF!</definedName>
    <definedName name="Floor_Fin" localSheetId="1">#REF!</definedName>
    <definedName name="Floor_Fin" localSheetId="3">#REF!</definedName>
    <definedName name="Floor_Fin">#REF!</definedName>
    <definedName name="Floor_Finishes" localSheetId="7">#REF!</definedName>
    <definedName name="Floor_Finishes" localSheetId="1">#REF!</definedName>
    <definedName name="Floor_Finishes" localSheetId="3">#REF!</definedName>
    <definedName name="Floor_Finishes">#REF!</definedName>
    <definedName name="fo" localSheetId="7">#REF!</definedName>
    <definedName name="fo" localSheetId="1">#REF!</definedName>
    <definedName name="fo" localSheetId="3">#REF!</definedName>
    <definedName name="fo">#REF!</definedName>
    <definedName name="foa" localSheetId="7">#REF!</definedName>
    <definedName name="foa" localSheetId="1">#REF!</definedName>
    <definedName name="foa" localSheetId="3">#REF!</definedName>
    <definedName name="foa">#REF!</definedName>
    <definedName name="Footings" localSheetId="7">#REF!</definedName>
    <definedName name="Footings" localSheetId="1">#REF!</definedName>
    <definedName name="Footings" localSheetId="3">#REF!</definedName>
    <definedName name="Footings">#REF!</definedName>
    <definedName name="formu" localSheetId="7">#REF!</definedName>
    <definedName name="formu" localSheetId="1">#REF!</definedName>
    <definedName name="formu" localSheetId="3">#REF!</definedName>
    <definedName name="formu">#REF!</definedName>
    <definedName name="Foundation" localSheetId="7">#REF!</definedName>
    <definedName name="Foundation" localSheetId="1">#REF!</definedName>
    <definedName name="Foundation" localSheetId="3">#REF!</definedName>
    <definedName name="Foundation">#REF!</definedName>
    <definedName name="foundationtable" localSheetId="7">#REF!</definedName>
    <definedName name="foundationtable" localSheetId="1">#REF!</definedName>
    <definedName name="foundationtable" localSheetId="3">#REF!</definedName>
    <definedName name="foundationtable">#REF!</definedName>
    <definedName name="Fp" localSheetId="7">#REF!</definedName>
    <definedName name="Fp" localSheetId="1">#REF!</definedName>
    <definedName name="Fp" localSheetId="3">#REF!</definedName>
    <definedName name="Fp">#REF!</definedName>
    <definedName name="Fpi" localSheetId="7">#REF!</definedName>
    <definedName name="Fpi" localSheetId="1">#REF!</definedName>
    <definedName name="Fpi" localSheetId="3">#REF!</definedName>
    <definedName name="Fpi">#REF!</definedName>
    <definedName name="FQAQ" localSheetId="7">#REF!</definedName>
    <definedName name="FQAQ" localSheetId="1">#REF!</definedName>
    <definedName name="FQAQ" localSheetId="3">#REF!</definedName>
    <definedName name="FQAQ">#REF!</definedName>
    <definedName name="FRA" localSheetId="7">#REF!</definedName>
    <definedName name="FRA" localSheetId="1">#REF!</definedName>
    <definedName name="FRA" localSheetId="3">#REF!</definedName>
    <definedName name="FRA">#REF!</definedName>
    <definedName name="fRANCIS" localSheetId="7">#REF!</definedName>
    <definedName name="fRANCIS" localSheetId="1">#REF!</definedName>
    <definedName name="fRANCIS" localSheetId="3">#REF!</definedName>
    <definedName name="fRANCIS">#REF!</definedName>
    <definedName name="Francis." localSheetId="7">#REF!</definedName>
    <definedName name="Francis." localSheetId="1">#REF!</definedName>
    <definedName name="Francis." localSheetId="3">#REF!</definedName>
    <definedName name="Francis.">#REF!</definedName>
    <definedName name="fRANCU" localSheetId="7">#REF!</definedName>
    <definedName name="fRANCU" localSheetId="1">#REF!</definedName>
    <definedName name="fRANCU" localSheetId="3">#REF!</definedName>
    <definedName name="fRANCU">#REF!</definedName>
    <definedName name="frncis" localSheetId="7">#REF!</definedName>
    <definedName name="frncis" localSheetId="1">#REF!</definedName>
    <definedName name="frncis" localSheetId="3">#REF!</definedName>
    <definedName name="frncis">#REF!</definedName>
    <definedName name="frnorms" localSheetId="7">#REF!</definedName>
    <definedName name="frnorms" localSheetId="1">#REF!</definedName>
    <definedName name="frnorms" localSheetId="3">#REF!</definedName>
    <definedName name="frnorms">#REF!</definedName>
    <definedName name="frt" localSheetId="7">#REF!</definedName>
    <definedName name="frt" localSheetId="1">#REF!</definedName>
    <definedName name="frt" localSheetId="3">#REF!</definedName>
    <definedName name="frt">#REF!</definedName>
    <definedName name="Fs" localSheetId="7">#REF!</definedName>
    <definedName name="Fs" localSheetId="1">#REF!</definedName>
    <definedName name="Fs" localSheetId="3">#REF!</definedName>
    <definedName name="Fs">#REF!</definedName>
    <definedName name="fsds" localSheetId="7">#REF!</definedName>
    <definedName name="fsds" localSheetId="1">#REF!</definedName>
    <definedName name="fsds" localSheetId="3">#REF!</definedName>
    <definedName name="fsds">#REF!</definedName>
    <definedName name="fsdsdf" localSheetId="7">#REF!</definedName>
    <definedName name="fsdsdf" localSheetId="1">#REF!</definedName>
    <definedName name="fsdsdf" localSheetId="3">#REF!</definedName>
    <definedName name="fsdsdf">#REF!</definedName>
    <definedName name="fsf" localSheetId="7">#REF!</definedName>
    <definedName name="fsf" localSheetId="1">#REF!</definedName>
    <definedName name="fsf" localSheetId="3">#REF!</definedName>
    <definedName name="fsf">#REF!</definedName>
    <definedName name="fsg" localSheetId="7">#REF!</definedName>
    <definedName name="fsg" localSheetId="1">#REF!</definedName>
    <definedName name="fsg" localSheetId="3">#REF!</definedName>
    <definedName name="fsg">#REF!</definedName>
    <definedName name="fslab" localSheetId="7">#REF!</definedName>
    <definedName name="fslab" localSheetId="1">#REF!</definedName>
    <definedName name="fslab" localSheetId="3">#REF!</definedName>
    <definedName name="fslab">#REF!</definedName>
    <definedName name="FSLAB1" localSheetId="7">#REF!</definedName>
    <definedName name="FSLAB1" localSheetId="1">#REF!</definedName>
    <definedName name="FSLAB1" localSheetId="3">#REF!</definedName>
    <definedName name="FSLAB1">#REF!</definedName>
    <definedName name="fslab10" localSheetId="7">#REF!</definedName>
    <definedName name="fslab10" localSheetId="1">#REF!</definedName>
    <definedName name="fslab10" localSheetId="3">#REF!</definedName>
    <definedName name="fslab10">#REF!</definedName>
    <definedName name="FSLAB101" localSheetId="7">#REF!</definedName>
    <definedName name="FSLAB101" localSheetId="1">#REF!</definedName>
    <definedName name="FSLAB101" localSheetId="3">#REF!</definedName>
    <definedName name="FSLAB101">#REF!</definedName>
    <definedName name="fslab11" localSheetId="7">#REF!</definedName>
    <definedName name="fslab11" localSheetId="1">#REF!</definedName>
    <definedName name="fslab11" localSheetId="3">#REF!</definedName>
    <definedName name="fslab11">#REF!</definedName>
    <definedName name="FSLAB12" localSheetId="7">#REF!</definedName>
    <definedName name="FSLAB12" localSheetId="1">#REF!</definedName>
    <definedName name="FSLAB12" localSheetId="3">#REF!</definedName>
    <definedName name="FSLAB12">#REF!</definedName>
    <definedName name="FSLAB13" localSheetId="7">#REF!</definedName>
    <definedName name="FSLAB13" localSheetId="1">#REF!</definedName>
    <definedName name="FSLAB13" localSheetId="3">#REF!</definedName>
    <definedName name="FSLAB13">#REF!</definedName>
    <definedName name="fslab2" localSheetId="7">#REF!</definedName>
    <definedName name="fslab2" localSheetId="1">#REF!</definedName>
    <definedName name="fslab2" localSheetId="3">#REF!</definedName>
    <definedName name="fslab2">#REF!</definedName>
    <definedName name="FSLAB23" localSheetId="7">#REF!</definedName>
    <definedName name="FSLAB23" localSheetId="1">#REF!</definedName>
    <definedName name="FSLAB23" localSheetId="3">#REF!</definedName>
    <definedName name="FSLAB23">#REF!</definedName>
    <definedName name="FSSDD" localSheetId="7">#REF!</definedName>
    <definedName name="FSSDD" localSheetId="1">#REF!</definedName>
    <definedName name="FSSDD" localSheetId="3">#REF!</definedName>
    <definedName name="FSSDD">#REF!</definedName>
    <definedName name="Fst" localSheetId="7">#REF!</definedName>
    <definedName name="Fst" localSheetId="1">#REF!</definedName>
    <definedName name="Fst" localSheetId="3">#REF!</definedName>
    <definedName name="Fst">#REF!</definedName>
    <definedName name="Ft" localSheetId="7">#REF!</definedName>
    <definedName name="Ft" localSheetId="1">#REF!</definedName>
    <definedName name="Ft" localSheetId="3">#REF!</definedName>
    <definedName name="Ft">#REF!</definedName>
    <definedName name="FT0" localSheetId="7">#REF!</definedName>
    <definedName name="FT0" localSheetId="1">#REF!</definedName>
    <definedName name="FT0" localSheetId="3">#REF!</definedName>
    <definedName name="FT0">#REF!</definedName>
    <definedName name="fto" localSheetId="7">#REF!</definedName>
    <definedName name="fto" localSheetId="1">#REF!</definedName>
    <definedName name="fto" localSheetId="3">#REF!</definedName>
    <definedName name="fto">#REF!</definedName>
    <definedName name="Full_Print" localSheetId="7">#REF!</definedName>
    <definedName name="Full_Print" localSheetId="1">#REF!</definedName>
    <definedName name="Full_Print" localSheetId="3">#REF!</definedName>
    <definedName name="Full_Print">#REF!</definedName>
    <definedName name="furn" localSheetId="7">#REF!</definedName>
    <definedName name="furn" localSheetId="1">#REF!</definedName>
    <definedName name="furn" localSheetId="3">#REF!</definedName>
    <definedName name="furn">#REF!</definedName>
    <definedName name="furniture" localSheetId="7">#REF!</definedName>
    <definedName name="furniture" localSheetId="1">#REF!</definedName>
    <definedName name="furniture" localSheetId="3">#REF!</definedName>
    <definedName name="furniture">#REF!</definedName>
    <definedName name="Fv" localSheetId="7">#REF!</definedName>
    <definedName name="Fv" localSheetId="1">#REF!</definedName>
    <definedName name="Fv" localSheetId="3">#REF!</definedName>
    <definedName name="Fv">#REF!</definedName>
    <definedName name="FW" localSheetId="7">#REF!</definedName>
    <definedName name="FW" localSheetId="1">#REF!</definedName>
    <definedName name="FW" localSheetId="3">#REF!</definedName>
    <definedName name="FW">#REF!</definedName>
    <definedName name="fy" localSheetId="7">#REF!</definedName>
    <definedName name="fy" localSheetId="1">#REF!</definedName>
    <definedName name="fy" localSheetId="3">#REF!</definedName>
    <definedName name="fy">#REF!</definedName>
    <definedName name="g" localSheetId="7">#REF!</definedName>
    <definedName name="g" localSheetId="1">#REF!</definedName>
    <definedName name="g" localSheetId="3">#REF!</definedName>
    <definedName name="g">#REF!</definedName>
    <definedName name="g_1" localSheetId="5" hidden="1">{"form-D1",#N/A,FALSE,"FORM-D1";"form-D1_amt",#N/A,FALSE,"FORM-D1"}</definedName>
    <definedName name="g_1" localSheetId="2" hidden="1">{"form-D1",#N/A,FALSE,"FORM-D1";"form-D1_amt",#N/A,FALSE,"FORM-D1"}</definedName>
    <definedName name="g_1_1" localSheetId="5" hidden="1">{"form-D1",#N/A,FALSE,"FORM-D1";"form-D1_amt",#N/A,FALSE,"FORM-D1"}</definedName>
    <definedName name="g_1_1" localSheetId="2" hidden="1">{"form-D1",#N/A,FALSE,"FORM-D1";"form-D1_amt",#N/A,FALSE,"FORM-D1"}</definedName>
    <definedName name="g_1_2" localSheetId="5" hidden="1">{"form-D1",#N/A,FALSE,"FORM-D1";"form-D1_amt",#N/A,FALSE,"FORM-D1"}</definedName>
    <definedName name="g_1_2" localSheetId="2" hidden="1">{"form-D1",#N/A,FALSE,"FORM-D1";"form-D1_amt",#N/A,FALSE,"FORM-D1"}</definedName>
    <definedName name="g_2" localSheetId="5" hidden="1">{"form-D1",#N/A,FALSE,"FORM-D1";"form-D1_amt",#N/A,FALSE,"FORM-D1"}</definedName>
    <definedName name="g_2" localSheetId="2" hidden="1">{"form-D1",#N/A,FALSE,"FORM-D1";"form-D1_amt",#N/A,FALSE,"FORM-D1"}</definedName>
    <definedName name="g_2_1" localSheetId="5" hidden="1">{"form-D1",#N/A,FALSE,"FORM-D1";"form-D1_amt",#N/A,FALSE,"FORM-D1"}</definedName>
    <definedName name="g_2_1" localSheetId="2" hidden="1">{"form-D1",#N/A,FALSE,"FORM-D1";"form-D1_amt",#N/A,FALSE,"FORM-D1"}</definedName>
    <definedName name="g_3" localSheetId="5" hidden="1">{"form-D1",#N/A,FALSE,"FORM-D1";"form-D1_amt",#N/A,FALSE,"FORM-D1"}</definedName>
    <definedName name="g_3" localSheetId="2" hidden="1">{"form-D1",#N/A,FALSE,"FORM-D1";"form-D1_amt",#N/A,FALSE,"FORM-D1"}</definedName>
    <definedName name="g_3_1" localSheetId="5" hidden="1">{"form-D1",#N/A,FALSE,"FORM-D1";"form-D1_amt",#N/A,FALSE,"FORM-D1"}</definedName>
    <definedName name="g_3_1" localSheetId="2" hidden="1">{"form-D1",#N/A,FALSE,"FORM-D1";"form-D1_amt",#N/A,FALSE,"FORM-D1"}</definedName>
    <definedName name="g_4" localSheetId="5" hidden="1">{"form-D1",#N/A,FALSE,"FORM-D1";"form-D1_amt",#N/A,FALSE,"FORM-D1"}</definedName>
    <definedName name="g_4" localSheetId="2" hidden="1">{"form-D1",#N/A,FALSE,"FORM-D1";"form-D1_amt",#N/A,FALSE,"FORM-D1"}</definedName>
    <definedName name="gama" localSheetId="7">#REF!</definedName>
    <definedName name="gama" localSheetId="1">#REF!</definedName>
    <definedName name="gama" localSheetId="3">#REF!</definedName>
    <definedName name="gama">#REF!</definedName>
    <definedName name="gamah" localSheetId="7">#REF!</definedName>
    <definedName name="gamah" localSheetId="1">#REF!</definedName>
    <definedName name="gamah" localSheetId="3">#REF!</definedName>
    <definedName name="gamah">#REF!</definedName>
    <definedName name="Gas_Service" localSheetId="7">#REF!</definedName>
    <definedName name="Gas_Service" localSheetId="1">#REF!</definedName>
    <definedName name="Gas_Service" localSheetId="3">#REF!</definedName>
    <definedName name="Gas_Service">#REF!</definedName>
    <definedName name="GasCostUnit" localSheetId="7">#REF!</definedName>
    <definedName name="GasCostUnit" localSheetId="1">#REF!</definedName>
    <definedName name="GasCostUnit" localSheetId="3">#REF!</definedName>
    <definedName name="GasCostUnit">#REF!</definedName>
    <definedName name="GasCostUnit_I" localSheetId="7">#REF!</definedName>
    <definedName name="GasCostUnit_I" localSheetId="1">#REF!</definedName>
    <definedName name="GasCostUnit_I" localSheetId="3">#REF!</definedName>
    <definedName name="GasCostUnit_I">#REF!</definedName>
    <definedName name="GasReqUnit" localSheetId="7">#REF!</definedName>
    <definedName name="GasReqUnit" localSheetId="1">#REF!</definedName>
    <definedName name="GasReqUnit" localSheetId="3">#REF!</definedName>
    <definedName name="GasReqUnit">#REF!</definedName>
    <definedName name="GasReqUnit_I" localSheetId="7">#REF!</definedName>
    <definedName name="GasReqUnit_I" localSheetId="1">#REF!</definedName>
    <definedName name="GasReqUnit_I" localSheetId="3">#REF!</definedName>
    <definedName name="GasReqUnit_I">#REF!</definedName>
    <definedName name="GATE" localSheetId="7">#REF!</definedName>
    <definedName name="GATE" localSheetId="1">#REF!</definedName>
    <definedName name="GATE" localSheetId="3">#REF!</definedName>
    <definedName name="GATE">#REF!</definedName>
    <definedName name="GDGSDGG" localSheetId="7">#REF!</definedName>
    <definedName name="GDGSDGG" localSheetId="1">#REF!</definedName>
    <definedName name="GDGSDGG" localSheetId="3">#REF!</definedName>
    <definedName name="GDGSDGG">#REF!</definedName>
    <definedName name="GenAdmin" localSheetId="7">#REF!</definedName>
    <definedName name="GenAdmin" localSheetId="1">#REF!</definedName>
    <definedName name="GenAdmin" localSheetId="3">#REF!</definedName>
    <definedName name="GenAdmin">#REF!</definedName>
    <definedName name="GenAdmin_I" localSheetId="7">#REF!</definedName>
    <definedName name="GenAdmin_I" localSheetId="1">#REF!</definedName>
    <definedName name="GenAdmin_I" localSheetId="3">#REF!</definedName>
    <definedName name="GenAdmin_I">#REF!</definedName>
    <definedName name="general" localSheetId="7">#REF!</definedName>
    <definedName name="general" localSheetId="1">#REF!</definedName>
    <definedName name="general" localSheetId="3">#REF!</definedName>
    <definedName name="general">#REF!</definedName>
    <definedName name="generation" localSheetId="7">#REF!</definedName>
    <definedName name="generation" localSheetId="1">#REF!</definedName>
    <definedName name="generation" localSheetId="3">#REF!</definedName>
    <definedName name="generation">#REF!</definedName>
    <definedName name="generation_I" localSheetId="7">#REF!</definedName>
    <definedName name="generation_I" localSheetId="1">#REF!</definedName>
    <definedName name="generation_I" localSheetId="3">#REF!</definedName>
    <definedName name="generation_I">#REF!</definedName>
    <definedName name="gf" localSheetId="7">#REF!</definedName>
    <definedName name="gf" localSheetId="1">#REF!</definedName>
    <definedName name="gf" localSheetId="3">#REF!</definedName>
    <definedName name="gf">#REF!</definedName>
    <definedName name="GFAArea" localSheetId="7">#REF!</definedName>
    <definedName name="GFAArea" localSheetId="1">#REF!</definedName>
    <definedName name="GFAArea" localSheetId="3">#REF!</definedName>
    <definedName name="GFAArea">#REF!</definedName>
    <definedName name="GFAPerimeter" localSheetId="7">#REF!</definedName>
    <definedName name="GFAPerimeter" localSheetId="1">#REF!</definedName>
    <definedName name="GFAPerimeter" localSheetId="3">#REF!</definedName>
    <definedName name="GFAPerimeter">#REF!</definedName>
    <definedName name="gfg" localSheetId="7">#REF!</definedName>
    <definedName name="gfg" localSheetId="1">#REF!</definedName>
    <definedName name="gfg" localSheetId="3">#REF!</definedName>
    <definedName name="gfg">#REF!</definedName>
    <definedName name="GGG"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gggggggggggg" localSheetId="7">#REF!</definedName>
    <definedName name="gggggggggggggggg" localSheetId="1">#REF!</definedName>
    <definedName name="gggggggggggggggg" localSheetId="3">#REF!</definedName>
    <definedName name="gggggggggggggggg">#REF!</definedName>
    <definedName name="gh" localSheetId="7">#REF!</definedName>
    <definedName name="gh" localSheetId="1">#REF!</definedName>
    <definedName name="gh" localSheetId="3">#REF!</definedName>
    <definedName name="gh">#REF!</definedName>
    <definedName name="ghghgh" localSheetId="7">#REF!</definedName>
    <definedName name="ghghgh" localSheetId="1">#REF!</definedName>
    <definedName name="ghghgh" localSheetId="3">#REF!</definedName>
    <definedName name="ghghgh">#REF!</definedName>
    <definedName name="ghj" localSheetId="5" hidden="1">{#N/A,#N/A,FALSE,"gc (2)"}</definedName>
    <definedName name="ghj" localSheetId="2" hidden="1">{#N/A,#N/A,FALSE,"gc (2)"}</definedName>
    <definedName name="gi_100" localSheetId="7">#REF!</definedName>
    <definedName name="gi_100" localSheetId="1">#REF!</definedName>
    <definedName name="gi_100" localSheetId="3">#REF!</definedName>
    <definedName name="gi_100">#REF!</definedName>
    <definedName name="gi_150" localSheetId="7">#REF!</definedName>
    <definedName name="gi_150" localSheetId="1">#REF!</definedName>
    <definedName name="gi_150" localSheetId="3">#REF!</definedName>
    <definedName name="gi_150">#REF!</definedName>
    <definedName name="gi_200" localSheetId="7">#REF!</definedName>
    <definedName name="gi_200" localSheetId="1">#REF!</definedName>
    <definedName name="gi_200" localSheetId="3">#REF!</definedName>
    <definedName name="gi_200">#REF!</definedName>
    <definedName name="gi_25" localSheetId="7">#REF!</definedName>
    <definedName name="gi_25" localSheetId="1">#REF!</definedName>
    <definedName name="gi_25" localSheetId="3">#REF!</definedName>
    <definedName name="gi_25">#REF!</definedName>
    <definedName name="gi_250" localSheetId="7">#REF!</definedName>
    <definedName name="gi_250" localSheetId="1">#REF!</definedName>
    <definedName name="gi_250" localSheetId="3">#REF!</definedName>
    <definedName name="gi_250">#REF!</definedName>
    <definedName name="gi_300" localSheetId="7">#REF!</definedName>
    <definedName name="gi_300" localSheetId="1">#REF!</definedName>
    <definedName name="gi_300" localSheetId="3">#REF!</definedName>
    <definedName name="gi_300">#REF!</definedName>
    <definedName name="gi_32" localSheetId="7">#REF!</definedName>
    <definedName name="gi_32" localSheetId="1">#REF!</definedName>
    <definedName name="gi_32" localSheetId="3">#REF!</definedName>
    <definedName name="gi_32">#REF!</definedName>
    <definedName name="gi_40" localSheetId="7">#REF!</definedName>
    <definedName name="gi_40" localSheetId="1">#REF!</definedName>
    <definedName name="gi_40" localSheetId="3">#REF!</definedName>
    <definedName name="gi_40">#REF!</definedName>
    <definedName name="gi_400" localSheetId="7">#REF!</definedName>
    <definedName name="gi_400" localSheetId="1">#REF!</definedName>
    <definedName name="gi_400" localSheetId="3">#REF!</definedName>
    <definedName name="gi_400">#REF!</definedName>
    <definedName name="gi_50" localSheetId="7">#REF!</definedName>
    <definedName name="gi_50" localSheetId="1">#REF!</definedName>
    <definedName name="gi_50" localSheetId="3">#REF!</definedName>
    <definedName name="gi_50">#REF!</definedName>
    <definedName name="gi_500" localSheetId="7">#REF!</definedName>
    <definedName name="gi_500" localSheetId="1">#REF!</definedName>
    <definedName name="gi_500" localSheetId="3">#REF!</definedName>
    <definedName name="gi_500">#REF!</definedName>
    <definedName name="gi_600" localSheetId="7">#REF!</definedName>
    <definedName name="gi_600" localSheetId="1">#REF!</definedName>
    <definedName name="gi_600" localSheetId="3">#REF!</definedName>
    <definedName name="gi_600">#REF!</definedName>
    <definedName name="gi_65" localSheetId="7">#REF!</definedName>
    <definedName name="gi_65" localSheetId="1">#REF!</definedName>
    <definedName name="gi_65" localSheetId="3">#REF!</definedName>
    <definedName name="gi_65">#REF!</definedName>
    <definedName name="gi_80" localSheetId="7">#REF!</definedName>
    <definedName name="gi_80" localSheetId="1">#REF!</definedName>
    <definedName name="gi_80" localSheetId="3">#REF!</definedName>
    <definedName name="gi_80">#REF!</definedName>
    <definedName name="GL" localSheetId="7">#REF!</definedName>
    <definedName name="GL" localSheetId="1">#REF!</definedName>
    <definedName name="GL" localSheetId="3">#REF!</definedName>
    <definedName name="GL">#REF!</definedName>
    <definedName name="glb_100" localSheetId="7">#REF!</definedName>
    <definedName name="glb_100" localSheetId="1">#REF!</definedName>
    <definedName name="glb_100" localSheetId="3">#REF!</definedName>
    <definedName name="glb_100">#REF!</definedName>
    <definedName name="glb_150" localSheetId="7">#REF!</definedName>
    <definedName name="glb_150" localSheetId="1">#REF!</definedName>
    <definedName name="glb_150" localSheetId="3">#REF!</definedName>
    <definedName name="glb_150">#REF!</definedName>
    <definedName name="glb_200" localSheetId="7">#REF!</definedName>
    <definedName name="glb_200" localSheetId="1">#REF!</definedName>
    <definedName name="glb_200" localSheetId="3">#REF!</definedName>
    <definedName name="glb_200">#REF!</definedName>
    <definedName name="glb_25" localSheetId="7">#REF!</definedName>
    <definedName name="glb_25" localSheetId="1">#REF!</definedName>
    <definedName name="glb_25" localSheetId="3">#REF!</definedName>
    <definedName name="glb_25">#REF!</definedName>
    <definedName name="glb_250" localSheetId="7">#REF!</definedName>
    <definedName name="glb_250" localSheetId="1">#REF!</definedName>
    <definedName name="glb_250" localSheetId="3">#REF!</definedName>
    <definedName name="glb_250">#REF!</definedName>
    <definedName name="glb_300" localSheetId="7">#REF!</definedName>
    <definedName name="glb_300" localSheetId="1">#REF!</definedName>
    <definedName name="glb_300" localSheetId="3">#REF!</definedName>
    <definedName name="glb_300">#REF!</definedName>
    <definedName name="glb_32" localSheetId="7">#REF!</definedName>
    <definedName name="glb_32" localSheetId="1">#REF!</definedName>
    <definedName name="glb_32" localSheetId="3">#REF!</definedName>
    <definedName name="glb_32">#REF!</definedName>
    <definedName name="glb_40" localSheetId="7">#REF!</definedName>
    <definedName name="glb_40" localSheetId="1">#REF!</definedName>
    <definedName name="glb_40" localSheetId="3">#REF!</definedName>
    <definedName name="glb_40">#REF!</definedName>
    <definedName name="glb_50" localSheetId="7">#REF!</definedName>
    <definedName name="glb_50" localSheetId="1">#REF!</definedName>
    <definedName name="glb_50" localSheetId="3">#REF!</definedName>
    <definedName name="glb_50">#REF!</definedName>
    <definedName name="glb_65" localSheetId="7">#REF!</definedName>
    <definedName name="glb_65" localSheetId="1">#REF!</definedName>
    <definedName name="glb_65" localSheetId="3">#REF!</definedName>
    <definedName name="glb_65">#REF!</definedName>
    <definedName name="glb_80" localSheetId="7">#REF!</definedName>
    <definedName name="glb_80" localSheetId="1">#REF!</definedName>
    <definedName name="glb_80" localSheetId="3">#REF!</definedName>
    <definedName name="glb_80">#REF!</definedName>
    <definedName name="GLs" localSheetId="7">#REF!</definedName>
    <definedName name="GLs" localSheetId="1">#REF!</definedName>
    <definedName name="GLs" localSheetId="3">#REF!</definedName>
    <definedName name="GLs">#REF!</definedName>
    <definedName name="GMN" localSheetId="5" hidden="1">{"'Sheet1'!$A$4386:$N$4591"}</definedName>
    <definedName name="GMN" localSheetId="2" hidden="1">{"'Sheet1'!$A$4386:$N$4591"}</definedName>
    <definedName name="gopi" localSheetId="2">#REF!</definedName>
    <definedName name="GRADER" localSheetId="2">#REF!</definedName>
    <definedName name="GrandSuitePerimeter" localSheetId="7">#REF!</definedName>
    <definedName name="GrandSuitePerimeter" localSheetId="1">#REF!</definedName>
    <definedName name="GrandSuitePerimeter" localSheetId="3">#REF!</definedName>
    <definedName name="GrandSuitePerimeter">#REF!</definedName>
    <definedName name="Gravel" localSheetId="7">#REF!</definedName>
    <definedName name="Gravel" localSheetId="1">#REF!</definedName>
    <definedName name="Gravel" localSheetId="3">#REF!</definedName>
    <definedName name="Gravel">#REF!</definedName>
    <definedName name="Gravel_incl_transport" localSheetId="7">#REF!</definedName>
    <definedName name="Gravel_incl_transport" localSheetId="1">#REF!</definedName>
    <definedName name="Gravel_incl_transport" localSheetId="3">#REF!</definedName>
    <definedName name="Gravel_incl_transport">#REF!</definedName>
    <definedName name="GRLvl" localSheetId="7">#REF!</definedName>
    <definedName name="GRLvl" localSheetId="1">#REF!</definedName>
    <definedName name="GRLvl" localSheetId="3">#REF!</definedName>
    <definedName name="GRLvl">#REF!</definedName>
    <definedName name="Group1" localSheetId="7">#REF!</definedName>
    <definedName name="Group1" localSheetId="1">#REF!</definedName>
    <definedName name="Group1" localSheetId="3">#REF!</definedName>
    <definedName name="Group1">#REF!</definedName>
    <definedName name="Group2" localSheetId="7">#REF!</definedName>
    <definedName name="Group2" localSheetId="1">#REF!</definedName>
    <definedName name="Group2" localSheetId="3">#REF!</definedName>
    <definedName name="Group2">#REF!</definedName>
    <definedName name="Group3" localSheetId="7">#REF!</definedName>
    <definedName name="Group3" localSheetId="1">#REF!</definedName>
    <definedName name="Group3" localSheetId="3">#REF!</definedName>
    <definedName name="Group3">#REF!</definedName>
    <definedName name="Group4" localSheetId="7">#REF!</definedName>
    <definedName name="Group4" localSheetId="1">#REF!</definedName>
    <definedName name="Group4" localSheetId="3">#REF!</definedName>
    <definedName name="Group4">#REF!</definedName>
    <definedName name="gs" localSheetId="7">#REF!</definedName>
    <definedName name="gs" localSheetId="1">#REF!</definedName>
    <definedName name="gs" localSheetId="3">#REF!</definedName>
    <definedName name="gs">#REF!</definedName>
    <definedName name="GSB" localSheetId="7">#REF!</definedName>
    <definedName name="GSB" localSheetId="1">#REF!</definedName>
    <definedName name="GSB" localSheetId="3">#REF!</definedName>
    <definedName name="GSB">#REF!</definedName>
    <definedName name="GSDFGFHGH" localSheetId="7">#REF!</definedName>
    <definedName name="GSDFGFHGH" localSheetId="1">#REF!</definedName>
    <definedName name="GSDFGFHGH" localSheetId="3">#REF!</definedName>
    <definedName name="GSDFGFHGH">#REF!</definedName>
    <definedName name="GSDFSDF" localSheetId="7">#REF!</definedName>
    <definedName name="GSDFSDF" localSheetId="1">#REF!</definedName>
    <definedName name="GSDFSDF" localSheetId="3">#REF!</definedName>
    <definedName name="GSDFSDF">#REF!</definedName>
    <definedName name="GSDGG" localSheetId="7">#REF!</definedName>
    <definedName name="GSDGG" localSheetId="1">#REF!</definedName>
    <definedName name="GSDGG" localSheetId="3">#REF!</definedName>
    <definedName name="GSDGG">#REF!</definedName>
    <definedName name="gupta"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v_150" localSheetId="7">#REF!</definedName>
    <definedName name="gv_150" localSheetId="1">#REF!</definedName>
    <definedName name="gv_150" localSheetId="3">#REF!</definedName>
    <definedName name="gv_150">#REF!</definedName>
    <definedName name="gv_200" localSheetId="7">#REF!</definedName>
    <definedName name="gv_200" localSheetId="1">#REF!</definedName>
    <definedName name="gv_200" localSheetId="3">#REF!</definedName>
    <definedName name="gv_200">#REF!</definedName>
    <definedName name="gv_25" localSheetId="7">#REF!</definedName>
    <definedName name="gv_25" localSheetId="1">#REF!</definedName>
    <definedName name="gv_25" localSheetId="3">#REF!</definedName>
    <definedName name="gv_25">#REF!</definedName>
    <definedName name="gv_250" localSheetId="7">#REF!</definedName>
    <definedName name="gv_250" localSheetId="1">#REF!</definedName>
    <definedName name="gv_250" localSheetId="3">#REF!</definedName>
    <definedName name="gv_250">#REF!</definedName>
    <definedName name="gv_300" localSheetId="7">#REF!</definedName>
    <definedName name="gv_300" localSheetId="1">#REF!</definedName>
    <definedName name="gv_300" localSheetId="3">#REF!</definedName>
    <definedName name="gv_300">#REF!</definedName>
    <definedName name="gv_32" localSheetId="7">#REF!</definedName>
    <definedName name="gv_32" localSheetId="1">#REF!</definedName>
    <definedName name="gv_32" localSheetId="3">#REF!</definedName>
    <definedName name="gv_32">#REF!</definedName>
    <definedName name="gv_40" localSheetId="7">#REF!</definedName>
    <definedName name="gv_40" localSheetId="1">#REF!</definedName>
    <definedName name="gv_40" localSheetId="3">#REF!</definedName>
    <definedName name="gv_40">#REF!</definedName>
    <definedName name="gv_400" localSheetId="7">#REF!</definedName>
    <definedName name="gv_400" localSheetId="1">#REF!</definedName>
    <definedName name="gv_400" localSheetId="3">#REF!</definedName>
    <definedName name="gv_400">#REF!</definedName>
    <definedName name="gv_50" localSheetId="7">#REF!</definedName>
    <definedName name="gv_50" localSheetId="1">#REF!</definedName>
    <definedName name="gv_50" localSheetId="3">#REF!</definedName>
    <definedName name="gv_50">#REF!</definedName>
    <definedName name="gv_500" localSheetId="7">#REF!</definedName>
    <definedName name="gv_500" localSheetId="1">#REF!</definedName>
    <definedName name="gv_500" localSheetId="3">#REF!</definedName>
    <definedName name="gv_500">#REF!</definedName>
    <definedName name="gv_65" localSheetId="7">#REF!</definedName>
    <definedName name="gv_65" localSheetId="1">#REF!</definedName>
    <definedName name="gv_65" localSheetId="3">#REF!</definedName>
    <definedName name="gv_65">#REF!</definedName>
    <definedName name="gv_80" localSheetId="7">#REF!</definedName>
    <definedName name="gv_80" localSheetId="1">#REF!</definedName>
    <definedName name="gv_80" localSheetId="3">#REF!</definedName>
    <definedName name="gv_80">#REF!</definedName>
    <definedName name="gvgfvgf" localSheetId="7">#REF!</definedName>
    <definedName name="gvgfvgf" localSheetId="1">#REF!</definedName>
    <definedName name="gvgfvgf" localSheetId="3">#REF!</definedName>
    <definedName name="gvgfvgf">#REF!</definedName>
    <definedName name="Gw" localSheetId="7">#REF!</definedName>
    <definedName name="Gw" localSheetId="1">#REF!</definedName>
    <definedName name="Gw" localSheetId="3">#REF!</definedName>
    <definedName name="Gw">#REF!</definedName>
    <definedName name="H" localSheetId="7">#REF!</definedName>
    <definedName name="H" localSheetId="1">#REF!</definedName>
    <definedName name="H" localSheetId="3">#REF!</definedName>
    <definedName name="H">#REF!</definedName>
    <definedName name="H___0" localSheetId="7">#REF!</definedName>
    <definedName name="H___0" localSheetId="1">#REF!</definedName>
    <definedName name="H___0" localSheetId="3">#REF!</definedName>
    <definedName name="H___0">#REF!</definedName>
    <definedName name="H___13" localSheetId="7">#REF!</definedName>
    <definedName name="H___13" localSheetId="1">#REF!</definedName>
    <definedName name="H___13" localSheetId="3">#REF!</definedName>
    <definedName name="H___13">#REF!</definedName>
    <definedName name="H0" localSheetId="7">#REF!</definedName>
    <definedName name="H0" localSheetId="1">#REF!</definedName>
    <definedName name="H0" localSheetId="3">#REF!</definedName>
    <definedName name="H0">#REF!</definedName>
    <definedName name="H0___0" localSheetId="7">#REF!</definedName>
    <definedName name="H0___0" localSheetId="1">#REF!</definedName>
    <definedName name="H0___0" localSheetId="3">#REF!</definedName>
    <definedName name="H0___0">#REF!</definedName>
    <definedName name="H0___13" localSheetId="7">#REF!</definedName>
    <definedName name="H0___13" localSheetId="1">#REF!</definedName>
    <definedName name="H0___13" localSheetId="3">#REF!</definedName>
    <definedName name="H0___13">#REF!</definedName>
    <definedName name="HA" localSheetId="7">#REF!</definedName>
    <definedName name="HA" localSheetId="1">#REF!</definedName>
    <definedName name="HA" localSheetId="3">#REF!</definedName>
    <definedName name="HA">#REF!</definedName>
    <definedName name="Hafeez" localSheetId="7">#REF!</definedName>
    <definedName name="Hafeez" localSheetId="1">#REF!</definedName>
    <definedName name="Hafeez" localSheetId="3">#REF!</definedName>
    <definedName name="Hafeez">#REF!</definedName>
    <definedName name="haj" localSheetId="7">#REF!</definedName>
    <definedName name="haj" localSheetId="1">#REF!</definedName>
    <definedName name="haj" localSheetId="3">#REF!</definedName>
    <definedName name="haj">#REF!</definedName>
    <definedName name="hap" localSheetId="5" hidden="1">{#N/A,#N/A,FALSE,"COVER1.XLS ";#N/A,#N/A,FALSE,"RACT1.XLS";#N/A,#N/A,FALSE,"RACT2.XLS";#N/A,#N/A,FALSE,"ECCMP";#N/A,#N/A,FALSE,"WELDER.XLS"}</definedName>
    <definedName name="hap" localSheetId="2" hidden="1">{#N/A,#N/A,FALSE,"COVER1.XLS ";#N/A,#N/A,FALSE,"RACT1.XLS";#N/A,#N/A,FALSE,"RACT2.XLS";#N/A,#N/A,FALSE,"ECCMP";#N/A,#N/A,FALSE,"WELDER.XLS"}</definedName>
    <definedName name="Hcbdw" localSheetId="7">#REF!</definedName>
    <definedName name="Hcbdw" localSheetId="1">#REF!</definedName>
    <definedName name="Hcbdw" localSheetId="3">#REF!</definedName>
    <definedName name="Hcbdw">#REF!</definedName>
    <definedName name="Hcw" localSheetId="7">#REF!</definedName>
    <definedName name="Hcw" localSheetId="1">#REF!</definedName>
    <definedName name="Hcw" localSheetId="3">#REF!</definedName>
    <definedName name="Hcw">#REF!</definedName>
    <definedName name="Header_Row" localSheetId="7">ROW(#REF!)</definedName>
    <definedName name="Header_Row" localSheetId="1">ROW(#REF!)</definedName>
    <definedName name="Header_Row" localSheetId="3">ROW(#REF!)</definedName>
    <definedName name="Header_Row">ROW(#REF!)</definedName>
    <definedName name="hello" localSheetId="7">#REF!</definedName>
    <definedName name="hello" localSheetId="1">#REF!</definedName>
    <definedName name="hello" localSheetId="3">#REF!</definedName>
    <definedName name="hello">#REF!</definedName>
    <definedName name="hf" localSheetId="7">#REF!</definedName>
    <definedName name="hf" localSheetId="1">#REF!</definedName>
    <definedName name="hf" localSheetId="3">#REF!</definedName>
    <definedName name="hf">#REF!</definedName>
    <definedName name="hfi" localSheetId="2">#REF!</definedName>
    <definedName name="hg" localSheetId="2">#REF!</definedName>
    <definedName name="hh" localSheetId="7">#REF!</definedName>
    <definedName name="hh" localSheetId="1">#REF!</definedName>
    <definedName name="hh" localSheetId="3">#REF!</definedName>
    <definedName name="hh">#REF!</definedName>
    <definedName name="hh___0" localSheetId="7">#REF!</definedName>
    <definedName name="hh___0" localSheetId="1">#REF!</definedName>
    <definedName name="hh___0" localSheetId="3">#REF!</definedName>
    <definedName name="hh___0">#REF!</definedName>
    <definedName name="hh___13" localSheetId="7">#REF!</definedName>
    <definedName name="hh___13" localSheetId="1">#REF!</definedName>
    <definedName name="hh___13" localSheetId="3">#REF!</definedName>
    <definedName name="hh___13">#REF!</definedName>
    <definedName name="hhhhhhh" localSheetId="7">#REF!</definedName>
    <definedName name="hhhhhhh" localSheetId="1">#REF!</definedName>
    <definedName name="hhhhhhh" localSheetId="3">#REF!</definedName>
    <definedName name="hhhhhhh">#REF!</definedName>
    <definedName name="hhhhhhhhhhhhhhhhhh" localSheetId="7">#REF!</definedName>
    <definedName name="hhhhhhhhhhhhhhhhhh" localSheetId="1">#REF!</definedName>
    <definedName name="hhhhhhhhhhhhhhhhhh" localSheetId="3">#REF!</definedName>
    <definedName name="hhhhhhhhhhhhhhhhhh">#REF!</definedName>
    <definedName name="Hhpc" localSheetId="7">#REF!</definedName>
    <definedName name="Hhpc" localSheetId="1">#REF!</definedName>
    <definedName name="Hhpc" localSheetId="3">#REF!</definedName>
    <definedName name="Hhpc">#REF!</definedName>
    <definedName name="hhs" localSheetId="7">#REF!</definedName>
    <definedName name="hhs" localSheetId="1">#REF!</definedName>
    <definedName name="hhs" localSheetId="3">#REF!</definedName>
    <definedName name="hhs">#REF!</definedName>
    <definedName name="hi" localSheetId="7">#REF!</definedName>
    <definedName name="hi" localSheetId="1">#REF!</definedName>
    <definedName name="hi" localSheetId="3">#REF!</definedName>
    <definedName name="hi">#REF!</definedName>
    <definedName name="HiddenRows" localSheetId="7" hidden="1">#REF!</definedName>
    <definedName name="HiddenRows" localSheetId="1" hidden="1">#REF!</definedName>
    <definedName name="HiddenRows" localSheetId="3" hidden="1">#REF!</definedName>
    <definedName name="HiddenRows" hidden="1">#REF!</definedName>
    <definedName name="HINDHUSTAN" localSheetId="7">#REF!</definedName>
    <definedName name="HINDHUSTAN" localSheetId="1">#REF!</definedName>
    <definedName name="HINDHUSTAN" localSheetId="3">#REF!</definedName>
    <definedName name="HINDHUSTAN">#REF!</definedName>
    <definedName name="HIns" localSheetId="7">#REF!</definedName>
    <definedName name="HIns" localSheetId="1">#REF!</definedName>
    <definedName name="HIns" localSheetId="3">#REF!</definedName>
    <definedName name="HIns">#REF!</definedName>
    <definedName name="Hipc" localSheetId="7">#REF!</definedName>
    <definedName name="Hipc" localSheetId="1">#REF!</definedName>
    <definedName name="Hipc" localSheetId="3">#REF!</definedName>
    <definedName name="Hipc">#REF!</definedName>
    <definedName name="HJ" localSheetId="7">#REF!</definedName>
    <definedName name="HJ" localSheetId="1">#REF!</definedName>
    <definedName name="HJ" localSheetId="3">#REF!</definedName>
    <definedName name="HJ">#REF!</definedName>
    <definedName name="hjjjjjj" localSheetId="5" hidden="1">{"form-D1",#N/A,FALSE,"FORM-D1";"form-D1_amt",#N/A,FALSE,"FORM-D1"}</definedName>
    <definedName name="hjjjjjj" localSheetId="2" hidden="1">{"form-D1",#N/A,FALSE,"FORM-D1";"form-D1_amt",#N/A,FALSE,"FORM-D1"}</definedName>
    <definedName name="hjjjjjj_1" localSheetId="5" hidden="1">{"form-D1",#N/A,FALSE,"FORM-D1";"form-D1_amt",#N/A,FALSE,"FORM-D1"}</definedName>
    <definedName name="hjjjjjj_1" localSheetId="2" hidden="1">{"form-D1",#N/A,FALSE,"FORM-D1";"form-D1_amt",#N/A,FALSE,"FORM-D1"}</definedName>
    <definedName name="hjjjjjj_1_1" localSheetId="5" hidden="1">{"form-D1",#N/A,FALSE,"FORM-D1";"form-D1_amt",#N/A,FALSE,"FORM-D1"}</definedName>
    <definedName name="hjjjjjj_1_1" localSheetId="2" hidden="1">{"form-D1",#N/A,FALSE,"FORM-D1";"form-D1_amt",#N/A,FALSE,"FORM-D1"}</definedName>
    <definedName name="hjjjjjj_1_2" localSheetId="5" hidden="1">{"form-D1",#N/A,FALSE,"FORM-D1";"form-D1_amt",#N/A,FALSE,"FORM-D1"}</definedName>
    <definedName name="hjjjjjj_1_2" localSheetId="2" hidden="1">{"form-D1",#N/A,FALSE,"FORM-D1";"form-D1_amt",#N/A,FALSE,"FORM-D1"}</definedName>
    <definedName name="hjjjjjj_2" localSheetId="5" hidden="1">{"form-D1",#N/A,FALSE,"FORM-D1";"form-D1_amt",#N/A,FALSE,"FORM-D1"}</definedName>
    <definedName name="hjjjjjj_2" localSheetId="2" hidden="1">{"form-D1",#N/A,FALSE,"FORM-D1";"form-D1_amt",#N/A,FALSE,"FORM-D1"}</definedName>
    <definedName name="hjjjjjj_2_1" localSheetId="5" hidden="1">{"form-D1",#N/A,FALSE,"FORM-D1";"form-D1_amt",#N/A,FALSE,"FORM-D1"}</definedName>
    <definedName name="hjjjjjj_2_1" localSheetId="2" hidden="1">{"form-D1",#N/A,FALSE,"FORM-D1";"form-D1_amt",#N/A,FALSE,"FORM-D1"}</definedName>
    <definedName name="hjjjjjj_3" localSheetId="5" hidden="1">{"form-D1",#N/A,FALSE,"FORM-D1";"form-D1_amt",#N/A,FALSE,"FORM-D1"}</definedName>
    <definedName name="hjjjjjj_3" localSheetId="2" hidden="1">{"form-D1",#N/A,FALSE,"FORM-D1";"form-D1_amt",#N/A,FALSE,"FORM-D1"}</definedName>
    <definedName name="hjjjjjj_3_1" localSheetId="5" hidden="1">{"form-D1",#N/A,FALSE,"FORM-D1";"form-D1_amt",#N/A,FALSE,"FORM-D1"}</definedName>
    <definedName name="hjjjjjj_3_1" localSheetId="2" hidden="1">{"form-D1",#N/A,FALSE,"FORM-D1";"form-D1_amt",#N/A,FALSE,"FORM-D1"}</definedName>
    <definedName name="hjjjjjj_4" localSheetId="5" hidden="1">{"form-D1",#N/A,FALSE,"FORM-D1";"form-D1_amt",#N/A,FALSE,"FORM-D1"}</definedName>
    <definedName name="hjjjjjj_4" localSheetId="2" hidden="1">{"form-D1",#N/A,FALSE,"FORM-D1";"form-D1_amt",#N/A,FALSE,"FORM-D1"}</definedName>
    <definedName name="hjjjjjj_4_1" localSheetId="5" hidden="1">{"form-D1",#N/A,FALSE,"FORM-D1";"form-D1_amt",#N/A,FALSE,"FORM-D1"}</definedName>
    <definedName name="hjjjjjj_4_1" localSheetId="2" hidden="1">{"form-D1",#N/A,FALSE,"FORM-D1";"form-D1_amt",#N/A,FALSE,"FORM-D1"}</definedName>
    <definedName name="hjjjjjj_5" localSheetId="5" hidden="1">{"form-D1",#N/A,FALSE,"FORM-D1";"form-D1_amt",#N/A,FALSE,"FORM-D1"}</definedName>
    <definedName name="hjjjjjj_5" localSheetId="2" hidden="1">{"form-D1",#N/A,FALSE,"FORM-D1";"form-D1_amt",#N/A,FALSE,"FORM-D1"}</definedName>
    <definedName name="hjjjjjj_5_1" localSheetId="5" hidden="1">{"form-D1",#N/A,FALSE,"FORM-D1";"form-D1_amt",#N/A,FALSE,"FORM-D1"}</definedName>
    <definedName name="hjjjjjj_5_1" localSheetId="2" hidden="1">{"form-D1",#N/A,FALSE,"FORM-D1";"form-D1_amt",#N/A,FALSE,"FORM-D1"}</definedName>
    <definedName name="hjkhjk" localSheetId="7">#REF!</definedName>
    <definedName name="hjkhjk" localSheetId="1">#REF!</definedName>
    <definedName name="hjkhjk" localSheetId="3">#REF!</definedName>
    <definedName name="hjkhjk">#REF!</definedName>
    <definedName name="hjsdfasf" localSheetId="7">#REF!</definedName>
    <definedName name="hjsdfasf" localSheetId="1">#REF!</definedName>
    <definedName name="hjsdfasf" localSheetId="3">#REF!</definedName>
    <definedName name="hjsdfasf">#REF!</definedName>
    <definedName name="hklhkl" localSheetId="7">#REF!</definedName>
    <definedName name="hklhkl" localSheetId="1">#REF!</definedName>
    <definedName name="hklhkl" localSheetId="3">#REF!</definedName>
    <definedName name="hklhkl">#REF!</definedName>
    <definedName name="Hlp" localSheetId="7">#REF!</definedName>
    <definedName name="Hlp" localSheetId="1">#REF!</definedName>
    <definedName name="Hlp" localSheetId="3">#REF!</definedName>
    <definedName name="Hlp">#REF!</definedName>
    <definedName name="HMP" localSheetId="7">#REF!</definedName>
    <definedName name="HMP" localSheetId="1">#REF!</definedName>
    <definedName name="HMP" localSheetId="3">#REF!</definedName>
    <definedName name="HMP">#REF!</definedName>
    <definedName name="ho" localSheetId="7">#REF!</definedName>
    <definedName name="ho" localSheetId="1">#REF!</definedName>
    <definedName name="ho" localSheetId="3">#REF!</definedName>
    <definedName name="ho">#REF!</definedName>
    <definedName name="ho___0" localSheetId="7">#REF!</definedName>
    <definedName name="ho___0" localSheetId="1">#REF!</definedName>
    <definedName name="ho___0" localSheetId="3">#REF!</definedName>
    <definedName name="ho___0">#REF!</definedName>
    <definedName name="ho___13" localSheetId="7">#REF!</definedName>
    <definedName name="ho___13" localSheetId="1">#REF!</definedName>
    <definedName name="ho___13" localSheetId="3">#REF!</definedName>
    <definedName name="ho___13">#REF!</definedName>
    <definedName name="hoi" localSheetId="7">#REF!</definedName>
    <definedName name="hoi" localSheetId="1">#REF!</definedName>
    <definedName name="hoi" localSheetId="3">#REF!</definedName>
    <definedName name="hoi">#REF!</definedName>
    <definedName name="HollywoodTwinArea" localSheetId="7">#REF!</definedName>
    <definedName name="HollywoodTwinArea" localSheetId="1">#REF!</definedName>
    <definedName name="HollywoodTwinArea" localSheetId="3">#REF!</definedName>
    <definedName name="HollywoodTwinArea">#REF!</definedName>
    <definedName name="HollywoodTwinPerimeter" localSheetId="7">#REF!</definedName>
    <definedName name="HollywoodTwinPerimeter" localSheetId="1">#REF!</definedName>
    <definedName name="HollywoodTwinPerimeter" localSheetId="3">#REF!</definedName>
    <definedName name="HollywoodTwinPerimeter">#REF!</definedName>
    <definedName name="HomeCell" localSheetId="7">#REF!</definedName>
    <definedName name="HomeCell" localSheetId="1">#REF!</definedName>
    <definedName name="HomeCell" localSheetId="3">#REF!</definedName>
    <definedName name="HomeCell">#REF!</definedName>
    <definedName name="hone" localSheetId="7">#REF!</definedName>
    <definedName name="hone" localSheetId="1">#REF!</definedName>
    <definedName name="hone" localSheetId="3">#REF!</definedName>
    <definedName name="hone">#REF!</definedName>
    <definedName name="hosp" localSheetId="7">#REF!</definedName>
    <definedName name="hosp" localSheetId="1">#REF!</definedName>
    <definedName name="hosp" localSheetId="3">#REF!</definedName>
    <definedName name="hosp">#REF!</definedName>
    <definedName name="hosp_com" localSheetId="7">#REF!</definedName>
    <definedName name="hosp_com" localSheetId="1">#REF!</definedName>
    <definedName name="hosp_com" localSheetId="3">#REF!</definedName>
    <definedName name="hosp_com">#REF!</definedName>
    <definedName name="hosp_com.now" localSheetId="7">#REF!</definedName>
    <definedName name="hosp_com.now" localSheetId="1">#REF!</definedName>
    <definedName name="hosp_com.now" localSheetId="3">#REF!</definedName>
    <definedName name="hosp_com.now">#REF!</definedName>
    <definedName name="hosp_com.payment" localSheetId="7">#REF!</definedName>
    <definedName name="hosp_com.payment" localSheetId="1">#REF!</definedName>
    <definedName name="hosp_com.payment" localSheetId="3">#REF!</definedName>
    <definedName name="hosp_com.payment">#REF!</definedName>
    <definedName name="hosp_com.uncommit" localSheetId="7">#REF!</definedName>
    <definedName name="hosp_com.uncommit" localSheetId="1">#REF!</definedName>
    <definedName name="hosp_com.uncommit" localSheetId="3">#REF!</definedName>
    <definedName name="hosp_com.uncommit">#REF!</definedName>
    <definedName name="hosp_com.vo.app" localSheetId="7">#REF!</definedName>
    <definedName name="hosp_com.vo.app" localSheetId="1">#REF!</definedName>
    <definedName name="hosp_com.vo.app" localSheetId="3">#REF!</definedName>
    <definedName name="hosp_com.vo.app">#REF!</definedName>
    <definedName name="hosp_com.vo.pend" localSheetId="7">#REF!</definedName>
    <definedName name="hosp_com.vo.pend" localSheetId="1">#REF!</definedName>
    <definedName name="hosp_com.vo.pend" localSheetId="3">#REF!</definedName>
    <definedName name="hosp_com.vo.pend">#REF!</definedName>
    <definedName name="hosp_ffe" localSheetId="7">#REF!</definedName>
    <definedName name="hosp_ffe" localSheetId="1">#REF!</definedName>
    <definedName name="hosp_ffe" localSheetId="3">#REF!</definedName>
    <definedName name="hosp_ffe">#REF!</definedName>
    <definedName name="hosp_ffe.now" localSheetId="7">#REF!</definedName>
    <definedName name="hosp_ffe.now" localSheetId="1">#REF!</definedName>
    <definedName name="hosp_ffe.now" localSheetId="3">#REF!</definedName>
    <definedName name="hosp_ffe.now">#REF!</definedName>
    <definedName name="hosp_ffe.payment" localSheetId="7">#REF!</definedName>
    <definedName name="hosp_ffe.payment" localSheetId="1">#REF!</definedName>
    <definedName name="hosp_ffe.payment" localSheetId="3">#REF!</definedName>
    <definedName name="hosp_ffe.payment">#REF!</definedName>
    <definedName name="hosp_ffe.uncommit" localSheetId="7">#REF!</definedName>
    <definedName name="hosp_ffe.uncommit" localSheetId="1">#REF!</definedName>
    <definedName name="hosp_ffe.uncommit" localSheetId="3">#REF!</definedName>
    <definedName name="hosp_ffe.uncommit">#REF!</definedName>
    <definedName name="hosp_ffe.vo.app" localSheetId="7">#REF!</definedName>
    <definedName name="hosp_ffe.vo.app" localSheetId="1">#REF!</definedName>
    <definedName name="hosp_ffe.vo.app" localSheetId="3">#REF!</definedName>
    <definedName name="hosp_ffe.vo.app">#REF!</definedName>
    <definedName name="hosp_ffe.vo.pend" localSheetId="7">#REF!</definedName>
    <definedName name="hosp_ffe.vo.pend" localSheetId="1">#REF!</definedName>
    <definedName name="hosp_ffe.vo.pend" localSheetId="3">#REF!</definedName>
    <definedName name="hosp_ffe.vo.pend">#REF!</definedName>
    <definedName name="Hotel" localSheetId="7">#REF!</definedName>
    <definedName name="Hotel" localSheetId="1">#REF!</definedName>
    <definedName name="Hotel" localSheetId="3">#REF!</definedName>
    <definedName name="Hotel">#REF!</definedName>
    <definedName name="hotwo" localSheetId="7">#REF!</definedName>
    <definedName name="hotwo" localSheetId="1">#REF!</definedName>
    <definedName name="hotwo" localSheetId="3">#REF!</definedName>
    <definedName name="hotwo">#REF!</definedName>
    <definedName name="HP" localSheetId="5" hidden="1">{"form-D1",#N/A,FALSE,"FORM-D1";"form-D1_amt",#N/A,FALSE,"FORM-D1"}</definedName>
    <definedName name="HP" localSheetId="2" hidden="1">{"form-D1",#N/A,FALSE,"FORM-D1";"form-D1_amt",#N/A,FALSE,"FORM-D1"}</definedName>
    <definedName name="HP_1" localSheetId="5" hidden="1">{"form-D1",#N/A,FALSE,"FORM-D1";"form-D1_amt",#N/A,FALSE,"FORM-D1"}</definedName>
    <definedName name="HP_1" localSheetId="2" hidden="1">{"form-D1",#N/A,FALSE,"FORM-D1";"form-D1_amt",#N/A,FALSE,"FORM-D1"}</definedName>
    <definedName name="HP_1_1" localSheetId="5" hidden="1">{"form-D1",#N/A,FALSE,"FORM-D1";"form-D1_amt",#N/A,FALSE,"FORM-D1"}</definedName>
    <definedName name="HP_1_1" localSheetId="2" hidden="1">{"form-D1",#N/A,FALSE,"FORM-D1";"form-D1_amt",#N/A,FALSE,"FORM-D1"}</definedName>
    <definedName name="HP_1_2" localSheetId="5" hidden="1">{"form-D1",#N/A,FALSE,"FORM-D1";"form-D1_amt",#N/A,FALSE,"FORM-D1"}</definedName>
    <definedName name="HP_1_2" localSheetId="2" hidden="1">{"form-D1",#N/A,FALSE,"FORM-D1";"form-D1_amt",#N/A,FALSE,"FORM-D1"}</definedName>
    <definedName name="HP_2" localSheetId="5" hidden="1">{"form-D1",#N/A,FALSE,"FORM-D1";"form-D1_amt",#N/A,FALSE,"FORM-D1"}</definedName>
    <definedName name="HP_2" localSheetId="2" hidden="1">{"form-D1",#N/A,FALSE,"FORM-D1";"form-D1_amt",#N/A,FALSE,"FORM-D1"}</definedName>
    <definedName name="HP_2_1" localSheetId="5" hidden="1">{"form-D1",#N/A,FALSE,"FORM-D1";"form-D1_amt",#N/A,FALSE,"FORM-D1"}</definedName>
    <definedName name="HP_2_1" localSheetId="2" hidden="1">{"form-D1",#N/A,FALSE,"FORM-D1";"form-D1_amt",#N/A,FALSE,"FORM-D1"}</definedName>
    <definedName name="HP_3" localSheetId="5" hidden="1">{"form-D1",#N/A,FALSE,"FORM-D1";"form-D1_amt",#N/A,FALSE,"FORM-D1"}</definedName>
    <definedName name="HP_3" localSheetId="2" hidden="1">{"form-D1",#N/A,FALSE,"FORM-D1";"form-D1_amt",#N/A,FALSE,"FORM-D1"}</definedName>
    <definedName name="HP_3_1" localSheetId="5" hidden="1">{"form-D1",#N/A,FALSE,"FORM-D1";"form-D1_amt",#N/A,FALSE,"FORM-D1"}</definedName>
    <definedName name="HP_3_1" localSheetId="2" hidden="1">{"form-D1",#N/A,FALSE,"FORM-D1";"form-D1_amt",#N/A,FALSE,"FORM-D1"}</definedName>
    <definedName name="HP_4" localSheetId="5" hidden="1">{"form-D1",#N/A,FALSE,"FORM-D1";"form-D1_amt",#N/A,FALSE,"FORM-D1"}</definedName>
    <definedName name="HP_4" localSheetId="2" hidden="1">{"form-D1",#N/A,FALSE,"FORM-D1";"form-D1_amt",#N/A,FALSE,"FORM-D1"}</definedName>
    <definedName name="HP_4_1" localSheetId="5" hidden="1">{"form-D1",#N/A,FALSE,"FORM-D1";"form-D1_amt",#N/A,FALSE,"FORM-D1"}</definedName>
    <definedName name="HP_4_1" localSheetId="2" hidden="1">{"form-D1",#N/A,FALSE,"FORM-D1";"form-D1_amt",#N/A,FALSE,"FORM-D1"}</definedName>
    <definedName name="HP_5" localSheetId="5" hidden="1">{"form-D1",#N/A,FALSE,"FORM-D1";"form-D1_amt",#N/A,FALSE,"FORM-D1"}</definedName>
    <definedName name="HP_5" localSheetId="2" hidden="1">{"form-D1",#N/A,FALSE,"FORM-D1";"form-D1_amt",#N/A,FALSE,"FORM-D1"}</definedName>
    <definedName name="HP_5_1" localSheetId="5" hidden="1">{"form-D1",#N/A,FALSE,"FORM-D1";"form-D1_amt",#N/A,FALSE,"FORM-D1"}</definedName>
    <definedName name="HP_5_1" localSheetId="2" hidden="1">{"form-D1",#N/A,FALSE,"FORM-D1";"form-D1_amt",#N/A,FALSE,"FORM-D1"}</definedName>
    <definedName name="hS" localSheetId="7">#REF!</definedName>
    <definedName name="hS" localSheetId="1">#REF!</definedName>
    <definedName name="hS" localSheetId="3">#REF!</definedName>
    <definedName name="hS">#REF!</definedName>
    <definedName name="hS___0" localSheetId="7">#REF!</definedName>
    <definedName name="hS___0" localSheetId="1">#REF!</definedName>
    <definedName name="hS___0" localSheetId="3">#REF!</definedName>
    <definedName name="hS___0">#REF!</definedName>
    <definedName name="hS___13" localSheetId="7">#REF!</definedName>
    <definedName name="hS___13" localSheetId="1">#REF!</definedName>
    <definedName name="hS___13" localSheetId="3">#REF!</definedName>
    <definedName name="hS___13">#REF!</definedName>
    <definedName name="Hs_atm" localSheetId="7">#REF!</definedName>
    <definedName name="Hs_atm" localSheetId="1">#REF!</definedName>
    <definedName name="Hs_atm" localSheetId="3">#REF!</definedName>
    <definedName name="Hs_atm">#REF!</definedName>
    <definedName name="HSS" localSheetId="7">#REF!</definedName>
    <definedName name="HSS" localSheetId="1">#REF!</definedName>
    <definedName name="HSS" localSheetId="3">#REF!</definedName>
    <definedName name="HSS">#REF!</definedName>
    <definedName name="hthree" localSheetId="7">#REF!</definedName>
    <definedName name="hthree" localSheetId="1">#REF!</definedName>
    <definedName name="hthree" localSheetId="3">#REF!</definedName>
    <definedName name="hthree">#REF!</definedName>
    <definedName name="HTML_CodePage" hidden="1">1252</definedName>
    <definedName name="HTML_Control" localSheetId="5" hidden="1">{"'Proforma'!$A$1:$J$189"}</definedName>
    <definedName name="HTML_Control" localSheetId="2" hidden="1">{"'Proforma'!$A$1:$J$189"}</definedName>
    <definedName name="HTML_Email" hidden="1">""</definedName>
    <definedName name="HTML_Header" hidden="1">"Proforma"</definedName>
    <definedName name="HTML_LastUpdate" hidden="1">"4/19/99"</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"D:\analysis\MyHTML.htm"</definedName>
    <definedName name="HTML_Title" hidden="1">"proforma3"</definedName>
    <definedName name="Hu" localSheetId="7">#REF!</definedName>
    <definedName name="Hu" localSheetId="1">#REF!</definedName>
    <definedName name="Hu" localSheetId="3">#REF!</definedName>
    <definedName name="Hu">#REF!</definedName>
    <definedName name="Hu___0" localSheetId="7">#REF!</definedName>
    <definedName name="Hu___0" localSheetId="1">#REF!</definedName>
    <definedName name="Hu___0" localSheetId="3">#REF!</definedName>
    <definedName name="Hu___0">#REF!</definedName>
    <definedName name="Hu___13" localSheetId="7">#REF!</definedName>
    <definedName name="Hu___13" localSheetId="1">#REF!</definedName>
    <definedName name="Hu___13" localSheetId="3">#REF!</definedName>
    <definedName name="Hu___13">#REF!</definedName>
    <definedName name="hvacrates" localSheetId="7">#REF!</definedName>
    <definedName name="hvacrates" localSheetId="1">#REF!</definedName>
    <definedName name="hvacrates" localSheetId="3">#REF!</definedName>
    <definedName name="hvacrates">#REF!</definedName>
    <definedName name="Hw_atm" localSheetId="7">#REF!</definedName>
    <definedName name="Hw_atm" localSheetId="1">#REF!</definedName>
    <definedName name="Hw_atm" localSheetId="3">#REF!</definedName>
    <definedName name="Hw_atm">#REF!</definedName>
    <definedName name="hxa" localSheetId="7">#REF!</definedName>
    <definedName name="hxa" localSheetId="1">#REF!</definedName>
    <definedName name="hxa" localSheetId="3">#REF!</definedName>
    <definedName name="hxa">#REF!</definedName>
    <definedName name="hxb" localSheetId="7">#REF!</definedName>
    <definedName name="hxb" localSheetId="1">#REF!</definedName>
    <definedName name="hxb" localSheetId="3">#REF!</definedName>
    <definedName name="hxb">#REF!</definedName>
    <definedName name="hxc" localSheetId="7">#REF!</definedName>
    <definedName name="hxc" localSheetId="1">#REF!</definedName>
    <definedName name="hxc" localSheetId="3">#REF!</definedName>
    <definedName name="hxc">#REF!</definedName>
    <definedName name="hxe" localSheetId="7">#REF!</definedName>
    <definedName name="hxe" localSheetId="1">#REF!</definedName>
    <definedName name="hxe" localSheetId="3">#REF!</definedName>
    <definedName name="hxe">#REF!</definedName>
    <definedName name="hxf" localSheetId="7">#REF!</definedName>
    <definedName name="hxf" localSheetId="1">#REF!</definedName>
    <definedName name="hxf" localSheetId="3">#REF!</definedName>
    <definedName name="hxf">#REF!</definedName>
    <definedName name="hxi" localSheetId="7">#REF!</definedName>
    <definedName name="hxi" localSheetId="1">#REF!</definedName>
    <definedName name="hxi" localSheetId="3">#REF!</definedName>
    <definedName name="hxi">#REF!</definedName>
    <definedName name="hysd" localSheetId="7">#REF!</definedName>
    <definedName name="hysd" localSheetId="1">#REF!</definedName>
    <definedName name="hysd" localSheetId="3">#REF!</definedName>
    <definedName name="hysd">#REF!</definedName>
    <definedName name="HYSDFAB" localSheetId="7">#REF!</definedName>
    <definedName name="HYSDFAB" localSheetId="1">#REF!</definedName>
    <definedName name="HYSDFAB" localSheetId="3">#REF!</definedName>
    <definedName name="HYSDFAB">#REF!</definedName>
    <definedName name="Hz" localSheetId="7">#REF!</definedName>
    <definedName name="Hz" localSheetId="1">#REF!</definedName>
    <definedName name="Hz" localSheetId="3">#REF!</definedName>
    <definedName name="Hz">#REF!</definedName>
    <definedName name="I.WALLLength" localSheetId="7">#REF!</definedName>
    <definedName name="I.WALLLength" localSheetId="1">#REF!</definedName>
    <definedName name="I.WALLLength" localSheetId="3">#REF!</definedName>
    <definedName name="I.WALLLength">#REF!</definedName>
    <definedName name="I___0" localSheetId="7">#REF!</definedName>
    <definedName name="I___0" localSheetId="1">#REF!</definedName>
    <definedName name="I___0" localSheetId="3">#REF!</definedName>
    <definedName name="I___0">#REF!</definedName>
    <definedName name="I___13" localSheetId="7">#REF!</definedName>
    <definedName name="I___13" localSheetId="1">#REF!</definedName>
    <definedName name="I___13" localSheetId="3">#REF!</definedName>
    <definedName name="I___13">#REF!</definedName>
    <definedName name="IAH" localSheetId="7">#REF!</definedName>
    <definedName name="IAH" localSheetId="1">#REF!</definedName>
    <definedName name="IAH" localSheetId="3">#REF!</definedName>
    <definedName name="IAH">#REF!</definedName>
    <definedName name="ic">5%</definedName>
    <definedName name="icfai" localSheetId="7">#REF!</definedName>
    <definedName name="icfai" localSheetId="1">#REF!</definedName>
    <definedName name="icfai" localSheetId="3">#REF!</definedName>
    <definedName name="icfai">#REF!</definedName>
    <definedName name="icfs" localSheetId="7">#REF!</definedName>
    <definedName name="icfs" localSheetId="1">#REF!</definedName>
    <definedName name="icfs" localSheetId="3">#REF!</definedName>
    <definedName name="icfs">#REF!</definedName>
    <definedName name="icfs1" localSheetId="7">#REF!</definedName>
    <definedName name="icfs1" localSheetId="1">#REF!</definedName>
    <definedName name="icfs1" localSheetId="3">#REF!</definedName>
    <definedName name="icfs1">#REF!</definedName>
    <definedName name="icfs2" localSheetId="7">#REF!</definedName>
    <definedName name="icfs2" localSheetId="1">#REF!</definedName>
    <definedName name="icfs2" localSheetId="3">#REF!</definedName>
    <definedName name="icfs2">#REF!</definedName>
    <definedName name="icrack" localSheetId="7">#REF!</definedName>
    <definedName name="icrack" localSheetId="1">#REF!</definedName>
    <definedName name="icrack" localSheetId="3">#REF!</definedName>
    <definedName name="icrack">#REF!</definedName>
    <definedName name="icracks1" localSheetId="7">#REF!</definedName>
    <definedName name="icracks1" localSheetId="1">#REF!</definedName>
    <definedName name="icracks1" localSheetId="3">#REF!</definedName>
    <definedName name="icracks1">#REF!</definedName>
    <definedName name="icracks2" localSheetId="7">#REF!</definedName>
    <definedName name="icracks2" localSheetId="1">#REF!</definedName>
    <definedName name="icracks2" localSheetId="3">#REF!</definedName>
    <definedName name="icracks2">#REF!</definedName>
    <definedName name="idiot" localSheetId="5" hidden="1">{"dep. full detail",#N/A,FALSE,"annex";"3cd annex",#N/A,FALSE,"annex";"co. dep.",#N/A,FALSE,"annex"}</definedName>
    <definedName name="idiot" localSheetId="2" hidden="1">{"dep. full detail",#N/A,FALSE,"annex";"3cd annex",#N/A,FALSE,"annex";"co. dep.",#N/A,FALSE,"annex"}</definedName>
    <definedName name="ief" localSheetId="7">#REF!</definedName>
    <definedName name="ief" localSheetId="1">#REF!</definedName>
    <definedName name="ief" localSheetId="3">#REF!</definedName>
    <definedName name="ief">#REF!</definedName>
    <definedName name="ieff" localSheetId="7">#REF!</definedName>
    <definedName name="ieff" localSheetId="1">#REF!</definedName>
    <definedName name="ieff" localSheetId="3">#REF!</definedName>
    <definedName name="ieff">#REF!</definedName>
    <definedName name="ieff1" localSheetId="7">#REF!</definedName>
    <definedName name="ieff1" localSheetId="1">#REF!</definedName>
    <definedName name="ieff1" localSheetId="3">#REF!</definedName>
    <definedName name="ieff1">#REF!</definedName>
    <definedName name="ieff2" localSheetId="7">#REF!</definedName>
    <definedName name="ieff2" localSheetId="1">#REF!</definedName>
    <definedName name="ieff2" localSheetId="3">#REF!</definedName>
    <definedName name="ieff2">#REF!</definedName>
    <definedName name="Iefs" localSheetId="7">#REF!</definedName>
    <definedName name="Iefs" localSheetId="1">#REF!</definedName>
    <definedName name="Iefs" localSheetId="3">#REF!</definedName>
    <definedName name="Iefs">#REF!</definedName>
    <definedName name="Iefs1" localSheetId="7">#REF!</definedName>
    <definedName name="Iefs1" localSheetId="1">#REF!</definedName>
    <definedName name="Iefs1" localSheetId="3">#REF!</definedName>
    <definedName name="Iefs1">#REF!</definedName>
    <definedName name="Iefs2" localSheetId="7">#REF!</definedName>
    <definedName name="Iefs2" localSheetId="1">#REF!</definedName>
    <definedName name="Iefs2" localSheetId="3">#REF!</definedName>
    <definedName name="Iefs2">#REF!</definedName>
    <definedName name="If" localSheetId="7">#REF!</definedName>
    <definedName name="If" localSheetId="1">#REF!</definedName>
    <definedName name="If" localSheetId="3">#REF!</definedName>
    <definedName name="If">#REF!</definedName>
    <definedName name="Ig" localSheetId="7">#REF!</definedName>
    <definedName name="Ig" localSheetId="1">#REF!</definedName>
    <definedName name="Ig" localSheetId="3">#REF!</definedName>
    <definedName name="Ig">#REF!</definedName>
    <definedName name="Ig___0" localSheetId="7">#REF!</definedName>
    <definedName name="Ig___0" localSheetId="1">#REF!</definedName>
    <definedName name="Ig___0" localSheetId="3">#REF!</definedName>
    <definedName name="Ig___0">#REF!</definedName>
    <definedName name="Ig___13" localSheetId="7">#REF!</definedName>
    <definedName name="Ig___13" localSheetId="1">#REF!</definedName>
    <definedName name="Ig___13" localSheetId="3">#REF!</definedName>
    <definedName name="Ig___13">#REF!</definedName>
    <definedName name="igr" localSheetId="7">#REF!</definedName>
    <definedName name="igr" localSheetId="1">#REF!</definedName>
    <definedName name="igr" localSheetId="3">#REF!</definedName>
    <definedName name="igr">#REF!</definedName>
    <definedName name="IGRS" localSheetId="7">#REF!</definedName>
    <definedName name="IGRS" localSheetId="1">#REF!</definedName>
    <definedName name="IGRS" localSheetId="3">#REF!</definedName>
    <definedName name="IGRS">#REF!</definedName>
    <definedName name="iii" localSheetId="7">#REF!</definedName>
    <definedName name="iii" localSheetId="1">#REF!</definedName>
    <definedName name="iii" localSheetId="3">#REF!</definedName>
    <definedName name="iii">#REF!</definedName>
    <definedName name="iiiiiiiiiii" localSheetId="7">#REF!</definedName>
    <definedName name="iiiiiiiiiii" localSheetId="1">#REF!</definedName>
    <definedName name="iiiiiiiiiii" localSheetId="3">#REF!</definedName>
    <definedName name="iiiiiiiiiii">#REF!</definedName>
    <definedName name="iiiiiiiiiiiiii" localSheetId="7">#REF!</definedName>
    <definedName name="iiiiiiiiiiiiii" localSheetId="1">#REF!</definedName>
    <definedName name="iiiiiiiiiiiiii" localSheetId="3">#REF!</definedName>
    <definedName name="iiiiiiiiiiiiii">#REF!</definedName>
    <definedName name="iio" localSheetId="7">#REF!</definedName>
    <definedName name="iio" localSheetId="1">#REF!</definedName>
    <definedName name="iio" localSheetId="3">#REF!</definedName>
    <definedName name="iio">#REF!</definedName>
    <definedName name="Ik" localSheetId="7">#REF!</definedName>
    <definedName name="Ik" localSheetId="1">#REF!</definedName>
    <definedName name="Ik" localSheetId="3">#REF!</definedName>
    <definedName name="Ik">#REF!</definedName>
    <definedName name="Im" localSheetId="7">#REF!</definedName>
    <definedName name="Im" localSheetId="1">#REF!</definedName>
    <definedName name="Im" localSheetId="3">#REF!</definedName>
    <definedName name="Im">#REF!</definedName>
    <definedName name="in" localSheetId="7">#REF!</definedName>
    <definedName name="in" localSheetId="1">#REF!</definedName>
    <definedName name="in" localSheetId="3">#REF!</definedName>
    <definedName name="in">#REF!</definedName>
    <definedName name="in_100" localSheetId="7">#REF!</definedName>
    <definedName name="in_100" localSheetId="1">#REF!</definedName>
    <definedName name="in_100" localSheetId="3">#REF!</definedName>
    <definedName name="in_100">#REF!</definedName>
    <definedName name="in_150" localSheetId="7">#REF!</definedName>
    <definedName name="in_150" localSheetId="1">#REF!</definedName>
    <definedName name="in_150" localSheetId="3">#REF!</definedName>
    <definedName name="in_150">#REF!</definedName>
    <definedName name="in_200" localSheetId="7">#REF!</definedName>
    <definedName name="in_200" localSheetId="1">#REF!</definedName>
    <definedName name="in_200" localSheetId="3">#REF!</definedName>
    <definedName name="in_200">#REF!</definedName>
    <definedName name="in_25" localSheetId="7">#REF!</definedName>
    <definedName name="in_25" localSheetId="1">#REF!</definedName>
    <definedName name="in_25" localSheetId="3">#REF!</definedName>
    <definedName name="in_25">#REF!</definedName>
    <definedName name="in_250" localSheetId="7">#REF!</definedName>
    <definedName name="in_250" localSheetId="1">#REF!</definedName>
    <definedName name="in_250" localSheetId="3">#REF!</definedName>
    <definedName name="in_250">#REF!</definedName>
    <definedName name="in_300" localSheetId="7">#REF!</definedName>
    <definedName name="in_300" localSheetId="1">#REF!</definedName>
    <definedName name="in_300" localSheetId="3">#REF!</definedName>
    <definedName name="in_300">#REF!</definedName>
    <definedName name="in_32" localSheetId="7">#REF!</definedName>
    <definedName name="in_32" localSheetId="1">#REF!</definedName>
    <definedName name="in_32" localSheetId="3">#REF!</definedName>
    <definedName name="in_32">#REF!</definedName>
    <definedName name="in_40" localSheetId="7">#REF!</definedName>
    <definedName name="in_40" localSheetId="1">#REF!</definedName>
    <definedName name="in_40" localSheetId="3">#REF!</definedName>
    <definedName name="in_40">#REF!</definedName>
    <definedName name="in_400" localSheetId="7">#REF!</definedName>
    <definedName name="in_400" localSheetId="1">#REF!</definedName>
    <definedName name="in_400" localSheetId="3">#REF!</definedName>
    <definedName name="in_400">#REF!</definedName>
    <definedName name="in_50" localSheetId="7">#REF!</definedName>
    <definedName name="in_50" localSheetId="1">#REF!</definedName>
    <definedName name="in_50" localSheetId="3">#REF!</definedName>
    <definedName name="in_50">#REF!</definedName>
    <definedName name="in_500" localSheetId="7">#REF!</definedName>
    <definedName name="in_500" localSheetId="1">#REF!</definedName>
    <definedName name="in_500" localSheetId="3">#REF!</definedName>
    <definedName name="in_500">#REF!</definedName>
    <definedName name="in_600" localSheetId="7">#REF!</definedName>
    <definedName name="in_600" localSheetId="1">#REF!</definedName>
    <definedName name="in_600" localSheetId="3">#REF!</definedName>
    <definedName name="in_600">#REF!</definedName>
    <definedName name="in_65" localSheetId="7">#REF!</definedName>
    <definedName name="in_65" localSheetId="1">#REF!</definedName>
    <definedName name="in_65" localSheetId="3">#REF!</definedName>
    <definedName name="in_65">#REF!</definedName>
    <definedName name="in_80" localSheetId="7">#REF!</definedName>
    <definedName name="in_80" localSheetId="1">#REF!</definedName>
    <definedName name="in_80" localSheetId="3">#REF!</definedName>
    <definedName name="in_80">#REF!</definedName>
    <definedName name="inc_Cwip_move" localSheetId="7">#REF!</definedName>
    <definedName name="inc_Cwip_move" localSheetId="1">#REF!</definedName>
    <definedName name="inc_Cwip_move" localSheetId="3">#REF!</definedName>
    <definedName name="inc_Cwip_move">#REF!</definedName>
    <definedName name="Income" localSheetId="7">#REF!</definedName>
    <definedName name="Income" localSheetId="1">#REF!</definedName>
    <definedName name="Income" localSheetId="3">#REF!</definedName>
    <definedName name="Income">#REF!</definedName>
    <definedName name="Incurr" localSheetId="5" hidden="1">{#N/A,#N/A,FALSE,"gc (2)"}</definedName>
    <definedName name="Incurr" localSheetId="2" hidden="1">{#N/A,#N/A,FALSE,"gc (2)"}</definedName>
    <definedName name="IndexColumn" localSheetId="7">#REF!</definedName>
    <definedName name="IndexColumn" localSheetId="1">#REF!</definedName>
    <definedName name="IndexColumn" localSheetId="3">#REF!</definedName>
    <definedName name="IndexColumn">#REF!</definedName>
    <definedName name="Indirect" localSheetId="5" hidden="1">{"Total Indirect Manpower",#N/A,FALSE,"J";"Total Direct Manpower",#N/A,FALSE,"J";"Direct Structural Manpower",#N/A,FALSE,"J";"Direct Mechanical Manpower",#N/A,FALSE,"J";"Direct Piping Manpower",#N/A,FALSE,"J";"Direct Tanks Manpower",#N/A,FALSE,"J";"Direct ElecInstrSS Manpower",#N/A,FALSE,"J"}</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nflationDollar" localSheetId="7">#REF!</definedName>
    <definedName name="inflationDollar" localSheetId="1">#REF!</definedName>
    <definedName name="inflationDollar" localSheetId="3">#REF!</definedName>
    <definedName name="inflationDollar">#REF!</definedName>
    <definedName name="INFRASTRUCTURE_ENTRY" localSheetId="7">#REF!</definedName>
    <definedName name="INFRASTRUCTURE_ENTRY" localSheetId="1">#REF!</definedName>
    <definedName name="INFRASTRUCTURE_ENTRY" localSheetId="3">#REF!</definedName>
    <definedName name="INFRASTRUCTURE_ENTRY">#REF!</definedName>
    <definedName name="InitialUse">0</definedName>
    <definedName name="InsChrg" localSheetId="7">#REF!</definedName>
    <definedName name="InsChrg" localSheetId="1">#REF!</definedName>
    <definedName name="InsChrg" localSheetId="3">#REF!</definedName>
    <definedName name="InsChrg">#REF!</definedName>
    <definedName name="InsChrg_I" localSheetId="7">#REF!</definedName>
    <definedName name="InsChrg_I" localSheetId="1">#REF!</definedName>
    <definedName name="InsChrg_I" localSheetId="3">#REF!</definedName>
    <definedName name="InsChrg_I">#REF!</definedName>
    <definedName name="insertplate_and_exp_joint" localSheetId="7">#REF!</definedName>
    <definedName name="insertplate_and_exp_joint" localSheetId="1">#REF!</definedName>
    <definedName name="insertplate_and_exp_joint" localSheetId="3">#REF!</definedName>
    <definedName name="insertplate_and_exp_joint">#REF!</definedName>
    <definedName name="inspol" localSheetId="7">#REF!</definedName>
    <definedName name="inspol" localSheetId="1">#REF!</definedName>
    <definedName name="inspol" localSheetId="3">#REF!</definedName>
    <definedName name="inspol">#REF!</definedName>
    <definedName name="insulation" localSheetId="7">#REF!</definedName>
    <definedName name="insulation" localSheetId="1">#REF!</definedName>
    <definedName name="insulation" localSheetId="3">#REF!</definedName>
    <definedName name="insulation">#REF!</definedName>
    <definedName name="inter" localSheetId="7">#REF!</definedName>
    <definedName name="inter" localSheetId="1">#REF!</definedName>
    <definedName name="inter" localSheetId="3">#REF!</definedName>
    <definedName name="inter">#REF!</definedName>
    <definedName name="interb" localSheetId="7">#REF!</definedName>
    <definedName name="interb" localSheetId="1">#REF!</definedName>
    <definedName name="interb" localSheetId="3">#REF!</definedName>
    <definedName name="interb">#REF!</definedName>
    <definedName name="Interest_Rate" localSheetId="7">#REF!</definedName>
    <definedName name="Interest_Rate" localSheetId="1">#REF!</definedName>
    <definedName name="Interest_Rate" localSheetId="3">#REF!</definedName>
    <definedName name="Interest_Rate">#REF!</definedName>
    <definedName name="Interior" localSheetId="7">#REF!</definedName>
    <definedName name="Interior" localSheetId="1">#REF!</definedName>
    <definedName name="Interior" localSheetId="3">#REF!</definedName>
    <definedName name="Interior">#REF!</definedName>
    <definedName name="Internal_Doors" localSheetId="7">#REF!</definedName>
    <definedName name="Internal_Doors" localSheetId="1">#REF!</definedName>
    <definedName name="Internal_Doors" localSheetId="3">#REF!</definedName>
    <definedName name="Internal_Doors">#REF!</definedName>
    <definedName name="Internal_Screens" localSheetId="7">#REF!</definedName>
    <definedName name="Internal_Screens" localSheetId="1">#REF!</definedName>
    <definedName name="Internal_Screens" localSheetId="3">#REF!</definedName>
    <definedName name="Internal_Screens">#REF!</definedName>
    <definedName name="Internal_Walls" localSheetId="7">#REF!</definedName>
    <definedName name="Internal_Walls" localSheetId="1">#REF!</definedName>
    <definedName name="Internal_Walls" localSheetId="3">#REF!</definedName>
    <definedName name="Internal_Walls">#REF!</definedName>
    <definedName name="intert" localSheetId="7">#REF!</definedName>
    <definedName name="intert" localSheetId="1">#REF!</definedName>
    <definedName name="intert" localSheetId="3">#REF!</definedName>
    <definedName name="intert">#REF!</definedName>
    <definedName name="INV_SCH" localSheetId="7">#REF!</definedName>
    <definedName name="INV_SCH" localSheetId="1">#REF!</definedName>
    <definedName name="INV_SCH" localSheetId="3">#REF!</definedName>
    <definedName name="INV_SCH">#REF!</definedName>
    <definedName name="invDays" localSheetId="7">#REF!</definedName>
    <definedName name="invDays" localSheetId="1">#REF!</definedName>
    <definedName name="invDays" localSheetId="3">#REF!</definedName>
    <definedName name="invDays">#REF!</definedName>
    <definedName name="Inventories" localSheetId="7">#REF!</definedName>
    <definedName name="Inventories" localSheetId="1">#REF!</definedName>
    <definedName name="Inventories" localSheetId="3">#REF!</definedName>
    <definedName name="Inventories">#REF!</definedName>
    <definedName name="Inventories_I" localSheetId="7">#REF!</definedName>
    <definedName name="Inventories_I" localSheetId="1">#REF!</definedName>
    <definedName name="Inventories_I" localSheetId="3">#REF!</definedName>
    <definedName name="Inventories_I">#REF!</definedName>
    <definedName name="investment" localSheetId="7">#REF!</definedName>
    <definedName name="investment" localSheetId="1">#REF!</definedName>
    <definedName name="investment" localSheetId="3">#REF!</definedName>
    <definedName name="investment">#REF!</definedName>
    <definedName name="Invvalue" localSheetId="7">#REF!</definedName>
    <definedName name="Invvalue" localSheetId="1">#REF!</definedName>
    <definedName name="Invvalue" localSheetId="3">#REF!</definedName>
    <definedName name="Invvalue">#REF!</definedName>
    <definedName name="ioio" localSheetId="7">#REF!</definedName>
    <definedName name="ioio" localSheetId="1">#REF!</definedName>
    <definedName name="ioio" localSheetId="3">#REF!</definedName>
    <definedName name="ioio">#REF!</definedName>
    <definedName name="ioioioo" localSheetId="7">#REF!</definedName>
    <definedName name="ioioioo" localSheetId="1">#REF!</definedName>
    <definedName name="ioioioo" localSheetId="3">#REF!</definedName>
    <definedName name="ioioioo">#REF!</definedName>
    <definedName name="iop" localSheetId="7">#REF!</definedName>
    <definedName name="iop" localSheetId="1">#REF!</definedName>
    <definedName name="iop" localSheetId="3">#REF!</definedName>
    <definedName name="iop">#REF!</definedName>
    <definedName name="ip" localSheetId="7">#REF!</definedName>
    <definedName name="ip" localSheetId="1">#REF!</definedName>
    <definedName name="ip" localSheetId="3">#REF!</definedName>
    <definedName name="ip">#REF!</definedName>
    <definedName name="ipu" localSheetId="7">#REF!</definedName>
    <definedName name="ipu" localSheetId="1">#REF!</definedName>
    <definedName name="ipu" localSheetId="3">#REF!</definedName>
    <definedName name="ipu">#REF!</definedName>
    <definedName name="ipu___0" localSheetId="7">#REF!</definedName>
    <definedName name="ipu___0" localSheetId="1">#REF!</definedName>
    <definedName name="ipu___0" localSheetId="3">#REF!</definedName>
    <definedName name="ipu___0">#REF!</definedName>
    <definedName name="ipu___13" localSheetId="7">#REF!</definedName>
    <definedName name="ipu___13" localSheetId="1">#REF!</definedName>
    <definedName name="ipu___13" localSheetId="3">#REF!</definedName>
    <definedName name="ipu___13">#REF!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 localSheetId="7">#REF!</definedName>
    <definedName name="ir" localSheetId="1">#REF!</definedName>
    <definedName name="ir" localSheetId="3">#REF!</definedName>
    <definedName name="ir">#REF!</definedName>
    <definedName name="iri" localSheetId="7">#REF!</definedName>
    <definedName name="iri" localSheetId="1">#REF!</definedName>
    <definedName name="iri" localSheetId="3">#REF!</definedName>
    <definedName name="iri">#REF!</definedName>
    <definedName name="IRS" localSheetId="7">#REF!</definedName>
    <definedName name="IRS" localSheetId="1">#REF!</definedName>
    <definedName name="IRS" localSheetId="3">#REF!</definedName>
    <definedName name="IRS">#REF!</definedName>
    <definedName name="Is" localSheetId="7">#REF!</definedName>
    <definedName name="Is" localSheetId="1">#REF!</definedName>
    <definedName name="Is" localSheetId="3">#REF!</definedName>
    <definedName name="Is">#REF!</definedName>
    <definedName name="isec12" localSheetId="7">#REF!</definedName>
    <definedName name="isec12" localSheetId="1">#REF!</definedName>
    <definedName name="isec12" localSheetId="3">#REF!</definedName>
    <definedName name="isec12">#REF!</definedName>
    <definedName name="ISEC22" localSheetId="7">#REF!</definedName>
    <definedName name="ISEC22" localSheetId="1">#REF!</definedName>
    <definedName name="ISEC22" localSheetId="3">#REF!</definedName>
    <definedName name="ISEC22">#REF!</definedName>
    <definedName name="ISEC7" localSheetId="7">#REF!</definedName>
    <definedName name="ISEC7" localSheetId="1">#REF!</definedName>
    <definedName name="ISEC7" localSheetId="3">#REF!</definedName>
    <definedName name="ISEC7">#REF!</definedName>
    <definedName name="isec71" localSheetId="7">#REF!</definedName>
    <definedName name="isec71" localSheetId="1">#REF!</definedName>
    <definedName name="isec71" localSheetId="3">#REF!</definedName>
    <definedName name="isec71">#REF!</definedName>
    <definedName name="ISEC72" localSheetId="7">#REF!</definedName>
    <definedName name="ISEC72" localSheetId="1">#REF!</definedName>
    <definedName name="ISEC72" localSheetId="3">#REF!</definedName>
    <definedName name="ISEC72">#REF!</definedName>
    <definedName name="ISEC77" localSheetId="7">#REF!</definedName>
    <definedName name="ISEC77" localSheetId="1">#REF!</definedName>
    <definedName name="ISEC77" localSheetId="3">#REF!</definedName>
    <definedName name="ISEC77">#REF!</definedName>
    <definedName name="ISEC78" localSheetId="7">#REF!</definedName>
    <definedName name="ISEC78" localSheetId="1">#REF!</definedName>
    <definedName name="ISEC78" localSheetId="3">#REF!</definedName>
    <definedName name="ISEC78">#REF!</definedName>
    <definedName name="isec8" localSheetId="7">#REF!</definedName>
    <definedName name="isec8" localSheetId="1">#REF!</definedName>
    <definedName name="isec8" localSheetId="3">#REF!</definedName>
    <definedName name="isec8">#REF!</definedName>
    <definedName name="ISO" localSheetId="7">#REF!</definedName>
    <definedName name="ISO" localSheetId="1">#REF!</definedName>
    <definedName name="ISO" localSheetId="3">#REF!</definedName>
    <definedName name="ISO">#REF!</definedName>
    <definedName name="IT" localSheetId="7">#REF!</definedName>
    <definedName name="IT" localSheetId="1">#REF!</definedName>
    <definedName name="IT" localSheetId="3">#REF!</definedName>
    <definedName name="IT">#REF!</definedName>
    <definedName name="Item_Mast" localSheetId="7">#REF!</definedName>
    <definedName name="Item_Mast" localSheetId="1">#REF!</definedName>
    <definedName name="Item_Mast" localSheetId="3">#REF!</definedName>
    <definedName name="Item_Mast">#REF!</definedName>
    <definedName name="ItemNum" localSheetId="7">#REF!</definedName>
    <definedName name="ItemNum" localSheetId="1">#REF!</definedName>
    <definedName name="ItemNum" localSheetId="3">#REF!</definedName>
    <definedName name="ItemNum">#REF!</definedName>
    <definedName name="J" localSheetId="7">#REF!</definedName>
    <definedName name="J" localSheetId="1">#REF!</definedName>
    <definedName name="J" localSheetId="3">#REF!</definedName>
    <definedName name="J">#REF!</definedName>
    <definedName name="jas" localSheetId="7">#REF!</definedName>
    <definedName name="jas" localSheetId="1">#REF!</definedName>
    <definedName name="jas" localSheetId="3">#REF!</definedName>
    <definedName name="jas">#REF!</definedName>
    <definedName name="jaspre" localSheetId="7">#REF!</definedName>
    <definedName name="jaspre" localSheetId="1">#REF!</definedName>
    <definedName name="jaspre" localSheetId="3">#REF!</definedName>
    <definedName name="jaspre">#REF!</definedName>
    <definedName name="Jay" localSheetId="5" hidden="1">{#N/A,#N/A,FALSE,"gc (2)"}</definedName>
    <definedName name="Jay" localSheetId="2" hidden="1">{#N/A,#N/A,FALSE,"gc (2)"}</definedName>
    <definedName name="jbvhbvh" localSheetId="7">#REF!</definedName>
    <definedName name="jbvhbvh" localSheetId="1">#REF!</definedName>
    <definedName name="jbvhbvh" localSheetId="3">#REF!</definedName>
    <definedName name="jbvhbvh">#REF!</definedName>
    <definedName name="JCB" localSheetId="7">#REF!</definedName>
    <definedName name="JCB" localSheetId="1">#REF!</definedName>
    <definedName name="JCB" localSheetId="3">#REF!</definedName>
    <definedName name="JCB">#REF!</definedName>
    <definedName name="JCR" localSheetId="7">#REF!</definedName>
    <definedName name="JCR" localSheetId="1">#REF!</definedName>
    <definedName name="JCR" localSheetId="3">#REF!</definedName>
    <definedName name="JCR">#REF!</definedName>
    <definedName name="JEJS" localSheetId="7">#REF!</definedName>
    <definedName name="JEJS" localSheetId="1">#REF!</definedName>
    <definedName name="JEJS" localSheetId="3">#REF!</definedName>
    <definedName name="JEJS">#REF!</definedName>
    <definedName name="JEJS___0" localSheetId="7">#REF!</definedName>
    <definedName name="JEJS___0" localSheetId="1">#REF!</definedName>
    <definedName name="JEJS___0" localSheetId="3">#REF!</definedName>
    <definedName name="JEJS___0">#REF!</definedName>
    <definedName name="JEJS___11" localSheetId="7">#REF!</definedName>
    <definedName name="JEJS___11" localSheetId="1">#REF!</definedName>
    <definedName name="JEJS___11" localSheetId="3">#REF!</definedName>
    <definedName name="JEJS___11">#REF!</definedName>
    <definedName name="JEJS___12" localSheetId="7">#REF!</definedName>
    <definedName name="JEJS___12" localSheetId="1">#REF!</definedName>
    <definedName name="JEJS___12" localSheetId="3">#REF!</definedName>
    <definedName name="JEJS___12">#REF!</definedName>
    <definedName name="JEJS___13" localSheetId="7">#REF!</definedName>
    <definedName name="JEJS___13" localSheetId="1">#REF!</definedName>
    <definedName name="JEJS___13" localSheetId="3">#REF!</definedName>
    <definedName name="JEJS___13">#REF!</definedName>
    <definedName name="JEJS___4" localSheetId="7">#REF!</definedName>
    <definedName name="JEJS___4" localSheetId="1">#REF!</definedName>
    <definedName name="JEJS___4" localSheetId="3">#REF!</definedName>
    <definedName name="JEJS___4">#REF!</definedName>
    <definedName name="jeri" localSheetId="7">#REF!</definedName>
    <definedName name="jeri" localSheetId="1">#REF!</definedName>
    <definedName name="jeri" localSheetId="3">#REF!</definedName>
    <definedName name="jeri">#REF!</definedName>
    <definedName name="jgfff" localSheetId="7">#REF!</definedName>
    <definedName name="jgfff" localSheetId="1">#REF!</definedName>
    <definedName name="jgfff" localSheetId="3">#REF!</definedName>
    <definedName name="jgfff">#REF!</definedName>
    <definedName name="jgjk" localSheetId="7">#REF!</definedName>
    <definedName name="jgjk" localSheetId="1">#REF!</definedName>
    <definedName name="jgjk" localSheetId="3">#REF!</definedName>
    <definedName name="jgjk">#REF!</definedName>
    <definedName name="JJJ" localSheetId="2">#REF!</definedName>
    <definedName name="jjj_1" localSheetId="5" hidden="1">{"form-D1",#N/A,FALSE,"FORM-D1";"form-D1_amt",#N/A,FALSE,"FORM-D1"}</definedName>
    <definedName name="jjj_1" localSheetId="2" hidden="1">{"form-D1",#N/A,FALSE,"FORM-D1";"form-D1_amt",#N/A,FALSE,"FORM-D1"}</definedName>
    <definedName name="jjj_1_1" localSheetId="5" hidden="1">{"form-D1",#N/A,FALSE,"FORM-D1";"form-D1_amt",#N/A,FALSE,"FORM-D1"}</definedName>
    <definedName name="jjj_1_1" localSheetId="2" hidden="1">{"form-D1",#N/A,FALSE,"FORM-D1";"form-D1_amt",#N/A,FALSE,"FORM-D1"}</definedName>
    <definedName name="jjj_1_2" localSheetId="5" hidden="1">{"form-D1",#N/A,FALSE,"FORM-D1";"form-D1_amt",#N/A,FALSE,"FORM-D1"}</definedName>
    <definedName name="jjj_1_2" localSheetId="2" hidden="1">{"form-D1",#N/A,FALSE,"FORM-D1";"form-D1_amt",#N/A,FALSE,"FORM-D1"}</definedName>
    <definedName name="jjj_2" localSheetId="5" hidden="1">{"form-D1",#N/A,FALSE,"FORM-D1";"form-D1_amt",#N/A,FALSE,"FORM-D1"}</definedName>
    <definedName name="jjj_2" localSheetId="2" hidden="1">{"form-D1",#N/A,FALSE,"FORM-D1";"form-D1_amt",#N/A,FALSE,"FORM-D1"}</definedName>
    <definedName name="jjj_2_1" localSheetId="5" hidden="1">{"form-D1",#N/A,FALSE,"FORM-D1";"form-D1_amt",#N/A,FALSE,"FORM-D1"}</definedName>
    <definedName name="jjj_2_1" localSheetId="2" hidden="1">{"form-D1",#N/A,FALSE,"FORM-D1";"form-D1_amt",#N/A,FALSE,"FORM-D1"}</definedName>
    <definedName name="jjj_3" localSheetId="5" hidden="1">{"form-D1",#N/A,FALSE,"FORM-D1";"form-D1_amt",#N/A,FALSE,"FORM-D1"}</definedName>
    <definedName name="jjj_3" localSheetId="2" hidden="1">{"form-D1",#N/A,FALSE,"FORM-D1";"form-D1_amt",#N/A,FALSE,"FORM-D1"}</definedName>
    <definedName name="jjj_3_1" localSheetId="5" hidden="1">{"form-D1",#N/A,FALSE,"FORM-D1";"form-D1_amt",#N/A,FALSE,"FORM-D1"}</definedName>
    <definedName name="jjj_3_1" localSheetId="2" hidden="1">{"form-D1",#N/A,FALSE,"FORM-D1";"form-D1_amt",#N/A,FALSE,"FORM-D1"}</definedName>
    <definedName name="jjj_4" localSheetId="5" hidden="1">{"form-D1",#N/A,FALSE,"FORM-D1";"form-D1_amt",#N/A,FALSE,"FORM-D1"}</definedName>
    <definedName name="jjj_4" localSheetId="2" hidden="1">{"form-D1",#N/A,FALSE,"FORM-D1";"form-D1_amt",#N/A,FALSE,"FORM-D1"}</definedName>
    <definedName name="jjj_4_1" localSheetId="5" hidden="1">{"form-D1",#N/A,FALSE,"FORM-D1";"form-D1_amt",#N/A,FALSE,"FORM-D1"}</definedName>
    <definedName name="jjj_4_1" localSheetId="2" hidden="1">{"form-D1",#N/A,FALSE,"FORM-D1";"form-D1_amt",#N/A,FALSE,"FORM-D1"}</definedName>
    <definedName name="jjj_5" localSheetId="5" hidden="1">{"form-D1",#N/A,FALSE,"FORM-D1";"form-D1_amt",#N/A,FALSE,"FORM-D1"}</definedName>
    <definedName name="jjj_5" localSheetId="2" hidden="1">{"form-D1",#N/A,FALSE,"FORM-D1";"form-D1_amt",#N/A,FALSE,"FORM-D1"}</definedName>
    <definedName name="jjj_5_1" localSheetId="5" hidden="1">{"form-D1",#N/A,FALSE,"FORM-D1";"form-D1_amt",#N/A,FALSE,"FORM-D1"}</definedName>
    <definedName name="jjj_5_1" localSheetId="2" hidden="1">{"form-D1",#N/A,FALSE,"FORM-D1";"form-D1_amt",#N/A,FALSE,"FORM-D1"}</definedName>
    <definedName name="jjjjjj" localSheetId="5" hidden="1">{"form-D1",#N/A,FALSE,"FORM-D1";"form-D1_amt",#N/A,FALSE,"FORM-D1"}</definedName>
    <definedName name="jjjjjj" localSheetId="2" hidden="1">{"form-D1",#N/A,FALSE,"FORM-D1";"form-D1_amt",#N/A,FALSE,"FORM-D1"}</definedName>
    <definedName name="jjjjjj_1" localSheetId="5" hidden="1">{"form-D1",#N/A,FALSE,"FORM-D1";"form-D1_amt",#N/A,FALSE,"FORM-D1"}</definedName>
    <definedName name="jjjjjj_1" localSheetId="2" hidden="1">{"form-D1",#N/A,FALSE,"FORM-D1";"form-D1_amt",#N/A,FALSE,"FORM-D1"}</definedName>
    <definedName name="jjjjjj_1_1" localSheetId="5" hidden="1">{"form-D1",#N/A,FALSE,"FORM-D1";"form-D1_amt",#N/A,FALSE,"FORM-D1"}</definedName>
    <definedName name="jjjjjj_1_1" localSheetId="2" hidden="1">{"form-D1",#N/A,FALSE,"FORM-D1";"form-D1_amt",#N/A,FALSE,"FORM-D1"}</definedName>
    <definedName name="jjjjjj_1_2" localSheetId="5" hidden="1">{"form-D1",#N/A,FALSE,"FORM-D1";"form-D1_amt",#N/A,FALSE,"FORM-D1"}</definedName>
    <definedName name="jjjjjj_1_2" localSheetId="2" hidden="1">{"form-D1",#N/A,FALSE,"FORM-D1";"form-D1_amt",#N/A,FALSE,"FORM-D1"}</definedName>
    <definedName name="jjjjjj_2" localSheetId="5" hidden="1">{"form-D1",#N/A,FALSE,"FORM-D1";"form-D1_amt",#N/A,FALSE,"FORM-D1"}</definedName>
    <definedName name="jjjjjj_2" localSheetId="2" hidden="1">{"form-D1",#N/A,FALSE,"FORM-D1";"form-D1_amt",#N/A,FALSE,"FORM-D1"}</definedName>
    <definedName name="jjjjjj_2_1" localSheetId="5" hidden="1">{"form-D1",#N/A,FALSE,"FORM-D1";"form-D1_amt",#N/A,FALSE,"FORM-D1"}</definedName>
    <definedName name="jjjjjj_2_1" localSheetId="2" hidden="1">{"form-D1",#N/A,FALSE,"FORM-D1";"form-D1_amt",#N/A,FALSE,"FORM-D1"}</definedName>
    <definedName name="jjjjjj_3" localSheetId="5" hidden="1">{"form-D1",#N/A,FALSE,"FORM-D1";"form-D1_amt",#N/A,FALSE,"FORM-D1"}</definedName>
    <definedName name="jjjjjj_3" localSheetId="2" hidden="1">{"form-D1",#N/A,FALSE,"FORM-D1";"form-D1_amt",#N/A,FALSE,"FORM-D1"}</definedName>
    <definedName name="jjjjjj_3_1" localSheetId="5" hidden="1">{"form-D1",#N/A,FALSE,"FORM-D1";"form-D1_amt",#N/A,FALSE,"FORM-D1"}</definedName>
    <definedName name="jjjjjj_3_1" localSheetId="2" hidden="1">{"form-D1",#N/A,FALSE,"FORM-D1";"form-D1_amt",#N/A,FALSE,"FORM-D1"}</definedName>
    <definedName name="jjjjjj_4" localSheetId="5" hidden="1">{"form-D1",#N/A,FALSE,"FORM-D1";"form-D1_amt",#N/A,FALSE,"FORM-D1"}</definedName>
    <definedName name="jjjjjj_4" localSheetId="2" hidden="1">{"form-D1",#N/A,FALSE,"FORM-D1";"form-D1_amt",#N/A,FALSE,"FORM-D1"}</definedName>
    <definedName name="jjjjjj_4_1" localSheetId="5" hidden="1">{"form-D1",#N/A,FALSE,"FORM-D1";"form-D1_amt",#N/A,FALSE,"FORM-D1"}</definedName>
    <definedName name="jjjjjj_4_1" localSheetId="2" hidden="1">{"form-D1",#N/A,FALSE,"FORM-D1";"form-D1_amt",#N/A,FALSE,"FORM-D1"}</definedName>
    <definedName name="jjjjjj_5" localSheetId="5" hidden="1">{"form-D1",#N/A,FALSE,"FORM-D1";"form-D1_amt",#N/A,FALSE,"FORM-D1"}</definedName>
    <definedName name="jjjjjj_5" localSheetId="2" hidden="1">{"form-D1",#N/A,FALSE,"FORM-D1";"form-D1_amt",#N/A,FALSE,"FORM-D1"}</definedName>
    <definedName name="jjjjjj_5_1" localSheetId="5" hidden="1">{"form-D1",#N/A,FALSE,"FORM-D1";"form-D1_amt",#N/A,FALSE,"FORM-D1"}</definedName>
    <definedName name="jjjjjj_5_1" localSheetId="2" hidden="1">{"form-D1",#N/A,FALSE,"FORM-D1";"form-D1_amt",#N/A,FALSE,"FORM-D1"}</definedName>
    <definedName name="jjjjjjjjj" localSheetId="5" hidden="1">{"form-D1",#N/A,FALSE,"FORM-D1";"form-D1_amt",#N/A,FALSE,"FORM-D1"}</definedName>
    <definedName name="jjjjjjjjj" localSheetId="2" hidden="1">{"form-D1",#N/A,FALSE,"FORM-D1";"form-D1_amt",#N/A,FALSE,"FORM-D1"}</definedName>
    <definedName name="jjjjjjjjj_1" localSheetId="5" hidden="1">{"form-D1",#N/A,FALSE,"FORM-D1";"form-D1_amt",#N/A,FALSE,"FORM-D1"}</definedName>
    <definedName name="jjjjjjjjj_1" localSheetId="2" hidden="1">{"form-D1",#N/A,FALSE,"FORM-D1";"form-D1_amt",#N/A,FALSE,"FORM-D1"}</definedName>
    <definedName name="jjjjjjjjj_1_1" localSheetId="5" hidden="1">{"form-D1",#N/A,FALSE,"FORM-D1";"form-D1_amt",#N/A,FALSE,"FORM-D1"}</definedName>
    <definedName name="jjjjjjjjj_1_1" localSheetId="2" hidden="1">{"form-D1",#N/A,FALSE,"FORM-D1";"form-D1_amt",#N/A,FALSE,"FORM-D1"}</definedName>
    <definedName name="jjjjjjjjj_1_2" localSheetId="5" hidden="1">{"form-D1",#N/A,FALSE,"FORM-D1";"form-D1_amt",#N/A,FALSE,"FORM-D1"}</definedName>
    <definedName name="jjjjjjjjj_1_2" localSheetId="2" hidden="1">{"form-D1",#N/A,FALSE,"FORM-D1";"form-D1_amt",#N/A,FALSE,"FORM-D1"}</definedName>
    <definedName name="jjjjjjjjj_2" localSheetId="5" hidden="1">{"form-D1",#N/A,FALSE,"FORM-D1";"form-D1_amt",#N/A,FALSE,"FORM-D1"}</definedName>
    <definedName name="jjjjjjjjj_2" localSheetId="2" hidden="1">{"form-D1",#N/A,FALSE,"FORM-D1";"form-D1_amt",#N/A,FALSE,"FORM-D1"}</definedName>
    <definedName name="jjjjjjjjj_2_1" localSheetId="5" hidden="1">{"form-D1",#N/A,FALSE,"FORM-D1";"form-D1_amt",#N/A,FALSE,"FORM-D1"}</definedName>
    <definedName name="jjjjjjjjj_2_1" localSheetId="2" hidden="1">{"form-D1",#N/A,FALSE,"FORM-D1";"form-D1_amt",#N/A,FALSE,"FORM-D1"}</definedName>
    <definedName name="jjjjjjjjj_3" localSheetId="5" hidden="1">{"form-D1",#N/A,FALSE,"FORM-D1";"form-D1_amt",#N/A,FALSE,"FORM-D1"}</definedName>
    <definedName name="jjjjjjjjj_3" localSheetId="2" hidden="1">{"form-D1",#N/A,FALSE,"FORM-D1";"form-D1_amt",#N/A,FALSE,"FORM-D1"}</definedName>
    <definedName name="jjjjjjjjj_3_1" localSheetId="5" hidden="1">{"form-D1",#N/A,FALSE,"FORM-D1";"form-D1_amt",#N/A,FALSE,"FORM-D1"}</definedName>
    <definedName name="jjjjjjjjj_3_1" localSheetId="2" hidden="1">{"form-D1",#N/A,FALSE,"FORM-D1";"form-D1_amt",#N/A,FALSE,"FORM-D1"}</definedName>
    <definedName name="jjjjjjjjj_4" localSheetId="5" hidden="1">{"form-D1",#N/A,FALSE,"FORM-D1";"form-D1_amt",#N/A,FALSE,"FORM-D1"}</definedName>
    <definedName name="jjjjjjjjj_4" localSheetId="2" hidden="1">{"form-D1",#N/A,FALSE,"FORM-D1";"form-D1_amt",#N/A,FALSE,"FORM-D1"}</definedName>
    <definedName name="jjjjjjjjj_4_1" localSheetId="5" hidden="1">{"form-D1",#N/A,FALSE,"FORM-D1";"form-D1_amt",#N/A,FALSE,"FORM-D1"}</definedName>
    <definedName name="jjjjjjjjj_4_1" localSheetId="2" hidden="1">{"form-D1",#N/A,FALSE,"FORM-D1";"form-D1_amt",#N/A,FALSE,"FORM-D1"}</definedName>
    <definedName name="jjjjjjjjj_5" localSheetId="5" hidden="1">{"form-D1",#N/A,FALSE,"FORM-D1";"form-D1_amt",#N/A,FALSE,"FORM-D1"}</definedName>
    <definedName name="jjjjjjjjj_5" localSheetId="2" hidden="1">{"form-D1",#N/A,FALSE,"FORM-D1";"form-D1_amt",#N/A,FALSE,"FORM-D1"}</definedName>
    <definedName name="jjjjjjjjj_5_1" localSheetId="5" hidden="1">{"form-D1",#N/A,FALSE,"FORM-D1";"form-D1_amt",#N/A,FALSE,"FORM-D1"}</definedName>
    <definedName name="jjjjjjjjj_5_1" localSheetId="2" hidden="1">{"form-D1",#N/A,FALSE,"FORM-D1";"form-D1_amt",#N/A,FALSE,"FORM-D1"}</definedName>
    <definedName name="jjjjjjjjjjjj" localSheetId="5" hidden="1">{"form-D1",#N/A,FALSE,"FORM-D1";"form-D1_amt",#N/A,FALSE,"FORM-D1"}</definedName>
    <definedName name="jjjjjjjjjjjj" localSheetId="2" hidden="1">{"form-D1",#N/A,FALSE,"FORM-D1";"form-D1_amt",#N/A,FALSE,"FORM-D1"}</definedName>
    <definedName name="jjjjjjjjjjjj_1" localSheetId="5" hidden="1">{"form-D1",#N/A,FALSE,"FORM-D1";"form-D1_amt",#N/A,FALSE,"FORM-D1"}</definedName>
    <definedName name="jjjjjjjjjjjj_1" localSheetId="2" hidden="1">{"form-D1",#N/A,FALSE,"FORM-D1";"form-D1_amt",#N/A,FALSE,"FORM-D1"}</definedName>
    <definedName name="jjjjjjjjjjjj_1_1" localSheetId="5" hidden="1">{"form-D1",#N/A,FALSE,"FORM-D1";"form-D1_amt",#N/A,FALSE,"FORM-D1"}</definedName>
    <definedName name="jjjjjjjjjjjj_1_1" localSheetId="2" hidden="1">{"form-D1",#N/A,FALSE,"FORM-D1";"form-D1_amt",#N/A,FALSE,"FORM-D1"}</definedName>
    <definedName name="jjjjjjjjjjjj_1_2" localSheetId="5" hidden="1">{"form-D1",#N/A,FALSE,"FORM-D1";"form-D1_amt",#N/A,FALSE,"FORM-D1"}</definedName>
    <definedName name="jjjjjjjjjjjj_1_2" localSheetId="2" hidden="1">{"form-D1",#N/A,FALSE,"FORM-D1";"form-D1_amt",#N/A,FALSE,"FORM-D1"}</definedName>
    <definedName name="jjjjjjjjjjjj_2" localSheetId="5" hidden="1">{"form-D1",#N/A,FALSE,"FORM-D1";"form-D1_amt",#N/A,FALSE,"FORM-D1"}</definedName>
    <definedName name="jjjjjjjjjjjj_2" localSheetId="2" hidden="1">{"form-D1",#N/A,FALSE,"FORM-D1";"form-D1_amt",#N/A,FALSE,"FORM-D1"}</definedName>
    <definedName name="jjjjjjjjjjjj_2_1" localSheetId="5" hidden="1">{"form-D1",#N/A,FALSE,"FORM-D1";"form-D1_amt",#N/A,FALSE,"FORM-D1"}</definedName>
    <definedName name="jjjjjjjjjjjj_2_1" localSheetId="2" hidden="1">{"form-D1",#N/A,FALSE,"FORM-D1";"form-D1_amt",#N/A,FALSE,"FORM-D1"}</definedName>
    <definedName name="jjjjjjjjjjjj_3" localSheetId="5" hidden="1">{"form-D1",#N/A,FALSE,"FORM-D1";"form-D1_amt",#N/A,FALSE,"FORM-D1"}</definedName>
    <definedName name="jjjjjjjjjjjj_3" localSheetId="2" hidden="1">{"form-D1",#N/A,FALSE,"FORM-D1";"form-D1_amt",#N/A,FALSE,"FORM-D1"}</definedName>
    <definedName name="jjjjjjjjjjjj_3_1" localSheetId="5" hidden="1">{"form-D1",#N/A,FALSE,"FORM-D1";"form-D1_amt",#N/A,FALSE,"FORM-D1"}</definedName>
    <definedName name="jjjjjjjjjjjj_3_1" localSheetId="2" hidden="1">{"form-D1",#N/A,FALSE,"FORM-D1";"form-D1_amt",#N/A,FALSE,"FORM-D1"}</definedName>
    <definedName name="jjjjjjjjjjjj_4" localSheetId="5" hidden="1">{"form-D1",#N/A,FALSE,"FORM-D1";"form-D1_amt",#N/A,FALSE,"FORM-D1"}</definedName>
    <definedName name="jjjjjjjjjjjj_4" localSheetId="2" hidden="1">{"form-D1",#N/A,FALSE,"FORM-D1";"form-D1_amt",#N/A,FALSE,"FORM-D1"}</definedName>
    <definedName name="jjjjjjjjjjjj_4_1" localSheetId="5" hidden="1">{"form-D1",#N/A,FALSE,"FORM-D1";"form-D1_amt",#N/A,FALSE,"FORM-D1"}</definedName>
    <definedName name="jjjjjjjjjjjj_4_1" localSheetId="2" hidden="1">{"form-D1",#N/A,FALSE,"FORM-D1";"form-D1_amt",#N/A,FALSE,"FORM-D1"}</definedName>
    <definedName name="jjjjjjjjjjjj_5" localSheetId="5" hidden="1">{"form-D1",#N/A,FALSE,"FORM-D1";"form-D1_amt",#N/A,FALSE,"FORM-D1"}</definedName>
    <definedName name="jjjjjjjjjjjj_5" localSheetId="2" hidden="1">{"form-D1",#N/A,FALSE,"FORM-D1";"form-D1_amt",#N/A,FALSE,"FORM-D1"}</definedName>
    <definedName name="jjjjjjjjjjjj_5_1" localSheetId="5" hidden="1">{"form-D1",#N/A,FALSE,"FORM-D1";"form-D1_amt",#N/A,FALSE,"FORM-D1"}</definedName>
    <definedName name="jjjjjjjjjjjj_5_1" localSheetId="2" hidden="1">{"form-D1",#N/A,FALSE,"FORM-D1";"form-D1_amt",#N/A,FALSE,"FORM-D1"}</definedName>
    <definedName name="JKK" localSheetId="7">#REF!</definedName>
    <definedName name="JKK" localSheetId="1">#REF!</definedName>
    <definedName name="JKK" localSheetId="3">#REF!</definedName>
    <definedName name="JKK">#REF!</definedName>
    <definedName name="JMR" localSheetId="7">#REF!</definedName>
    <definedName name="JMR" localSheetId="1">#REF!</definedName>
    <definedName name="JMR" localSheetId="3">#REF!</definedName>
    <definedName name="JMR">#REF!</definedName>
    <definedName name="jo" localSheetId="7">#REF!</definedName>
    <definedName name="jo" localSheetId="1">#REF!</definedName>
    <definedName name="jo" localSheetId="3">#REF!</definedName>
    <definedName name="jo">#REF!</definedName>
    <definedName name="job" localSheetId="7">#REF!</definedName>
    <definedName name="job" localSheetId="1">#REF!</definedName>
    <definedName name="job" localSheetId="3">#REF!</definedName>
    <definedName name="job">#REF!</definedName>
    <definedName name="job___0" localSheetId="7">#REF!</definedName>
    <definedName name="job___0" localSheetId="1">#REF!</definedName>
    <definedName name="job___0" localSheetId="3">#REF!</definedName>
    <definedName name="job___0">#REF!</definedName>
    <definedName name="job___11" localSheetId="7">#REF!</definedName>
    <definedName name="job___11" localSheetId="1">#REF!</definedName>
    <definedName name="job___11" localSheetId="3">#REF!</definedName>
    <definedName name="job___11">#REF!</definedName>
    <definedName name="job___12" localSheetId="7">#REF!</definedName>
    <definedName name="job___12" localSheetId="1">#REF!</definedName>
    <definedName name="job___12" localSheetId="3">#REF!</definedName>
    <definedName name="job___12">#REF!</definedName>
    <definedName name="JobID" localSheetId="7">#REF!</definedName>
    <definedName name="JobID" localSheetId="1">#REF!</definedName>
    <definedName name="JobID" localSheetId="3">#REF!</definedName>
    <definedName name="JobID">#REF!</definedName>
    <definedName name="june" localSheetId="7">#REF!</definedName>
    <definedName name="june" localSheetId="1">#REF!</definedName>
    <definedName name="june" localSheetId="3">#REF!</definedName>
    <definedName name="june">#REF!</definedName>
    <definedName name="june_5" localSheetId="7">#REF!</definedName>
    <definedName name="june_5" localSheetId="1">#REF!</definedName>
    <definedName name="june_5" localSheetId="3">#REF!</definedName>
    <definedName name="june_5">#REF!</definedName>
    <definedName name="june_7" localSheetId="7">#REF!</definedName>
    <definedName name="june_7" localSheetId="1">#REF!</definedName>
    <definedName name="june_7" localSheetId="3">#REF!</definedName>
    <definedName name="june_7">#REF!</definedName>
    <definedName name="K" localSheetId="7">#REF!</definedName>
    <definedName name="K" localSheetId="1">#REF!</definedName>
    <definedName name="K" localSheetId="3">#REF!</definedName>
    <definedName name="K">#REF!</definedName>
    <definedName name="K___0" localSheetId="7">#REF!</definedName>
    <definedName name="K___0" localSheetId="1">#REF!</definedName>
    <definedName name="K___0" localSheetId="3">#REF!</definedName>
    <definedName name="K___0">#REF!</definedName>
    <definedName name="K___13" localSheetId="7">#REF!</definedName>
    <definedName name="K___13" localSheetId="1">#REF!</definedName>
    <definedName name="K___13" localSheetId="3">#REF!</definedName>
    <definedName name="K___13">#REF!</definedName>
    <definedName name="k_1" localSheetId="5" hidden="1">{"form-D1",#N/A,FALSE,"FORM-D1";"form-D1_amt",#N/A,FALSE,"FORM-D1"}</definedName>
    <definedName name="k_1" localSheetId="2" hidden="1">{"form-D1",#N/A,FALSE,"FORM-D1";"form-D1_amt",#N/A,FALSE,"FORM-D1"}</definedName>
    <definedName name="k_1_1" localSheetId="5" hidden="1">{"form-D1",#N/A,FALSE,"FORM-D1";"form-D1_amt",#N/A,FALSE,"FORM-D1"}</definedName>
    <definedName name="k_1_1" localSheetId="2" hidden="1">{"form-D1",#N/A,FALSE,"FORM-D1";"form-D1_amt",#N/A,FALSE,"FORM-D1"}</definedName>
    <definedName name="k_1_2" localSheetId="5" hidden="1">{"form-D1",#N/A,FALSE,"FORM-D1";"form-D1_amt",#N/A,FALSE,"FORM-D1"}</definedName>
    <definedName name="k_1_2" localSheetId="2" hidden="1">{"form-D1",#N/A,FALSE,"FORM-D1";"form-D1_amt",#N/A,FALSE,"FORM-D1"}</definedName>
    <definedName name="k_2" localSheetId="5" hidden="1">{"form-D1",#N/A,FALSE,"FORM-D1";"form-D1_amt",#N/A,FALSE,"FORM-D1"}</definedName>
    <definedName name="k_2" localSheetId="2" hidden="1">{"form-D1",#N/A,FALSE,"FORM-D1";"form-D1_amt",#N/A,FALSE,"FORM-D1"}</definedName>
    <definedName name="k_2_1" localSheetId="5" hidden="1">{"form-D1",#N/A,FALSE,"FORM-D1";"form-D1_amt",#N/A,FALSE,"FORM-D1"}</definedName>
    <definedName name="k_2_1" localSheetId="2" hidden="1">{"form-D1",#N/A,FALSE,"FORM-D1";"form-D1_amt",#N/A,FALSE,"FORM-D1"}</definedName>
    <definedName name="k_3" localSheetId="5" hidden="1">{"form-D1",#N/A,FALSE,"FORM-D1";"form-D1_amt",#N/A,FALSE,"FORM-D1"}</definedName>
    <definedName name="k_3" localSheetId="2" hidden="1">{"form-D1",#N/A,FALSE,"FORM-D1";"form-D1_amt",#N/A,FALSE,"FORM-D1"}</definedName>
    <definedName name="k_3_1" localSheetId="5" hidden="1">{"form-D1",#N/A,FALSE,"FORM-D1";"form-D1_amt",#N/A,FALSE,"FORM-D1"}</definedName>
    <definedName name="k_3_1" localSheetId="2" hidden="1">{"form-D1",#N/A,FALSE,"FORM-D1";"form-D1_amt",#N/A,FALSE,"FORM-D1"}</definedName>
    <definedName name="k_4" localSheetId="5" hidden="1">{"form-D1",#N/A,FALSE,"FORM-D1";"form-D1_amt",#N/A,FALSE,"FORM-D1"}</definedName>
    <definedName name="k_4" localSheetId="2" hidden="1">{"form-D1",#N/A,FALSE,"FORM-D1";"form-D1_amt",#N/A,FALSE,"FORM-D1"}</definedName>
    <definedName name="k_4_1" localSheetId="5" hidden="1">{"form-D1",#N/A,FALSE,"FORM-D1";"form-D1_amt",#N/A,FALSE,"FORM-D1"}</definedName>
    <definedName name="k_4_1" localSheetId="2" hidden="1">{"form-D1",#N/A,FALSE,"FORM-D1";"form-D1_amt",#N/A,FALSE,"FORM-D1"}</definedName>
    <definedName name="k_5" localSheetId="5" hidden="1">{"form-D1",#N/A,FALSE,"FORM-D1";"form-D1_amt",#N/A,FALSE,"FORM-D1"}</definedName>
    <definedName name="k_5" localSheetId="2" hidden="1">{"form-D1",#N/A,FALSE,"FORM-D1";"form-D1_amt",#N/A,FALSE,"FORM-D1"}</definedName>
    <definedName name="k_5_1" localSheetId="5" hidden="1">{"form-D1",#N/A,FALSE,"FORM-D1";"form-D1_amt",#N/A,FALSE,"FORM-D1"}</definedName>
    <definedName name="k_5_1" localSheetId="2" hidden="1">{"form-D1",#N/A,FALSE,"FORM-D1";"form-D1_amt",#N/A,FALSE,"FORM-D1"}</definedName>
    <definedName name="k1_table" localSheetId="7">#REF!</definedName>
    <definedName name="k1_table" localSheetId="1">#REF!</definedName>
    <definedName name="k1_table" localSheetId="3">#REF!</definedName>
    <definedName name="k1_table">#REF!</definedName>
    <definedName name="k1l" localSheetId="7">#REF!</definedName>
    <definedName name="k1l" localSheetId="1">#REF!</definedName>
    <definedName name="k1l" localSheetId="3">#REF!</definedName>
    <definedName name="k1l">#REF!</definedName>
    <definedName name="k1s" localSheetId="7">#REF!</definedName>
    <definedName name="k1s" localSheetId="1">#REF!</definedName>
    <definedName name="k1s" localSheetId="3">#REF!</definedName>
    <definedName name="k1s">#REF!</definedName>
    <definedName name="k2s" localSheetId="7">#REF!</definedName>
    <definedName name="k2s" localSheetId="1">#REF!</definedName>
    <definedName name="k2s" localSheetId="3">#REF!</definedName>
    <definedName name="k2s">#REF!</definedName>
    <definedName name="ka" localSheetId="7">#REF!</definedName>
    <definedName name="ka" localSheetId="1">#REF!</definedName>
    <definedName name="ka" localSheetId="3">#REF!</definedName>
    <definedName name="ka">#REF!</definedName>
    <definedName name="KAMAL" localSheetId="5" hidden="1">{"form-D1",#N/A,FALSE,"FORM-D1";"form-D1_amt",#N/A,FALSE,"FORM-D1"}</definedName>
    <definedName name="KAMAL" localSheetId="2" hidden="1">{"form-D1",#N/A,FALSE,"FORM-D1";"form-D1_amt",#N/A,FALSE,"FORM-D1"}</definedName>
    <definedName name="KAMAL_1" localSheetId="5" hidden="1">{"form-D1",#N/A,FALSE,"FORM-D1";"form-D1_amt",#N/A,FALSE,"FORM-D1"}</definedName>
    <definedName name="KAMAL_1" localSheetId="2" hidden="1">{"form-D1",#N/A,FALSE,"FORM-D1";"form-D1_amt",#N/A,FALSE,"FORM-D1"}</definedName>
    <definedName name="KAMAL_1_1" localSheetId="5" hidden="1">{"form-D1",#N/A,FALSE,"FORM-D1";"form-D1_amt",#N/A,FALSE,"FORM-D1"}</definedName>
    <definedName name="KAMAL_1_1" localSheetId="2" hidden="1">{"form-D1",#N/A,FALSE,"FORM-D1";"form-D1_amt",#N/A,FALSE,"FORM-D1"}</definedName>
    <definedName name="KAMAL_1_2" localSheetId="5" hidden="1">{"form-D1",#N/A,FALSE,"FORM-D1";"form-D1_amt",#N/A,FALSE,"FORM-D1"}</definedName>
    <definedName name="KAMAL_1_2" localSheetId="2" hidden="1">{"form-D1",#N/A,FALSE,"FORM-D1";"form-D1_amt",#N/A,FALSE,"FORM-D1"}</definedName>
    <definedName name="KAMAL_2" localSheetId="5" hidden="1">{"form-D1",#N/A,FALSE,"FORM-D1";"form-D1_amt",#N/A,FALSE,"FORM-D1"}</definedName>
    <definedName name="KAMAL_2" localSheetId="2" hidden="1">{"form-D1",#N/A,FALSE,"FORM-D1";"form-D1_amt",#N/A,FALSE,"FORM-D1"}</definedName>
    <definedName name="KAMAL_2_1" localSheetId="5" hidden="1">{"form-D1",#N/A,FALSE,"FORM-D1";"form-D1_amt",#N/A,FALSE,"FORM-D1"}</definedName>
    <definedName name="KAMAL_2_1" localSheetId="2" hidden="1">{"form-D1",#N/A,FALSE,"FORM-D1";"form-D1_amt",#N/A,FALSE,"FORM-D1"}</definedName>
    <definedName name="KAMAL_3" localSheetId="5" hidden="1">{"form-D1",#N/A,FALSE,"FORM-D1";"form-D1_amt",#N/A,FALSE,"FORM-D1"}</definedName>
    <definedName name="KAMAL_3" localSheetId="2" hidden="1">{"form-D1",#N/A,FALSE,"FORM-D1";"form-D1_amt",#N/A,FALSE,"FORM-D1"}</definedName>
    <definedName name="KAMAL_3_1" localSheetId="5" hidden="1">{"form-D1",#N/A,FALSE,"FORM-D1";"form-D1_amt",#N/A,FALSE,"FORM-D1"}</definedName>
    <definedName name="KAMAL_3_1" localSheetId="2" hidden="1">{"form-D1",#N/A,FALSE,"FORM-D1";"form-D1_amt",#N/A,FALSE,"FORM-D1"}</definedName>
    <definedName name="KAMAL_4" localSheetId="5" hidden="1">{"form-D1",#N/A,FALSE,"FORM-D1";"form-D1_amt",#N/A,FALSE,"FORM-D1"}</definedName>
    <definedName name="KAMAL_4" localSheetId="2" hidden="1">{"form-D1",#N/A,FALSE,"FORM-D1";"form-D1_amt",#N/A,FALSE,"FORM-D1"}</definedName>
    <definedName name="KAMAL_4_1" localSheetId="5" hidden="1">{"form-D1",#N/A,FALSE,"FORM-D1";"form-D1_amt",#N/A,FALSE,"FORM-D1"}</definedName>
    <definedName name="KAMAL_4_1" localSheetId="2" hidden="1">{"form-D1",#N/A,FALSE,"FORM-D1";"form-D1_amt",#N/A,FALSE,"FORM-D1"}</definedName>
    <definedName name="KAMAL_5" localSheetId="5" hidden="1">{"form-D1",#N/A,FALSE,"FORM-D1";"form-D1_amt",#N/A,FALSE,"FORM-D1"}</definedName>
    <definedName name="KAMAL_5" localSheetId="2" hidden="1">{"form-D1",#N/A,FALSE,"FORM-D1";"form-D1_amt",#N/A,FALSE,"FORM-D1"}</definedName>
    <definedName name="KAMAL_5_1" localSheetId="5" hidden="1">{"form-D1",#N/A,FALSE,"FORM-D1";"form-D1_amt",#N/A,FALSE,"FORM-D1"}</definedName>
    <definedName name="KAMAL_5_1" localSheetId="2" hidden="1">{"form-D1",#N/A,FALSE,"FORM-D1";"form-D1_amt",#N/A,FALSE,"FORM-D1"}</definedName>
    <definedName name="kaml" localSheetId="5" hidden="1">{"form-D1",#N/A,FALSE,"FORM-D1";"form-D1_amt",#N/A,FALSE,"FORM-D1"}</definedName>
    <definedName name="kaml" localSheetId="2" hidden="1">{"form-D1",#N/A,FALSE,"FORM-D1";"form-D1_amt",#N/A,FALSE,"FORM-D1"}</definedName>
    <definedName name="kaml_1" localSheetId="5" hidden="1">{"form-D1",#N/A,FALSE,"FORM-D1";"form-D1_amt",#N/A,FALSE,"FORM-D1"}</definedName>
    <definedName name="kaml_1" localSheetId="2" hidden="1">{"form-D1",#N/A,FALSE,"FORM-D1";"form-D1_amt",#N/A,FALSE,"FORM-D1"}</definedName>
    <definedName name="kaml_1_1" localSheetId="5" hidden="1">{"form-D1",#N/A,FALSE,"FORM-D1";"form-D1_amt",#N/A,FALSE,"FORM-D1"}</definedName>
    <definedName name="kaml_1_1" localSheetId="2" hidden="1">{"form-D1",#N/A,FALSE,"FORM-D1";"form-D1_amt",#N/A,FALSE,"FORM-D1"}</definedName>
    <definedName name="kaml_1_2" localSheetId="5" hidden="1">{"form-D1",#N/A,FALSE,"FORM-D1";"form-D1_amt",#N/A,FALSE,"FORM-D1"}</definedName>
    <definedName name="kaml_1_2" localSheetId="2" hidden="1">{"form-D1",#N/A,FALSE,"FORM-D1";"form-D1_amt",#N/A,FALSE,"FORM-D1"}</definedName>
    <definedName name="kaml_2" localSheetId="5" hidden="1">{"form-D1",#N/A,FALSE,"FORM-D1";"form-D1_amt",#N/A,FALSE,"FORM-D1"}</definedName>
    <definedName name="kaml_2" localSheetId="2" hidden="1">{"form-D1",#N/A,FALSE,"FORM-D1";"form-D1_amt",#N/A,FALSE,"FORM-D1"}</definedName>
    <definedName name="kaml_2_1" localSheetId="5" hidden="1">{"form-D1",#N/A,FALSE,"FORM-D1";"form-D1_amt",#N/A,FALSE,"FORM-D1"}</definedName>
    <definedName name="kaml_2_1" localSheetId="2" hidden="1">{"form-D1",#N/A,FALSE,"FORM-D1";"form-D1_amt",#N/A,FALSE,"FORM-D1"}</definedName>
    <definedName name="kaml_3" localSheetId="5" hidden="1">{"form-D1",#N/A,FALSE,"FORM-D1";"form-D1_amt",#N/A,FALSE,"FORM-D1"}</definedName>
    <definedName name="kaml_3" localSheetId="2" hidden="1">{"form-D1",#N/A,FALSE,"FORM-D1";"form-D1_amt",#N/A,FALSE,"FORM-D1"}</definedName>
    <definedName name="kaml_3_1" localSheetId="5" hidden="1">{"form-D1",#N/A,FALSE,"FORM-D1";"form-D1_amt",#N/A,FALSE,"FORM-D1"}</definedName>
    <definedName name="kaml_3_1" localSheetId="2" hidden="1">{"form-D1",#N/A,FALSE,"FORM-D1";"form-D1_amt",#N/A,FALSE,"FORM-D1"}</definedName>
    <definedName name="kaml_4" localSheetId="5" hidden="1">{"form-D1",#N/A,FALSE,"FORM-D1";"form-D1_amt",#N/A,FALSE,"FORM-D1"}</definedName>
    <definedName name="kaml_4" localSheetId="2" hidden="1">{"form-D1",#N/A,FALSE,"FORM-D1";"form-D1_amt",#N/A,FALSE,"FORM-D1"}</definedName>
    <definedName name="kaml_4_1" localSheetId="5" hidden="1">{"form-D1",#N/A,FALSE,"FORM-D1";"form-D1_amt",#N/A,FALSE,"FORM-D1"}</definedName>
    <definedName name="kaml_4_1" localSheetId="2" hidden="1">{"form-D1",#N/A,FALSE,"FORM-D1";"form-D1_amt",#N/A,FALSE,"FORM-D1"}</definedName>
    <definedName name="kaml_5" localSheetId="5" hidden="1">{"form-D1",#N/A,FALSE,"FORM-D1";"form-D1_amt",#N/A,FALSE,"FORM-D1"}</definedName>
    <definedName name="kaml_5" localSheetId="2" hidden="1">{"form-D1",#N/A,FALSE,"FORM-D1";"form-D1_amt",#N/A,FALSE,"FORM-D1"}</definedName>
    <definedName name="kaml_5_1" localSheetId="5" hidden="1">{"form-D1",#N/A,FALSE,"FORM-D1";"form-D1_amt",#N/A,FALSE,"FORM-D1"}</definedName>
    <definedName name="kaml_5_1" localSheetId="2" hidden="1">{"form-D1",#N/A,FALSE,"FORM-D1";"form-D1_amt",#N/A,FALSE,"FORM-D1"}</definedName>
    <definedName name="KARNA" localSheetId="7">#REF!</definedName>
    <definedName name="KARNA" localSheetId="1">#REF!</definedName>
    <definedName name="KARNA" localSheetId="3">#REF!</definedName>
    <definedName name="KARNA">#REF!</definedName>
    <definedName name="kb" localSheetId="7">#REF!</definedName>
    <definedName name="kb" localSheetId="1">#REF!</definedName>
    <definedName name="kb" localSheetId="3">#REF!</definedName>
    <definedName name="kb">#REF!</definedName>
    <definedName name="kc" localSheetId="7">#REF!</definedName>
    <definedName name="kc" localSheetId="1">#REF!</definedName>
    <definedName name="kc" localSheetId="3">#REF!</definedName>
    <definedName name="kc">#REF!</definedName>
    <definedName name="KERBMACHINE" localSheetId="7">#REF!</definedName>
    <definedName name="KERBMACHINE" localSheetId="1">#REF!</definedName>
    <definedName name="KERBMACHINE" localSheetId="3">#REF!</definedName>
    <definedName name="KERBMACHINE">#REF!</definedName>
    <definedName name="kfac11" localSheetId="7">#REF!</definedName>
    <definedName name="kfac11" localSheetId="1">#REF!</definedName>
    <definedName name="kfac11" localSheetId="3">#REF!</definedName>
    <definedName name="kfac11">#REF!</definedName>
    <definedName name="kfac22" localSheetId="7">#REF!</definedName>
    <definedName name="kfac22" localSheetId="1">#REF!</definedName>
    <definedName name="kfac22" localSheetId="3">#REF!</definedName>
    <definedName name="kfac22">#REF!</definedName>
    <definedName name="Kh" localSheetId="7">#REF!</definedName>
    <definedName name="Kh" localSheetId="1">#REF!</definedName>
    <definedName name="Kh" localSheetId="3">#REF!</definedName>
    <definedName name="Kh">#REF!</definedName>
    <definedName name="Kh___0" localSheetId="7">#REF!</definedName>
    <definedName name="Kh___0" localSheetId="1">#REF!</definedName>
    <definedName name="Kh___0" localSheetId="3">#REF!</definedName>
    <definedName name="Kh___0">#REF!</definedName>
    <definedName name="Kh___13" localSheetId="7">#REF!</definedName>
    <definedName name="Kh___13" localSheetId="1">#REF!</definedName>
    <definedName name="Kh___13" localSheetId="3">#REF!</definedName>
    <definedName name="Kh___13">#REF!</definedName>
    <definedName name="Ki" localSheetId="7">#REF!</definedName>
    <definedName name="Ki" localSheetId="1">#REF!</definedName>
    <definedName name="Ki" localSheetId="3">#REF!</definedName>
    <definedName name="Ki">#REF!</definedName>
    <definedName name="Ki___0" localSheetId="7">#REF!</definedName>
    <definedName name="Ki___0" localSheetId="1">#REF!</definedName>
    <definedName name="Ki___0" localSheetId="3">#REF!</definedName>
    <definedName name="Ki___0">#REF!</definedName>
    <definedName name="Ki___13" localSheetId="7">#REF!</definedName>
    <definedName name="Ki___13" localSheetId="1">#REF!</definedName>
    <definedName name="Ki___13" localSheetId="3">#REF!</definedName>
    <definedName name="Ki___13">#REF!</definedName>
    <definedName name="Ki1___0" localSheetId="7">#REF!</definedName>
    <definedName name="Ki1___0" localSheetId="1">#REF!</definedName>
    <definedName name="Ki1___0" localSheetId="3">#REF!</definedName>
    <definedName name="Ki1___0">#REF!</definedName>
    <definedName name="Ki1___13" localSheetId="7">#REF!</definedName>
    <definedName name="Ki1___13" localSheetId="1">#REF!</definedName>
    <definedName name="Ki1___13" localSheetId="3">#REF!</definedName>
    <definedName name="Ki1___13">#REF!</definedName>
    <definedName name="Ki2___0" localSheetId="7">#REF!</definedName>
    <definedName name="Ki2___0" localSheetId="1">#REF!</definedName>
    <definedName name="Ki2___0" localSheetId="3">#REF!</definedName>
    <definedName name="Ki2___0">#REF!</definedName>
    <definedName name="Ki2___13" localSheetId="7">#REF!</definedName>
    <definedName name="Ki2___13" localSheetId="1">#REF!</definedName>
    <definedName name="Ki2___13" localSheetId="3">#REF!</definedName>
    <definedName name="Ki2___13">#REF!</definedName>
    <definedName name="Kii" localSheetId="7">#REF!</definedName>
    <definedName name="Kii" localSheetId="1">#REF!</definedName>
    <definedName name="Kii" localSheetId="3">#REF!</definedName>
    <definedName name="Kii">#REF!</definedName>
    <definedName name="Kii___0" localSheetId="7">#REF!</definedName>
    <definedName name="Kii___0" localSheetId="1">#REF!</definedName>
    <definedName name="Kii___0" localSheetId="3">#REF!</definedName>
    <definedName name="Kii___0">#REF!</definedName>
    <definedName name="Kii___13" localSheetId="7">#REF!</definedName>
    <definedName name="Kii___13" localSheetId="1">#REF!</definedName>
    <definedName name="Kii___13" localSheetId="3">#REF!</definedName>
    <definedName name="Kii___13">#REF!</definedName>
    <definedName name="kk" localSheetId="7">#REF!</definedName>
    <definedName name="kk" localSheetId="1">#REF!</definedName>
    <definedName name="kk" localSheetId="3">#REF!</definedName>
    <definedName name="kk">#REF!</definedName>
    <definedName name="kkk" localSheetId="5" hidden="1">{#N/A,#N/A,FALSE,"COVER1.XLS ";#N/A,#N/A,FALSE,"RACT1.XLS";#N/A,#N/A,FALSE,"RACT2.XLS";#N/A,#N/A,FALSE,"ECCMP";#N/A,#N/A,FALSE,"WELDER.XLS"}</definedName>
    <definedName name="kkk" localSheetId="2" hidden="1">{#N/A,#N/A,FALSE,"COVER1.XLS ";#N/A,#N/A,FALSE,"RACT1.XLS";#N/A,#N/A,FALSE,"RACT2.XLS";#N/A,#N/A,FALSE,"ECCMP";#N/A,#N/A,FALSE,"WELDER.XLS"}</definedName>
    <definedName name="kkkkkkkkkkkkkk" localSheetId="7">#REF!</definedName>
    <definedName name="kkkkkkkkkkkkkk" localSheetId="1">#REF!</definedName>
    <definedName name="kkkkkkkkkkkkkk" localSheetId="3">#REF!</definedName>
    <definedName name="kkkkkkkkkkkkkk">#REF!</definedName>
    <definedName name="kkp" localSheetId="7">#REF!</definedName>
    <definedName name="kkp" localSheetId="1">#REF!</definedName>
    <definedName name="kkp" localSheetId="3">#REF!</definedName>
    <definedName name="kkp">#REF!</definedName>
    <definedName name="Km" localSheetId="7">#REF!</definedName>
    <definedName name="Km" localSheetId="1">#REF!</definedName>
    <definedName name="Km" localSheetId="3">#REF!</definedName>
    <definedName name="Km">#REF!</definedName>
    <definedName name="Km___0" localSheetId="7">#REF!</definedName>
    <definedName name="Km___0" localSheetId="1">#REF!</definedName>
    <definedName name="Km___0" localSheetId="3">#REF!</definedName>
    <definedName name="Km___0">#REF!</definedName>
    <definedName name="Km___13" localSheetId="7">#REF!</definedName>
    <definedName name="Km___13" localSheetId="1">#REF!</definedName>
    <definedName name="Km___13" localSheetId="3">#REF!</definedName>
    <definedName name="Km___13">#REF!</definedName>
    <definedName name="ko" localSheetId="7">#REF!</definedName>
    <definedName name="ko" localSheetId="1">#REF!</definedName>
    <definedName name="ko" localSheetId="3">#REF!</definedName>
    <definedName name="ko">#REF!</definedName>
    <definedName name="kris" localSheetId="7">#REF!</definedName>
    <definedName name="kris" localSheetId="1">#REF!</definedName>
    <definedName name="kris" localSheetId="3">#REF!</definedName>
    <definedName name="kris">#REF!</definedName>
    <definedName name="Ks" localSheetId="7">#REF!</definedName>
    <definedName name="Ks" localSheetId="1">#REF!</definedName>
    <definedName name="Ks" localSheetId="3">#REF!</definedName>
    <definedName name="Ks">#REF!</definedName>
    <definedName name="Ks___0" localSheetId="7">#REF!</definedName>
    <definedName name="Ks___0" localSheetId="1">#REF!</definedName>
    <definedName name="Ks___0" localSheetId="3">#REF!</definedName>
    <definedName name="Ks___0">#REF!</definedName>
    <definedName name="Ks___13" localSheetId="7">#REF!</definedName>
    <definedName name="Ks___13" localSheetId="1">#REF!</definedName>
    <definedName name="Ks___13" localSheetId="3">#REF!</definedName>
    <definedName name="Ks___13">#REF!</definedName>
    <definedName name="kskk" localSheetId="5" hidden="1">{#N/A,#N/A,FALSE,"COVER.XLS";#N/A,#N/A,FALSE,"RACT1.XLS";#N/A,#N/A,FALSE,"RACT2.XLS";#N/A,#N/A,FALSE,"ECCMP";#N/A,#N/A,FALSE,"WELDER.XLS"}</definedName>
    <definedName name="kskk" localSheetId="2" hidden="1">{#N/A,#N/A,FALSE,"COVER.XLS";#N/A,#N/A,FALSE,"RACT1.XLS";#N/A,#N/A,FALSE,"RACT2.XLS";#N/A,#N/A,FALSE,"ECCMP";#N/A,#N/A,FALSE,"WELDER.XLS"}</definedName>
    <definedName name="kvs" localSheetId="5" hidden="1">{#N/A,#N/A,FALSE,"COVER1.XLS ";#N/A,#N/A,FALSE,"RACT1.XLS";#N/A,#N/A,FALSE,"RACT2.XLS";#N/A,#N/A,FALSE,"ECCMP";#N/A,#N/A,FALSE,"WELDER.XLS"}</definedName>
    <definedName name="kvs" localSheetId="2" hidden="1">{#N/A,#N/A,FALSE,"COVER1.XLS ";#N/A,#N/A,FALSE,"RACT1.XLS";#N/A,#N/A,FALSE,"RACT2.XLS";#N/A,#N/A,FALSE,"ECCMP";#N/A,#N/A,FALSE,"WELDER.XLS"}</definedName>
    <definedName name="kxb" localSheetId="7">#REF!</definedName>
    <definedName name="kxb" localSheetId="1">#REF!</definedName>
    <definedName name="kxb" localSheetId="3">#REF!</definedName>
    <definedName name="kxb">#REF!</definedName>
    <definedName name="kxt" localSheetId="7">#REF!</definedName>
    <definedName name="kxt" localSheetId="1">#REF!</definedName>
    <definedName name="kxt" localSheetId="3">#REF!</definedName>
    <definedName name="kxt">#REF!</definedName>
    <definedName name="ky" localSheetId="7">#REF!</definedName>
    <definedName name="ky" localSheetId="1">#REF!</definedName>
    <definedName name="ky" localSheetId="3">#REF!</definedName>
    <definedName name="ky">#REF!</definedName>
    <definedName name="kyb" localSheetId="7">#REF!</definedName>
    <definedName name="kyb" localSheetId="1">#REF!</definedName>
    <definedName name="kyb" localSheetId="3">#REF!</definedName>
    <definedName name="kyb">#REF!</definedName>
    <definedName name="kyt" localSheetId="7">#REF!</definedName>
    <definedName name="kyt" localSheetId="1">#REF!</definedName>
    <definedName name="kyt" localSheetId="3">#REF!</definedName>
    <definedName name="kyt">#REF!</definedName>
    <definedName name="L" localSheetId="7">#REF!</definedName>
    <definedName name="L" localSheetId="1">#REF!</definedName>
    <definedName name="L" localSheetId="3">#REF!</definedName>
    <definedName name="L">#REF!</definedName>
    <definedName name="L.WALL" localSheetId="7">#REF!</definedName>
    <definedName name="L.WALL" localSheetId="1">#REF!</definedName>
    <definedName name="L.WALL" localSheetId="3">#REF!</definedName>
    <definedName name="L.WALL">#REF!</definedName>
    <definedName name="L___0" localSheetId="7">#REF!</definedName>
    <definedName name="L___0" localSheetId="1">#REF!</definedName>
    <definedName name="L___0" localSheetId="3">#REF!</definedName>
    <definedName name="L___0">#REF!</definedName>
    <definedName name="L___13" localSheetId="7">#REF!</definedName>
    <definedName name="L___13" localSheetId="1">#REF!</definedName>
    <definedName name="L___13" localSheetId="3">#REF!</definedName>
    <definedName name="L___13">#REF!</definedName>
    <definedName name="l_1" localSheetId="5" hidden="1">{"form-D1",#N/A,FALSE,"FORM-D1";"form-D1_amt",#N/A,FALSE,"FORM-D1"}</definedName>
    <definedName name="l_1" localSheetId="2" hidden="1">{"form-D1",#N/A,FALSE,"FORM-D1";"form-D1_amt",#N/A,FALSE,"FORM-D1"}</definedName>
    <definedName name="l_1_1" localSheetId="5" hidden="1">{"form-D1",#N/A,FALSE,"FORM-D1";"form-D1_amt",#N/A,FALSE,"FORM-D1"}</definedName>
    <definedName name="l_1_1" localSheetId="2" hidden="1">{"form-D1",#N/A,FALSE,"FORM-D1";"form-D1_amt",#N/A,FALSE,"FORM-D1"}</definedName>
    <definedName name="l_1_2" localSheetId="5" hidden="1">{"form-D1",#N/A,FALSE,"FORM-D1";"form-D1_amt",#N/A,FALSE,"FORM-D1"}</definedName>
    <definedName name="l_1_2" localSheetId="2" hidden="1">{"form-D1",#N/A,FALSE,"FORM-D1";"form-D1_amt",#N/A,FALSE,"FORM-D1"}</definedName>
    <definedName name="l_2" localSheetId="5" hidden="1">{"form-D1",#N/A,FALSE,"FORM-D1";"form-D1_amt",#N/A,FALSE,"FORM-D1"}</definedName>
    <definedName name="l_2" localSheetId="2" hidden="1">{"form-D1",#N/A,FALSE,"FORM-D1";"form-D1_amt",#N/A,FALSE,"FORM-D1"}</definedName>
    <definedName name="l_2_1" localSheetId="5" hidden="1">{"form-D1",#N/A,FALSE,"FORM-D1";"form-D1_amt",#N/A,FALSE,"FORM-D1"}</definedName>
    <definedName name="l_2_1" localSheetId="2" hidden="1">{"form-D1",#N/A,FALSE,"FORM-D1";"form-D1_amt",#N/A,FALSE,"FORM-D1"}</definedName>
    <definedName name="l_3" localSheetId="5" hidden="1">{"form-D1",#N/A,FALSE,"FORM-D1";"form-D1_amt",#N/A,FALSE,"FORM-D1"}</definedName>
    <definedName name="l_3" localSheetId="2" hidden="1">{"form-D1",#N/A,FALSE,"FORM-D1";"form-D1_amt",#N/A,FALSE,"FORM-D1"}</definedName>
    <definedName name="l_3_1" localSheetId="5" hidden="1">{"form-D1",#N/A,FALSE,"FORM-D1";"form-D1_amt",#N/A,FALSE,"FORM-D1"}</definedName>
    <definedName name="l_3_1" localSheetId="2" hidden="1">{"form-D1",#N/A,FALSE,"FORM-D1";"form-D1_amt",#N/A,FALSE,"FORM-D1"}</definedName>
    <definedName name="l_4" localSheetId="5" hidden="1">{"form-D1",#N/A,FALSE,"FORM-D1";"form-D1_amt",#N/A,FALSE,"FORM-D1"}</definedName>
    <definedName name="l_4" localSheetId="2" hidden="1">{"form-D1",#N/A,FALSE,"FORM-D1";"form-D1_amt",#N/A,FALSE,"FORM-D1"}</definedName>
    <definedName name="l_4_1" localSheetId="5" hidden="1">{"form-D1",#N/A,FALSE,"FORM-D1";"form-D1_amt",#N/A,FALSE,"FORM-D1"}</definedName>
    <definedName name="l_4_1" localSheetId="2" hidden="1">{"form-D1",#N/A,FALSE,"FORM-D1";"form-D1_amt",#N/A,FALSE,"FORM-D1"}</definedName>
    <definedName name="l_5" localSheetId="5" hidden="1">{"form-D1",#N/A,FALSE,"FORM-D1";"form-D1_amt",#N/A,FALSE,"FORM-D1"}</definedName>
    <definedName name="l_5" localSheetId="2" hidden="1">{"form-D1",#N/A,FALSE,"FORM-D1";"form-D1_amt",#N/A,FALSE,"FORM-D1"}</definedName>
    <definedName name="l_5_1" localSheetId="5" hidden="1">{"form-D1",#N/A,FALSE,"FORM-D1";"form-D1_amt",#N/A,FALSE,"FORM-D1"}</definedName>
    <definedName name="l_5_1" localSheetId="2" hidden="1">{"form-D1",#N/A,FALSE,"FORM-D1";"form-D1_amt",#N/A,FALSE,"FORM-D1"}</definedName>
    <definedName name="labor" localSheetId="7">#REF!</definedName>
    <definedName name="labor" localSheetId="1">#REF!</definedName>
    <definedName name="labor" localSheetId="3">#REF!</definedName>
    <definedName name="labor">#REF!</definedName>
    <definedName name="LABPOL" localSheetId="7">#REF!</definedName>
    <definedName name="LABPOL" localSheetId="1">#REF!</definedName>
    <definedName name="LABPOL" localSheetId="3">#REF!</definedName>
    <definedName name="LABPOL">#REF!</definedName>
    <definedName name="lakh_1">100000</definedName>
    <definedName name="lamda" localSheetId="7">#REF!</definedName>
    <definedName name="lamda" localSheetId="1">#REF!</definedName>
    <definedName name="lamda" localSheetId="3">#REF!</definedName>
    <definedName name="lamda">#REF!</definedName>
    <definedName name="LAMP" localSheetId="7">#REF!</definedName>
    <definedName name="LAMP" localSheetId="1">#REF!</definedName>
    <definedName name="LAMP" localSheetId="3">#REF!</definedName>
    <definedName name="LAMP">#REF!</definedName>
    <definedName name="LAMP___0" localSheetId="7">#REF!</definedName>
    <definedName name="LAMP___0" localSheetId="1">#REF!</definedName>
    <definedName name="LAMP___0" localSheetId="3">#REF!</definedName>
    <definedName name="LAMP___0">#REF!</definedName>
    <definedName name="LAMP___13" localSheetId="7">#REF!</definedName>
    <definedName name="LAMP___13" localSheetId="1">#REF!</definedName>
    <definedName name="LAMP___13" localSheetId="3">#REF!</definedName>
    <definedName name="LAMP___13">#REF!</definedName>
    <definedName name="Land_adv" localSheetId="7">#REF!</definedName>
    <definedName name="Land_adv" localSheetId="1">#REF!</definedName>
    <definedName name="Land_adv" localSheetId="3">#REF!</definedName>
    <definedName name="Land_adv">#REF!</definedName>
    <definedName name="Land_details" localSheetId="7">#REF!</definedName>
    <definedName name="Land_details" localSheetId="1">#REF!</definedName>
    <definedName name="Land_details" localSheetId="3">#REF!</definedName>
    <definedName name="Land_details">#REF!</definedName>
    <definedName name="landscape" localSheetId="7">#REF!</definedName>
    <definedName name="landscape" localSheetId="1">#REF!</definedName>
    <definedName name="landscape" localSheetId="3">#REF!</definedName>
    <definedName name="landscape">#REF!</definedName>
    <definedName name="Landscaping" localSheetId="7">#REF!</definedName>
    <definedName name="Landscaping" localSheetId="1">#REF!</definedName>
    <definedName name="Landscaping" localSheetId="3">#REF!</definedName>
    <definedName name="Landscaping">#REF!</definedName>
    <definedName name="landscpe" localSheetId="7">#REF!</definedName>
    <definedName name="landscpe" localSheetId="1">#REF!</definedName>
    <definedName name="landscpe" localSheetId="3">#REF!</definedName>
    <definedName name="landscpe">#REF!</definedName>
    <definedName name="Larsen___Toubro_Limited___ECC_Construction_Division" localSheetId="7">#REF!</definedName>
    <definedName name="Larsen___Toubro_Limited___ECC_Construction_Division" localSheetId="1">#REF!</definedName>
    <definedName name="Larsen___Toubro_Limited___ECC_Construction_Division" localSheetId="3">#REF!</definedName>
    <definedName name="Larsen___Toubro_Limited___ECC_Construction_Division">#REF!</definedName>
    <definedName name="last" localSheetId="7">#REF!</definedName>
    <definedName name="last" localSheetId="1">#REF!</definedName>
    <definedName name="last" localSheetId="3">#REF!</definedName>
    <definedName name="last">#REF!</definedName>
    <definedName name="Last_Row">#N/A</definedName>
    <definedName name="Lbt" localSheetId="7">#REF!</definedName>
    <definedName name="Lbt" localSheetId="1">#REF!</definedName>
    <definedName name="Lbt" localSheetId="3">#REF!</definedName>
    <definedName name="Lbt">#REF!</definedName>
    <definedName name="Lc" localSheetId="7">#REF!</definedName>
    <definedName name="Lc" localSheetId="1">#REF!</definedName>
    <definedName name="Lc" localSheetId="3">#REF!</definedName>
    <definedName name="Lc">#REF!</definedName>
    <definedName name="Lc___0" localSheetId="7">#REF!</definedName>
    <definedName name="Lc___0" localSheetId="1">#REF!</definedName>
    <definedName name="Lc___0" localSheetId="3">#REF!</definedName>
    <definedName name="Lc___0">#REF!</definedName>
    <definedName name="Lc___13" localSheetId="7">#REF!</definedName>
    <definedName name="Lc___13" localSheetId="1">#REF!</definedName>
    <definedName name="Lc___13" localSheetId="3">#REF!</definedName>
    <definedName name="Lc___13">#REF!</definedName>
    <definedName name="Lconc" localSheetId="7">#REF!</definedName>
    <definedName name="Lconc" localSheetId="1">#REF!</definedName>
    <definedName name="Lconc" localSheetId="3">#REF!</definedName>
    <definedName name="Lconc">#REF!</definedName>
    <definedName name="lcs" localSheetId="7">#REF!</definedName>
    <definedName name="lcs" localSheetId="1">#REF!</definedName>
    <definedName name="lcs" localSheetId="3">#REF!</definedName>
    <definedName name="lcs">#REF!</definedName>
    <definedName name="Lead" localSheetId="7">#REF!</definedName>
    <definedName name="Lead" localSheetId="1">#REF!</definedName>
    <definedName name="Lead" localSheetId="3">#REF!</definedName>
    <definedName name="Lead">#REF!</definedName>
    <definedName name="Learth" localSheetId="7">#REF!</definedName>
    <definedName name="Learth" localSheetId="1">#REF!</definedName>
    <definedName name="Learth" localSheetId="3">#REF!</definedName>
    <definedName name="Learth">#REF!</definedName>
    <definedName name="Lease" localSheetId="7">#REF!</definedName>
    <definedName name="Lease" localSheetId="1">#REF!</definedName>
    <definedName name="Lease" localSheetId="3">#REF!</definedName>
    <definedName name="Lease">#REF!</definedName>
    <definedName name="least" localSheetId="7">#REF!</definedName>
    <definedName name="least" localSheetId="1">#REF!</definedName>
    <definedName name="least" localSheetId="3">#REF!</definedName>
    <definedName name="least">#REF!</definedName>
    <definedName name="ledg" localSheetId="7">#REF!</definedName>
    <definedName name="ledg" localSheetId="1">#REF!</definedName>
    <definedName name="ledg" localSheetId="3">#REF!</definedName>
    <definedName name="ledg">#REF!</definedName>
    <definedName name="leela" localSheetId="7">#REF!</definedName>
    <definedName name="leela" localSheetId="1">#REF!</definedName>
    <definedName name="leela" localSheetId="3">#REF!</definedName>
    <definedName name="leela">#REF!</definedName>
    <definedName name="lef" localSheetId="7">#REF!</definedName>
    <definedName name="lef" localSheetId="1">#REF!</definedName>
    <definedName name="lef" localSheetId="3">#REF!</definedName>
    <definedName name="lef">#REF!</definedName>
    <definedName name="leff" localSheetId="7">#REF!</definedName>
    <definedName name="leff" localSheetId="1">#REF!</definedName>
    <definedName name="leff" localSheetId="3">#REF!</definedName>
    <definedName name="leff">#REF!</definedName>
    <definedName name="lel" localSheetId="7">#REF!</definedName>
    <definedName name="lel" localSheetId="1">#REF!</definedName>
    <definedName name="lel" localSheetId="3">#REF!</definedName>
    <definedName name="lel">#REF!</definedName>
    <definedName name="len" localSheetId="7">#REF!</definedName>
    <definedName name="len" localSheetId="1">#REF!</definedName>
    <definedName name="len" localSheetId="3">#REF!</definedName>
    <definedName name="len">#REF!</definedName>
    <definedName name="lex" localSheetId="7">#REF!</definedName>
    <definedName name="lex" localSheetId="1">#REF!</definedName>
    <definedName name="lex" localSheetId="3">#REF!</definedName>
    <definedName name="lex">#REF!</definedName>
    <definedName name="ley" localSheetId="7">#REF!</definedName>
    <definedName name="ley" localSheetId="1">#REF!</definedName>
    <definedName name="ley" localSheetId="3">#REF!</definedName>
    <definedName name="ley">#REF!</definedName>
    <definedName name="LF" localSheetId="7">#REF!</definedName>
    <definedName name="LF" localSheetId="1">#REF!</definedName>
    <definedName name="LF" localSheetId="3">#REF!</definedName>
    <definedName name="LF">#REF!</definedName>
    <definedName name="LG" localSheetId="7">#REF!</definedName>
    <definedName name="LG" localSheetId="1">#REF!</definedName>
    <definedName name="LG" localSheetId="3">#REF!</definedName>
    <definedName name="LG">#REF!</definedName>
    <definedName name="Lgsb" localSheetId="7">#REF!</definedName>
    <definedName name="Lgsb" localSheetId="1">#REF!</definedName>
    <definedName name="Lgsb" localSheetId="3">#REF!</definedName>
    <definedName name="Lgsb">#REF!</definedName>
    <definedName name="li" localSheetId="7">#REF!</definedName>
    <definedName name="li" localSheetId="1">#REF!</definedName>
    <definedName name="li" localSheetId="3">#REF!</definedName>
    <definedName name="li">#REF!</definedName>
    <definedName name="LIB" localSheetId="7">#REF!</definedName>
    <definedName name="LIB" localSheetId="1">#REF!</definedName>
    <definedName name="LIB" localSheetId="3">#REF!</definedName>
    <definedName name="LIB">#REF!</definedName>
    <definedName name="library" localSheetId="7">#REF!</definedName>
    <definedName name="library" localSheetId="1">#REF!</definedName>
    <definedName name="library" localSheetId="3">#REF!</definedName>
    <definedName name="library">#REF!</definedName>
    <definedName name="lifeGoodwill" localSheetId="7">#REF!</definedName>
    <definedName name="lifeGoodwill" localSheetId="1">#REF!</definedName>
    <definedName name="lifeGoodwill" localSheetId="3">#REF!</definedName>
    <definedName name="lifeGoodwill">#REF!</definedName>
    <definedName name="light" localSheetId="7">#REF!</definedName>
    <definedName name="light" localSheetId="1">#REF!</definedName>
    <definedName name="light" localSheetId="3">#REF!</definedName>
    <definedName name="light">#REF!</definedName>
    <definedName name="limcount" hidden="1">1</definedName>
    <definedName name="LIST" localSheetId="7">#REF!</definedName>
    <definedName name="LIST" localSheetId="1">#REF!</definedName>
    <definedName name="LIST" localSheetId="3">#REF!</definedName>
    <definedName name="LIST">#REF!</definedName>
    <definedName name="lk" localSheetId="7">#REF!</definedName>
    <definedName name="lk" localSheetId="1">#REF!</definedName>
    <definedName name="lk" localSheetId="3">#REF!</definedName>
    <definedName name="lk">#REF!</definedName>
    <definedName name="lkjdhflksf" localSheetId="7">#REF!</definedName>
    <definedName name="lkjdhflksf" localSheetId="1">#REF!</definedName>
    <definedName name="lkjdhflksf" localSheetId="3">#REF!</definedName>
    <definedName name="lkjdhflksf">#REF!</definedName>
    <definedName name="LLCR" localSheetId="7">#REF!</definedName>
    <definedName name="LLCR" localSheetId="1">#REF!</definedName>
    <definedName name="LLCR" localSheetId="3">#REF!</definedName>
    <definedName name="LLCR">#REF!</definedName>
    <definedName name="lll"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m" localSheetId="7">#REF!</definedName>
    <definedName name="lm" localSheetId="1">#REF!</definedName>
    <definedName name="lm" localSheetId="3">#REF!</definedName>
    <definedName name="lm">#REF!</definedName>
    <definedName name="LnsAdvncs" localSheetId="7">#REF!</definedName>
    <definedName name="LnsAdvncs" localSheetId="1">#REF!</definedName>
    <definedName name="LnsAdvncs" localSheetId="3">#REF!</definedName>
    <definedName name="LnsAdvncs">#REF!</definedName>
    <definedName name="LnsAdvncs_I" localSheetId="7">#REF!</definedName>
    <definedName name="LnsAdvncs_I" localSheetId="1">#REF!</definedName>
    <definedName name="LnsAdvncs_I" localSheetId="3">#REF!</definedName>
    <definedName name="LnsAdvncs_I">#REF!</definedName>
    <definedName name="Loan_Amount" localSheetId="7">#REF!</definedName>
    <definedName name="Loan_Amount" localSheetId="1">#REF!</definedName>
    <definedName name="Loan_Amount" localSheetId="3">#REF!</definedName>
    <definedName name="Loan_Amount">#REF!</definedName>
    <definedName name="Loan_Start" localSheetId="7">#REF!</definedName>
    <definedName name="Loan_Start" localSheetId="1">#REF!</definedName>
    <definedName name="Loan_Start" localSheetId="3">#REF!</definedName>
    <definedName name="Loan_Start">#REF!</definedName>
    <definedName name="Loan_Years" localSheetId="7">#REF!</definedName>
    <definedName name="Loan_Years" localSheetId="1">#REF!</definedName>
    <definedName name="Loan_Years" localSheetId="3">#REF!</definedName>
    <definedName name="Loan_Years">#REF!</definedName>
    <definedName name="loans_adv" localSheetId="7">#REF!</definedName>
    <definedName name="loans_adv" localSheetId="1">#REF!</definedName>
    <definedName name="loans_adv" localSheetId="3">#REF!</definedName>
    <definedName name="loans_adv">#REF!</definedName>
    <definedName name="Lobby" localSheetId="7">#REF!</definedName>
    <definedName name="Lobby" localSheetId="1">#REF!</definedName>
    <definedName name="Lobby" localSheetId="3">#REF!</definedName>
    <definedName name="Lobby">#REF!</definedName>
    <definedName name="LOCAL_STAFF" localSheetId="7">#REF!</definedName>
    <definedName name="LOCAL_STAFF" localSheetId="1">#REF!</definedName>
    <definedName name="LOCAL_STAFF" localSheetId="3">#REF!</definedName>
    <definedName name="LOCAL_STAFF">#REF!</definedName>
    <definedName name="LOCAL_STAFF_ENTRY" localSheetId="7">#REF!</definedName>
    <definedName name="LOCAL_STAFF_ENTRY" localSheetId="1">#REF!</definedName>
    <definedName name="LOCAL_STAFF_ENTRY" localSheetId="3">#REF!</definedName>
    <definedName name="LOCAL_STAFF_ENTRY">#REF!</definedName>
    <definedName name="Location" localSheetId="5">#N/A</definedName>
    <definedName name="Location" localSheetId="2">#N/A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go1">"Picture 7"</definedName>
    <definedName name="longdia" localSheetId="7">#REF!</definedName>
    <definedName name="longdia" localSheetId="1">#REF!</definedName>
    <definedName name="longdia" localSheetId="3">#REF!</definedName>
    <definedName name="longdia">#REF!</definedName>
    <definedName name="look" localSheetId="7">#REF!</definedName>
    <definedName name="look" localSheetId="1">#REF!</definedName>
    <definedName name="look" localSheetId="3">#REF!</definedName>
    <definedName name="look">#REF!</definedName>
    <definedName name="LOP" localSheetId="5" hidden="1">{#N/A,#N/A,TRUE,"Front";#N/A,#N/A,TRUE,"Simple Letter";#N/A,#N/A,TRUE,"Inside";#N/A,#N/A,TRUE,"Contents";#N/A,#N/A,TRUE,"Basis";#N/A,#N/A,TRUE,"Inclusions";#N/A,#N/A,TRUE,"Exclusions";#N/A,#N/A,TRUE,"Areas";#N/A,#N/A,TRUE,"Summary";#N/A,#N/A,TRUE,"Detail"}</definedName>
    <definedName name="LOP" localSheetId="2" hidden="1">{#N/A,#N/A,TRUE,"Front";#N/A,#N/A,TRUE,"Simple Letter";#N/A,#N/A,TRUE,"Inside";#N/A,#N/A,TRUE,"Contents";#N/A,#N/A,TRUE,"Basis";#N/A,#N/A,TRUE,"Inclusions";#N/A,#N/A,TRUE,"Exclusions";#N/A,#N/A,TRUE,"Areas";#N/A,#N/A,TRUE,"Summary";#N/A,#N/A,TRUE,"Detail"}</definedName>
    <definedName name="LOP_1" localSheetId="5" hidden="1">{#N/A,#N/A,TRUE,"Front";#N/A,#N/A,TRUE,"Simple Letter";#N/A,#N/A,TRUE,"Inside";#N/A,#N/A,TRUE,"Contents";#N/A,#N/A,TRUE,"Basis";#N/A,#N/A,TRUE,"Inclusions";#N/A,#N/A,TRUE,"Exclusions";#N/A,#N/A,TRUE,"Areas";#N/A,#N/A,TRUE,"Summary";#N/A,#N/A,TRUE,"Detail"}</definedName>
    <definedName name="LOP_1" localSheetId="2" hidden="1">{#N/A,#N/A,TRUE,"Front";#N/A,#N/A,TRUE,"Simple Letter";#N/A,#N/A,TRUE,"Inside";#N/A,#N/A,TRUE,"Contents";#N/A,#N/A,TRUE,"Basis";#N/A,#N/A,TRUE,"Inclusions";#N/A,#N/A,TRUE,"Exclusions";#N/A,#N/A,TRUE,"Areas";#N/A,#N/A,TRUE,"Summary";#N/A,#N/A,TRUE,"Detail"}</definedName>
    <definedName name="LOP_1_1" localSheetId="5" hidden="1">{#N/A,#N/A,TRUE,"Front";#N/A,#N/A,TRUE,"Simple Letter";#N/A,#N/A,TRUE,"Inside";#N/A,#N/A,TRUE,"Contents";#N/A,#N/A,TRUE,"Basis";#N/A,#N/A,TRUE,"Inclusions";#N/A,#N/A,TRUE,"Exclusions";#N/A,#N/A,TRUE,"Areas";#N/A,#N/A,TRUE,"Summary";#N/A,#N/A,TRUE,"Detail"}</definedName>
    <definedName name="LOP_1_1" localSheetId="2" hidden="1">{#N/A,#N/A,TRUE,"Front";#N/A,#N/A,TRUE,"Simple Letter";#N/A,#N/A,TRUE,"Inside";#N/A,#N/A,TRUE,"Contents";#N/A,#N/A,TRUE,"Basis";#N/A,#N/A,TRUE,"Inclusions";#N/A,#N/A,TRUE,"Exclusions";#N/A,#N/A,TRUE,"Areas";#N/A,#N/A,TRUE,"Summary";#N/A,#N/A,TRUE,"Detail"}</definedName>
    <definedName name="LOP_1_2" localSheetId="5" hidden="1">{#N/A,#N/A,TRUE,"Front";#N/A,#N/A,TRUE,"Simple Letter";#N/A,#N/A,TRUE,"Inside";#N/A,#N/A,TRUE,"Contents";#N/A,#N/A,TRUE,"Basis";#N/A,#N/A,TRUE,"Inclusions";#N/A,#N/A,TRUE,"Exclusions";#N/A,#N/A,TRUE,"Areas";#N/A,#N/A,TRUE,"Summary";#N/A,#N/A,TRUE,"Detail"}</definedName>
    <definedName name="LOP_1_2" localSheetId="2" hidden="1">{#N/A,#N/A,TRUE,"Front";#N/A,#N/A,TRUE,"Simple Letter";#N/A,#N/A,TRUE,"Inside";#N/A,#N/A,TRUE,"Contents";#N/A,#N/A,TRUE,"Basis";#N/A,#N/A,TRUE,"Inclusions";#N/A,#N/A,TRUE,"Exclusions";#N/A,#N/A,TRUE,"Areas";#N/A,#N/A,TRUE,"Summary";#N/A,#N/A,TRUE,"Detail"}</definedName>
    <definedName name="LOP_2" localSheetId="5" hidden="1">{#N/A,#N/A,TRUE,"Front";#N/A,#N/A,TRUE,"Simple Letter";#N/A,#N/A,TRUE,"Inside";#N/A,#N/A,TRUE,"Contents";#N/A,#N/A,TRUE,"Basis";#N/A,#N/A,TRUE,"Inclusions";#N/A,#N/A,TRUE,"Exclusions";#N/A,#N/A,TRUE,"Areas";#N/A,#N/A,TRUE,"Summary";#N/A,#N/A,TRUE,"Detail"}</definedName>
    <definedName name="LOP_2" localSheetId="2" hidden="1">{#N/A,#N/A,TRUE,"Front";#N/A,#N/A,TRUE,"Simple Letter";#N/A,#N/A,TRUE,"Inside";#N/A,#N/A,TRUE,"Contents";#N/A,#N/A,TRUE,"Basis";#N/A,#N/A,TRUE,"Inclusions";#N/A,#N/A,TRUE,"Exclusions";#N/A,#N/A,TRUE,"Areas";#N/A,#N/A,TRUE,"Summary";#N/A,#N/A,TRUE,"Detail"}</definedName>
    <definedName name="LOP_2_1" localSheetId="5" hidden="1">{#N/A,#N/A,TRUE,"Front";#N/A,#N/A,TRUE,"Simple Letter";#N/A,#N/A,TRUE,"Inside";#N/A,#N/A,TRUE,"Contents";#N/A,#N/A,TRUE,"Basis";#N/A,#N/A,TRUE,"Inclusions";#N/A,#N/A,TRUE,"Exclusions";#N/A,#N/A,TRUE,"Areas";#N/A,#N/A,TRUE,"Summary";#N/A,#N/A,TRUE,"Detail"}</definedName>
    <definedName name="LOP_2_1" localSheetId="2" hidden="1">{#N/A,#N/A,TRUE,"Front";#N/A,#N/A,TRUE,"Simple Letter";#N/A,#N/A,TRUE,"Inside";#N/A,#N/A,TRUE,"Contents";#N/A,#N/A,TRUE,"Basis";#N/A,#N/A,TRUE,"Inclusions";#N/A,#N/A,TRUE,"Exclusions";#N/A,#N/A,TRUE,"Areas";#N/A,#N/A,TRUE,"Summary";#N/A,#N/A,TRUE,"Detail"}</definedName>
    <definedName name="LOP_3" localSheetId="5" hidden="1">{#N/A,#N/A,TRUE,"Front";#N/A,#N/A,TRUE,"Simple Letter";#N/A,#N/A,TRUE,"Inside";#N/A,#N/A,TRUE,"Contents";#N/A,#N/A,TRUE,"Basis";#N/A,#N/A,TRUE,"Inclusions";#N/A,#N/A,TRUE,"Exclusions";#N/A,#N/A,TRUE,"Areas";#N/A,#N/A,TRUE,"Summary";#N/A,#N/A,TRUE,"Detail"}</definedName>
    <definedName name="LOP_3" localSheetId="2" hidden="1">{#N/A,#N/A,TRUE,"Front";#N/A,#N/A,TRUE,"Simple Letter";#N/A,#N/A,TRUE,"Inside";#N/A,#N/A,TRUE,"Contents";#N/A,#N/A,TRUE,"Basis";#N/A,#N/A,TRUE,"Inclusions";#N/A,#N/A,TRUE,"Exclusions";#N/A,#N/A,TRUE,"Areas";#N/A,#N/A,TRUE,"Summary";#N/A,#N/A,TRUE,"Detail"}</definedName>
    <definedName name="LOP_4" localSheetId="5" hidden="1">{#N/A,#N/A,TRUE,"Front";#N/A,#N/A,TRUE,"Simple Letter";#N/A,#N/A,TRUE,"Inside";#N/A,#N/A,TRUE,"Contents";#N/A,#N/A,TRUE,"Basis";#N/A,#N/A,TRUE,"Inclusions";#N/A,#N/A,TRUE,"Exclusions";#N/A,#N/A,TRUE,"Areas";#N/A,#N/A,TRUE,"Summary";#N/A,#N/A,TRUE,"Detail"}</definedName>
    <definedName name="LOP_4" localSheetId="2" hidden="1">{#N/A,#N/A,TRUE,"Front";#N/A,#N/A,TRUE,"Simple Letter";#N/A,#N/A,TRUE,"Inside";#N/A,#N/A,TRUE,"Contents";#N/A,#N/A,TRUE,"Basis";#N/A,#N/A,TRUE,"Inclusions";#N/A,#N/A,TRUE,"Exclusions";#N/A,#N/A,TRUE,"Areas";#N/A,#N/A,TRUE,"Summary";#N/A,#N/A,TRUE,"Detail"}</definedName>
    <definedName name="Lr" localSheetId="7">#REF!</definedName>
    <definedName name="Lr" localSheetId="1">#REF!</definedName>
    <definedName name="Lr" localSheetId="3">#REF!</definedName>
    <definedName name="Lr">#REF!</definedName>
    <definedName name="Lr___0" localSheetId="7">#REF!</definedName>
    <definedName name="Lr___0" localSheetId="1">#REF!</definedName>
    <definedName name="Lr___0" localSheetId="3">#REF!</definedName>
    <definedName name="Lr___0">#REF!</definedName>
    <definedName name="Lr___13" localSheetId="7">#REF!</definedName>
    <definedName name="Lr___13" localSheetId="1">#REF!</definedName>
    <definedName name="Lr___13" localSheetId="3">#REF!</definedName>
    <definedName name="Lr___13">#REF!</definedName>
    <definedName name="Lroad" localSheetId="7">#REF!</definedName>
    <definedName name="Lroad" localSheetId="1">#REF!</definedName>
    <definedName name="Lroad" localSheetId="3">#REF!</definedName>
    <definedName name="Lroad">#REF!</definedName>
    <definedName name="ls" localSheetId="7">#REF!</definedName>
    <definedName name="ls" localSheetId="1">#REF!</definedName>
    <definedName name="ls" localSheetId="3">#REF!</definedName>
    <definedName name="ls">#REF!</definedName>
    <definedName name="Lsand" localSheetId="7">#REF!</definedName>
    <definedName name="Lsand" localSheetId="1">#REF!</definedName>
    <definedName name="Lsand" localSheetId="3">#REF!</definedName>
    <definedName name="Lsand">#REF!</definedName>
    <definedName name="lsec" localSheetId="7">#REF!</definedName>
    <definedName name="lsec" localSheetId="1">#REF!</definedName>
    <definedName name="lsec" localSheetId="3">#REF!</definedName>
    <definedName name="lsec">#REF!</definedName>
    <definedName name="Lsec1" localSheetId="7">#REF!</definedName>
    <definedName name="Lsec1" localSheetId="1">#REF!</definedName>
    <definedName name="Lsec1" localSheetId="3">#REF!</definedName>
    <definedName name="Lsec1">#REF!</definedName>
    <definedName name="lsec12" localSheetId="7">#REF!</definedName>
    <definedName name="lsec12" localSheetId="1">#REF!</definedName>
    <definedName name="lsec12" localSheetId="3">#REF!</definedName>
    <definedName name="lsec12">#REF!</definedName>
    <definedName name="LSEC13" localSheetId="7">#REF!</definedName>
    <definedName name="LSEC13" localSheetId="1">#REF!</definedName>
    <definedName name="LSEC13" localSheetId="3">#REF!</definedName>
    <definedName name="LSEC13">#REF!</definedName>
    <definedName name="Lsec2" localSheetId="7">#REF!</definedName>
    <definedName name="Lsec2" localSheetId="1">#REF!</definedName>
    <definedName name="Lsec2" localSheetId="3">#REF!</definedName>
    <definedName name="Lsec2">#REF!</definedName>
    <definedName name="lsec22" localSheetId="7">#REF!</definedName>
    <definedName name="lsec22" localSheetId="1">#REF!</definedName>
    <definedName name="lsec22" localSheetId="3">#REF!</definedName>
    <definedName name="lsec22">#REF!</definedName>
    <definedName name="LSEC23" localSheetId="7">#REF!</definedName>
    <definedName name="LSEC23" localSheetId="1">#REF!</definedName>
    <definedName name="LSEC23" localSheetId="3">#REF!</definedName>
    <definedName name="LSEC23">#REF!</definedName>
    <definedName name="Lsec3" localSheetId="7">#REF!</definedName>
    <definedName name="Lsec3" localSheetId="1">#REF!</definedName>
    <definedName name="Lsec3" localSheetId="3">#REF!</definedName>
    <definedName name="Lsec3">#REF!</definedName>
    <definedName name="LSEC31" localSheetId="7">#REF!</definedName>
    <definedName name="LSEC31" localSheetId="1">#REF!</definedName>
    <definedName name="LSEC31" localSheetId="3">#REF!</definedName>
    <definedName name="LSEC31">#REF!</definedName>
    <definedName name="lsec33" localSheetId="7">#REF!</definedName>
    <definedName name="lsec33" localSheetId="1">#REF!</definedName>
    <definedName name="lsec33" localSheetId="3">#REF!</definedName>
    <definedName name="lsec33">#REF!</definedName>
    <definedName name="Lsec4" localSheetId="7">#REF!</definedName>
    <definedName name="Lsec4" localSheetId="1">#REF!</definedName>
    <definedName name="Lsec4" localSheetId="3">#REF!</definedName>
    <definedName name="Lsec4">#REF!</definedName>
    <definedName name="LSEC45" localSheetId="7">#REF!</definedName>
    <definedName name="LSEC45" localSheetId="1">#REF!</definedName>
    <definedName name="LSEC45" localSheetId="3">#REF!</definedName>
    <definedName name="LSEC45">#REF!</definedName>
    <definedName name="Lsec5" localSheetId="7">#REF!</definedName>
    <definedName name="Lsec5" localSheetId="1">#REF!</definedName>
    <definedName name="Lsec5" localSheetId="3">#REF!</definedName>
    <definedName name="Lsec5">#REF!</definedName>
    <definedName name="LSEC54" localSheetId="7">#REF!</definedName>
    <definedName name="LSEC54" localSheetId="1">#REF!</definedName>
    <definedName name="LSEC54" localSheetId="3">#REF!</definedName>
    <definedName name="LSEC54">#REF!</definedName>
    <definedName name="lsec55" localSheetId="7">#REF!</definedName>
    <definedName name="lsec55" localSheetId="1">#REF!</definedName>
    <definedName name="lsec55" localSheetId="3">#REF!</definedName>
    <definedName name="lsec55">#REF!</definedName>
    <definedName name="Lsec6" localSheetId="7">#REF!</definedName>
    <definedName name="Lsec6" localSheetId="1">#REF!</definedName>
    <definedName name="Lsec6" localSheetId="3">#REF!</definedName>
    <definedName name="Lsec6">#REF!</definedName>
    <definedName name="lsec66" localSheetId="7">#REF!</definedName>
    <definedName name="lsec66" localSheetId="1">#REF!</definedName>
    <definedName name="lsec66" localSheetId="3">#REF!</definedName>
    <definedName name="lsec66">#REF!</definedName>
    <definedName name="LSEC67" localSheetId="7">#REF!</definedName>
    <definedName name="LSEC67" localSheetId="1">#REF!</definedName>
    <definedName name="LSEC67" localSheetId="3">#REF!</definedName>
    <definedName name="LSEC67">#REF!</definedName>
    <definedName name="lsec7" localSheetId="7">#REF!</definedName>
    <definedName name="lsec7" localSheetId="1">#REF!</definedName>
    <definedName name="lsec7" localSheetId="3">#REF!</definedName>
    <definedName name="lsec7">#REF!</definedName>
    <definedName name="lsec77" localSheetId="7">#REF!</definedName>
    <definedName name="lsec77" localSheetId="1">#REF!</definedName>
    <definedName name="lsec77" localSheetId="3">#REF!</definedName>
    <definedName name="lsec77">#REF!</definedName>
    <definedName name="lso" localSheetId="7">#REF!</definedName>
    <definedName name="lso" localSheetId="1">#REF!</definedName>
    <definedName name="lso" localSheetId="3">#REF!</definedName>
    <definedName name="lso">#REF!</definedName>
    <definedName name="LUMEN" localSheetId="7">#REF!</definedName>
    <definedName name="LUMEN" localSheetId="1">#REF!</definedName>
    <definedName name="LUMEN" localSheetId="3">#REF!</definedName>
    <definedName name="LUMEN">#REF!</definedName>
    <definedName name="LUMEN___0" localSheetId="7">#REF!</definedName>
    <definedName name="LUMEN___0" localSheetId="1">#REF!</definedName>
    <definedName name="LUMEN___0" localSheetId="3">#REF!</definedName>
    <definedName name="LUMEN___0">#REF!</definedName>
    <definedName name="LUMEN___13" localSheetId="7">#REF!</definedName>
    <definedName name="LUMEN___13" localSheetId="1">#REF!</definedName>
    <definedName name="LUMEN___13" localSheetId="3">#REF!</definedName>
    <definedName name="LUMEN___13">#REF!</definedName>
    <definedName name="LUX" localSheetId="7">#REF!</definedName>
    <definedName name="LUX" localSheetId="1">#REF!</definedName>
    <definedName name="LUX" localSheetId="3">#REF!</definedName>
    <definedName name="LUX">#REF!</definedName>
    <definedName name="LUX___0" localSheetId="7">#REF!</definedName>
    <definedName name="LUX___0" localSheetId="1">#REF!</definedName>
    <definedName name="LUX___0" localSheetId="3">#REF!</definedName>
    <definedName name="LUX___0">#REF!</definedName>
    <definedName name="LUX___13" localSheetId="7">#REF!</definedName>
    <definedName name="LUX___13" localSheetId="1">#REF!</definedName>
    <definedName name="LUX___13" localSheetId="3">#REF!</definedName>
    <definedName name="LUX___13">#REF!</definedName>
    <definedName name="Lwmm" localSheetId="7">#REF!</definedName>
    <definedName name="Lwmm" localSheetId="1">#REF!</definedName>
    <definedName name="Lwmm" localSheetId="3">#REF!</definedName>
    <definedName name="Lwmm">#REF!</definedName>
    <definedName name="Lx" localSheetId="7">#REF!</definedName>
    <definedName name="Lx" localSheetId="1">#REF!</definedName>
    <definedName name="Lx" localSheetId="3">#REF!</definedName>
    <definedName name="Lx">#REF!</definedName>
    <definedName name="Lx___0" localSheetId="7">#REF!</definedName>
    <definedName name="Lx___0" localSheetId="1">#REF!</definedName>
    <definedName name="Lx___0" localSheetId="3">#REF!</definedName>
    <definedName name="Lx___0">#REF!</definedName>
    <definedName name="Lx___13" localSheetId="7">#REF!</definedName>
    <definedName name="Lx___13" localSheetId="1">#REF!</definedName>
    <definedName name="Lx___13" localSheetId="3">#REF!</definedName>
    <definedName name="Lx___13">#REF!</definedName>
    <definedName name="m" localSheetId="7">#REF!</definedName>
    <definedName name="m" localSheetId="1">#REF!</definedName>
    <definedName name="m" localSheetId="3">#REF!</definedName>
    <definedName name="m">#REF!</definedName>
    <definedName name="m___0" localSheetId="7">#REF!</definedName>
    <definedName name="m___0" localSheetId="1">#REF!</definedName>
    <definedName name="m___0" localSheetId="3">#REF!</definedName>
    <definedName name="m___0">#REF!</definedName>
    <definedName name="m___13" localSheetId="7">#REF!</definedName>
    <definedName name="m___13" localSheetId="1">#REF!</definedName>
    <definedName name="m___13" localSheetId="3">#REF!</definedName>
    <definedName name="m___13">#REF!</definedName>
    <definedName name="M_01" localSheetId="7">#REF!</definedName>
    <definedName name="M_01" localSheetId="1">#REF!</definedName>
    <definedName name="M_01" localSheetId="3">#REF!</definedName>
    <definedName name="M_01">#REF!</definedName>
    <definedName name="M10cement" localSheetId="7">#REF!</definedName>
    <definedName name="M10cement" localSheetId="1">#REF!</definedName>
    <definedName name="M10cement" localSheetId="3">#REF!</definedName>
    <definedName name="M10cement">#REF!</definedName>
    <definedName name="M15_Cement" localSheetId="7">#REF!</definedName>
    <definedName name="M15_Cement" localSheetId="1">#REF!</definedName>
    <definedName name="M15_Cement" localSheetId="3">#REF!</definedName>
    <definedName name="M15_Cement">#REF!</definedName>
    <definedName name="M15_Metal20mm" localSheetId="7">#REF!</definedName>
    <definedName name="M15_Metal20mm" localSheetId="1">#REF!</definedName>
    <definedName name="M15_Metal20mm" localSheetId="3">#REF!</definedName>
    <definedName name="M15_Metal20mm">#REF!</definedName>
    <definedName name="M15_Sand" localSheetId="7">#REF!</definedName>
    <definedName name="M15_Sand" localSheetId="1">#REF!</definedName>
    <definedName name="M15_Sand" localSheetId="3">#REF!</definedName>
    <definedName name="M15_Sand">#REF!</definedName>
    <definedName name="M15cement" localSheetId="7">#REF!</definedName>
    <definedName name="M15cement" localSheetId="1">#REF!</definedName>
    <definedName name="M15cement" localSheetId="3">#REF!</definedName>
    <definedName name="M15cement">#REF!</definedName>
    <definedName name="M20_cement" localSheetId="7">#REF!</definedName>
    <definedName name="M20_cement" localSheetId="1">#REF!</definedName>
    <definedName name="M20_cement" localSheetId="3">#REF!</definedName>
    <definedName name="M20_cement">#REF!</definedName>
    <definedName name="M20_Metal20mm" localSheetId="7">#REF!</definedName>
    <definedName name="M20_Metal20mm" localSheetId="1">#REF!</definedName>
    <definedName name="M20_Metal20mm" localSheetId="3">#REF!</definedName>
    <definedName name="M20_Metal20mm">#REF!</definedName>
    <definedName name="M20_sand" localSheetId="7">#REF!</definedName>
    <definedName name="M20_sand" localSheetId="1">#REF!</definedName>
    <definedName name="M20_sand" localSheetId="3">#REF!</definedName>
    <definedName name="M20_sand">#REF!</definedName>
    <definedName name="M20PCCcement" localSheetId="7">#REF!</definedName>
    <definedName name="M20PCCcement" localSheetId="1">#REF!</definedName>
    <definedName name="M20PCCcement" localSheetId="3">#REF!</definedName>
    <definedName name="M20PCCcement">#REF!</definedName>
    <definedName name="M20RCCcement" localSheetId="7">#REF!</definedName>
    <definedName name="M20RCCcement" localSheetId="1">#REF!</definedName>
    <definedName name="M20RCCcement" localSheetId="3">#REF!</definedName>
    <definedName name="M20RCCcement">#REF!</definedName>
    <definedName name="M25_cement" localSheetId="7">#REF!</definedName>
    <definedName name="M25_cement" localSheetId="1">#REF!</definedName>
    <definedName name="M25_cement" localSheetId="3">#REF!</definedName>
    <definedName name="M25_cement">#REF!</definedName>
    <definedName name="M25_Metal20mm" localSheetId="7">#REF!</definedName>
    <definedName name="M25_Metal20mm" localSheetId="1">#REF!</definedName>
    <definedName name="M25_Metal20mm" localSheetId="3">#REF!</definedName>
    <definedName name="M25_Metal20mm">#REF!</definedName>
    <definedName name="M25_sand" localSheetId="7">#REF!</definedName>
    <definedName name="M25_sand" localSheetId="1">#REF!</definedName>
    <definedName name="M25_sand" localSheetId="3">#REF!</definedName>
    <definedName name="M25_sand">#REF!</definedName>
    <definedName name="M25PCCcement" localSheetId="7">#REF!</definedName>
    <definedName name="M25PCCcement" localSheetId="1">#REF!</definedName>
    <definedName name="M25PCCcement" localSheetId="3">#REF!</definedName>
    <definedName name="M25PCCcement">#REF!</definedName>
    <definedName name="M25RCCcement" localSheetId="7">#REF!</definedName>
    <definedName name="M25RCCcement" localSheetId="1">#REF!</definedName>
    <definedName name="M25RCCcement" localSheetId="3">#REF!</definedName>
    <definedName name="M25RCCcement">#REF!</definedName>
    <definedName name="M30cement" localSheetId="7">#REF!</definedName>
    <definedName name="M30cement" localSheetId="1">#REF!</definedName>
    <definedName name="M30cement" localSheetId="3">#REF!</definedName>
    <definedName name="M30cement">#REF!</definedName>
    <definedName name="M35cement" localSheetId="7">#REF!</definedName>
    <definedName name="M35cement" localSheetId="1">#REF!</definedName>
    <definedName name="M35cement" localSheetId="3">#REF!</definedName>
    <definedName name="M35cement">#REF!</definedName>
    <definedName name="M40cement" localSheetId="7">#REF!</definedName>
    <definedName name="M40cement" localSheetId="1">#REF!</definedName>
    <definedName name="M40cement" localSheetId="3">#REF!</definedName>
    <definedName name="M40cement">#REF!</definedName>
    <definedName name="M50cement" localSheetId="7">#REF!</definedName>
    <definedName name="M50cement" localSheetId="1">#REF!</definedName>
    <definedName name="M50cement" localSheetId="3">#REF!</definedName>
    <definedName name="M50cement">#REF!</definedName>
    <definedName name="Ma" localSheetId="7">#REF!</definedName>
    <definedName name="Ma" localSheetId="1">#REF!</definedName>
    <definedName name="Ma" localSheetId="3">#REF!</definedName>
    <definedName name="Ma">#REF!</definedName>
    <definedName name="Ma_v" localSheetId="7">#REF!</definedName>
    <definedName name="Ma_v" localSheetId="1">#REF!</definedName>
    <definedName name="Ma_v" localSheetId="3">#REF!</definedName>
    <definedName name="Ma_v">#REF!</definedName>
    <definedName name="mac">75</definedName>
    <definedName name="Machinary" localSheetId="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E_EQUIPMENT_ENTRY" localSheetId="7">#REF!</definedName>
    <definedName name="MACHINE_EQUIPMENT_ENTRY" localSheetId="1">#REF!</definedName>
    <definedName name="MACHINE_EQUIPMENT_ENTRY" localSheetId="3">#REF!</definedName>
    <definedName name="MACHINE_EQUIPMENT_ENTRY">#REF!</definedName>
    <definedName name="Machinery" localSheetId="7">#REF!</definedName>
    <definedName name="Machinery" localSheetId="1">#REF!</definedName>
    <definedName name="Machinery" localSheetId="3">#REF!</definedName>
    <definedName name="Machinery">#REF!</definedName>
    <definedName name="main2" localSheetId="7">#REF!</definedName>
    <definedName name="main2" localSheetId="1">#REF!</definedName>
    <definedName name="main2" localSheetId="3">#REF!</definedName>
    <definedName name="main2">#REF!</definedName>
    <definedName name="MainRelay" localSheetId="7">#REF!</definedName>
    <definedName name="MainRelay" localSheetId="1">#REF!</definedName>
    <definedName name="MainRelay" localSheetId="3">#REF!</definedName>
    <definedName name="MainRelay">#REF!</definedName>
    <definedName name="mak" localSheetId="7" hidden="1">#REF!</definedName>
    <definedName name="mak" localSheetId="1" hidden="1">#REF!</definedName>
    <definedName name="mak" localSheetId="3" hidden="1">#REF!</definedName>
    <definedName name="mak" hidden="1">#REF!</definedName>
    <definedName name="man" localSheetId="5" hidden="1">{"Total Indirect Manpower",#N/A,FALSE,"J";"Total Direct Manpower",#N/A,FALSE,"J";"Direct Structural Manpower",#N/A,FALSE,"J";"Direct Mechanical Manpower",#N/A,FALSE,"J";"Direct Piping Manpower",#N/A,FALSE,"J";"Direct Tanks Manpower",#N/A,FALSE,"J";"Direct ElecInstrSS Manpower",#N/A,FALSE,"J"}</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n___11" localSheetId="7">#REF!</definedName>
    <definedName name="man___11" localSheetId="1">#REF!</definedName>
    <definedName name="man___11" localSheetId="3">#REF!</definedName>
    <definedName name="man___11">#REF!</definedName>
    <definedName name="man___12" localSheetId="7">#REF!</definedName>
    <definedName name="man___12" localSheetId="1">#REF!</definedName>
    <definedName name="man___12" localSheetId="3">#REF!</definedName>
    <definedName name="man___12">#REF!</definedName>
    <definedName name="manday1" localSheetId="7">#REF!</definedName>
    <definedName name="manday1" localSheetId="1">#REF!</definedName>
    <definedName name="manday1" localSheetId="3">#REF!</definedName>
    <definedName name="manday1">#REF!</definedName>
    <definedName name="manday1___0" localSheetId="7">#REF!</definedName>
    <definedName name="manday1___0" localSheetId="1">#REF!</definedName>
    <definedName name="manday1___0" localSheetId="3">#REF!</definedName>
    <definedName name="manday1___0">#REF!</definedName>
    <definedName name="manday1___11" localSheetId="7">#REF!</definedName>
    <definedName name="manday1___11" localSheetId="1">#REF!</definedName>
    <definedName name="manday1___11" localSheetId="3">#REF!</definedName>
    <definedName name="manday1___11">#REF!</definedName>
    <definedName name="manday1___12" localSheetId="7">#REF!</definedName>
    <definedName name="manday1___12" localSheetId="1">#REF!</definedName>
    <definedName name="manday1___12" localSheetId="3">#REF!</definedName>
    <definedName name="manday1___12">#REF!</definedName>
    <definedName name="mani" localSheetId="5" hidden="1">{"form-D1",#N/A,FALSE,"FORM-D1";"form-D1_amt",#N/A,FALSE,"FORM-D1"}</definedName>
    <definedName name="mani" localSheetId="2" hidden="1">{"form-D1",#N/A,FALSE,"FORM-D1";"form-D1_amt",#N/A,FALSE,"FORM-D1"}</definedName>
    <definedName name="mani_1" localSheetId="5" hidden="1">{"form-D1",#N/A,FALSE,"FORM-D1";"form-D1_amt",#N/A,FALSE,"FORM-D1"}</definedName>
    <definedName name="mani_1" localSheetId="2" hidden="1">{"form-D1",#N/A,FALSE,"FORM-D1";"form-D1_amt",#N/A,FALSE,"FORM-D1"}</definedName>
    <definedName name="mani_1_1" localSheetId="5" hidden="1">{"form-D1",#N/A,FALSE,"FORM-D1";"form-D1_amt",#N/A,FALSE,"FORM-D1"}</definedName>
    <definedName name="mani_1_1" localSheetId="2" hidden="1">{"form-D1",#N/A,FALSE,"FORM-D1";"form-D1_amt",#N/A,FALSE,"FORM-D1"}</definedName>
    <definedName name="mani_1_2" localSheetId="5" hidden="1">{"form-D1",#N/A,FALSE,"FORM-D1";"form-D1_amt",#N/A,FALSE,"FORM-D1"}</definedName>
    <definedName name="mani_1_2" localSheetId="2" hidden="1">{"form-D1",#N/A,FALSE,"FORM-D1";"form-D1_amt",#N/A,FALSE,"FORM-D1"}</definedName>
    <definedName name="mani_2" localSheetId="5" hidden="1">{"form-D1",#N/A,FALSE,"FORM-D1";"form-D1_amt",#N/A,FALSE,"FORM-D1"}</definedName>
    <definedName name="mani_2" localSheetId="2" hidden="1">{"form-D1",#N/A,FALSE,"FORM-D1";"form-D1_amt",#N/A,FALSE,"FORM-D1"}</definedName>
    <definedName name="mani_2_1" localSheetId="5" hidden="1">{"form-D1",#N/A,FALSE,"FORM-D1";"form-D1_amt",#N/A,FALSE,"FORM-D1"}</definedName>
    <definedName name="mani_2_1" localSheetId="2" hidden="1">{"form-D1",#N/A,FALSE,"FORM-D1";"form-D1_amt",#N/A,FALSE,"FORM-D1"}</definedName>
    <definedName name="mani_3" localSheetId="5" hidden="1">{"form-D1",#N/A,FALSE,"FORM-D1";"form-D1_amt",#N/A,FALSE,"FORM-D1"}</definedName>
    <definedName name="mani_3" localSheetId="2" hidden="1">{"form-D1",#N/A,FALSE,"FORM-D1";"form-D1_amt",#N/A,FALSE,"FORM-D1"}</definedName>
    <definedName name="mani_3_1" localSheetId="5" hidden="1">{"form-D1",#N/A,FALSE,"FORM-D1";"form-D1_amt",#N/A,FALSE,"FORM-D1"}</definedName>
    <definedName name="mani_3_1" localSheetId="2" hidden="1">{"form-D1",#N/A,FALSE,"FORM-D1";"form-D1_amt",#N/A,FALSE,"FORM-D1"}</definedName>
    <definedName name="mani_4" localSheetId="5" hidden="1">{"form-D1",#N/A,FALSE,"FORM-D1";"form-D1_amt",#N/A,FALSE,"FORM-D1"}</definedName>
    <definedName name="mani_4" localSheetId="2" hidden="1">{"form-D1",#N/A,FALSE,"FORM-D1";"form-D1_amt",#N/A,FALSE,"FORM-D1"}</definedName>
    <definedName name="mani_4_1" localSheetId="5" hidden="1">{"form-D1",#N/A,FALSE,"FORM-D1";"form-D1_amt",#N/A,FALSE,"FORM-D1"}</definedName>
    <definedName name="mani_4_1" localSheetId="2" hidden="1">{"form-D1",#N/A,FALSE,"FORM-D1";"form-D1_amt",#N/A,FALSE,"FORM-D1"}</definedName>
    <definedName name="mani_5" localSheetId="5" hidden="1">{"form-D1",#N/A,FALSE,"FORM-D1";"form-D1_amt",#N/A,FALSE,"FORM-D1"}</definedName>
    <definedName name="mani_5" localSheetId="2" hidden="1">{"form-D1",#N/A,FALSE,"FORM-D1";"form-D1_amt",#N/A,FALSE,"FORM-D1"}</definedName>
    <definedName name="mani_5_1" localSheetId="5" hidden="1">{"form-D1",#N/A,FALSE,"FORM-D1";"form-D1_amt",#N/A,FALSE,"FORM-D1"}</definedName>
    <definedName name="mani_5_1" localSheetId="2" hidden="1">{"form-D1",#N/A,FALSE,"FORM-D1";"form-D1_amt",#N/A,FALSE,"FORM-D1"}</definedName>
    <definedName name="Manish" localSheetId="5" hidden="1">{"form-D1",#N/A,FALSE,"FORM-D1";"form-D1_amt",#N/A,FALSE,"FORM-D1"}</definedName>
    <definedName name="Manish" localSheetId="2" hidden="1">{"form-D1",#N/A,FALSE,"FORM-D1";"form-D1_amt",#N/A,FALSE,"FORM-D1"}</definedName>
    <definedName name="Manish_1" localSheetId="5" hidden="1">{"form-D1",#N/A,FALSE,"FORM-D1";"form-D1_amt",#N/A,FALSE,"FORM-D1"}</definedName>
    <definedName name="Manish_1" localSheetId="2" hidden="1">{"form-D1",#N/A,FALSE,"FORM-D1";"form-D1_amt",#N/A,FALSE,"FORM-D1"}</definedName>
    <definedName name="Manish_1_1" localSheetId="5" hidden="1">{"form-D1",#N/A,FALSE,"FORM-D1";"form-D1_amt",#N/A,FALSE,"FORM-D1"}</definedName>
    <definedName name="Manish_1_1" localSheetId="2" hidden="1">{"form-D1",#N/A,FALSE,"FORM-D1";"form-D1_amt",#N/A,FALSE,"FORM-D1"}</definedName>
    <definedName name="Manish_1_2" localSheetId="5" hidden="1">{"form-D1",#N/A,FALSE,"FORM-D1";"form-D1_amt",#N/A,FALSE,"FORM-D1"}</definedName>
    <definedName name="Manish_1_2" localSheetId="2" hidden="1">{"form-D1",#N/A,FALSE,"FORM-D1";"form-D1_amt",#N/A,FALSE,"FORM-D1"}</definedName>
    <definedName name="Manish_2" localSheetId="5" hidden="1">{"form-D1",#N/A,FALSE,"FORM-D1";"form-D1_amt",#N/A,FALSE,"FORM-D1"}</definedName>
    <definedName name="Manish_2" localSheetId="2" hidden="1">{"form-D1",#N/A,FALSE,"FORM-D1";"form-D1_amt",#N/A,FALSE,"FORM-D1"}</definedName>
    <definedName name="Manish_2_1" localSheetId="5" hidden="1">{"form-D1",#N/A,FALSE,"FORM-D1";"form-D1_amt",#N/A,FALSE,"FORM-D1"}</definedName>
    <definedName name="Manish_2_1" localSheetId="2" hidden="1">{"form-D1",#N/A,FALSE,"FORM-D1";"form-D1_amt",#N/A,FALSE,"FORM-D1"}</definedName>
    <definedName name="Manish_3" localSheetId="5" hidden="1">{"form-D1",#N/A,FALSE,"FORM-D1";"form-D1_amt",#N/A,FALSE,"FORM-D1"}</definedName>
    <definedName name="Manish_3" localSheetId="2" hidden="1">{"form-D1",#N/A,FALSE,"FORM-D1";"form-D1_amt",#N/A,FALSE,"FORM-D1"}</definedName>
    <definedName name="Manish_3_1" localSheetId="5" hidden="1">{"form-D1",#N/A,FALSE,"FORM-D1";"form-D1_amt",#N/A,FALSE,"FORM-D1"}</definedName>
    <definedName name="Manish_3_1" localSheetId="2" hidden="1">{"form-D1",#N/A,FALSE,"FORM-D1";"form-D1_amt",#N/A,FALSE,"FORM-D1"}</definedName>
    <definedName name="Manish_4" localSheetId="5" hidden="1">{"form-D1",#N/A,FALSE,"FORM-D1";"form-D1_amt",#N/A,FALSE,"FORM-D1"}</definedName>
    <definedName name="Manish_4" localSheetId="2" hidden="1">{"form-D1",#N/A,FALSE,"FORM-D1";"form-D1_amt",#N/A,FALSE,"FORM-D1"}</definedName>
    <definedName name="Manish_4_1" localSheetId="5" hidden="1">{"form-D1",#N/A,FALSE,"FORM-D1";"form-D1_amt",#N/A,FALSE,"FORM-D1"}</definedName>
    <definedName name="Manish_4_1" localSheetId="2" hidden="1">{"form-D1",#N/A,FALSE,"FORM-D1";"form-D1_amt",#N/A,FALSE,"FORM-D1"}</definedName>
    <definedName name="Manish_5" localSheetId="5" hidden="1">{"form-D1",#N/A,FALSE,"FORM-D1";"form-D1_amt",#N/A,FALSE,"FORM-D1"}</definedName>
    <definedName name="Manish_5" localSheetId="2" hidden="1">{"form-D1",#N/A,FALSE,"FORM-D1";"form-D1_amt",#N/A,FALSE,"FORM-D1"}</definedName>
    <definedName name="Manish_5_1" localSheetId="5" hidden="1">{"form-D1",#N/A,FALSE,"FORM-D1";"form-D1_amt",#N/A,FALSE,"FORM-D1"}</definedName>
    <definedName name="Manish_5_1" localSheetId="2" hidden="1">{"form-D1",#N/A,FALSE,"FORM-D1";"form-D1_amt",#N/A,FALSE,"FORM-D1"}</definedName>
    <definedName name="Manpower" localSheetId="7">#REF!</definedName>
    <definedName name="Manpower" localSheetId="1">#REF!</definedName>
    <definedName name="Manpower" localSheetId="3">#REF!</definedName>
    <definedName name="Manpower">#REF!</definedName>
    <definedName name="march_qty" localSheetId="7">#REF!</definedName>
    <definedName name="march_qty" localSheetId="1">#REF!</definedName>
    <definedName name="march_qty" localSheetId="3">#REF!</definedName>
    <definedName name="march_qty">#REF!</definedName>
    <definedName name="Mason" localSheetId="7">#REF!</definedName>
    <definedName name="Mason" localSheetId="1">#REF!</definedName>
    <definedName name="Mason" localSheetId="3">#REF!</definedName>
    <definedName name="Mason">#REF!</definedName>
    <definedName name="MASTICCOOker" localSheetId="7">#REF!</definedName>
    <definedName name="MASTICCOOker" localSheetId="1">#REF!</definedName>
    <definedName name="MASTICCOOker" localSheetId="3">#REF!</definedName>
    <definedName name="MASTICCOOker">#REF!</definedName>
    <definedName name="mat" localSheetId="5" hidden="1">{#N/A,#N/A,TRUE,"Front";#N/A,#N/A,TRUE,"Simple Letter";#N/A,#N/A,TRUE,"Inside";#N/A,#N/A,TRUE,"Contents";#N/A,#N/A,TRUE,"Basis";#N/A,#N/A,TRUE,"Inclusions";#N/A,#N/A,TRUE,"Exclusions";#N/A,#N/A,TRUE,"Areas";#N/A,#N/A,TRUE,"Summary";#N/A,#N/A,TRUE,"Detail"}</definedName>
    <definedName name="mat" localSheetId="2" hidden="1">{#N/A,#N/A,TRUE,"Front";#N/A,#N/A,TRUE,"Simple Letter";#N/A,#N/A,TRUE,"Inside";#N/A,#N/A,TRUE,"Contents";#N/A,#N/A,TRUE,"Basis";#N/A,#N/A,TRUE,"Inclusions";#N/A,#N/A,TRUE,"Exclusions";#N/A,#N/A,TRUE,"Areas";#N/A,#N/A,TRUE,"Summary";#N/A,#N/A,TRUE,"Detail"}</definedName>
    <definedName name="mat_1" localSheetId="5" hidden="1">{#N/A,#N/A,TRUE,"Front";#N/A,#N/A,TRUE,"Simple Letter";#N/A,#N/A,TRUE,"Inside";#N/A,#N/A,TRUE,"Contents";#N/A,#N/A,TRUE,"Basis";#N/A,#N/A,TRUE,"Inclusions";#N/A,#N/A,TRUE,"Exclusions";#N/A,#N/A,TRUE,"Areas";#N/A,#N/A,TRUE,"Summary";#N/A,#N/A,TRUE,"Detail"}</definedName>
    <definedName name="mat_1" localSheetId="2" hidden="1">{#N/A,#N/A,TRUE,"Front";#N/A,#N/A,TRUE,"Simple Letter";#N/A,#N/A,TRUE,"Inside";#N/A,#N/A,TRUE,"Contents";#N/A,#N/A,TRUE,"Basis";#N/A,#N/A,TRUE,"Inclusions";#N/A,#N/A,TRUE,"Exclusions";#N/A,#N/A,TRUE,"Areas";#N/A,#N/A,TRUE,"Summary";#N/A,#N/A,TRUE,"Detail"}</definedName>
    <definedName name="mat_1_1" localSheetId="5" hidden="1">{#N/A,#N/A,TRUE,"Front";#N/A,#N/A,TRUE,"Simple Letter";#N/A,#N/A,TRUE,"Inside";#N/A,#N/A,TRUE,"Contents";#N/A,#N/A,TRUE,"Basis";#N/A,#N/A,TRUE,"Inclusions";#N/A,#N/A,TRUE,"Exclusions";#N/A,#N/A,TRUE,"Areas";#N/A,#N/A,TRUE,"Summary";#N/A,#N/A,TRUE,"Detail"}</definedName>
    <definedName name="mat_1_1" localSheetId="2" hidden="1">{#N/A,#N/A,TRUE,"Front";#N/A,#N/A,TRUE,"Simple Letter";#N/A,#N/A,TRUE,"Inside";#N/A,#N/A,TRUE,"Contents";#N/A,#N/A,TRUE,"Basis";#N/A,#N/A,TRUE,"Inclusions";#N/A,#N/A,TRUE,"Exclusions";#N/A,#N/A,TRUE,"Areas";#N/A,#N/A,TRUE,"Summary";#N/A,#N/A,TRUE,"Detail"}</definedName>
    <definedName name="mat_1_2" localSheetId="5" hidden="1">{#N/A,#N/A,TRUE,"Front";#N/A,#N/A,TRUE,"Simple Letter";#N/A,#N/A,TRUE,"Inside";#N/A,#N/A,TRUE,"Contents";#N/A,#N/A,TRUE,"Basis";#N/A,#N/A,TRUE,"Inclusions";#N/A,#N/A,TRUE,"Exclusions";#N/A,#N/A,TRUE,"Areas";#N/A,#N/A,TRUE,"Summary";#N/A,#N/A,TRUE,"Detail"}</definedName>
    <definedName name="mat_1_2" localSheetId="2" hidden="1">{#N/A,#N/A,TRUE,"Front";#N/A,#N/A,TRUE,"Simple Letter";#N/A,#N/A,TRUE,"Inside";#N/A,#N/A,TRUE,"Contents";#N/A,#N/A,TRUE,"Basis";#N/A,#N/A,TRUE,"Inclusions";#N/A,#N/A,TRUE,"Exclusions";#N/A,#N/A,TRUE,"Areas";#N/A,#N/A,TRUE,"Summary";#N/A,#N/A,TRUE,"Detail"}</definedName>
    <definedName name="mat_2" localSheetId="5" hidden="1">{#N/A,#N/A,TRUE,"Front";#N/A,#N/A,TRUE,"Simple Letter";#N/A,#N/A,TRUE,"Inside";#N/A,#N/A,TRUE,"Contents";#N/A,#N/A,TRUE,"Basis";#N/A,#N/A,TRUE,"Inclusions";#N/A,#N/A,TRUE,"Exclusions";#N/A,#N/A,TRUE,"Areas";#N/A,#N/A,TRUE,"Summary";#N/A,#N/A,TRUE,"Detail"}</definedName>
    <definedName name="mat_2" localSheetId="2" hidden="1">{#N/A,#N/A,TRUE,"Front";#N/A,#N/A,TRUE,"Simple Letter";#N/A,#N/A,TRUE,"Inside";#N/A,#N/A,TRUE,"Contents";#N/A,#N/A,TRUE,"Basis";#N/A,#N/A,TRUE,"Inclusions";#N/A,#N/A,TRUE,"Exclusions";#N/A,#N/A,TRUE,"Areas";#N/A,#N/A,TRUE,"Summary";#N/A,#N/A,TRUE,"Detail"}</definedName>
    <definedName name="mat_2_1" localSheetId="5" hidden="1">{#N/A,#N/A,TRUE,"Front";#N/A,#N/A,TRUE,"Simple Letter";#N/A,#N/A,TRUE,"Inside";#N/A,#N/A,TRUE,"Contents";#N/A,#N/A,TRUE,"Basis";#N/A,#N/A,TRUE,"Inclusions";#N/A,#N/A,TRUE,"Exclusions";#N/A,#N/A,TRUE,"Areas";#N/A,#N/A,TRUE,"Summary";#N/A,#N/A,TRUE,"Detail"}</definedName>
    <definedName name="mat_2_1" localSheetId="2" hidden="1">{#N/A,#N/A,TRUE,"Front";#N/A,#N/A,TRUE,"Simple Letter";#N/A,#N/A,TRUE,"Inside";#N/A,#N/A,TRUE,"Contents";#N/A,#N/A,TRUE,"Basis";#N/A,#N/A,TRUE,"Inclusions";#N/A,#N/A,TRUE,"Exclusions";#N/A,#N/A,TRUE,"Areas";#N/A,#N/A,TRUE,"Summary";#N/A,#N/A,TRUE,"Detail"}</definedName>
    <definedName name="mat_3" localSheetId="5" hidden="1">{#N/A,#N/A,TRUE,"Front";#N/A,#N/A,TRUE,"Simple Letter";#N/A,#N/A,TRUE,"Inside";#N/A,#N/A,TRUE,"Contents";#N/A,#N/A,TRUE,"Basis";#N/A,#N/A,TRUE,"Inclusions";#N/A,#N/A,TRUE,"Exclusions";#N/A,#N/A,TRUE,"Areas";#N/A,#N/A,TRUE,"Summary";#N/A,#N/A,TRUE,"Detail"}</definedName>
    <definedName name="mat_3" localSheetId="2" hidden="1">{#N/A,#N/A,TRUE,"Front";#N/A,#N/A,TRUE,"Simple Letter";#N/A,#N/A,TRUE,"Inside";#N/A,#N/A,TRUE,"Contents";#N/A,#N/A,TRUE,"Basis";#N/A,#N/A,TRUE,"Inclusions";#N/A,#N/A,TRUE,"Exclusions";#N/A,#N/A,TRUE,"Areas";#N/A,#N/A,TRUE,"Summary";#N/A,#N/A,TRUE,"Detail"}</definedName>
    <definedName name="mat_4" localSheetId="5" hidden="1">{#N/A,#N/A,TRUE,"Front";#N/A,#N/A,TRUE,"Simple Letter";#N/A,#N/A,TRUE,"Inside";#N/A,#N/A,TRUE,"Contents";#N/A,#N/A,TRUE,"Basis";#N/A,#N/A,TRUE,"Inclusions";#N/A,#N/A,TRUE,"Exclusions";#N/A,#N/A,TRUE,"Areas";#N/A,#N/A,TRUE,"Summary";#N/A,#N/A,TRUE,"Detail"}</definedName>
    <definedName name="mat_4" localSheetId="2" hidden="1">{#N/A,#N/A,TRUE,"Front";#N/A,#N/A,TRUE,"Simple Letter";#N/A,#N/A,TRUE,"Inside";#N/A,#N/A,TRUE,"Contents";#N/A,#N/A,TRUE,"Basis";#N/A,#N/A,TRUE,"Inclusions";#N/A,#N/A,TRUE,"Exclusions";#N/A,#N/A,TRUE,"Areas";#N/A,#N/A,TRUE,"Summary";#N/A,#N/A,TRUE,"Detail"}</definedName>
    <definedName name="material" localSheetId="7">#REF!</definedName>
    <definedName name="material" localSheetId="1">#REF!</definedName>
    <definedName name="material" localSheetId="3">#REF!</definedName>
    <definedName name="material">#REF!</definedName>
    <definedName name="Material_rate_entry" localSheetId="7">#REF!</definedName>
    <definedName name="Material_rate_entry" localSheetId="1">#REF!</definedName>
    <definedName name="Material_rate_entry" localSheetId="3">#REF!</definedName>
    <definedName name="Material_rate_entry">#REF!</definedName>
    <definedName name="MaxDemChrgs" localSheetId="7">#REF!</definedName>
    <definedName name="MaxDemChrgs" localSheetId="1">#REF!</definedName>
    <definedName name="MaxDemChrgs" localSheetId="3">#REF!</definedName>
    <definedName name="MaxDemChrgs">#REF!</definedName>
    <definedName name="MaxDemChrgs_I" localSheetId="7">#REF!</definedName>
    <definedName name="MaxDemChrgs_I" localSheetId="1">#REF!</definedName>
    <definedName name="MaxDemChrgs_I" localSheetId="3">#REF!</definedName>
    <definedName name="MaxDemChrgs_I">#REF!</definedName>
    <definedName name="maxmix" localSheetId="7">#REF!</definedName>
    <definedName name="maxmix" localSheetId="1">#REF!</definedName>
    <definedName name="maxmix" localSheetId="3">#REF!</definedName>
    <definedName name="maxmix">#REF!</definedName>
    <definedName name="maxmiy" localSheetId="7">#REF!</definedName>
    <definedName name="maxmiy" localSheetId="1">#REF!</definedName>
    <definedName name="maxmiy" localSheetId="3">#REF!</definedName>
    <definedName name="maxmiy">#REF!</definedName>
    <definedName name="mayflower" localSheetId="7">#REF!</definedName>
    <definedName name="mayflower" localSheetId="1">#REF!</definedName>
    <definedName name="mayflower" localSheetId="3">#REF!</definedName>
    <definedName name="mayflower">#REF!</definedName>
    <definedName name="Mb" localSheetId="7">#REF!</definedName>
    <definedName name="Mb" localSheetId="1">#REF!</definedName>
    <definedName name="Mb" localSheetId="3">#REF!</definedName>
    <definedName name="Mb">#REF!</definedName>
    <definedName name="mb_inputLocation" localSheetId="7" hidden="1">#REF!</definedName>
    <definedName name="mb_inputLocation" localSheetId="1" hidden="1">#REF!</definedName>
    <definedName name="mb_inputLocation" localSheetId="3" hidden="1">#REF!</definedName>
    <definedName name="mb_inputLocation" hidden="1">#REF!</definedName>
    <definedName name="Mb_v" localSheetId="7">#REF!</definedName>
    <definedName name="Mb_v" localSheetId="1">#REF!</definedName>
    <definedName name="Mb_v" localSheetId="3">#REF!</definedName>
    <definedName name="Mb_v">#REF!</definedName>
    <definedName name="MB10Length" localSheetId="7">#REF!</definedName>
    <definedName name="MB10Length" localSheetId="1">#REF!</definedName>
    <definedName name="MB10Length" localSheetId="3">#REF!</definedName>
    <definedName name="MB10Length">#REF!</definedName>
    <definedName name="MB11Length" localSheetId="7">#REF!</definedName>
    <definedName name="MB11Length" localSheetId="1">#REF!</definedName>
    <definedName name="MB11Length" localSheetId="3">#REF!</definedName>
    <definedName name="MB11Length">#REF!</definedName>
    <definedName name="MB12Length" localSheetId="7">#REF!</definedName>
    <definedName name="MB12Length" localSheetId="1">#REF!</definedName>
    <definedName name="MB12Length" localSheetId="3">#REF!</definedName>
    <definedName name="MB12Length">#REF!</definedName>
    <definedName name="MB13Length" localSheetId="7">#REF!</definedName>
    <definedName name="MB13Length" localSheetId="1">#REF!</definedName>
    <definedName name="MB13Length" localSheetId="3">#REF!</definedName>
    <definedName name="MB13Length">#REF!</definedName>
    <definedName name="MB14Length" localSheetId="7">#REF!</definedName>
    <definedName name="MB14Length" localSheetId="1">#REF!</definedName>
    <definedName name="MB14Length" localSheetId="3">#REF!</definedName>
    <definedName name="MB14Length">#REF!</definedName>
    <definedName name="MB1Length" localSheetId="7">#REF!</definedName>
    <definedName name="MB1Length" localSheetId="1">#REF!</definedName>
    <definedName name="MB1Length" localSheetId="3">#REF!</definedName>
    <definedName name="MB1Length">#REF!</definedName>
    <definedName name="MB2Length" localSheetId="7">#REF!</definedName>
    <definedName name="MB2Length" localSheetId="1">#REF!</definedName>
    <definedName name="MB2Length" localSheetId="3">#REF!</definedName>
    <definedName name="MB2Length">#REF!</definedName>
    <definedName name="MB3Length" localSheetId="7">#REF!</definedName>
    <definedName name="MB3Length" localSheetId="1">#REF!</definedName>
    <definedName name="MB3Length" localSheetId="3">#REF!</definedName>
    <definedName name="MB3Length">#REF!</definedName>
    <definedName name="MB4Length" localSheetId="7">#REF!</definedName>
    <definedName name="MB4Length" localSheetId="1">#REF!</definedName>
    <definedName name="MB4Length" localSheetId="3">#REF!</definedName>
    <definedName name="MB4Length">#REF!</definedName>
    <definedName name="MB5Length" localSheetId="7">#REF!</definedName>
    <definedName name="MB5Length" localSheetId="1">#REF!</definedName>
    <definedName name="MB5Length" localSheetId="3">#REF!</definedName>
    <definedName name="MB5Length">#REF!</definedName>
    <definedName name="MB6Length" localSheetId="7">#REF!</definedName>
    <definedName name="MB6Length" localSheetId="1">#REF!</definedName>
    <definedName name="MB6Length" localSheetId="3">#REF!</definedName>
    <definedName name="MB6Length">#REF!</definedName>
    <definedName name="MB7Length" localSheetId="7">#REF!</definedName>
    <definedName name="MB7Length" localSheetId="1">#REF!</definedName>
    <definedName name="MB7Length" localSheetId="3">#REF!</definedName>
    <definedName name="MB7Length">#REF!</definedName>
    <definedName name="MB8Length" localSheetId="7">#REF!</definedName>
    <definedName name="MB8Length" localSheetId="1">#REF!</definedName>
    <definedName name="MB8Length" localSheetId="3">#REF!</definedName>
    <definedName name="MB8Length">#REF!</definedName>
    <definedName name="MB9Length" localSheetId="7">#REF!</definedName>
    <definedName name="MB9Length" localSheetId="1">#REF!</definedName>
    <definedName name="MB9Length" localSheetId="3">#REF!</definedName>
    <definedName name="MB9Length">#REF!</definedName>
    <definedName name="mbroom" localSheetId="7">#REF!</definedName>
    <definedName name="mbroom" localSheetId="1">#REF!</definedName>
    <definedName name="mbroom" localSheetId="3">#REF!</definedName>
    <definedName name="mbroom">#REF!</definedName>
    <definedName name="Mc" localSheetId="7">#REF!</definedName>
    <definedName name="Mc" localSheetId="1">#REF!</definedName>
    <definedName name="Mc" localSheetId="3">#REF!</definedName>
    <definedName name="Mc">#REF!</definedName>
    <definedName name="Mc_v" localSheetId="7">#REF!</definedName>
    <definedName name="Mc_v" localSheetId="1">#REF!</definedName>
    <definedName name="Mc_v" localSheetId="3">#REF!</definedName>
    <definedName name="Mc_v">#REF!</definedName>
    <definedName name="MCBDB" localSheetId="5" hidden="1">{#N/A,#N/A,FALSE,"mpph1";#N/A,#N/A,FALSE,"mpmseb";#N/A,#N/A,FALSE,"mpph2"}</definedName>
    <definedName name="MCBDB" localSheetId="2" hidden="1">{#N/A,#N/A,FALSE,"mpph1";#N/A,#N/A,FALSE,"mpmseb";#N/A,#N/A,FALSE,"mpph2"}</definedName>
    <definedName name="mclo" localSheetId="7">#REF!</definedName>
    <definedName name="mclo" localSheetId="1">#REF!</definedName>
    <definedName name="mclo" localSheetId="3">#REF!</definedName>
    <definedName name="mclo">#REF!</definedName>
    <definedName name="Mcwc" localSheetId="7">#REF!</definedName>
    <definedName name="Mcwc" localSheetId="1">#REF!</definedName>
    <definedName name="Mcwc" localSheetId="3">#REF!</definedName>
    <definedName name="Mcwc">#REF!</definedName>
    <definedName name="Mcws" localSheetId="7">#REF!</definedName>
    <definedName name="Mcws" localSheetId="1">#REF!</definedName>
    <definedName name="Mcws" localSheetId="3">#REF!</definedName>
    <definedName name="Mcws">#REF!</definedName>
    <definedName name="Md" localSheetId="7">#REF!</definedName>
    <definedName name="Md" localSheetId="1">#REF!</definedName>
    <definedName name="Md" localSheetId="3">#REF!</definedName>
    <definedName name="Md">#REF!</definedName>
    <definedName name="Md_v" localSheetId="7">#REF!</definedName>
    <definedName name="Md_v" localSheetId="1">#REF!</definedName>
    <definedName name="Md_v" localSheetId="3">#REF!</definedName>
    <definedName name="Md_v">#REF!</definedName>
    <definedName name="mdash" localSheetId="7">#REF!</definedName>
    <definedName name="mdash" localSheetId="1">#REF!</definedName>
    <definedName name="mdash" localSheetId="3">#REF!</definedName>
    <definedName name="mdash">#REF!</definedName>
    <definedName name="Me" localSheetId="7">#REF!</definedName>
    <definedName name="Me" localSheetId="1">#REF!</definedName>
    <definedName name="Me" localSheetId="3">#REF!</definedName>
    <definedName name="Me">#REF!</definedName>
    <definedName name="Me_v" localSheetId="7">#REF!</definedName>
    <definedName name="Me_v" localSheetId="1">#REF!</definedName>
    <definedName name="Me_v" localSheetId="3">#REF!</definedName>
    <definedName name="Me_v">#REF!</definedName>
    <definedName name="Mechanical" localSheetId="7">#REF!</definedName>
    <definedName name="Mechanical" localSheetId="1">#REF!</definedName>
    <definedName name="Mechanical" localSheetId="3">#REF!</definedName>
    <definedName name="Mechanical">#REF!</definedName>
    <definedName name="MECHBROOm" localSheetId="7">#REF!</definedName>
    <definedName name="MECHBROOm" localSheetId="1">#REF!</definedName>
    <definedName name="MECHBROOm" localSheetId="3">#REF!</definedName>
    <definedName name="MECHBROOm">#REF!</definedName>
    <definedName name="MECHPAVER" localSheetId="7">#REF!</definedName>
    <definedName name="MECHPAVER" localSheetId="1">#REF!</definedName>
    <definedName name="MECHPAVER" localSheetId="3">#REF!</definedName>
    <definedName name="MECHPAVER">#REF!</definedName>
    <definedName name="memid" localSheetId="7">#REF!</definedName>
    <definedName name="memid" localSheetId="1">#REF!</definedName>
    <definedName name="memid" localSheetId="3">#REF!</definedName>
    <definedName name="memid">#REF!</definedName>
    <definedName name="mena" localSheetId="7">#REF!</definedName>
    <definedName name="mena" localSheetId="1">#REF!</definedName>
    <definedName name="mena" localSheetId="3">#REF!</definedName>
    <definedName name="mena">#REF!</definedName>
    <definedName name="Metal_124" localSheetId="7">#REF!</definedName>
    <definedName name="Metal_124" localSheetId="1">#REF!</definedName>
    <definedName name="Metal_124" localSheetId="3">#REF!</definedName>
    <definedName name="Metal_124">#REF!</definedName>
    <definedName name="metal12mm" localSheetId="7">#REF!</definedName>
    <definedName name="metal12mm" localSheetId="1">#REF!</definedName>
    <definedName name="metal12mm" localSheetId="3">#REF!</definedName>
    <definedName name="metal12mm">#REF!</definedName>
    <definedName name="metal20mm" localSheetId="7">#REF!</definedName>
    <definedName name="metal20mm" localSheetId="1">#REF!</definedName>
    <definedName name="metal20mm" localSheetId="3">#REF!</definedName>
    <definedName name="metal20mm">#REF!</definedName>
    <definedName name="metal40mm" localSheetId="7">#REF!</definedName>
    <definedName name="metal40mm" localSheetId="1">#REF!</definedName>
    <definedName name="metal40mm" localSheetId="3">#REF!</definedName>
    <definedName name="metal40mm">#REF!</definedName>
    <definedName name="metal6mm" localSheetId="7">#REF!</definedName>
    <definedName name="metal6mm" localSheetId="1">#REF!</definedName>
    <definedName name="metal6mm" localSheetId="3">#REF!</definedName>
    <definedName name="metal6mm">#REF!</definedName>
    <definedName name="MF" localSheetId="7">#REF!</definedName>
    <definedName name="MF" localSheetId="1">#REF!</definedName>
    <definedName name="MF" localSheetId="3">#REF!</definedName>
    <definedName name="MF">#REF!</definedName>
    <definedName name="MF___0" localSheetId="7">#REF!</definedName>
    <definedName name="MF___0" localSheetId="1">#REF!</definedName>
    <definedName name="MF___0" localSheetId="3">#REF!</definedName>
    <definedName name="MF___0">#REF!</definedName>
    <definedName name="MF___13" localSheetId="7">#REF!</definedName>
    <definedName name="MF___13" localSheetId="1">#REF!</definedName>
    <definedName name="MF___13" localSheetId="3">#REF!</definedName>
    <definedName name="MF___13">#REF!</definedName>
    <definedName name="Mf_v" localSheetId="7">#REF!</definedName>
    <definedName name="Mf_v" localSheetId="1">#REF!</definedName>
    <definedName name="Mf_v" localSheetId="3">#REF!</definedName>
    <definedName name="Mf_v">#REF!</definedName>
    <definedName name="mff" localSheetId="7">#REF!</definedName>
    <definedName name="mff" localSheetId="1">#REF!</definedName>
    <definedName name="mff" localSheetId="3">#REF!</definedName>
    <definedName name="mff">#REF!</definedName>
    <definedName name="Mfour" localSheetId="7">#REF!</definedName>
    <definedName name="Mfour" localSheetId="1">#REF!</definedName>
    <definedName name="Mfour" localSheetId="3">#REF!</definedName>
    <definedName name="Mfour">#REF!</definedName>
    <definedName name="Mg" localSheetId="7">#REF!</definedName>
    <definedName name="Mg" localSheetId="1">#REF!</definedName>
    <definedName name="Mg" localSheetId="3">#REF!</definedName>
    <definedName name="Mg">#REF!</definedName>
    <definedName name="Mg_v" localSheetId="7">#REF!</definedName>
    <definedName name="Mg_v" localSheetId="1">#REF!</definedName>
    <definedName name="Mg_v" localSheetId="3">#REF!</definedName>
    <definedName name="Mg_v">#REF!</definedName>
    <definedName name="Mh" localSheetId="7">#REF!</definedName>
    <definedName name="Mh" localSheetId="1">#REF!</definedName>
    <definedName name="Mh" localSheetId="3">#REF!</definedName>
    <definedName name="Mh">#REF!</definedName>
    <definedName name="Mh_v" localSheetId="7">#REF!</definedName>
    <definedName name="Mh_v" localSheetId="1">#REF!</definedName>
    <definedName name="Mh_v" localSheetId="3">#REF!</definedName>
    <definedName name="Mh_v">#REF!</definedName>
    <definedName name="mhjj" localSheetId="5" hidden="1">{"'Bill No. 7'!$A$1:$G$32"}</definedName>
    <definedName name="mhjj" localSheetId="2" hidden="1">{"'Bill No. 7'!$A$1:$G$32"}</definedName>
    <definedName name="Mhpc" localSheetId="2">#REF!:#REF!</definedName>
    <definedName name="Mhps" localSheetId="7">#REF!</definedName>
    <definedName name="Mhps" localSheetId="1">#REF!</definedName>
    <definedName name="Mhps" localSheetId="3">#REF!</definedName>
    <definedName name="Mhps">#REF!</definedName>
    <definedName name="mhr" localSheetId="7">#REF!</definedName>
    <definedName name="mhr" localSheetId="1">#REF!</definedName>
    <definedName name="mhr" localSheetId="3">#REF!</definedName>
    <definedName name="mhr">#REF!</definedName>
    <definedName name="micrack" localSheetId="7">#REF!</definedName>
    <definedName name="micrack" localSheetId="1">#REF!</definedName>
    <definedName name="micrack" localSheetId="3">#REF!</definedName>
    <definedName name="micrack">#REF!</definedName>
    <definedName name="migr" localSheetId="7">#REF!</definedName>
    <definedName name="migr" localSheetId="1">#REF!</definedName>
    <definedName name="migr" localSheetId="3">#REF!</definedName>
    <definedName name="migr">#REF!</definedName>
    <definedName name="million">1000000</definedName>
    <definedName name="minReserve" localSheetId="7">#REF!</definedName>
    <definedName name="minReserve" localSheetId="1">#REF!</definedName>
    <definedName name="minReserve" localSheetId="3">#REF!</definedName>
    <definedName name="minReserve">#REF!</definedName>
    <definedName name="Mipc" localSheetId="7">#REF!:#REF!</definedName>
    <definedName name="Mipc" localSheetId="1">#REF!:#REF!</definedName>
    <definedName name="Mipc" localSheetId="3">#REF!:#REF!</definedName>
    <definedName name="Mipc">#REF!:#REF!</definedName>
    <definedName name="Mips" localSheetId="7">#REF!</definedName>
    <definedName name="Mips" localSheetId="1">#REF!</definedName>
    <definedName name="Mips" localSheetId="3">#REF!</definedName>
    <definedName name="Mips">#REF!</definedName>
    <definedName name="mir" localSheetId="7">#REF!</definedName>
    <definedName name="mir" localSheetId="1">#REF!</definedName>
    <definedName name="mir" localSheetId="3">#REF!</definedName>
    <definedName name="mir">#REF!</definedName>
    <definedName name="mix" localSheetId="7">#REF!</definedName>
    <definedName name="mix" localSheetId="1">#REF!</definedName>
    <definedName name="mix" localSheetId="3">#REF!</definedName>
    <definedName name="mix">#REF!</definedName>
    <definedName name="mixb" localSheetId="7">#REF!</definedName>
    <definedName name="mixb" localSheetId="1">#REF!</definedName>
    <definedName name="mixb" localSheetId="3">#REF!</definedName>
    <definedName name="mixb">#REF!</definedName>
    <definedName name="mixer" localSheetId="7">#REF!</definedName>
    <definedName name="mixer" localSheetId="1">#REF!</definedName>
    <definedName name="mixer" localSheetId="3">#REF!</definedName>
    <definedName name="mixer">#REF!</definedName>
    <definedName name="mixt" localSheetId="7">#REF!</definedName>
    <definedName name="mixt" localSheetId="1">#REF!</definedName>
    <definedName name="mixt" localSheetId="3">#REF!</definedName>
    <definedName name="mixt">#REF!</definedName>
    <definedName name="miy" localSheetId="7">#REF!</definedName>
    <definedName name="miy" localSheetId="1">#REF!</definedName>
    <definedName name="miy" localSheetId="3">#REF!</definedName>
    <definedName name="miy">#REF!</definedName>
    <definedName name="miyb" localSheetId="7">#REF!</definedName>
    <definedName name="miyb" localSheetId="1">#REF!</definedName>
    <definedName name="miyb" localSheetId="3">#REF!</definedName>
    <definedName name="miyb">#REF!</definedName>
    <definedName name="miyt" localSheetId="7">#REF!</definedName>
    <definedName name="miyt" localSheetId="1">#REF!</definedName>
    <definedName name="miyt" localSheetId="3">#REF!</definedName>
    <definedName name="miyt">#REF!</definedName>
    <definedName name="mk" localSheetId="7">#REF!</definedName>
    <definedName name="mk" localSheetId="1">#REF!</definedName>
    <definedName name="mk" localSheetId="3">#REF!</definedName>
    <definedName name="mk">#REF!</definedName>
    <definedName name="mlbs" localSheetId="7">#REF!</definedName>
    <definedName name="mlbs" localSheetId="1">#REF!</definedName>
    <definedName name="mlbs" localSheetId="3">#REF!</definedName>
    <definedName name="mlbs">#REF!</definedName>
    <definedName name="mld" localSheetId="7">#REF!</definedName>
    <definedName name="mld" localSheetId="1">#REF!</definedName>
    <definedName name="mld" localSheetId="3">#REF!</definedName>
    <definedName name="mld">#REF!</definedName>
    <definedName name="mll" localSheetId="7">#REF!</definedName>
    <definedName name="mll" localSheetId="1">#REF!</definedName>
    <definedName name="mll" localSheetId="3">#REF!</definedName>
    <definedName name="mll">#REF!</definedName>
    <definedName name="Mlpc" localSheetId="7">#REF!</definedName>
    <definedName name="Mlpc" localSheetId="1">#REF!</definedName>
    <definedName name="Mlpc" localSheetId="3">#REF!</definedName>
    <definedName name="Mlpc">#REF!</definedName>
    <definedName name="Mlpd" localSheetId="7">#REF!</definedName>
    <definedName name="Mlpd" localSheetId="1">#REF!</definedName>
    <definedName name="Mlpd" localSheetId="3">#REF!</definedName>
    <definedName name="Mlpd">#REF!</definedName>
    <definedName name="Mlps" localSheetId="7">#REF!</definedName>
    <definedName name="Mlps" localSheetId="1">#REF!</definedName>
    <definedName name="Mlps" localSheetId="3">#REF!</definedName>
    <definedName name="Mlps">#REF!</definedName>
    <definedName name="mlt" localSheetId="7">#REF!</definedName>
    <definedName name="mlt" localSheetId="1">#REF!</definedName>
    <definedName name="mlt" localSheetId="3">#REF!</definedName>
    <definedName name="mlt">#REF!</definedName>
    <definedName name="mmm" localSheetId="7">#REF!</definedName>
    <definedName name="mmm" localSheetId="1">#REF!</definedName>
    <definedName name="mmm" localSheetId="3">#REF!</definedName>
    <definedName name="mmm">#REF!</definedName>
    <definedName name="mmmmmmmmmm" localSheetId="7">#REF!</definedName>
    <definedName name="mmmmmmmmmm" localSheetId="1">#REF!</definedName>
    <definedName name="mmmmmmmmmm" localSheetId="3">#REF!</definedName>
    <definedName name="mmmmmmmmmm">#REF!</definedName>
    <definedName name="mmmmmmmmmmmmm" localSheetId="2">#REF!</definedName>
    <definedName name="mnk" localSheetId="2">#REF!</definedName>
    <definedName name="mobi" localSheetId="7">#REF!</definedName>
    <definedName name="mobi" localSheetId="1">#REF!</definedName>
    <definedName name="mobi" localSheetId="3">#REF!</definedName>
    <definedName name="mobi">#REF!</definedName>
    <definedName name="Mobilization" localSheetId="7">#REF!</definedName>
    <definedName name="Mobilization" localSheetId="1">#REF!</definedName>
    <definedName name="Mobilization" localSheetId="3">#REF!</definedName>
    <definedName name="Mobilization">#REF!</definedName>
    <definedName name="mom1x" localSheetId="7">#REF!</definedName>
    <definedName name="mom1x" localSheetId="1">#REF!</definedName>
    <definedName name="mom1x" localSheetId="3">#REF!</definedName>
    <definedName name="mom1x">#REF!</definedName>
    <definedName name="mom1y" localSheetId="7">#REF!</definedName>
    <definedName name="mom1y" localSheetId="1">#REF!</definedName>
    <definedName name="mom1y" localSheetId="3">#REF!</definedName>
    <definedName name="mom1y">#REF!</definedName>
    <definedName name="mom2x" localSheetId="7">#REF!</definedName>
    <definedName name="mom2x" localSheetId="1">#REF!</definedName>
    <definedName name="mom2x" localSheetId="3">#REF!</definedName>
    <definedName name="mom2x">#REF!</definedName>
    <definedName name="mom2y" localSheetId="7">#REF!</definedName>
    <definedName name="mom2y" localSheetId="1">#REF!</definedName>
    <definedName name="mom2y" localSheetId="3">#REF!</definedName>
    <definedName name="mom2y">#REF!</definedName>
    <definedName name="momratio" localSheetId="7">#REF!</definedName>
    <definedName name="momratio" localSheetId="1">#REF!</definedName>
    <definedName name="momratio" localSheetId="3">#REF!</definedName>
    <definedName name="momratio">#REF!</definedName>
    <definedName name="Mone" localSheetId="7">#REF!</definedName>
    <definedName name="Mone" localSheetId="1">#REF!</definedName>
    <definedName name="Mone" localSheetId="3">#REF!</definedName>
    <definedName name="Mone">#REF!</definedName>
    <definedName name="month" localSheetId="7">#REF!</definedName>
    <definedName name="month" localSheetId="1">#REF!</definedName>
    <definedName name="month" localSheetId="3">#REF!</definedName>
    <definedName name="month">#REF!</definedName>
    <definedName name="Month1_Ending_Bal" localSheetId="7">#REF!</definedName>
    <definedName name="Month1_Ending_Bal" localSheetId="1">#REF!</definedName>
    <definedName name="Month1_Ending_Bal" localSheetId="3">#REF!</definedName>
    <definedName name="Month1_Ending_Bal">#REF!</definedName>
    <definedName name="mpaver" localSheetId="7">#REF!</definedName>
    <definedName name="mpaver" localSheetId="1">#REF!</definedName>
    <definedName name="mpaver" localSheetId="3">#REF!</definedName>
    <definedName name="mpaver">#REF!</definedName>
    <definedName name="mr" localSheetId="7">#REF!</definedName>
    <definedName name="mr" localSheetId="1">#REF!</definedName>
    <definedName name="mr" localSheetId="3">#REF!</definedName>
    <definedName name="mr">#REF!</definedName>
    <definedName name="mr10resi"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5" hidden="1">{#N/A,#N/A,TRUE,"Financials";#N/A,#N/A,TRUE,"Operating Statistics";#N/A,#N/A,TRUE,"Capex &amp; Depreciation";#N/A,#N/A,TRUE,"Debt"}</definedName>
    <definedName name="mr10residen" localSheetId="2" hidden="1">{#N/A,#N/A,TRUE,"Financials";#N/A,#N/A,TRUE,"Operating Statistics";#N/A,#N/A,TRUE,"Capex &amp; Depreciation";#N/A,#N/A,TRUE,"Debt"}</definedName>
    <definedName name="MS200202rev2" localSheetId="7">#REF!</definedName>
    <definedName name="MS200202rev2" localSheetId="1">#REF!</definedName>
    <definedName name="MS200202rev2" localSheetId="3">#REF!</definedName>
    <definedName name="MS200202rev2">#REF!</definedName>
    <definedName name="ms200203rev03" localSheetId="7">#REF!</definedName>
    <definedName name="ms200203rev03" localSheetId="1">#REF!</definedName>
    <definedName name="ms200203rev03" localSheetId="3">#REF!</definedName>
    <definedName name="ms200203rev03">#REF!</definedName>
    <definedName name="ms2002june1706" localSheetId="7">#REF!</definedName>
    <definedName name="ms2002june1706" localSheetId="1">#REF!</definedName>
    <definedName name="ms2002june1706" localSheetId="3">#REF!</definedName>
    <definedName name="ms2002june1706">#REF!</definedName>
    <definedName name="ms2002may1706" localSheetId="7">#REF!</definedName>
    <definedName name="ms2002may1706" localSheetId="1">#REF!</definedName>
    <definedName name="ms2002may1706" localSheetId="3">#REF!</definedName>
    <definedName name="ms2002may1706">#REF!</definedName>
    <definedName name="Msbdo" localSheetId="7">#REF!</definedName>
    <definedName name="Msbdo" localSheetId="1">#REF!</definedName>
    <definedName name="Msbdo" localSheetId="3">#REF!</definedName>
    <definedName name="Msbdo">#REF!</definedName>
    <definedName name="msc" localSheetId="7">#REF!</definedName>
    <definedName name="msc" localSheetId="1">#REF!</definedName>
    <definedName name="msc" localSheetId="3">#REF!</definedName>
    <definedName name="msc">#REF!</definedName>
    <definedName name="MSEMULSION" localSheetId="7">#REF!</definedName>
    <definedName name="MSEMULSION" localSheetId="1">#REF!</definedName>
    <definedName name="MSEMULSION" localSheetId="3">#REF!</definedName>
    <definedName name="MSEMULSION">#REF!</definedName>
    <definedName name="msjune1807" localSheetId="7">#REF!</definedName>
    <definedName name="msjune1807" localSheetId="1">#REF!</definedName>
    <definedName name="msjune1807" localSheetId="3">#REF!</definedName>
    <definedName name="msjune1807">#REF!</definedName>
    <definedName name="msjunerev" localSheetId="7">#REF!</definedName>
    <definedName name="msjunerev" localSheetId="1">#REF!</definedName>
    <definedName name="msjunerev" localSheetId="3">#REF!</definedName>
    <definedName name="msjunerev">#REF!</definedName>
    <definedName name="msx" localSheetId="7">#REF!</definedName>
    <definedName name="msx" localSheetId="1">#REF!</definedName>
    <definedName name="msx" localSheetId="3">#REF!</definedName>
    <definedName name="msx">#REF!</definedName>
    <definedName name="msxb" localSheetId="7">#REF!</definedName>
    <definedName name="msxb" localSheetId="1">#REF!</definedName>
    <definedName name="msxb" localSheetId="3">#REF!</definedName>
    <definedName name="msxb">#REF!</definedName>
    <definedName name="msxt" localSheetId="7">#REF!</definedName>
    <definedName name="msxt" localSheetId="1">#REF!</definedName>
    <definedName name="msxt" localSheetId="3">#REF!</definedName>
    <definedName name="msxt">#REF!</definedName>
    <definedName name="msy" localSheetId="7">#REF!</definedName>
    <definedName name="msy" localSheetId="1">#REF!</definedName>
    <definedName name="msy" localSheetId="3">#REF!</definedName>
    <definedName name="msy">#REF!</definedName>
    <definedName name="msyb" localSheetId="7">#REF!</definedName>
    <definedName name="msyb" localSheetId="1">#REF!</definedName>
    <definedName name="msyb" localSheetId="3">#REF!</definedName>
    <definedName name="msyb">#REF!</definedName>
    <definedName name="msyt" localSheetId="7">#REF!</definedName>
    <definedName name="msyt" localSheetId="1">#REF!</definedName>
    <definedName name="msyt" localSheetId="3">#REF!</definedName>
    <definedName name="msyt">#REF!</definedName>
    <definedName name="mta" localSheetId="5" hidden="1">{#N/A,#N/A,TRUE,"Front";#N/A,#N/A,TRUE,"Simple Letter";#N/A,#N/A,TRUE,"Inside";#N/A,#N/A,TRUE,"Contents";#N/A,#N/A,TRUE,"Basis";#N/A,#N/A,TRUE,"Inclusions";#N/A,#N/A,TRUE,"Exclusions";#N/A,#N/A,TRUE,"Areas";#N/A,#N/A,TRUE,"Summary";#N/A,#N/A,TRUE,"Detail"}</definedName>
    <definedName name="mta" localSheetId="2" hidden="1">{#N/A,#N/A,TRUE,"Front";#N/A,#N/A,TRUE,"Simple Letter";#N/A,#N/A,TRUE,"Inside";#N/A,#N/A,TRUE,"Contents";#N/A,#N/A,TRUE,"Basis";#N/A,#N/A,TRUE,"Inclusions";#N/A,#N/A,TRUE,"Exclusions";#N/A,#N/A,TRUE,"Areas";#N/A,#N/A,TRUE,"Summary";#N/A,#N/A,TRUE,"Detail"}</definedName>
    <definedName name="mta_1" localSheetId="5" hidden="1">{#N/A,#N/A,TRUE,"Front";#N/A,#N/A,TRUE,"Simple Letter";#N/A,#N/A,TRUE,"Inside";#N/A,#N/A,TRUE,"Contents";#N/A,#N/A,TRUE,"Basis";#N/A,#N/A,TRUE,"Inclusions";#N/A,#N/A,TRUE,"Exclusions";#N/A,#N/A,TRUE,"Areas";#N/A,#N/A,TRUE,"Summary";#N/A,#N/A,TRUE,"Detail"}</definedName>
    <definedName name="mta_1" localSheetId="2" hidden="1">{#N/A,#N/A,TRUE,"Front";#N/A,#N/A,TRUE,"Simple Letter";#N/A,#N/A,TRUE,"Inside";#N/A,#N/A,TRUE,"Contents";#N/A,#N/A,TRUE,"Basis";#N/A,#N/A,TRUE,"Inclusions";#N/A,#N/A,TRUE,"Exclusions";#N/A,#N/A,TRUE,"Areas";#N/A,#N/A,TRUE,"Summary";#N/A,#N/A,TRUE,"Detail"}</definedName>
    <definedName name="mta_1_1" localSheetId="5" hidden="1">{#N/A,#N/A,TRUE,"Front";#N/A,#N/A,TRUE,"Simple Letter";#N/A,#N/A,TRUE,"Inside";#N/A,#N/A,TRUE,"Contents";#N/A,#N/A,TRUE,"Basis";#N/A,#N/A,TRUE,"Inclusions";#N/A,#N/A,TRUE,"Exclusions";#N/A,#N/A,TRUE,"Areas";#N/A,#N/A,TRUE,"Summary";#N/A,#N/A,TRUE,"Detail"}</definedName>
    <definedName name="mta_1_1" localSheetId="2" hidden="1">{#N/A,#N/A,TRUE,"Front";#N/A,#N/A,TRUE,"Simple Letter";#N/A,#N/A,TRUE,"Inside";#N/A,#N/A,TRUE,"Contents";#N/A,#N/A,TRUE,"Basis";#N/A,#N/A,TRUE,"Inclusions";#N/A,#N/A,TRUE,"Exclusions";#N/A,#N/A,TRUE,"Areas";#N/A,#N/A,TRUE,"Summary";#N/A,#N/A,TRUE,"Detail"}</definedName>
    <definedName name="mta_1_2" localSheetId="5" hidden="1">{#N/A,#N/A,TRUE,"Front";#N/A,#N/A,TRUE,"Simple Letter";#N/A,#N/A,TRUE,"Inside";#N/A,#N/A,TRUE,"Contents";#N/A,#N/A,TRUE,"Basis";#N/A,#N/A,TRUE,"Inclusions";#N/A,#N/A,TRUE,"Exclusions";#N/A,#N/A,TRUE,"Areas";#N/A,#N/A,TRUE,"Summary";#N/A,#N/A,TRUE,"Detail"}</definedName>
    <definedName name="mta_1_2" localSheetId="2" hidden="1">{#N/A,#N/A,TRUE,"Front";#N/A,#N/A,TRUE,"Simple Letter";#N/A,#N/A,TRUE,"Inside";#N/A,#N/A,TRUE,"Contents";#N/A,#N/A,TRUE,"Basis";#N/A,#N/A,TRUE,"Inclusions";#N/A,#N/A,TRUE,"Exclusions";#N/A,#N/A,TRUE,"Areas";#N/A,#N/A,TRUE,"Summary";#N/A,#N/A,TRUE,"Detail"}</definedName>
    <definedName name="mta_2" localSheetId="5" hidden="1">{#N/A,#N/A,TRUE,"Front";#N/A,#N/A,TRUE,"Simple Letter";#N/A,#N/A,TRUE,"Inside";#N/A,#N/A,TRUE,"Contents";#N/A,#N/A,TRUE,"Basis";#N/A,#N/A,TRUE,"Inclusions";#N/A,#N/A,TRUE,"Exclusions";#N/A,#N/A,TRUE,"Areas";#N/A,#N/A,TRUE,"Summary";#N/A,#N/A,TRUE,"Detail"}</definedName>
    <definedName name="mta_2" localSheetId="2" hidden="1">{#N/A,#N/A,TRUE,"Front";#N/A,#N/A,TRUE,"Simple Letter";#N/A,#N/A,TRUE,"Inside";#N/A,#N/A,TRUE,"Contents";#N/A,#N/A,TRUE,"Basis";#N/A,#N/A,TRUE,"Inclusions";#N/A,#N/A,TRUE,"Exclusions";#N/A,#N/A,TRUE,"Areas";#N/A,#N/A,TRUE,"Summary";#N/A,#N/A,TRUE,"Detail"}</definedName>
    <definedName name="mta_2_1" localSheetId="5" hidden="1">{#N/A,#N/A,TRUE,"Front";#N/A,#N/A,TRUE,"Simple Letter";#N/A,#N/A,TRUE,"Inside";#N/A,#N/A,TRUE,"Contents";#N/A,#N/A,TRUE,"Basis";#N/A,#N/A,TRUE,"Inclusions";#N/A,#N/A,TRUE,"Exclusions";#N/A,#N/A,TRUE,"Areas";#N/A,#N/A,TRUE,"Summary";#N/A,#N/A,TRUE,"Detail"}</definedName>
    <definedName name="mta_2_1" localSheetId="2" hidden="1">{#N/A,#N/A,TRUE,"Front";#N/A,#N/A,TRUE,"Simple Letter";#N/A,#N/A,TRUE,"Inside";#N/A,#N/A,TRUE,"Contents";#N/A,#N/A,TRUE,"Basis";#N/A,#N/A,TRUE,"Inclusions";#N/A,#N/A,TRUE,"Exclusions";#N/A,#N/A,TRUE,"Areas";#N/A,#N/A,TRUE,"Summary";#N/A,#N/A,TRUE,"Detail"}</definedName>
    <definedName name="mta_3" localSheetId="5" hidden="1">{#N/A,#N/A,TRUE,"Front";#N/A,#N/A,TRUE,"Simple Letter";#N/A,#N/A,TRUE,"Inside";#N/A,#N/A,TRUE,"Contents";#N/A,#N/A,TRUE,"Basis";#N/A,#N/A,TRUE,"Inclusions";#N/A,#N/A,TRUE,"Exclusions";#N/A,#N/A,TRUE,"Areas";#N/A,#N/A,TRUE,"Summary";#N/A,#N/A,TRUE,"Detail"}</definedName>
    <definedName name="mta_3" localSheetId="2" hidden="1">{#N/A,#N/A,TRUE,"Front";#N/A,#N/A,TRUE,"Simple Letter";#N/A,#N/A,TRUE,"Inside";#N/A,#N/A,TRUE,"Contents";#N/A,#N/A,TRUE,"Basis";#N/A,#N/A,TRUE,"Inclusions";#N/A,#N/A,TRUE,"Exclusions";#N/A,#N/A,TRUE,"Areas";#N/A,#N/A,TRUE,"Summary";#N/A,#N/A,TRUE,"Detail"}</definedName>
    <definedName name="mta_4" localSheetId="5" hidden="1">{#N/A,#N/A,TRUE,"Front";#N/A,#N/A,TRUE,"Simple Letter";#N/A,#N/A,TRUE,"Inside";#N/A,#N/A,TRUE,"Contents";#N/A,#N/A,TRUE,"Basis";#N/A,#N/A,TRUE,"Inclusions";#N/A,#N/A,TRUE,"Exclusions";#N/A,#N/A,TRUE,"Areas";#N/A,#N/A,TRUE,"Summary";#N/A,#N/A,TRUE,"Detail"}</definedName>
    <definedName name="mta_4" localSheetId="2" hidden="1">{#N/A,#N/A,TRUE,"Front";#N/A,#N/A,TRUE,"Simple Letter";#N/A,#N/A,TRUE,"Inside";#N/A,#N/A,TRUE,"Contents";#N/A,#N/A,TRUE,"Basis";#N/A,#N/A,TRUE,"Inclusions";#N/A,#N/A,TRUE,"Exclusions";#N/A,#N/A,TRUE,"Areas";#N/A,#N/A,TRUE,"Summary";#N/A,#N/A,TRUE,"Detail"}</definedName>
    <definedName name="mu">110</definedName>
    <definedName name="Mubd2" localSheetId="7">#REF!</definedName>
    <definedName name="Mubd2" localSheetId="1">#REF!</definedName>
    <definedName name="Mubd2" localSheetId="3">#REF!</definedName>
    <definedName name="Mubd2">#REF!</definedName>
    <definedName name="mubyfckbd" localSheetId="7">#REF!</definedName>
    <definedName name="mubyfckbd" localSheetId="1">#REF!</definedName>
    <definedName name="mubyfckbd" localSheetId="3">#REF!</definedName>
    <definedName name="mubyfckbd">#REF!</definedName>
    <definedName name="MUTHU" localSheetId="7">#REF!</definedName>
    <definedName name="MUTHU" localSheetId="1">#REF!</definedName>
    <definedName name="MUTHU" localSheetId="3">#REF!</definedName>
    <definedName name="MUTHU">#REF!</definedName>
    <definedName name="mux" localSheetId="7">#REF!</definedName>
    <definedName name="mux" localSheetId="1">#REF!</definedName>
    <definedName name="mux" localSheetId="3">#REF!</definedName>
    <definedName name="mux">#REF!</definedName>
    <definedName name="mux1b" localSheetId="7">#REF!</definedName>
    <definedName name="mux1b" localSheetId="1">#REF!</definedName>
    <definedName name="mux1b" localSheetId="3">#REF!</definedName>
    <definedName name="mux1b">#REF!</definedName>
    <definedName name="mux1t" localSheetId="7">#REF!</definedName>
    <definedName name="mux1t" localSheetId="1">#REF!</definedName>
    <definedName name="mux1t" localSheetId="3">#REF!</definedName>
    <definedName name="mux1t">#REF!</definedName>
    <definedName name="muxb" localSheetId="7">#REF!</definedName>
    <definedName name="muxb" localSheetId="1">#REF!</definedName>
    <definedName name="muxb" localSheetId="3">#REF!</definedName>
    <definedName name="muxb">#REF!</definedName>
    <definedName name="muxt" localSheetId="7">#REF!</definedName>
    <definedName name="muxt" localSheetId="1">#REF!</definedName>
    <definedName name="muxt" localSheetId="3">#REF!</definedName>
    <definedName name="muxt">#REF!</definedName>
    <definedName name="muy" localSheetId="7">#REF!</definedName>
    <definedName name="muy" localSheetId="1">#REF!</definedName>
    <definedName name="muy" localSheetId="3">#REF!</definedName>
    <definedName name="muy">#REF!</definedName>
    <definedName name="muy1b" localSheetId="7">#REF!</definedName>
    <definedName name="muy1b" localSheetId="1">#REF!</definedName>
    <definedName name="muy1b" localSheetId="3">#REF!</definedName>
    <definedName name="muy1b">#REF!</definedName>
    <definedName name="muy1t" localSheetId="7">#REF!</definedName>
    <definedName name="muy1t" localSheetId="1">#REF!</definedName>
    <definedName name="muy1t" localSheetId="3">#REF!</definedName>
    <definedName name="muy1t">#REF!</definedName>
    <definedName name="muyb" localSheetId="7">#REF!</definedName>
    <definedName name="muyb" localSheetId="1">#REF!</definedName>
    <definedName name="muyb" localSheetId="3">#REF!</definedName>
    <definedName name="muyb">#REF!</definedName>
    <definedName name="muybyfckbd" localSheetId="7">#REF!</definedName>
    <definedName name="muybyfckbd" localSheetId="1">#REF!</definedName>
    <definedName name="muybyfckbd" localSheetId="3">#REF!</definedName>
    <definedName name="muybyfckbd">#REF!</definedName>
    <definedName name="muyt" localSheetId="7">#REF!</definedName>
    <definedName name="muyt" localSheetId="1">#REF!</definedName>
    <definedName name="muyt" localSheetId="3">#REF!</definedName>
    <definedName name="muyt">#REF!</definedName>
    <definedName name="mx" localSheetId="7">#REF!</definedName>
    <definedName name="mx" localSheetId="1">#REF!</definedName>
    <definedName name="mx" localSheetId="3">#REF!</definedName>
    <definedName name="mx">#REF!</definedName>
    <definedName name="mxb" localSheetId="7">#REF!</definedName>
    <definedName name="mxb" localSheetId="1">#REF!</definedName>
    <definedName name="mxb" localSheetId="3">#REF!</definedName>
    <definedName name="mxb">#REF!</definedName>
    <definedName name="mxt" localSheetId="7">#REF!</definedName>
    <definedName name="mxt" localSheetId="1">#REF!</definedName>
    <definedName name="mxt" localSheetId="3">#REF!</definedName>
    <definedName name="mxt">#REF!</definedName>
    <definedName name="my" localSheetId="7">#REF!</definedName>
    <definedName name="my" localSheetId="1">#REF!</definedName>
    <definedName name="my" localSheetId="3">#REF!</definedName>
    <definedName name="my">#REF!</definedName>
    <definedName name="myb" localSheetId="7">#REF!</definedName>
    <definedName name="myb" localSheetId="1">#REF!</definedName>
    <definedName name="myb" localSheetId="3">#REF!</definedName>
    <definedName name="myb">#REF!</definedName>
    <definedName name="myt" localSheetId="7">#REF!</definedName>
    <definedName name="myt" localSheetId="1">#REF!</definedName>
    <definedName name="myt" localSheetId="3">#REF!</definedName>
    <definedName name="myt">#REF!</definedName>
    <definedName name="N" localSheetId="7">#REF!</definedName>
    <definedName name="N" localSheetId="1">#REF!</definedName>
    <definedName name="N" localSheetId="3">#REF!</definedName>
    <definedName name="N">#REF!</definedName>
    <definedName name="n.j.amalraj" localSheetId="7">#REF!</definedName>
    <definedName name="n.j.amalraj" localSheetId="1">#REF!</definedName>
    <definedName name="n.j.amalraj" localSheetId="3">#REF!</definedName>
    <definedName name="n.j.amalraj">#REF!</definedName>
    <definedName name="N___0" localSheetId="7">#REF!</definedName>
    <definedName name="N___0" localSheetId="1">#REF!</definedName>
    <definedName name="N___0" localSheetId="3">#REF!</definedName>
    <definedName name="N___0">#REF!</definedName>
    <definedName name="N___13" localSheetId="7">#REF!</definedName>
    <definedName name="N___13" localSheetId="1">#REF!</definedName>
    <definedName name="N___13" localSheetId="3">#REF!</definedName>
    <definedName name="N___13">#REF!</definedName>
    <definedName name="n_1" localSheetId="5" hidden="1">{"form-D1",#N/A,FALSE,"FORM-D1";"form-D1_amt",#N/A,FALSE,"FORM-D1"}</definedName>
    <definedName name="n_1" localSheetId="2" hidden="1">{"form-D1",#N/A,FALSE,"FORM-D1";"form-D1_amt",#N/A,FALSE,"FORM-D1"}</definedName>
    <definedName name="n_1_1" localSheetId="5" hidden="1">{"form-D1",#N/A,FALSE,"FORM-D1";"form-D1_amt",#N/A,FALSE,"FORM-D1"}</definedName>
    <definedName name="n_1_1" localSheetId="2" hidden="1">{"form-D1",#N/A,FALSE,"FORM-D1";"form-D1_amt",#N/A,FALSE,"FORM-D1"}</definedName>
    <definedName name="n_1_2" localSheetId="5" hidden="1">{"form-D1",#N/A,FALSE,"FORM-D1";"form-D1_amt",#N/A,FALSE,"FORM-D1"}</definedName>
    <definedName name="n_1_2" localSheetId="2" hidden="1">{"form-D1",#N/A,FALSE,"FORM-D1";"form-D1_amt",#N/A,FALSE,"FORM-D1"}</definedName>
    <definedName name="n_2" localSheetId="5" hidden="1">{"form-D1",#N/A,FALSE,"FORM-D1";"form-D1_amt",#N/A,FALSE,"FORM-D1"}</definedName>
    <definedName name="n_2" localSheetId="2" hidden="1">{"form-D1",#N/A,FALSE,"FORM-D1";"form-D1_amt",#N/A,FALSE,"FORM-D1"}</definedName>
    <definedName name="n_2_1" localSheetId="5" hidden="1">{"form-D1",#N/A,FALSE,"FORM-D1";"form-D1_amt",#N/A,FALSE,"FORM-D1"}</definedName>
    <definedName name="n_2_1" localSheetId="2" hidden="1">{"form-D1",#N/A,FALSE,"FORM-D1";"form-D1_amt",#N/A,FALSE,"FORM-D1"}</definedName>
    <definedName name="n_3" localSheetId="5" hidden="1">{"form-D1",#N/A,FALSE,"FORM-D1";"form-D1_amt",#N/A,FALSE,"FORM-D1"}</definedName>
    <definedName name="n_3" localSheetId="2" hidden="1">{"form-D1",#N/A,FALSE,"FORM-D1";"form-D1_amt",#N/A,FALSE,"FORM-D1"}</definedName>
    <definedName name="n_3_1" localSheetId="5" hidden="1">{"form-D1",#N/A,FALSE,"FORM-D1";"form-D1_amt",#N/A,FALSE,"FORM-D1"}</definedName>
    <definedName name="n_3_1" localSheetId="2" hidden="1">{"form-D1",#N/A,FALSE,"FORM-D1";"form-D1_amt",#N/A,FALSE,"FORM-D1"}</definedName>
    <definedName name="n_4" localSheetId="5" hidden="1">{"form-D1",#N/A,FALSE,"FORM-D1";"form-D1_amt",#N/A,FALSE,"FORM-D1"}</definedName>
    <definedName name="n_4" localSheetId="2" hidden="1">{"form-D1",#N/A,FALSE,"FORM-D1";"form-D1_amt",#N/A,FALSE,"FORM-D1"}</definedName>
    <definedName name="n_4_1" localSheetId="5" hidden="1">{"form-D1",#N/A,FALSE,"FORM-D1";"form-D1_amt",#N/A,FALSE,"FORM-D1"}</definedName>
    <definedName name="n_4_1" localSheetId="2" hidden="1">{"form-D1",#N/A,FALSE,"FORM-D1";"form-D1_amt",#N/A,FALSE,"FORM-D1"}</definedName>
    <definedName name="n_5" localSheetId="5" hidden="1">{"form-D1",#N/A,FALSE,"FORM-D1";"form-D1_amt",#N/A,FALSE,"FORM-D1"}</definedName>
    <definedName name="n_5" localSheetId="2" hidden="1">{"form-D1",#N/A,FALSE,"FORM-D1";"form-D1_amt",#N/A,FALSE,"FORM-D1"}</definedName>
    <definedName name="n_5_1" localSheetId="5" hidden="1">{"form-D1",#N/A,FALSE,"FORM-D1";"form-D1_amt",#N/A,FALSE,"FORM-D1"}</definedName>
    <definedName name="n_5_1" localSheetId="2" hidden="1">{"form-D1",#N/A,FALSE,"FORM-D1";"form-D1_amt",#N/A,FALSE,"FORM-D1"}</definedName>
    <definedName name="nandan" localSheetId="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riman_Point_Car_Parking_Site" localSheetId="7">#REF!</definedName>
    <definedName name="Nariman_Point_Car_Parking_Site" localSheetId="1">#REF!</definedName>
    <definedName name="Nariman_Point_Car_Parking_Site" localSheetId="3">#REF!</definedName>
    <definedName name="Nariman_Point_Car_Parking_Site">#REF!</definedName>
    <definedName name="nb" localSheetId="7">#REF!</definedName>
    <definedName name="nb" localSheetId="1">#REF!</definedName>
    <definedName name="nb" localSheetId="3">#REF!</definedName>
    <definedName name="nb">#REF!</definedName>
    <definedName name="NBMF" localSheetId="7">#REF!</definedName>
    <definedName name="NBMF" localSheetId="1">#REF!</definedName>
    <definedName name="NBMF" localSheetId="3">#REF!</definedName>
    <definedName name="NBMF">#REF!</definedName>
    <definedName name="nc" localSheetId="7">#REF!</definedName>
    <definedName name="nc" localSheetId="1">#REF!</definedName>
    <definedName name="nc" localSheetId="3">#REF!</definedName>
    <definedName name="nc">#REF!</definedName>
    <definedName name="nd" localSheetId="7">#REF!</definedName>
    <definedName name="nd" localSheetId="1">#REF!</definedName>
    <definedName name="nd" localSheetId="3">#REF!</definedName>
    <definedName name="nd">#REF!</definedName>
    <definedName name="ne" localSheetId="7">#REF!</definedName>
    <definedName name="ne" localSheetId="1">#REF!</definedName>
    <definedName name="ne" localSheetId="3">#REF!</definedName>
    <definedName name="ne">#REF!</definedName>
    <definedName name="new" localSheetId="5" hidden="1">{"'Bill No. 7'!$A$1:$G$32"}</definedName>
    <definedName name="new" localSheetId="2" hidden="1">{"'Bill No. 7'!$A$1:$G$32"}</definedName>
    <definedName name="NEWNA"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Row" localSheetId="7">#REF!</definedName>
    <definedName name="NewRow" localSheetId="1">#REF!</definedName>
    <definedName name="NewRow" localSheetId="3">#REF!</definedName>
    <definedName name="NewRow">#REF!</definedName>
    <definedName name="ni" localSheetId="7">#REF!</definedName>
    <definedName name="ni" localSheetId="1">#REF!</definedName>
    <definedName name="ni" localSheetId="3">#REF!</definedName>
    <definedName name="ni">#REF!</definedName>
    <definedName name="nmk" localSheetId="7">#REF!</definedName>
    <definedName name="nmk" localSheetId="1">#REF!</definedName>
    <definedName name="nmk" localSheetId="3">#REF!</definedName>
    <definedName name="nmk">#REF!</definedName>
    <definedName name="nmmn" localSheetId="7">#REF!</definedName>
    <definedName name="nmmn" localSheetId="1">#REF!</definedName>
    <definedName name="nmmn" localSheetId="3">#REF!</definedName>
    <definedName name="nmmn">#REF!</definedName>
    <definedName name="NN" localSheetId="7">#REF!</definedName>
    <definedName name="NN" localSheetId="1">#REF!</definedName>
    <definedName name="NN" localSheetId="3">#REF!</definedName>
    <definedName name="NN">#REF!</definedName>
    <definedName name="NN___0" localSheetId="7">#REF!</definedName>
    <definedName name="NN___0" localSheetId="1">#REF!</definedName>
    <definedName name="NN___0" localSheetId="3">#REF!</definedName>
    <definedName name="NN___0">#REF!</definedName>
    <definedName name="NN___13" localSheetId="7">#REF!</definedName>
    <definedName name="NN___13" localSheetId="1">#REF!</definedName>
    <definedName name="NN___13" localSheetId="3">#REF!</definedName>
    <definedName name="NN___13">#REF!</definedName>
    <definedName name="nnnnnnnnnnnnn" localSheetId="7">#REF!</definedName>
    <definedName name="nnnnnnnnnnnnn" localSheetId="1">#REF!</definedName>
    <definedName name="nnnnnnnnnnnnn" localSheetId="3">#REF!</definedName>
    <definedName name="nnnnnnnnnnnnn">#REF!</definedName>
    <definedName name="NO" localSheetId="7">#REF!</definedName>
    <definedName name="NO" localSheetId="1">#REF!</definedName>
    <definedName name="NO" localSheetId="3">#REF!</definedName>
    <definedName name="NO">#REF!</definedName>
    <definedName name="NO." localSheetId="7">#REF!</definedName>
    <definedName name="NO." localSheetId="1">#REF!</definedName>
    <definedName name="NO." localSheetId="3">#REF!</definedName>
    <definedName name="NO.">#REF!</definedName>
    <definedName name="NOS" localSheetId="7">#REF!</definedName>
    <definedName name="NOS" localSheetId="1">#REF!</definedName>
    <definedName name="NOS" localSheetId="3">#REF!</definedName>
    <definedName name="NOS">#REF!</definedName>
    <definedName name="Note_Cap_Crit" localSheetId="7">#REF!</definedName>
    <definedName name="Note_Cap_Crit" localSheetId="1">#REF!</definedName>
    <definedName name="Note_Cap_Crit" localSheetId="3">#REF!</definedName>
    <definedName name="Note_Cap_Crit">#REF!</definedName>
    <definedName name="Note_inc_Exp" localSheetId="7">#REF!</definedName>
    <definedName name="Note_inc_Exp" localSheetId="1">#REF!</definedName>
    <definedName name="Note_inc_Exp" localSheetId="3">#REF!</definedName>
    <definedName name="Note_inc_Exp">#REF!</definedName>
    <definedName name="Note_to_Auditors" localSheetId="7">#REF!</definedName>
    <definedName name="Note_to_Auditors" localSheetId="1">#REF!</definedName>
    <definedName name="Note_to_Auditors" localSheetId="3">#REF!</definedName>
    <definedName name="Note_to_Auditors">#REF!</definedName>
    <definedName name="notok" localSheetId="7">#REF!</definedName>
    <definedName name="notok" localSheetId="1">#REF!</definedName>
    <definedName name="notok" localSheetId="3">#REF!</definedName>
    <definedName name="notok">#REF!</definedName>
    <definedName name="Ns" localSheetId="7">#REF!</definedName>
    <definedName name="Ns" localSheetId="1">#REF!</definedName>
    <definedName name="Ns" localSheetId="3">#REF!</definedName>
    <definedName name="Ns">#REF!</definedName>
    <definedName name="nss" localSheetId="5" hidden="1">{#N/A,#N/A,FALSE,"consu_cover";#N/A,#N/A,FALSE,"consu_strategy";#N/A,#N/A,FALSE,"consu_flow";#N/A,#N/A,FALSE,"Summary_reqmt";#N/A,#N/A,FALSE,"field_ppg";#N/A,#N/A,FALSE,"ppg_shop";#N/A,#N/A,FALSE,"strl";#N/A,#N/A,FALSE,"tankages";#N/A,#N/A,FALSE,"gases"}</definedName>
    <definedName name="nss" localSheetId="2" hidden="1">{#N/A,#N/A,FALSE,"consu_cover";#N/A,#N/A,FALSE,"consu_strategy";#N/A,#N/A,FALSE,"consu_flow";#N/A,#N/A,FALSE,"Summary_reqmt";#N/A,#N/A,FALSE,"field_ppg";#N/A,#N/A,FALSE,"ppg_shop";#N/A,#N/A,FALSE,"strl";#N/A,#N/A,FALSE,"tankages";#N/A,#N/A,FALSE,"gases"}</definedName>
    <definedName name="NSSR10" localSheetId="7">#REF!</definedName>
    <definedName name="NSSR10" localSheetId="1">#REF!</definedName>
    <definedName name="NSSR10" localSheetId="3">#REF!</definedName>
    <definedName name="NSSR10">#REF!</definedName>
    <definedName name="NSSR100" localSheetId="7">#REF!</definedName>
    <definedName name="NSSR100" localSheetId="1">#REF!</definedName>
    <definedName name="NSSR100" localSheetId="3">#REF!</definedName>
    <definedName name="NSSR100">#REF!</definedName>
    <definedName name="NSSR101" localSheetId="7">#REF!</definedName>
    <definedName name="NSSR101" localSheetId="1">#REF!</definedName>
    <definedName name="NSSR101" localSheetId="3">#REF!</definedName>
    <definedName name="NSSR101">#REF!</definedName>
    <definedName name="NSSR102" localSheetId="7">#REF!</definedName>
    <definedName name="NSSR102" localSheetId="1">#REF!</definedName>
    <definedName name="NSSR102" localSheetId="3">#REF!</definedName>
    <definedName name="NSSR102">#REF!</definedName>
    <definedName name="NSSR103" localSheetId="7">#REF!</definedName>
    <definedName name="NSSR103" localSheetId="1">#REF!</definedName>
    <definedName name="NSSR103" localSheetId="3">#REF!</definedName>
    <definedName name="NSSR103">#REF!</definedName>
    <definedName name="NSSR104" localSheetId="7">#REF!</definedName>
    <definedName name="NSSR104" localSheetId="1">#REF!</definedName>
    <definedName name="NSSR104" localSheetId="3">#REF!</definedName>
    <definedName name="NSSR104">#REF!</definedName>
    <definedName name="NSSR105" localSheetId="7">#REF!</definedName>
    <definedName name="NSSR105" localSheetId="1">#REF!</definedName>
    <definedName name="NSSR105" localSheetId="3">#REF!</definedName>
    <definedName name="NSSR105">#REF!</definedName>
    <definedName name="NSSR106" localSheetId="7">#REF!</definedName>
    <definedName name="NSSR106" localSheetId="1">#REF!</definedName>
    <definedName name="NSSR106" localSheetId="3">#REF!</definedName>
    <definedName name="NSSR106">#REF!</definedName>
    <definedName name="NSSR107" localSheetId="7">#REF!</definedName>
    <definedName name="NSSR107" localSheetId="1">#REF!</definedName>
    <definedName name="NSSR107" localSheetId="3">#REF!</definedName>
    <definedName name="NSSR107">#REF!</definedName>
    <definedName name="NSSR108" localSheetId="7">#REF!</definedName>
    <definedName name="NSSR108" localSheetId="1">#REF!</definedName>
    <definedName name="NSSR108" localSheetId="3">#REF!</definedName>
    <definedName name="NSSR108">#REF!</definedName>
    <definedName name="NSSR109" localSheetId="7">#REF!</definedName>
    <definedName name="NSSR109" localSheetId="1">#REF!</definedName>
    <definedName name="NSSR109" localSheetId="3">#REF!</definedName>
    <definedName name="NSSR109">#REF!</definedName>
    <definedName name="NSSR11" localSheetId="7">#REF!</definedName>
    <definedName name="NSSR11" localSheetId="1">#REF!</definedName>
    <definedName name="NSSR11" localSheetId="3">#REF!</definedName>
    <definedName name="NSSR11">#REF!</definedName>
    <definedName name="NSSR110" localSheetId="7">#REF!</definedName>
    <definedName name="NSSR110" localSheetId="1">#REF!</definedName>
    <definedName name="NSSR110" localSheetId="3">#REF!</definedName>
    <definedName name="NSSR110">#REF!</definedName>
    <definedName name="NSSR111" localSheetId="7">#REF!</definedName>
    <definedName name="NSSR111" localSheetId="1">#REF!</definedName>
    <definedName name="NSSR111" localSheetId="3">#REF!</definedName>
    <definedName name="NSSR111">#REF!</definedName>
    <definedName name="NSSR112" localSheetId="7">#REF!</definedName>
    <definedName name="NSSR112" localSheetId="1">#REF!</definedName>
    <definedName name="NSSR112" localSheetId="3">#REF!</definedName>
    <definedName name="NSSR112">#REF!</definedName>
    <definedName name="NSSR113" localSheetId="7">#REF!</definedName>
    <definedName name="NSSR113" localSheetId="1">#REF!</definedName>
    <definedName name="NSSR113" localSheetId="3">#REF!</definedName>
    <definedName name="NSSR113">#REF!</definedName>
    <definedName name="NSSR114" localSheetId="7">#REF!</definedName>
    <definedName name="NSSR114" localSheetId="1">#REF!</definedName>
    <definedName name="NSSR114" localSheetId="3">#REF!</definedName>
    <definedName name="NSSR114">#REF!</definedName>
    <definedName name="NSSR115" localSheetId="7">#REF!</definedName>
    <definedName name="NSSR115" localSheetId="1">#REF!</definedName>
    <definedName name="NSSR115" localSheetId="3">#REF!</definedName>
    <definedName name="NSSR115">#REF!</definedName>
    <definedName name="NSSR116" localSheetId="7">#REF!</definedName>
    <definedName name="NSSR116" localSheetId="1">#REF!</definedName>
    <definedName name="NSSR116" localSheetId="3">#REF!</definedName>
    <definedName name="NSSR116">#REF!</definedName>
    <definedName name="NSSR117" localSheetId="7">#REF!</definedName>
    <definedName name="NSSR117" localSheetId="1">#REF!</definedName>
    <definedName name="NSSR117" localSheetId="3">#REF!</definedName>
    <definedName name="NSSR117">#REF!</definedName>
    <definedName name="NSSR118" localSheetId="7">#REF!</definedName>
    <definedName name="NSSR118" localSheetId="1">#REF!</definedName>
    <definedName name="NSSR118" localSheetId="3">#REF!</definedName>
    <definedName name="NSSR118">#REF!</definedName>
    <definedName name="NSSR119" localSheetId="7">#REF!</definedName>
    <definedName name="NSSR119" localSheetId="1">#REF!</definedName>
    <definedName name="NSSR119" localSheetId="3">#REF!</definedName>
    <definedName name="NSSR119">#REF!</definedName>
    <definedName name="NSSR12" localSheetId="7">#REF!</definedName>
    <definedName name="NSSR12" localSheetId="1">#REF!</definedName>
    <definedName name="NSSR12" localSheetId="3">#REF!</definedName>
    <definedName name="NSSR12">#REF!</definedName>
    <definedName name="NSSR120" localSheetId="7">#REF!</definedName>
    <definedName name="NSSR120" localSheetId="1">#REF!</definedName>
    <definedName name="NSSR120" localSheetId="3">#REF!</definedName>
    <definedName name="NSSR120">#REF!</definedName>
    <definedName name="NSSR121" localSheetId="7">#REF!</definedName>
    <definedName name="NSSR121" localSheetId="1">#REF!</definedName>
    <definedName name="NSSR121" localSheetId="3">#REF!</definedName>
    <definedName name="NSSR121">#REF!</definedName>
    <definedName name="NSSR122" localSheetId="7">#REF!</definedName>
    <definedName name="NSSR122" localSheetId="1">#REF!</definedName>
    <definedName name="NSSR122" localSheetId="3">#REF!</definedName>
    <definedName name="NSSR122">#REF!</definedName>
    <definedName name="NSSR123" localSheetId="7">#REF!</definedName>
    <definedName name="NSSR123" localSheetId="1">#REF!</definedName>
    <definedName name="NSSR123" localSheetId="3">#REF!</definedName>
    <definedName name="NSSR123">#REF!</definedName>
    <definedName name="NSSR124" localSheetId="7">#REF!</definedName>
    <definedName name="NSSR124" localSheetId="1">#REF!</definedName>
    <definedName name="NSSR124" localSheetId="3">#REF!</definedName>
    <definedName name="NSSR124">#REF!</definedName>
    <definedName name="NSSR125" localSheetId="7">#REF!</definedName>
    <definedName name="NSSR125" localSheetId="1">#REF!</definedName>
    <definedName name="NSSR125" localSheetId="3">#REF!</definedName>
    <definedName name="NSSR125">#REF!</definedName>
    <definedName name="NSSR126" localSheetId="7">#REF!</definedName>
    <definedName name="NSSR126" localSheetId="1">#REF!</definedName>
    <definedName name="NSSR126" localSheetId="3">#REF!</definedName>
    <definedName name="NSSR126">#REF!</definedName>
    <definedName name="NSSR127" localSheetId="7">#REF!</definedName>
    <definedName name="NSSR127" localSheetId="1">#REF!</definedName>
    <definedName name="NSSR127" localSheetId="3">#REF!</definedName>
    <definedName name="NSSR127">#REF!</definedName>
    <definedName name="NSSR128" localSheetId="7">#REF!</definedName>
    <definedName name="NSSR128" localSheetId="1">#REF!</definedName>
    <definedName name="NSSR128" localSheetId="3">#REF!</definedName>
    <definedName name="NSSR128">#REF!</definedName>
    <definedName name="NSSR129" localSheetId="7">#REF!</definedName>
    <definedName name="NSSR129" localSheetId="1">#REF!</definedName>
    <definedName name="NSSR129" localSheetId="3">#REF!</definedName>
    <definedName name="NSSR129">#REF!</definedName>
    <definedName name="NSSR13" localSheetId="7">#REF!</definedName>
    <definedName name="NSSR13" localSheetId="1">#REF!</definedName>
    <definedName name="NSSR13" localSheetId="3">#REF!</definedName>
    <definedName name="NSSR13">#REF!</definedName>
    <definedName name="NSSR130" localSheetId="7">#REF!</definedName>
    <definedName name="NSSR130" localSheetId="1">#REF!</definedName>
    <definedName name="NSSR130" localSheetId="3">#REF!</definedName>
    <definedName name="NSSR130">#REF!</definedName>
    <definedName name="NSSR131" localSheetId="7">#REF!</definedName>
    <definedName name="NSSR131" localSheetId="1">#REF!</definedName>
    <definedName name="NSSR131" localSheetId="3">#REF!</definedName>
    <definedName name="NSSR131">#REF!</definedName>
    <definedName name="NSSR132" localSheetId="7">#REF!</definedName>
    <definedName name="NSSR132" localSheetId="1">#REF!</definedName>
    <definedName name="NSSR132" localSheetId="3">#REF!</definedName>
    <definedName name="NSSR132">#REF!</definedName>
    <definedName name="NSSR133" localSheetId="7">#REF!</definedName>
    <definedName name="NSSR133" localSheetId="1">#REF!</definedName>
    <definedName name="NSSR133" localSheetId="3">#REF!</definedName>
    <definedName name="NSSR133">#REF!</definedName>
    <definedName name="NSSR134" localSheetId="7">#REF!</definedName>
    <definedName name="NSSR134" localSheetId="1">#REF!</definedName>
    <definedName name="NSSR134" localSheetId="3">#REF!</definedName>
    <definedName name="NSSR134">#REF!</definedName>
    <definedName name="NSSR135" localSheetId="7">#REF!</definedName>
    <definedName name="NSSR135" localSheetId="1">#REF!</definedName>
    <definedName name="NSSR135" localSheetId="3">#REF!</definedName>
    <definedName name="NSSR135">#REF!</definedName>
    <definedName name="NSSR136" localSheetId="7">#REF!</definedName>
    <definedName name="NSSR136" localSheetId="1">#REF!</definedName>
    <definedName name="NSSR136" localSheetId="3">#REF!</definedName>
    <definedName name="NSSR136">#REF!</definedName>
    <definedName name="NSSR137" localSheetId="7">#REF!</definedName>
    <definedName name="NSSR137" localSheetId="1">#REF!</definedName>
    <definedName name="NSSR137" localSheetId="3">#REF!</definedName>
    <definedName name="NSSR137">#REF!</definedName>
    <definedName name="NSSR138" localSheetId="7">#REF!</definedName>
    <definedName name="NSSR138" localSheetId="1">#REF!</definedName>
    <definedName name="NSSR138" localSheetId="3">#REF!</definedName>
    <definedName name="NSSR138">#REF!</definedName>
    <definedName name="NSSR139" localSheetId="7">#REF!</definedName>
    <definedName name="NSSR139" localSheetId="1">#REF!</definedName>
    <definedName name="NSSR139" localSheetId="3">#REF!</definedName>
    <definedName name="NSSR139">#REF!</definedName>
    <definedName name="NSSR14" localSheetId="7">#REF!</definedName>
    <definedName name="NSSR14" localSheetId="1">#REF!</definedName>
    <definedName name="NSSR14" localSheetId="3">#REF!</definedName>
    <definedName name="NSSR14">#REF!</definedName>
    <definedName name="NSSR140" localSheetId="7">#REF!</definedName>
    <definedName name="NSSR140" localSheetId="1">#REF!</definedName>
    <definedName name="NSSR140" localSheetId="3">#REF!</definedName>
    <definedName name="NSSR140">#REF!</definedName>
    <definedName name="NSSR141" localSheetId="7">#REF!</definedName>
    <definedName name="NSSR141" localSheetId="1">#REF!</definedName>
    <definedName name="NSSR141" localSheetId="3">#REF!</definedName>
    <definedName name="NSSR141">#REF!</definedName>
    <definedName name="NSSR142" localSheetId="7">#REF!</definedName>
    <definedName name="NSSR142" localSheetId="1">#REF!</definedName>
    <definedName name="NSSR142" localSheetId="3">#REF!</definedName>
    <definedName name="NSSR142">#REF!</definedName>
    <definedName name="NSSR143" localSheetId="7">#REF!</definedName>
    <definedName name="NSSR143" localSheetId="1">#REF!</definedName>
    <definedName name="NSSR143" localSheetId="3">#REF!</definedName>
    <definedName name="NSSR143">#REF!</definedName>
    <definedName name="NSSR144" localSheetId="7">#REF!</definedName>
    <definedName name="NSSR144" localSheetId="1">#REF!</definedName>
    <definedName name="NSSR144" localSheetId="3">#REF!</definedName>
    <definedName name="NSSR144">#REF!</definedName>
    <definedName name="NSSR145" localSheetId="7">#REF!</definedName>
    <definedName name="NSSR145" localSheetId="1">#REF!</definedName>
    <definedName name="NSSR145" localSheetId="3">#REF!</definedName>
    <definedName name="NSSR145">#REF!</definedName>
    <definedName name="NSSR146" localSheetId="7">#REF!</definedName>
    <definedName name="NSSR146" localSheetId="1">#REF!</definedName>
    <definedName name="NSSR146" localSheetId="3">#REF!</definedName>
    <definedName name="NSSR146">#REF!</definedName>
    <definedName name="NSSR147" localSheetId="7">#REF!</definedName>
    <definedName name="NSSR147" localSheetId="1">#REF!</definedName>
    <definedName name="NSSR147" localSheetId="3">#REF!</definedName>
    <definedName name="NSSR147">#REF!</definedName>
    <definedName name="NSSR148" localSheetId="7">#REF!</definedName>
    <definedName name="NSSR148" localSheetId="1">#REF!</definedName>
    <definedName name="NSSR148" localSheetId="3">#REF!</definedName>
    <definedName name="NSSR148">#REF!</definedName>
    <definedName name="NSSR149" localSheetId="7">#REF!</definedName>
    <definedName name="NSSR149" localSheetId="1">#REF!</definedName>
    <definedName name="NSSR149" localSheetId="3">#REF!</definedName>
    <definedName name="NSSR149">#REF!</definedName>
    <definedName name="NSSR15" localSheetId="7">#REF!</definedName>
    <definedName name="NSSR15" localSheetId="1">#REF!</definedName>
    <definedName name="NSSR15" localSheetId="3">#REF!</definedName>
    <definedName name="NSSR15">#REF!</definedName>
    <definedName name="NSSR150" localSheetId="7">#REF!</definedName>
    <definedName name="NSSR150" localSheetId="1">#REF!</definedName>
    <definedName name="NSSR150" localSheetId="3">#REF!</definedName>
    <definedName name="NSSR150">#REF!</definedName>
    <definedName name="NSSR151" localSheetId="7">#REF!</definedName>
    <definedName name="NSSR151" localSheetId="1">#REF!</definedName>
    <definedName name="NSSR151" localSheetId="3">#REF!</definedName>
    <definedName name="NSSR151">#REF!</definedName>
    <definedName name="NSSR152" localSheetId="7">#REF!</definedName>
    <definedName name="NSSR152" localSheetId="1">#REF!</definedName>
    <definedName name="NSSR152" localSheetId="3">#REF!</definedName>
    <definedName name="NSSR152">#REF!</definedName>
    <definedName name="NSSR153" localSheetId="7">#REF!</definedName>
    <definedName name="NSSR153" localSheetId="1">#REF!</definedName>
    <definedName name="NSSR153" localSheetId="3">#REF!</definedName>
    <definedName name="NSSR153">#REF!</definedName>
    <definedName name="NSSR154" localSheetId="7">#REF!</definedName>
    <definedName name="NSSR154" localSheetId="1">#REF!</definedName>
    <definedName name="NSSR154" localSheetId="3">#REF!</definedName>
    <definedName name="NSSR154">#REF!</definedName>
    <definedName name="NSSR155" localSheetId="7">#REF!</definedName>
    <definedName name="NSSR155" localSheetId="1">#REF!</definedName>
    <definedName name="NSSR155" localSheetId="3">#REF!</definedName>
    <definedName name="NSSR155">#REF!</definedName>
    <definedName name="NSSR156" localSheetId="7">#REF!</definedName>
    <definedName name="NSSR156" localSheetId="1">#REF!</definedName>
    <definedName name="NSSR156" localSheetId="3">#REF!</definedName>
    <definedName name="NSSR156">#REF!</definedName>
    <definedName name="NSSR157" localSheetId="7">#REF!</definedName>
    <definedName name="NSSR157" localSheetId="1">#REF!</definedName>
    <definedName name="NSSR157" localSheetId="3">#REF!</definedName>
    <definedName name="NSSR157">#REF!</definedName>
    <definedName name="NSSR158" localSheetId="7">#REF!</definedName>
    <definedName name="NSSR158" localSheetId="1">#REF!</definedName>
    <definedName name="NSSR158" localSheetId="3">#REF!</definedName>
    <definedName name="NSSR158">#REF!</definedName>
    <definedName name="NSSR159" localSheetId="7">#REF!</definedName>
    <definedName name="NSSR159" localSheetId="1">#REF!</definedName>
    <definedName name="NSSR159" localSheetId="3">#REF!</definedName>
    <definedName name="NSSR159">#REF!</definedName>
    <definedName name="NSSR16" localSheetId="7">#REF!</definedName>
    <definedName name="NSSR16" localSheetId="1">#REF!</definedName>
    <definedName name="NSSR16" localSheetId="3">#REF!</definedName>
    <definedName name="NSSR16">#REF!</definedName>
    <definedName name="NSSR160" localSheetId="7">#REF!</definedName>
    <definedName name="NSSR160" localSheetId="1">#REF!</definedName>
    <definedName name="NSSR160" localSheetId="3">#REF!</definedName>
    <definedName name="NSSR160">#REF!</definedName>
    <definedName name="NSSR161" localSheetId="7">#REF!</definedName>
    <definedName name="NSSR161" localSheetId="1">#REF!</definedName>
    <definedName name="NSSR161" localSheetId="3">#REF!</definedName>
    <definedName name="NSSR161">#REF!</definedName>
    <definedName name="NSSR162" localSheetId="7">#REF!</definedName>
    <definedName name="NSSR162" localSheetId="1">#REF!</definedName>
    <definedName name="NSSR162" localSheetId="3">#REF!</definedName>
    <definedName name="NSSR162">#REF!</definedName>
    <definedName name="NSSR163" localSheetId="7">#REF!</definedName>
    <definedName name="NSSR163" localSheetId="1">#REF!</definedName>
    <definedName name="NSSR163" localSheetId="3">#REF!</definedName>
    <definedName name="NSSR163">#REF!</definedName>
    <definedName name="NSSR164" localSheetId="7">#REF!</definedName>
    <definedName name="NSSR164" localSheetId="1">#REF!</definedName>
    <definedName name="NSSR164" localSheetId="3">#REF!</definedName>
    <definedName name="NSSR164">#REF!</definedName>
    <definedName name="NSSR165" localSheetId="7">#REF!</definedName>
    <definedName name="NSSR165" localSheetId="1">#REF!</definedName>
    <definedName name="NSSR165" localSheetId="3">#REF!</definedName>
    <definedName name="NSSR165">#REF!</definedName>
    <definedName name="NSSR166" localSheetId="7">#REF!</definedName>
    <definedName name="NSSR166" localSheetId="1">#REF!</definedName>
    <definedName name="NSSR166" localSheetId="3">#REF!</definedName>
    <definedName name="NSSR166">#REF!</definedName>
    <definedName name="NSSR167" localSheetId="7">#REF!</definedName>
    <definedName name="NSSR167" localSheetId="1">#REF!</definedName>
    <definedName name="NSSR167" localSheetId="3">#REF!</definedName>
    <definedName name="NSSR167">#REF!</definedName>
    <definedName name="NSSR168" localSheetId="7">#REF!</definedName>
    <definedName name="NSSR168" localSheetId="1">#REF!</definedName>
    <definedName name="NSSR168" localSheetId="3">#REF!</definedName>
    <definedName name="NSSR168">#REF!</definedName>
    <definedName name="NSSR169" localSheetId="7">#REF!</definedName>
    <definedName name="NSSR169" localSheetId="1">#REF!</definedName>
    <definedName name="NSSR169" localSheetId="3">#REF!</definedName>
    <definedName name="NSSR169">#REF!</definedName>
    <definedName name="NSSR17" localSheetId="7">#REF!</definedName>
    <definedName name="NSSR17" localSheetId="1">#REF!</definedName>
    <definedName name="NSSR17" localSheetId="3">#REF!</definedName>
    <definedName name="NSSR17">#REF!</definedName>
    <definedName name="NSSR170" localSheetId="7">#REF!</definedName>
    <definedName name="NSSR170" localSheetId="1">#REF!</definedName>
    <definedName name="NSSR170" localSheetId="3">#REF!</definedName>
    <definedName name="NSSR170">#REF!</definedName>
    <definedName name="NSSR171" localSheetId="7">#REF!</definedName>
    <definedName name="NSSR171" localSheetId="1">#REF!</definedName>
    <definedName name="NSSR171" localSheetId="3">#REF!</definedName>
    <definedName name="NSSR171">#REF!</definedName>
    <definedName name="NSSR172" localSheetId="7">#REF!</definedName>
    <definedName name="NSSR172" localSheetId="1">#REF!</definedName>
    <definedName name="NSSR172" localSheetId="3">#REF!</definedName>
    <definedName name="NSSR172">#REF!</definedName>
    <definedName name="NSSR173" localSheetId="7">#REF!</definedName>
    <definedName name="NSSR173" localSheetId="1">#REF!</definedName>
    <definedName name="NSSR173" localSheetId="3">#REF!</definedName>
    <definedName name="NSSR173">#REF!</definedName>
    <definedName name="NSSR174" localSheetId="7">#REF!</definedName>
    <definedName name="NSSR174" localSheetId="1">#REF!</definedName>
    <definedName name="NSSR174" localSheetId="3">#REF!</definedName>
    <definedName name="NSSR174">#REF!</definedName>
    <definedName name="NSSR18" localSheetId="7">#REF!</definedName>
    <definedName name="NSSR18" localSheetId="1">#REF!</definedName>
    <definedName name="NSSR18" localSheetId="3">#REF!</definedName>
    <definedName name="NSSR18">#REF!</definedName>
    <definedName name="NSSR19" localSheetId="7">#REF!</definedName>
    <definedName name="NSSR19" localSheetId="1">#REF!</definedName>
    <definedName name="NSSR19" localSheetId="3">#REF!</definedName>
    <definedName name="NSSR19">#REF!</definedName>
    <definedName name="NSSR2" localSheetId="7">#REF!</definedName>
    <definedName name="NSSR2" localSheetId="1">#REF!</definedName>
    <definedName name="NSSR2" localSheetId="3">#REF!</definedName>
    <definedName name="NSSR2">#REF!</definedName>
    <definedName name="NSSR20" localSheetId="7">#REF!</definedName>
    <definedName name="NSSR20" localSheetId="1">#REF!</definedName>
    <definedName name="NSSR20" localSheetId="3">#REF!</definedName>
    <definedName name="NSSR20">#REF!</definedName>
    <definedName name="NSSR21" localSheetId="7">#REF!</definedName>
    <definedName name="NSSR21" localSheetId="1">#REF!</definedName>
    <definedName name="NSSR21" localSheetId="3">#REF!</definedName>
    <definedName name="NSSR21">#REF!</definedName>
    <definedName name="NSSR22" localSheetId="7">#REF!</definedName>
    <definedName name="NSSR22" localSheetId="1">#REF!</definedName>
    <definedName name="NSSR22" localSheetId="3">#REF!</definedName>
    <definedName name="NSSR22">#REF!</definedName>
    <definedName name="NSSR23" localSheetId="7">#REF!</definedName>
    <definedName name="NSSR23" localSheetId="1">#REF!</definedName>
    <definedName name="NSSR23" localSheetId="3">#REF!</definedName>
    <definedName name="NSSR23">#REF!</definedName>
    <definedName name="NSSR24" localSheetId="7">#REF!</definedName>
    <definedName name="NSSR24" localSheetId="1">#REF!</definedName>
    <definedName name="NSSR24" localSheetId="3">#REF!</definedName>
    <definedName name="NSSR24">#REF!</definedName>
    <definedName name="NSSR25" localSheetId="7">#REF!</definedName>
    <definedName name="NSSR25" localSheetId="1">#REF!</definedName>
    <definedName name="NSSR25" localSheetId="3">#REF!</definedName>
    <definedName name="NSSR25">#REF!</definedName>
    <definedName name="NSSR26" localSheetId="7">#REF!</definedName>
    <definedName name="NSSR26" localSheetId="1">#REF!</definedName>
    <definedName name="NSSR26" localSheetId="3">#REF!</definedName>
    <definedName name="NSSR26">#REF!</definedName>
    <definedName name="NSSR27" localSheetId="7">#REF!</definedName>
    <definedName name="NSSR27" localSheetId="1">#REF!</definedName>
    <definedName name="NSSR27" localSheetId="3">#REF!</definedName>
    <definedName name="NSSR27">#REF!</definedName>
    <definedName name="NSSR28" localSheetId="7">#REF!</definedName>
    <definedName name="NSSR28" localSheetId="1">#REF!</definedName>
    <definedName name="NSSR28" localSheetId="3">#REF!</definedName>
    <definedName name="NSSR28">#REF!</definedName>
    <definedName name="NSSR29" localSheetId="7">#REF!</definedName>
    <definedName name="NSSR29" localSheetId="1">#REF!</definedName>
    <definedName name="NSSR29" localSheetId="3">#REF!</definedName>
    <definedName name="NSSR29">#REF!</definedName>
    <definedName name="NSSR3" localSheetId="7">#REF!</definedName>
    <definedName name="NSSR3" localSheetId="1">#REF!</definedName>
    <definedName name="NSSR3" localSheetId="3">#REF!</definedName>
    <definedName name="NSSR3">#REF!</definedName>
    <definedName name="NSSR30" localSheetId="7">#REF!</definedName>
    <definedName name="NSSR30" localSheetId="1">#REF!</definedName>
    <definedName name="NSSR30" localSheetId="3">#REF!</definedName>
    <definedName name="NSSR30">#REF!</definedName>
    <definedName name="NSSR31" localSheetId="7">#REF!</definedName>
    <definedName name="NSSR31" localSheetId="1">#REF!</definedName>
    <definedName name="NSSR31" localSheetId="3">#REF!</definedName>
    <definedName name="NSSR31">#REF!</definedName>
    <definedName name="NSSR32" localSheetId="7">#REF!</definedName>
    <definedName name="NSSR32" localSheetId="1">#REF!</definedName>
    <definedName name="NSSR32" localSheetId="3">#REF!</definedName>
    <definedName name="NSSR32">#REF!</definedName>
    <definedName name="NSSR33" localSheetId="7">#REF!</definedName>
    <definedName name="NSSR33" localSheetId="1">#REF!</definedName>
    <definedName name="NSSR33" localSheetId="3">#REF!</definedName>
    <definedName name="NSSR33">#REF!</definedName>
    <definedName name="NSSR34" localSheetId="7">#REF!</definedName>
    <definedName name="NSSR34" localSheetId="1">#REF!</definedName>
    <definedName name="NSSR34" localSheetId="3">#REF!</definedName>
    <definedName name="NSSR34">#REF!</definedName>
    <definedName name="NSSR35" localSheetId="7">#REF!</definedName>
    <definedName name="NSSR35" localSheetId="1">#REF!</definedName>
    <definedName name="NSSR35" localSheetId="3">#REF!</definedName>
    <definedName name="NSSR35">#REF!</definedName>
    <definedName name="NSSR36" localSheetId="7">#REF!</definedName>
    <definedName name="NSSR36" localSheetId="1">#REF!</definedName>
    <definedName name="NSSR36" localSheetId="3">#REF!</definedName>
    <definedName name="NSSR36">#REF!</definedName>
    <definedName name="NSSR37" localSheetId="7">#REF!</definedName>
    <definedName name="NSSR37" localSheetId="1">#REF!</definedName>
    <definedName name="NSSR37" localSheetId="3">#REF!</definedName>
    <definedName name="NSSR37">#REF!</definedName>
    <definedName name="NSSR38" localSheetId="7">#REF!</definedName>
    <definedName name="NSSR38" localSheetId="1">#REF!</definedName>
    <definedName name="NSSR38" localSheetId="3">#REF!</definedName>
    <definedName name="NSSR38">#REF!</definedName>
    <definedName name="NSSR39" localSheetId="7">#REF!</definedName>
    <definedName name="NSSR39" localSheetId="1">#REF!</definedName>
    <definedName name="NSSR39" localSheetId="3">#REF!</definedName>
    <definedName name="NSSR39">#REF!</definedName>
    <definedName name="NSSR4" localSheetId="7">#REF!</definedName>
    <definedName name="NSSR4" localSheetId="1">#REF!</definedName>
    <definedName name="NSSR4" localSheetId="3">#REF!</definedName>
    <definedName name="NSSR4">#REF!</definedName>
    <definedName name="NSSR40" localSheetId="7">#REF!</definedName>
    <definedName name="NSSR40" localSheetId="1">#REF!</definedName>
    <definedName name="NSSR40" localSheetId="3">#REF!</definedName>
    <definedName name="NSSR40">#REF!</definedName>
    <definedName name="NSSR41" localSheetId="7">#REF!</definedName>
    <definedName name="NSSR41" localSheetId="1">#REF!</definedName>
    <definedName name="NSSR41" localSheetId="3">#REF!</definedName>
    <definedName name="NSSR41">#REF!</definedName>
    <definedName name="NSSR42" localSheetId="7">#REF!</definedName>
    <definedName name="NSSR42" localSheetId="1">#REF!</definedName>
    <definedName name="NSSR42" localSheetId="3">#REF!</definedName>
    <definedName name="NSSR42">#REF!</definedName>
    <definedName name="NSSR43" localSheetId="7">#REF!</definedName>
    <definedName name="NSSR43" localSheetId="1">#REF!</definedName>
    <definedName name="NSSR43" localSheetId="3">#REF!</definedName>
    <definedName name="NSSR43">#REF!</definedName>
    <definedName name="NSSR44" localSheetId="7">#REF!</definedName>
    <definedName name="NSSR44" localSheetId="1">#REF!</definedName>
    <definedName name="NSSR44" localSheetId="3">#REF!</definedName>
    <definedName name="NSSR44">#REF!</definedName>
    <definedName name="NSSR45" localSheetId="7">#REF!</definedName>
    <definedName name="NSSR45" localSheetId="1">#REF!</definedName>
    <definedName name="NSSR45" localSheetId="3">#REF!</definedName>
    <definedName name="NSSR45">#REF!</definedName>
    <definedName name="NSSR46" localSheetId="7">#REF!</definedName>
    <definedName name="NSSR46" localSheetId="1">#REF!</definedName>
    <definedName name="NSSR46" localSheetId="3">#REF!</definedName>
    <definedName name="NSSR46">#REF!</definedName>
    <definedName name="NSSR47" localSheetId="7">#REF!</definedName>
    <definedName name="NSSR47" localSheetId="1">#REF!</definedName>
    <definedName name="NSSR47" localSheetId="3">#REF!</definedName>
    <definedName name="NSSR47">#REF!</definedName>
    <definedName name="NSSR48" localSheetId="7">#REF!</definedName>
    <definedName name="NSSR48" localSheetId="1">#REF!</definedName>
    <definedName name="NSSR48" localSheetId="3">#REF!</definedName>
    <definedName name="NSSR48">#REF!</definedName>
    <definedName name="NSSR49" localSheetId="7">#REF!</definedName>
    <definedName name="NSSR49" localSheetId="1">#REF!</definedName>
    <definedName name="NSSR49" localSheetId="3">#REF!</definedName>
    <definedName name="NSSR49">#REF!</definedName>
    <definedName name="NSSR5" localSheetId="7">#REF!</definedName>
    <definedName name="NSSR5" localSheetId="1">#REF!</definedName>
    <definedName name="NSSR5" localSheetId="3">#REF!</definedName>
    <definedName name="NSSR5">#REF!</definedName>
    <definedName name="NSSR50" localSheetId="7">#REF!</definedName>
    <definedName name="NSSR50" localSheetId="1">#REF!</definedName>
    <definedName name="NSSR50" localSheetId="3">#REF!</definedName>
    <definedName name="NSSR50">#REF!</definedName>
    <definedName name="NSSR51" localSheetId="7">#REF!</definedName>
    <definedName name="NSSR51" localSheetId="1">#REF!</definedName>
    <definedName name="NSSR51" localSheetId="3">#REF!</definedName>
    <definedName name="NSSR51">#REF!</definedName>
    <definedName name="NSSR52" localSheetId="7">#REF!</definedName>
    <definedName name="NSSR52" localSheetId="1">#REF!</definedName>
    <definedName name="NSSR52" localSheetId="3">#REF!</definedName>
    <definedName name="NSSR52">#REF!</definedName>
    <definedName name="NSSR53" localSheetId="7">#REF!</definedName>
    <definedName name="NSSR53" localSheetId="1">#REF!</definedName>
    <definedName name="NSSR53" localSheetId="3">#REF!</definedName>
    <definedName name="NSSR53">#REF!</definedName>
    <definedName name="NSSR54" localSheetId="7">#REF!</definedName>
    <definedName name="NSSR54" localSheetId="1">#REF!</definedName>
    <definedName name="NSSR54" localSheetId="3">#REF!</definedName>
    <definedName name="NSSR54">#REF!</definedName>
    <definedName name="NSSR55" localSheetId="7">#REF!</definedName>
    <definedName name="NSSR55" localSheetId="1">#REF!</definedName>
    <definedName name="NSSR55" localSheetId="3">#REF!</definedName>
    <definedName name="NSSR55">#REF!</definedName>
    <definedName name="NSSR56" localSheetId="7">#REF!</definedName>
    <definedName name="NSSR56" localSheetId="1">#REF!</definedName>
    <definedName name="NSSR56" localSheetId="3">#REF!</definedName>
    <definedName name="NSSR56">#REF!</definedName>
    <definedName name="NSSR57" localSheetId="7">#REF!</definedName>
    <definedName name="NSSR57" localSheetId="1">#REF!</definedName>
    <definedName name="NSSR57" localSheetId="3">#REF!</definedName>
    <definedName name="NSSR57">#REF!</definedName>
    <definedName name="NSSR58" localSheetId="7">#REF!</definedName>
    <definedName name="NSSR58" localSheetId="1">#REF!</definedName>
    <definedName name="NSSR58" localSheetId="3">#REF!</definedName>
    <definedName name="NSSR58">#REF!</definedName>
    <definedName name="NSSR59" localSheetId="7">#REF!</definedName>
    <definedName name="NSSR59" localSheetId="1">#REF!</definedName>
    <definedName name="NSSR59" localSheetId="3">#REF!</definedName>
    <definedName name="NSSR59">#REF!</definedName>
    <definedName name="NSSR6" localSheetId="7">#REF!</definedName>
    <definedName name="NSSR6" localSheetId="1">#REF!</definedName>
    <definedName name="NSSR6" localSheetId="3">#REF!</definedName>
    <definedName name="NSSR6">#REF!</definedName>
    <definedName name="NSSR60" localSheetId="7">#REF!</definedName>
    <definedName name="NSSR60" localSheetId="1">#REF!</definedName>
    <definedName name="NSSR60" localSheetId="3">#REF!</definedName>
    <definedName name="NSSR60">#REF!</definedName>
    <definedName name="NSSR61" localSheetId="7">#REF!</definedName>
    <definedName name="NSSR61" localSheetId="1">#REF!</definedName>
    <definedName name="NSSR61" localSheetId="3">#REF!</definedName>
    <definedName name="NSSR61">#REF!</definedName>
    <definedName name="NSSR62" localSheetId="7">#REF!</definedName>
    <definedName name="NSSR62" localSheetId="1">#REF!</definedName>
    <definedName name="NSSR62" localSheetId="3">#REF!</definedName>
    <definedName name="NSSR62">#REF!</definedName>
    <definedName name="NSSR63" localSheetId="7">#REF!</definedName>
    <definedName name="NSSR63" localSheetId="1">#REF!</definedName>
    <definedName name="NSSR63" localSheetId="3">#REF!</definedName>
    <definedName name="NSSR63">#REF!</definedName>
    <definedName name="NSSR64" localSheetId="7">#REF!</definedName>
    <definedName name="NSSR64" localSheetId="1">#REF!</definedName>
    <definedName name="NSSR64" localSheetId="3">#REF!</definedName>
    <definedName name="NSSR64">#REF!</definedName>
    <definedName name="NSSR65" localSheetId="7">#REF!</definedName>
    <definedName name="NSSR65" localSheetId="1">#REF!</definedName>
    <definedName name="NSSR65" localSheetId="3">#REF!</definedName>
    <definedName name="NSSR65">#REF!</definedName>
    <definedName name="NSSR66" localSheetId="7">#REF!</definedName>
    <definedName name="NSSR66" localSheetId="1">#REF!</definedName>
    <definedName name="NSSR66" localSheetId="3">#REF!</definedName>
    <definedName name="NSSR66">#REF!</definedName>
    <definedName name="NSSR67" localSheetId="7">#REF!</definedName>
    <definedName name="NSSR67" localSheetId="1">#REF!</definedName>
    <definedName name="NSSR67" localSheetId="3">#REF!</definedName>
    <definedName name="NSSR67">#REF!</definedName>
    <definedName name="NSSR68" localSheetId="7">#REF!</definedName>
    <definedName name="NSSR68" localSheetId="1">#REF!</definedName>
    <definedName name="NSSR68" localSheetId="3">#REF!</definedName>
    <definedName name="NSSR68">#REF!</definedName>
    <definedName name="NSSR69" localSheetId="7">#REF!</definedName>
    <definedName name="NSSR69" localSheetId="1">#REF!</definedName>
    <definedName name="NSSR69" localSheetId="3">#REF!</definedName>
    <definedName name="NSSR69">#REF!</definedName>
    <definedName name="NSSR7" localSheetId="7">#REF!</definedName>
    <definedName name="NSSR7" localSheetId="1">#REF!</definedName>
    <definedName name="NSSR7" localSheetId="3">#REF!</definedName>
    <definedName name="NSSR7">#REF!</definedName>
    <definedName name="NSSR70" localSheetId="7">#REF!</definedName>
    <definedName name="NSSR70" localSheetId="1">#REF!</definedName>
    <definedName name="NSSR70" localSheetId="3">#REF!</definedName>
    <definedName name="NSSR70">#REF!</definedName>
    <definedName name="NSSR71" localSheetId="7">#REF!</definedName>
    <definedName name="NSSR71" localSheetId="1">#REF!</definedName>
    <definedName name="NSSR71" localSheetId="3">#REF!</definedName>
    <definedName name="NSSR71">#REF!</definedName>
    <definedName name="NSSR72" localSheetId="7">#REF!</definedName>
    <definedName name="NSSR72" localSheetId="1">#REF!</definedName>
    <definedName name="NSSR72" localSheetId="3">#REF!</definedName>
    <definedName name="NSSR72">#REF!</definedName>
    <definedName name="NSSR73" localSheetId="7">#REF!</definedName>
    <definedName name="NSSR73" localSheetId="1">#REF!</definedName>
    <definedName name="NSSR73" localSheetId="3">#REF!</definedName>
    <definedName name="NSSR73">#REF!</definedName>
    <definedName name="NSSR74" localSheetId="7">#REF!</definedName>
    <definedName name="NSSR74" localSheetId="1">#REF!</definedName>
    <definedName name="NSSR74" localSheetId="3">#REF!</definedName>
    <definedName name="NSSR74">#REF!</definedName>
    <definedName name="NSSR75" localSheetId="7">#REF!</definedName>
    <definedName name="NSSR75" localSheetId="1">#REF!</definedName>
    <definedName name="NSSR75" localSheetId="3">#REF!</definedName>
    <definedName name="NSSR75">#REF!</definedName>
    <definedName name="NSSR76" localSheetId="7">#REF!</definedName>
    <definedName name="NSSR76" localSheetId="1">#REF!</definedName>
    <definedName name="NSSR76" localSheetId="3">#REF!</definedName>
    <definedName name="NSSR76">#REF!</definedName>
    <definedName name="NSSR77" localSheetId="7">#REF!</definedName>
    <definedName name="NSSR77" localSheetId="1">#REF!</definedName>
    <definedName name="NSSR77" localSheetId="3">#REF!</definedName>
    <definedName name="NSSR77">#REF!</definedName>
    <definedName name="NSSR78" localSheetId="7">#REF!</definedName>
    <definedName name="NSSR78" localSheetId="1">#REF!</definedName>
    <definedName name="NSSR78" localSheetId="3">#REF!</definedName>
    <definedName name="NSSR78">#REF!</definedName>
    <definedName name="NSSR79" localSheetId="7">#REF!</definedName>
    <definedName name="NSSR79" localSheetId="1">#REF!</definedName>
    <definedName name="NSSR79" localSheetId="3">#REF!</definedName>
    <definedName name="NSSR79">#REF!</definedName>
    <definedName name="NSSR8" localSheetId="7">#REF!</definedName>
    <definedName name="NSSR8" localSheetId="1">#REF!</definedName>
    <definedName name="NSSR8" localSheetId="3">#REF!</definedName>
    <definedName name="NSSR8">#REF!</definedName>
    <definedName name="NSSR80" localSheetId="7">#REF!</definedName>
    <definedName name="NSSR80" localSheetId="1">#REF!</definedName>
    <definedName name="NSSR80" localSheetId="3">#REF!</definedName>
    <definedName name="NSSR80">#REF!</definedName>
    <definedName name="NSSR81" localSheetId="7">#REF!</definedName>
    <definedName name="NSSR81" localSheetId="1">#REF!</definedName>
    <definedName name="NSSR81" localSheetId="3">#REF!</definedName>
    <definedName name="NSSR81">#REF!</definedName>
    <definedName name="NSSR82" localSheetId="7">#REF!</definedName>
    <definedName name="NSSR82" localSheetId="1">#REF!</definedName>
    <definedName name="NSSR82" localSheetId="3">#REF!</definedName>
    <definedName name="NSSR82">#REF!</definedName>
    <definedName name="NSSR83" localSheetId="7">#REF!</definedName>
    <definedName name="NSSR83" localSheetId="1">#REF!</definedName>
    <definedName name="NSSR83" localSheetId="3">#REF!</definedName>
    <definedName name="NSSR83">#REF!</definedName>
    <definedName name="NSSR84" localSheetId="7">#REF!</definedName>
    <definedName name="NSSR84" localSheetId="1">#REF!</definedName>
    <definedName name="NSSR84" localSheetId="3">#REF!</definedName>
    <definedName name="NSSR84">#REF!</definedName>
    <definedName name="NSSR85" localSheetId="7">#REF!</definedName>
    <definedName name="NSSR85" localSheetId="1">#REF!</definedName>
    <definedName name="NSSR85" localSheetId="3">#REF!</definedName>
    <definedName name="NSSR85">#REF!</definedName>
    <definedName name="NSSR86" localSheetId="7">#REF!</definedName>
    <definedName name="NSSR86" localSheetId="1">#REF!</definedName>
    <definedName name="NSSR86" localSheetId="3">#REF!</definedName>
    <definedName name="NSSR86">#REF!</definedName>
    <definedName name="NSSR87" localSheetId="7">#REF!</definedName>
    <definedName name="NSSR87" localSheetId="1">#REF!</definedName>
    <definedName name="NSSR87" localSheetId="3">#REF!</definedName>
    <definedName name="NSSR87">#REF!</definedName>
    <definedName name="NSSR88" localSheetId="7">#REF!</definedName>
    <definedName name="NSSR88" localSheetId="1">#REF!</definedName>
    <definedName name="NSSR88" localSheetId="3">#REF!</definedName>
    <definedName name="NSSR88">#REF!</definedName>
    <definedName name="NSSR89" localSheetId="7">#REF!</definedName>
    <definedName name="NSSR89" localSheetId="1">#REF!</definedName>
    <definedName name="NSSR89" localSheetId="3">#REF!</definedName>
    <definedName name="NSSR89">#REF!</definedName>
    <definedName name="NSSR9" localSheetId="7">#REF!</definedName>
    <definedName name="NSSR9" localSheetId="1">#REF!</definedName>
    <definedName name="NSSR9" localSheetId="3">#REF!</definedName>
    <definedName name="NSSR9">#REF!</definedName>
    <definedName name="NSSR90" localSheetId="7">#REF!</definedName>
    <definedName name="NSSR90" localSheetId="1">#REF!</definedName>
    <definedName name="NSSR90" localSheetId="3">#REF!</definedName>
    <definedName name="NSSR90">#REF!</definedName>
    <definedName name="NSSR91" localSheetId="7">#REF!</definedName>
    <definedName name="NSSR91" localSheetId="1">#REF!</definedName>
    <definedName name="NSSR91" localSheetId="3">#REF!</definedName>
    <definedName name="NSSR91">#REF!</definedName>
    <definedName name="NSSR92" localSheetId="7">#REF!</definedName>
    <definedName name="NSSR92" localSheetId="1">#REF!</definedName>
    <definedName name="NSSR92" localSheetId="3">#REF!</definedName>
    <definedName name="NSSR92">#REF!</definedName>
    <definedName name="NSSR93" localSheetId="7">#REF!</definedName>
    <definedName name="NSSR93" localSheetId="1">#REF!</definedName>
    <definedName name="NSSR93" localSheetId="3">#REF!</definedName>
    <definedName name="NSSR93">#REF!</definedName>
    <definedName name="NSSR94" localSheetId="7">#REF!</definedName>
    <definedName name="NSSR94" localSheetId="1">#REF!</definedName>
    <definedName name="NSSR94" localSheetId="3">#REF!</definedName>
    <definedName name="NSSR94">#REF!</definedName>
    <definedName name="NSSR95" localSheetId="7">#REF!</definedName>
    <definedName name="NSSR95" localSheetId="1">#REF!</definedName>
    <definedName name="NSSR95" localSheetId="3">#REF!</definedName>
    <definedName name="NSSR95">#REF!</definedName>
    <definedName name="NSSR96" localSheetId="7">#REF!</definedName>
    <definedName name="NSSR96" localSheetId="1">#REF!</definedName>
    <definedName name="NSSR96" localSheetId="3">#REF!</definedName>
    <definedName name="NSSR96">#REF!</definedName>
    <definedName name="NSSR97" localSheetId="7">#REF!</definedName>
    <definedName name="NSSR97" localSheetId="1">#REF!</definedName>
    <definedName name="NSSR97" localSheetId="3">#REF!</definedName>
    <definedName name="NSSR97">#REF!</definedName>
    <definedName name="NSSR98" localSheetId="7">#REF!</definedName>
    <definedName name="NSSR98" localSheetId="1">#REF!</definedName>
    <definedName name="NSSR98" localSheetId="3">#REF!</definedName>
    <definedName name="NSSR98">#REF!</definedName>
    <definedName name="NSSR99" localSheetId="7">#REF!</definedName>
    <definedName name="NSSR99" localSheetId="1">#REF!</definedName>
    <definedName name="NSSR99" localSheetId="3">#REF!</definedName>
    <definedName name="NSSR99">#REF!</definedName>
    <definedName name="nt" localSheetId="7">#REF!</definedName>
    <definedName name="nt" localSheetId="1">#REF!</definedName>
    <definedName name="nt" localSheetId="3">#REF!</definedName>
    <definedName name="nt">#REF!</definedName>
    <definedName name="nt0" localSheetId="7">#REF!</definedName>
    <definedName name="nt0" localSheetId="1">#REF!</definedName>
    <definedName name="nt0" localSheetId="3">#REF!</definedName>
    <definedName name="nt0">#REF!</definedName>
    <definedName name="ntes" localSheetId="7">#REF!</definedName>
    <definedName name="ntes" localSheetId="1">#REF!</definedName>
    <definedName name="ntes" localSheetId="3">#REF!</definedName>
    <definedName name="ntes">#REF!</definedName>
    <definedName name="ntesu" localSheetId="7">#REF!</definedName>
    <definedName name="ntesu" localSheetId="1">#REF!</definedName>
    <definedName name="ntesu" localSheetId="3">#REF!</definedName>
    <definedName name="ntesu">#REF!</definedName>
    <definedName name="Num_Pmt_Per_Year" localSheetId="7">#REF!</definedName>
    <definedName name="Num_Pmt_Per_Year" localSheetId="1">#REF!</definedName>
    <definedName name="Num_Pmt_Per_Year" localSheetId="3">#REF!</definedName>
    <definedName name="Num_Pmt_Per_Year">#REF!</definedName>
    <definedName name="Number_of_Payments" localSheetId="5">MATCH(0.01,End_Bal,-1)+1</definedName>
    <definedName name="Number_of_Payments" localSheetId="2">MATCH(0.01,End_Bal,-1)+1</definedName>
    <definedName name="Nx" localSheetId="7">#REF!</definedName>
    <definedName name="Nx" localSheetId="1">#REF!</definedName>
    <definedName name="Nx" localSheetId="3">#REF!</definedName>
    <definedName name="Nx">#REF!</definedName>
    <definedName name="Nx___0" localSheetId="7">#REF!</definedName>
    <definedName name="Nx___0" localSheetId="1">#REF!</definedName>
    <definedName name="Nx___0" localSheetId="3">#REF!</definedName>
    <definedName name="Nx___0">#REF!</definedName>
    <definedName name="Nx___13" localSheetId="7">#REF!</definedName>
    <definedName name="Nx___13" localSheetId="1">#REF!</definedName>
    <definedName name="Nx___13" localSheetId="3">#REF!</definedName>
    <definedName name="Nx___13">#REF!</definedName>
    <definedName name="nxs" localSheetId="7">#REF!</definedName>
    <definedName name="nxs" localSheetId="1">#REF!</definedName>
    <definedName name="nxs" localSheetId="3">#REF!</definedName>
    <definedName name="nxs">#REF!</definedName>
    <definedName name="Ny" localSheetId="7">#REF!</definedName>
    <definedName name="Ny" localSheetId="1">#REF!</definedName>
    <definedName name="Ny" localSheetId="3">#REF!</definedName>
    <definedName name="Ny">#REF!</definedName>
    <definedName name="Ny___0" localSheetId="7">#REF!</definedName>
    <definedName name="Ny___0" localSheetId="1">#REF!</definedName>
    <definedName name="Ny___0" localSheetId="3">#REF!</definedName>
    <definedName name="Ny___0">#REF!</definedName>
    <definedName name="Ny___13" localSheetId="7">#REF!</definedName>
    <definedName name="Ny___13" localSheetId="1">#REF!</definedName>
    <definedName name="Ny___13" localSheetId="3">#REF!</definedName>
    <definedName name="Ny___13">#REF!</definedName>
    <definedName name="nys" localSheetId="7">#REF!</definedName>
    <definedName name="nys" localSheetId="1">#REF!</definedName>
    <definedName name="nys" localSheetId="3">#REF!</definedName>
    <definedName name="nys">#REF!</definedName>
    <definedName name="O" localSheetId="7">#REF!</definedName>
    <definedName name="O" localSheetId="1">#REF!</definedName>
    <definedName name="O" localSheetId="3">#REF!</definedName>
    <definedName name="O">#REF!</definedName>
    <definedName name="O_M_Exp." localSheetId="7">#REF!</definedName>
    <definedName name="O_M_Exp." localSheetId="1">#REF!</definedName>
    <definedName name="O_M_Exp." localSheetId="3">#REF!</definedName>
    <definedName name="O_M_Exp.">#REF!</definedName>
    <definedName name="O_M_Exp._I" localSheetId="7">#REF!</definedName>
    <definedName name="O_M_Exp._I" localSheetId="1">#REF!</definedName>
    <definedName name="O_M_Exp._I" localSheetId="3">#REF!</definedName>
    <definedName name="O_M_Exp._I">#REF!</definedName>
    <definedName name="O_Mexp" localSheetId="7">#REF!</definedName>
    <definedName name="O_Mexp" localSheetId="1">#REF!</definedName>
    <definedName name="O_Mexp" localSheetId="3">#REF!</definedName>
    <definedName name="O_Mexp">#REF!</definedName>
    <definedName name="O_Mexp_I" localSheetId="7">#REF!</definedName>
    <definedName name="O_Mexp_I" localSheetId="1">#REF!</definedName>
    <definedName name="O_Mexp_I" localSheetId="3">#REF!</definedName>
    <definedName name="O_Mexp_I">#REF!</definedName>
    <definedName name="obpl" localSheetId="7">#REF!</definedName>
    <definedName name="obpl" localSheetId="1">#REF!</definedName>
    <definedName name="obpl" localSheetId="3">#REF!</definedName>
    <definedName name="obpl">#REF!</definedName>
    <definedName name="OCConsump" localSheetId="7">#REF!</definedName>
    <definedName name="OCConsump" localSheetId="1">#REF!</definedName>
    <definedName name="OCConsump" localSheetId="3">#REF!</definedName>
    <definedName name="OCConsump">#REF!</definedName>
    <definedName name="OCConsump_I" localSheetId="7">#REF!</definedName>
    <definedName name="OCConsump_I" localSheetId="1">#REF!</definedName>
    <definedName name="OCConsump_I" localSheetId="3">#REF!</definedName>
    <definedName name="OCConsump_I">#REF!</definedName>
    <definedName name="OCCost" localSheetId="7">#REF!</definedName>
    <definedName name="OCCost" localSheetId="1">#REF!</definedName>
    <definedName name="OCCost" localSheetId="3">#REF!</definedName>
    <definedName name="OCCost">#REF!</definedName>
    <definedName name="OCCost_I" localSheetId="7">#REF!</definedName>
    <definedName name="OCCost_I" localSheetId="1">#REF!</definedName>
    <definedName name="OCCost_I" localSheetId="3">#REF!</definedName>
    <definedName name="OCCost_I">#REF!</definedName>
    <definedName name="OCEsc" localSheetId="7">#REF!</definedName>
    <definedName name="OCEsc" localSheetId="1">#REF!</definedName>
    <definedName name="OCEsc" localSheetId="3">#REF!</definedName>
    <definedName name="OCEsc">#REF!</definedName>
    <definedName name="OCEsc_I" localSheetId="7">#REF!</definedName>
    <definedName name="OCEsc_I" localSheetId="1">#REF!</definedName>
    <definedName name="OCEsc_I" localSheetId="3">#REF!</definedName>
    <definedName name="OCEsc_I">#REF!</definedName>
    <definedName name="OH_PM" localSheetId="7">#REF!</definedName>
    <definedName name="OH_PM" localSheetId="1">#REF!</definedName>
    <definedName name="OH_PM" localSheetId="3">#REF!</definedName>
    <definedName name="OH_PM">#REF!</definedName>
    <definedName name="oio" localSheetId="7">#REF!</definedName>
    <definedName name="oio" localSheetId="1">#REF!</definedName>
    <definedName name="oio" localSheetId="3">#REF!</definedName>
    <definedName name="oio">#REF!</definedName>
    <definedName name="oirr" localSheetId="7">#REF!</definedName>
    <definedName name="oirr" localSheetId="1">#REF!</definedName>
    <definedName name="oirr" localSheetId="3">#REF!</definedName>
    <definedName name="oirr">#REF!</definedName>
    <definedName name="ok" localSheetId="7">#REF!</definedName>
    <definedName name="ok" localSheetId="1">#REF!</definedName>
    <definedName name="ok" localSheetId="3">#REF!</definedName>
    <definedName name="ok">#REF!</definedName>
    <definedName name="om_exp" localSheetId="7">#REF!</definedName>
    <definedName name="om_exp" localSheetId="1">#REF!</definedName>
    <definedName name="om_exp" localSheetId="3">#REF!</definedName>
    <definedName name="om_exp">#REF!</definedName>
    <definedName name="om_exp_I" localSheetId="7">#REF!</definedName>
    <definedName name="om_exp_I" localSheetId="1">#REF!</definedName>
    <definedName name="om_exp_I" localSheetId="3">#REF!</definedName>
    <definedName name="om_exp_I">#REF!</definedName>
    <definedName name="one">1</definedName>
    <definedName name="ool" localSheetId="7">#REF!</definedName>
    <definedName name="ool" localSheetId="1">#REF!</definedName>
    <definedName name="ool" localSheetId="3">#REF!</definedName>
    <definedName name="ool">#REF!</definedName>
    <definedName name="ooooooooo" localSheetId="7">#REF!</definedName>
    <definedName name="ooooooooo" localSheetId="1">#REF!</definedName>
    <definedName name="ooooooooo" localSheetId="3">#REF!</definedName>
    <definedName name="ooooooooo">#REF!</definedName>
    <definedName name="ooooooooooooooo" localSheetId="7">#REF!</definedName>
    <definedName name="ooooooooooooooo" localSheetId="1">#REF!</definedName>
    <definedName name="ooooooooooooooo" localSheetId="3">#REF!</definedName>
    <definedName name="ooooooooooooooo">#REF!</definedName>
    <definedName name="OrderTable" localSheetId="2" hidden="1">#REF!</definedName>
    <definedName name="Origin" localSheetId="2">#REF!</definedName>
    <definedName name="Others" localSheetId="5" hidden="1">{#N/A,#N/A,FALSE,"COVER1.XLS ";#N/A,#N/A,FALSE,"RACT1.XLS";#N/A,#N/A,FALSE,"RACT2.XLS";#N/A,#N/A,FALSE,"ECCMP";#N/A,#N/A,FALSE,"WELDER.XLS"}</definedName>
    <definedName name="Others" localSheetId="2" hidden="1">{#N/A,#N/A,FALSE,"COVER1.XLS ";#N/A,#N/A,FALSE,"RACT1.XLS";#N/A,#N/A,FALSE,"RACT2.XLS";#N/A,#N/A,FALSE,"ECCMP";#N/A,#N/A,FALSE,"WELDER.XLS"}</definedName>
    <definedName name="OUTTERWALLLength" localSheetId="7">#REF!</definedName>
    <definedName name="OUTTERWALLLength" localSheetId="1">#REF!</definedName>
    <definedName name="OUTTERWALLLength" localSheetId="3">#REF!</definedName>
    <definedName name="OUTTERWALLLength">#REF!</definedName>
    <definedName name="OVER_HEADS_ENTRY" localSheetId="7">#REF!</definedName>
    <definedName name="OVER_HEADS_ENTRY" localSheetId="1">#REF!</definedName>
    <definedName name="OVER_HEADS_ENTRY" localSheetId="3">#REF!</definedName>
    <definedName name="OVER_HEADS_ENTRY">#REF!</definedName>
    <definedName name="Overall_Summary_Title" localSheetId="7">#REF!</definedName>
    <definedName name="Overall_Summary_Title" localSheetId="1">#REF!</definedName>
    <definedName name="Overall_Summary_Title" localSheetId="3">#REF!</definedName>
    <definedName name="Overall_Summary_Title">#REF!</definedName>
    <definedName name="OVERHEADS" localSheetId="7">#REF!</definedName>
    <definedName name="OVERHEADS" localSheetId="1">#REF!</definedName>
    <definedName name="OVERHEADS" localSheetId="3">#REF!</definedName>
    <definedName name="OVERHEADS">#REF!</definedName>
    <definedName name="OYI" localSheetId="7">#REF!</definedName>
    <definedName name="OYI" localSheetId="1">#REF!</definedName>
    <definedName name="OYI" localSheetId="3">#REF!</definedName>
    <definedName name="OYI">#REF!</definedName>
    <definedName name="p" localSheetId="7">#REF!</definedName>
    <definedName name="p" localSheetId="1">#REF!</definedName>
    <definedName name="p" localSheetId="3">#REF!</definedName>
    <definedName name="p">#REF!</definedName>
    <definedName name="p____2___m____p___l_______ln__4___l___d____1___2___K1____l___SQRT_A_____SQRT_m__1__2">"ki1"</definedName>
    <definedName name="p___0" localSheetId="7">#REF!</definedName>
    <definedName name="p___0" localSheetId="1">#REF!</definedName>
    <definedName name="p___0" localSheetId="3">#REF!</definedName>
    <definedName name="p___0">#REF!</definedName>
    <definedName name="p___13" localSheetId="7">#REF!</definedName>
    <definedName name="p___13" localSheetId="1">#REF!</definedName>
    <definedName name="p___13" localSheetId="3">#REF!</definedName>
    <definedName name="p___13">#REF!</definedName>
    <definedName name="pa" localSheetId="7">#REF!</definedName>
    <definedName name="pa" localSheetId="1">#REF!</definedName>
    <definedName name="pa" localSheetId="3">#REF!</definedName>
    <definedName name="pa">#REF!</definedName>
    <definedName name="pa___0" localSheetId="7">#REF!</definedName>
    <definedName name="pa___0" localSheetId="1">#REF!</definedName>
    <definedName name="pa___0" localSheetId="3">#REF!</definedName>
    <definedName name="pa___0">#REF!</definedName>
    <definedName name="pa___13" localSheetId="7">#REF!</definedName>
    <definedName name="pa___13" localSheetId="1">#REF!</definedName>
    <definedName name="pa___13" localSheetId="3">#REF!</definedName>
    <definedName name="pa___13">#REF!</definedName>
    <definedName name="pad_baywise" localSheetId="7">#REF!</definedName>
    <definedName name="pad_baywise" localSheetId="1">#REF!</definedName>
    <definedName name="pad_baywise" localSheetId="3">#REF!</definedName>
    <definedName name="pad_baywise">#REF!</definedName>
    <definedName name="Page" localSheetId="7">#REF!</definedName>
    <definedName name="Page" localSheetId="1">#REF!</definedName>
    <definedName name="Page" localSheetId="3">#REF!</definedName>
    <definedName name="Page">#REF!</definedName>
    <definedName name="PAINT" localSheetId="7">#REF!</definedName>
    <definedName name="PAINT" localSheetId="1">#REF!</definedName>
    <definedName name="PAINT" localSheetId="3">#REF!</definedName>
    <definedName name="PAINT">#REF!</definedName>
    <definedName name="Pane2" localSheetId="7">#REF!</definedName>
    <definedName name="Pane2" localSheetId="1">#REF!</definedName>
    <definedName name="Pane2" localSheetId="3">#REF!</definedName>
    <definedName name="Pane2">#REF!</definedName>
    <definedName name="Pane2___0" localSheetId="7">#REF!</definedName>
    <definedName name="Pane2___0" localSheetId="1">#REF!</definedName>
    <definedName name="Pane2___0" localSheetId="3">#REF!</definedName>
    <definedName name="Pane2___0">#REF!</definedName>
    <definedName name="Pane2___13" localSheetId="7">#REF!</definedName>
    <definedName name="Pane2___13" localSheetId="1">#REF!</definedName>
    <definedName name="Pane2___13" localSheetId="3">#REF!</definedName>
    <definedName name="Pane2___13">#REF!</definedName>
    <definedName name="PANEL" localSheetId="7">#REF!</definedName>
    <definedName name="PANEL" localSheetId="1">#REF!</definedName>
    <definedName name="PANEL" localSheetId="3">#REF!</definedName>
    <definedName name="PANEL">#REF!</definedName>
    <definedName name="parse" localSheetId="7" hidden="1">#REF!</definedName>
    <definedName name="parse" localSheetId="1" hidden="1">#REF!</definedName>
    <definedName name="parse" localSheetId="3" hidden="1">#REF!</definedName>
    <definedName name="parse" hidden="1">#REF!</definedName>
    <definedName name="Pay_Date" localSheetId="7">#REF!</definedName>
    <definedName name="Pay_Date" localSheetId="1">#REF!</definedName>
    <definedName name="Pay_Date" localSheetId="3">#REF!</definedName>
    <definedName name="Pay_Date">#REF!</definedName>
    <definedName name="Pay_Num" localSheetId="7">#REF!</definedName>
    <definedName name="Pay_Num" localSheetId="1">#REF!</definedName>
    <definedName name="Pay_Num" localSheetId="3">#REF!</definedName>
    <definedName name="Pay_Num">#REF!</definedName>
    <definedName name="Payment_Date" localSheetId="5">DATE(YEAR(Loan_Start),MONTH(Loan_Start)+Payment_Number,DAY(Loan_Start))</definedName>
    <definedName name="Payment_Date" localSheetId="2">DATE(YEAR(Loan_Start),MONTH(Loan_Start)+Payment_Number,DAY(Loan_Start))</definedName>
    <definedName name="pb" localSheetId="2">#REF!</definedName>
    <definedName name="pb___0" localSheetId="2">#REF!</definedName>
    <definedName name="pb___11" localSheetId="2">#REF!</definedName>
    <definedName name="pbxexp" localSheetId="7">#REF!</definedName>
    <definedName name="pbxexp" localSheetId="1">#REF!</definedName>
    <definedName name="pbxexp" localSheetId="3">#REF!</definedName>
    <definedName name="pbxexp">#REF!</definedName>
    <definedName name="pbyexp" localSheetId="7">#REF!</definedName>
    <definedName name="pbyexp" localSheetId="1">#REF!</definedName>
    <definedName name="pbyexp" localSheetId="3">#REF!</definedName>
    <definedName name="pbyexp">#REF!</definedName>
    <definedName name="pbyfck" localSheetId="7">#REF!</definedName>
    <definedName name="pbyfck" localSheetId="1">#REF!</definedName>
    <definedName name="pbyfck" localSheetId="3">#REF!</definedName>
    <definedName name="pbyfck">#REF!</definedName>
    <definedName name="pbypuz" localSheetId="7">#REF!</definedName>
    <definedName name="pbypuz" localSheetId="1">#REF!</definedName>
    <definedName name="pbypuz" localSheetId="3">#REF!</definedName>
    <definedName name="pbypuz">#REF!</definedName>
    <definedName name="pc" localSheetId="7">#REF!</definedName>
    <definedName name="pc" localSheetId="1">#REF!</definedName>
    <definedName name="pc" localSheetId="3">#REF!</definedName>
    <definedName name="pc">#REF!</definedName>
    <definedName name="pccp" localSheetId="7">#REF!</definedName>
    <definedName name="pccp" localSheetId="1">#REF!</definedName>
    <definedName name="pccp" localSheetId="3">#REF!</definedName>
    <definedName name="pccp">#REF!</definedName>
    <definedName name="pccproj" localSheetId="7">#REF!</definedName>
    <definedName name="pccproj" localSheetId="1">#REF!</definedName>
    <definedName name="pccproj" localSheetId="3">#REF!</definedName>
    <definedName name="pccproj">#REF!</definedName>
    <definedName name="pcct" localSheetId="7">#REF!</definedName>
    <definedName name="pcct" localSheetId="1">#REF!</definedName>
    <definedName name="pcct" localSheetId="3">#REF!</definedName>
    <definedName name="pcct">#REF!</definedName>
    <definedName name="pccthk" localSheetId="7">#REF!</definedName>
    <definedName name="pccthk" localSheetId="1">#REF!</definedName>
    <definedName name="pccthk" localSheetId="3">#REF!</definedName>
    <definedName name="pccthk">#REF!</definedName>
    <definedName name="pccut" localSheetId="7">#REF!</definedName>
    <definedName name="pccut" localSheetId="1">#REF!</definedName>
    <definedName name="pccut" localSheetId="3">#REF!</definedName>
    <definedName name="pccut">#REF!</definedName>
    <definedName name="PCT" localSheetId="7">#REF!</definedName>
    <definedName name="PCT" localSheetId="1">#REF!</definedName>
    <definedName name="PCT" localSheetId="3">#REF!</definedName>
    <definedName name="PCT">#REF!</definedName>
    <definedName name="pcurr1" localSheetId="7">#REF!</definedName>
    <definedName name="pcurr1" localSheetId="1">#REF!</definedName>
    <definedName name="pcurr1" localSheetId="3">#REF!</definedName>
    <definedName name="pcurr1">#REF!</definedName>
    <definedName name="PDF" localSheetId="7">#REF!</definedName>
    <definedName name="PDF" localSheetId="1">#REF!</definedName>
    <definedName name="PDF" localSheetId="3">#REF!</definedName>
    <definedName name="PDF">#REF!</definedName>
    <definedName name="pDiscountRate" localSheetId="7">#REF!</definedName>
    <definedName name="pDiscountRate" localSheetId="1">#REF!</definedName>
    <definedName name="pDiscountRate" localSheetId="3">#REF!</definedName>
    <definedName name="pDiscountRate">#REF!</definedName>
    <definedName name="pDSRCov" localSheetId="7">#REF!</definedName>
    <definedName name="pDSRCov" localSheetId="1">#REF!</definedName>
    <definedName name="pDSRCov" localSheetId="3">#REF!</definedName>
    <definedName name="pDSRCov">#REF!</definedName>
    <definedName name="PeakHrChrgs" localSheetId="7">#REF!</definedName>
    <definedName name="PeakHrChrgs" localSheetId="1">#REF!</definedName>
    <definedName name="PeakHrChrgs" localSheetId="3">#REF!</definedName>
    <definedName name="PeakHrChrgs">#REF!</definedName>
    <definedName name="PeakHrChrgs_I" localSheetId="7">#REF!</definedName>
    <definedName name="PeakHrChrgs_I" localSheetId="1">#REF!</definedName>
    <definedName name="PeakHrChrgs_I" localSheetId="3">#REF!</definedName>
    <definedName name="PeakHrChrgs_I">#REF!</definedName>
    <definedName name="PeakHrElec" localSheetId="7">#REF!</definedName>
    <definedName name="PeakHrElec" localSheetId="1">#REF!</definedName>
    <definedName name="PeakHrElec" localSheetId="3">#REF!</definedName>
    <definedName name="PeakHrElec">#REF!</definedName>
    <definedName name="PeakHrElec_I" localSheetId="7">#REF!</definedName>
    <definedName name="PeakHrElec_I" localSheetId="1">#REF!</definedName>
    <definedName name="PeakHrElec_I" localSheetId="3">#REF!</definedName>
    <definedName name="PeakHrElec_I">#REF!</definedName>
    <definedName name="PEDESTAL" localSheetId="7">#REF!</definedName>
    <definedName name="PEDESTAL" localSheetId="1">#REF!</definedName>
    <definedName name="PEDESTAL" localSheetId="3">#REF!</definedName>
    <definedName name="PEDESTAL">#REF!</definedName>
    <definedName name="Percent_Text" localSheetId="7">#REF!</definedName>
    <definedName name="Percent_Text" localSheetId="1">#REF!</definedName>
    <definedName name="Percent_Text" localSheetId="3">#REF!</definedName>
    <definedName name="Percent_Text">#REF!</definedName>
    <definedName name="Percent_Value" localSheetId="7">#REF!</definedName>
    <definedName name="Percent_Value" localSheetId="1">#REF!</definedName>
    <definedName name="Percent_Value" localSheetId="3">#REF!</definedName>
    <definedName name="Percent_Value">#REF!</definedName>
    <definedName name="pfTaxHol" localSheetId="7">#REF!</definedName>
    <definedName name="pfTaxHol" localSheetId="1">#REF!</definedName>
    <definedName name="pfTaxHol" localSheetId="3">#REF!</definedName>
    <definedName name="pfTaxHol">#REF!</definedName>
    <definedName name="pg" localSheetId="7">#REF!</definedName>
    <definedName name="pg" localSheetId="1">#REF!</definedName>
    <definedName name="pg" localSheetId="3">#REF!</definedName>
    <definedName name="pg">#REF!</definedName>
    <definedName name="pH" localSheetId="7">#REF!</definedName>
    <definedName name="pH" localSheetId="1">#REF!</definedName>
    <definedName name="pH" localSheetId="3">#REF!</definedName>
    <definedName name="pH">#REF!</definedName>
    <definedName name="pH___0" localSheetId="7">#REF!</definedName>
    <definedName name="pH___0" localSheetId="1">#REF!</definedName>
    <definedName name="pH___0" localSheetId="3">#REF!</definedName>
    <definedName name="pH___0">#REF!</definedName>
    <definedName name="pH___13" localSheetId="7">#REF!</definedName>
    <definedName name="pH___13" localSheetId="1">#REF!</definedName>
    <definedName name="pH___13" localSheetId="3">#REF!</definedName>
    <definedName name="pH___13">#REF!</definedName>
    <definedName name="phi" localSheetId="7">#REF!</definedName>
    <definedName name="phi" localSheetId="1">#REF!</definedName>
    <definedName name="phi" localSheetId="3">#REF!</definedName>
    <definedName name="phi">#REF!</definedName>
    <definedName name="phis" localSheetId="7">#REF!</definedName>
    <definedName name="phis" localSheetId="1">#REF!</definedName>
    <definedName name="phis" localSheetId="3">#REF!</definedName>
    <definedName name="phis">#REF!</definedName>
    <definedName name="phit" localSheetId="7">#REF!</definedName>
    <definedName name="phit" localSheetId="1">#REF!</definedName>
    <definedName name="phit" localSheetId="3">#REF!</definedName>
    <definedName name="phit">#REF!</definedName>
    <definedName name="Phone" localSheetId="7">#REF!</definedName>
    <definedName name="Phone" localSheetId="1">#REF!</definedName>
    <definedName name="Phone" localSheetId="3">#REF!</definedName>
    <definedName name="Phone">#REF!</definedName>
    <definedName name="Picture4" localSheetId="7">#REF!</definedName>
    <definedName name="Picture4" localSheetId="1">#REF!</definedName>
    <definedName name="Picture4" localSheetId="3">#REF!</definedName>
    <definedName name="Picture4">#REF!</definedName>
    <definedName name="pileinraftCount" localSheetId="7">#REF!</definedName>
    <definedName name="pileinraftCount" localSheetId="1">#REF!</definedName>
    <definedName name="pileinraftCount" localSheetId="3">#REF!</definedName>
    <definedName name="pileinraftCount">#REF!</definedName>
    <definedName name="pioi" localSheetId="7">#REF!</definedName>
    <definedName name="pioi" localSheetId="1">#REF!</definedName>
    <definedName name="pioi" localSheetId="3">#REF!</definedName>
    <definedName name="pioi">#REF!</definedName>
    <definedName name="PipeSize" localSheetId="7">#REF!</definedName>
    <definedName name="PipeSize" localSheetId="1">#REF!</definedName>
    <definedName name="PipeSize" localSheetId="3">#REF!</definedName>
    <definedName name="PipeSize">#REF!</definedName>
    <definedName name="PipingDetail" localSheetId="7">#REF!</definedName>
    <definedName name="PipingDetail" localSheetId="1">#REF!</definedName>
    <definedName name="PipingDetail" localSheetId="3">#REF!</definedName>
    <definedName name="PipingDetail">#REF!</definedName>
    <definedName name="piTaxHol" localSheetId="7">#REF!</definedName>
    <definedName name="piTaxHol" localSheetId="1">#REF!</definedName>
    <definedName name="piTaxHol" localSheetId="3">#REF!</definedName>
    <definedName name="piTaxHol">#REF!</definedName>
    <definedName name="pkppl" localSheetId="7">#REF!</definedName>
    <definedName name="pkppl" localSheetId="1">#REF!</definedName>
    <definedName name="pkppl" localSheetId="3">#REF!</definedName>
    <definedName name="pkppl">#REF!</definedName>
    <definedName name="plan" localSheetId="7">#REF!</definedName>
    <definedName name="plan" localSheetId="1">#REF!</definedName>
    <definedName name="plan" localSheetId="3">#REF!</definedName>
    <definedName name="plan">#REF!</definedName>
    <definedName name="Plant" localSheetId="7">#REF!</definedName>
    <definedName name="Plant" localSheetId="1">#REF!</definedName>
    <definedName name="Plant" localSheetId="3">#REF!</definedName>
    <definedName name="Plant">#REF!</definedName>
    <definedName name="plant_load_factor" localSheetId="7">#REF!</definedName>
    <definedName name="plant_load_factor" localSheetId="1">#REF!</definedName>
    <definedName name="plant_load_factor" localSheetId="3">#REF!</definedName>
    <definedName name="plant_load_factor">#REF!</definedName>
    <definedName name="PLANTCOST" localSheetId="7">#REF!</definedName>
    <definedName name="PLANTCOST" localSheetId="1">#REF!</definedName>
    <definedName name="PLANTCOST" localSheetId="3">#REF!</definedName>
    <definedName name="PLANTCOST">#REF!</definedName>
    <definedName name="plants" localSheetId="7">#REF!</definedName>
    <definedName name="plants" localSheetId="1">#REF!</definedName>
    <definedName name="plants" localSheetId="3">#REF!</definedName>
    <definedName name="plants">#REF!</definedName>
    <definedName name="Plastering" localSheetId="7">#REF!</definedName>
    <definedName name="Plastering" localSheetId="1">#REF!</definedName>
    <definedName name="Plastering" localSheetId="3">#REF!</definedName>
    <definedName name="Plastering">#REF!</definedName>
    <definedName name="Platecomp" localSheetId="7">#REF!</definedName>
    <definedName name="Platecomp" localSheetId="1">#REF!</definedName>
    <definedName name="Platecomp" localSheetId="3">#REF!</definedName>
    <definedName name="Platecomp">#REF!</definedName>
    <definedName name="plbeams" localSheetId="7">#REF!</definedName>
    <definedName name="plbeams" localSheetId="1">#REF!</definedName>
    <definedName name="plbeams" localSheetId="3">#REF!</definedName>
    <definedName name="plbeams">#REF!</definedName>
    <definedName name="pLength" localSheetId="7">#REF!</definedName>
    <definedName name="pLength" localSheetId="1">#REF!</definedName>
    <definedName name="pLength" localSheetId="3">#REF!</definedName>
    <definedName name="pLength">#REF!</definedName>
    <definedName name="PLF1_I" localSheetId="7">#REF!</definedName>
    <definedName name="PLF1_I" localSheetId="1">#REF!</definedName>
    <definedName name="PLF1_I" localSheetId="3">#REF!</definedName>
    <definedName name="PLF1_I">#REF!</definedName>
    <definedName name="PLF2_I" localSheetId="7">#REF!</definedName>
    <definedName name="PLF2_I" localSheetId="1">#REF!</definedName>
    <definedName name="PLF2_I" localSheetId="3">#REF!</definedName>
    <definedName name="PLF2_I">#REF!</definedName>
    <definedName name="PLF3_I" localSheetId="7">#REF!</definedName>
    <definedName name="PLF3_I" localSheetId="1">#REF!</definedName>
    <definedName name="PLF3_I" localSheetId="3">#REF!</definedName>
    <definedName name="PLF3_I">#REF!</definedName>
    <definedName name="pLoanLifeForeignDebt" localSheetId="7">#REF!</definedName>
    <definedName name="pLoanLifeForeignDebt" localSheetId="1">#REF!</definedName>
    <definedName name="pLoanLifeForeignDebt" localSheetId="3">#REF!</definedName>
    <definedName name="pLoanLifeForeignDebt">#REF!</definedName>
    <definedName name="pLoanLifeLTDebt" localSheetId="7">#REF!</definedName>
    <definedName name="pLoanLifeLTDebt" localSheetId="1">#REF!</definedName>
    <definedName name="pLoanLifeLTDebt" localSheetId="3">#REF!</definedName>
    <definedName name="pLoanLifeLTDebt">#REF!</definedName>
    <definedName name="plock" localSheetId="7">#REF!</definedName>
    <definedName name="plock" localSheetId="1">#REF!</definedName>
    <definedName name="plock" localSheetId="3">#REF!</definedName>
    <definedName name="plock">#REF!</definedName>
    <definedName name="pLossCarFor" localSheetId="7">#REF!</definedName>
    <definedName name="pLossCarFor" localSheetId="1">#REF!</definedName>
    <definedName name="pLossCarFor" localSheetId="3">#REF!</definedName>
    <definedName name="pLossCarFor">#REF!</definedName>
    <definedName name="Plt_Capacity" localSheetId="7">#REF!</definedName>
    <definedName name="Plt_Capacity" localSheetId="1">#REF!</definedName>
    <definedName name="Plt_Capacity" localSheetId="3">#REF!</definedName>
    <definedName name="Plt_Capacity">#REF!</definedName>
    <definedName name="PM" localSheetId="7">#REF!</definedName>
    <definedName name="PM" localSheetId="1">#REF!</definedName>
    <definedName name="PM" localSheetId="3">#REF!</definedName>
    <definedName name="PM">#REF!</definedName>
    <definedName name="pmc" localSheetId="7">#REF!</definedName>
    <definedName name="pmc" localSheetId="1">#REF!</definedName>
    <definedName name="pmc" localSheetId="3">#REF!</definedName>
    <definedName name="pmc">#REF!</definedName>
    <definedName name="pMorForeignDebt" localSheetId="7">#REF!</definedName>
    <definedName name="pMorForeignDebt" localSheetId="1">#REF!</definedName>
    <definedName name="pMorForeignDebt" localSheetId="3">#REF!</definedName>
    <definedName name="pMorForeignDebt">#REF!</definedName>
    <definedName name="pMorLTDebt" localSheetId="7">#REF!</definedName>
    <definedName name="pMorLTDebt" localSheetId="1">#REF!</definedName>
    <definedName name="pMorLTDebt" localSheetId="3">#REF!</definedName>
    <definedName name="pMorLTDebt">#REF!</definedName>
    <definedName name="pmt" localSheetId="7">#REF!</definedName>
    <definedName name="pmt" localSheetId="1">#REF!</definedName>
    <definedName name="pmt" localSheetId="3">#REF!</definedName>
    <definedName name="pmt">#REF!</definedName>
    <definedName name="pocpl" localSheetId="7">#REF!</definedName>
    <definedName name="pocpl" localSheetId="1">#REF!</definedName>
    <definedName name="pocpl" localSheetId="3">#REF!</definedName>
    <definedName name="pocpl">#REF!</definedName>
    <definedName name="podd" localSheetId="7">#REF!</definedName>
    <definedName name="podd" localSheetId="1">#REF!</definedName>
    <definedName name="podd" localSheetId="3">#REF!</definedName>
    <definedName name="podd">#REF!</definedName>
    <definedName name="PONDA" localSheetId="7">#REF!</definedName>
    <definedName name="PONDA" localSheetId="1">#REF!</definedName>
    <definedName name="PONDA" localSheetId="3">#REF!</definedName>
    <definedName name="PONDA">#REF!</definedName>
    <definedName name="POWER" localSheetId="7">#REF!</definedName>
    <definedName name="POWER" localSheetId="1">#REF!</definedName>
    <definedName name="POWER" localSheetId="3">#REF!</definedName>
    <definedName name="POWER">#REF!</definedName>
    <definedName name="PowerCons" localSheetId="7">#REF!</definedName>
    <definedName name="PowerCons" localSheetId="1">#REF!</definedName>
    <definedName name="PowerCons" localSheetId="3">#REF!</definedName>
    <definedName name="PowerCons">#REF!</definedName>
    <definedName name="PowerCons_I" localSheetId="7">#REF!</definedName>
    <definedName name="PowerCons_I" localSheetId="1">#REF!</definedName>
    <definedName name="PowerCons_I" localSheetId="3">#REF!</definedName>
    <definedName name="PowerCons_I">#REF!</definedName>
    <definedName name="PowGenChrg" localSheetId="7">#REF!</definedName>
    <definedName name="PowGenChrg" localSheetId="1">#REF!</definedName>
    <definedName name="PowGenChrg" localSheetId="3">#REF!</definedName>
    <definedName name="PowGenChrg">#REF!</definedName>
    <definedName name="PowGenChrg_I" localSheetId="7">#REF!</definedName>
    <definedName name="PowGenChrg_I" localSheetId="1">#REF!</definedName>
    <definedName name="PowGenChrg_I" localSheetId="3">#REF!</definedName>
    <definedName name="PowGenChrg_I">#REF!</definedName>
    <definedName name="pper" localSheetId="7">#REF!</definedName>
    <definedName name="pper" localSheetId="1">#REF!</definedName>
    <definedName name="pper" localSheetId="3">#REF!</definedName>
    <definedName name="pper">#REF!</definedName>
    <definedName name="pper1" localSheetId="7">#REF!</definedName>
    <definedName name="pper1" localSheetId="1">#REF!</definedName>
    <definedName name="pper1" localSheetId="3">#REF!</definedName>
    <definedName name="pper1">#REF!</definedName>
    <definedName name="ppl" localSheetId="5" hidden="1">{#N/A,#N/A,FALSE,"gc (2)"}</definedName>
    <definedName name="ppl" localSheetId="2" hidden="1">{#N/A,#N/A,FALSE,"gc (2)"}</definedName>
    <definedName name="pppppppppp" localSheetId="7">#REF!</definedName>
    <definedName name="pppppppppp" localSheetId="1">#REF!</definedName>
    <definedName name="pppppppppp" localSheetId="3">#REF!</definedName>
    <definedName name="pppppppppp">#REF!</definedName>
    <definedName name="ppppppppppppp" localSheetId="7">#REF!</definedName>
    <definedName name="ppppppppppppp" localSheetId="1">#REF!</definedName>
    <definedName name="ppppppppppppp" localSheetId="3">#REF!</definedName>
    <definedName name="ppppppppppppp">#REF!</definedName>
    <definedName name="ppppppppppppppp" localSheetId="7">#REF!</definedName>
    <definedName name="ppppppppppppppp" localSheetId="1">#REF!</definedName>
    <definedName name="ppppppppppppppp" localSheetId="3">#REF!</definedName>
    <definedName name="ppppppppppppppp">#REF!</definedName>
    <definedName name="PR" localSheetId="7">#REF!</definedName>
    <definedName name="PR" localSheetId="1">#REF!</definedName>
    <definedName name="PR" localSheetId="3">#REF!</definedName>
    <definedName name="PR">#REF!</definedName>
    <definedName name="pra" localSheetId="7">#REF!</definedName>
    <definedName name="pra" localSheetId="1">#REF!</definedName>
    <definedName name="pra" localSheetId="3">#REF!</definedName>
    <definedName name="pra">#REF!</definedName>
    <definedName name="pradeep" localSheetId="7">#REF!</definedName>
    <definedName name="pradeep" localSheetId="1">#REF!</definedName>
    <definedName name="pradeep" localSheetId="3">#REF!</definedName>
    <definedName name="pradeep">#REF!</definedName>
    <definedName name="pre" localSheetId="7">#REF!</definedName>
    <definedName name="pre" localSheetId="1">#REF!</definedName>
    <definedName name="pre" localSheetId="3">#REF!</definedName>
    <definedName name="pre">#REF!</definedName>
    <definedName name="prefDivRate" localSheetId="7">#REF!</definedName>
    <definedName name="prefDivRate" localSheetId="1">#REF!</definedName>
    <definedName name="prefDivRate" localSheetId="3">#REF!</definedName>
    <definedName name="prefDivRate">#REF!</definedName>
    <definedName name="preli" localSheetId="7">#REF!</definedName>
    <definedName name="preli" localSheetId="1">#REF!</definedName>
    <definedName name="preli" localSheetId="3">#REF!</definedName>
    <definedName name="preli">#REF!</definedName>
    <definedName name="Preliminaries" localSheetId="7">#REF!</definedName>
    <definedName name="Preliminaries" localSheetId="1">#REF!</definedName>
    <definedName name="Preliminaries" localSheetId="3">#REF!</definedName>
    <definedName name="Preliminaries">#REF!</definedName>
    <definedName name="Prelm_Exp" localSheetId="7">#REF!</definedName>
    <definedName name="Prelm_Exp" localSheetId="1">#REF!</definedName>
    <definedName name="Prelm_Exp" localSheetId="3">#REF!</definedName>
    <definedName name="Prelm_Exp">#REF!</definedName>
    <definedName name="Princ" localSheetId="7">#REF!</definedName>
    <definedName name="Princ" localSheetId="1">#REF!</definedName>
    <definedName name="Princ" localSheetId="3">#REF!</definedName>
    <definedName name="Princ">#REF!</definedName>
    <definedName name="prince" localSheetId="7">#REF!</definedName>
    <definedName name="prince" localSheetId="1">#REF!</definedName>
    <definedName name="prince" localSheetId="3">#REF!</definedName>
    <definedName name="prince">#REF!</definedName>
    <definedName name="prince1" localSheetId="7">#REF!</definedName>
    <definedName name="prince1" localSheetId="1">#REF!</definedName>
    <definedName name="prince1" localSheetId="3">#REF!</definedName>
    <definedName name="prince1">#REF!</definedName>
    <definedName name="PRINCE2" localSheetId="7">#REF!</definedName>
    <definedName name="PRINCE2" localSheetId="1">#REF!</definedName>
    <definedName name="PRINCE2" localSheetId="3">#REF!</definedName>
    <definedName name="PRINCE2">#REF!</definedName>
    <definedName name="PRINCE22" localSheetId="7">#REF!</definedName>
    <definedName name="PRINCE22" localSheetId="1">#REF!</definedName>
    <definedName name="PRINCE22" localSheetId="3">#REF!</definedName>
    <definedName name="PRINCE22">#REF!</definedName>
    <definedName name="prince25" localSheetId="7">#REF!</definedName>
    <definedName name="prince25" localSheetId="1">#REF!</definedName>
    <definedName name="prince25" localSheetId="3">#REF!</definedName>
    <definedName name="prince25">#REF!</definedName>
    <definedName name="Principal" localSheetId="7">#REF!</definedName>
    <definedName name="Principal" localSheetId="1">#REF!</definedName>
    <definedName name="Principal" localSheetId="3">#REF!</definedName>
    <definedName name="Principal">#REF!</definedName>
    <definedName name="Print" localSheetId="7">#REF!</definedName>
    <definedName name="Print" localSheetId="1">#REF!</definedName>
    <definedName name="Print" localSheetId="3">#REF!</definedName>
    <definedName name="Print">#REF!</definedName>
    <definedName name="_xlnm.Print_Area" localSheetId="0">BOQ!$A$1:$F$32</definedName>
    <definedName name="_xlnm.Print_Area" localSheetId="7">'BOQ Coeff'!$A$1:$D$42</definedName>
    <definedName name="_xlnm.Print_Area" localSheetId="1">'BOQ Major'!$A$1:$G$45</definedName>
    <definedName name="_xlnm.Print_Area" localSheetId="3">'BOQ Split'!$A$1:$O$43</definedName>
    <definedName name="_xlnm.Print_Area" localSheetId="5">IDC!$A$1:$I$77</definedName>
    <definedName name="_xlnm.Print_Area" localSheetId="6">Materials!$A$1:$H$27</definedName>
    <definedName name="_xlnm.Print_Area" localSheetId="4">RA!$A$1:$F$417</definedName>
    <definedName name="_xlnm.Print_Area" localSheetId="8">Sheet1!$A$1:$F$34</definedName>
    <definedName name="_xlnm.Print_Area" localSheetId="2">'Top Sheet'!$B$1:$F$38</definedName>
    <definedName name="_xlnm.Print_Area">#REF!</definedName>
    <definedName name="PRINT_AREA_MI" localSheetId="2">#REF!</definedName>
    <definedName name="PRINT_AREA_MI___0" localSheetId="2">#REF!</definedName>
    <definedName name="Print_Area_Reset" localSheetId="5">OFFSET(Full_Print,0,0,Last_Row)</definedName>
    <definedName name="Print_Area_Reset" localSheetId="2">OFFSET(Full_Print,0,0,Last_Row)</definedName>
    <definedName name="Print_Checklist" localSheetId="2">#REF!</definedName>
    <definedName name="Print_Cover" localSheetId="2">#REF!</definedName>
    <definedName name="Print_ITR" localSheetId="2">#REF!</definedName>
    <definedName name="Print_Settlement" localSheetId="7">#REF!</definedName>
    <definedName name="Print_Settlement" localSheetId="1">#REF!</definedName>
    <definedName name="Print_Settlement" localSheetId="3">#REF!</definedName>
    <definedName name="Print_Settlement">#REF!</definedName>
    <definedName name="_xlnm.Print_Titles" localSheetId="5">IDC!$4:$4</definedName>
    <definedName name="_xlnm.Print_Titles" localSheetId="6">Materials!$7:$8</definedName>
    <definedName name="_xlnm.Print_Titles" localSheetId="4">RA!$1:$3</definedName>
    <definedName name="_xlnm.Print_Titles">#N/A</definedName>
    <definedName name="PRINT_TITLES_MI" localSheetId="7">#REF!</definedName>
    <definedName name="PRINT_TITLES_MI" localSheetId="1">#REF!</definedName>
    <definedName name="PRINT_TITLES_MI" localSheetId="3">#REF!</definedName>
    <definedName name="PRINT_TITLES_MI">#REF!</definedName>
    <definedName name="Print_TRA" localSheetId="7">#REF!</definedName>
    <definedName name="Print_TRA" localSheetId="1">#REF!</definedName>
    <definedName name="Print_TRA" localSheetId="3">#REF!</definedName>
    <definedName name="Print_TRA">#REF!</definedName>
    <definedName name="prnit" localSheetId="7">#REF!</definedName>
    <definedName name="prnit" localSheetId="1">#REF!</definedName>
    <definedName name="prnit" localSheetId="3">#REF!</definedName>
    <definedName name="prnit">#REF!</definedName>
    <definedName name="ProdForm" localSheetId="2" hidden="1">#REF!</definedName>
    <definedName name="Product" localSheetId="2" hidden="1">#REF!</definedName>
    <definedName name="profit" localSheetId="5" hidden="1">{#N/A,"Good",TRUE,"Sheet1";#N/A,"Normal",TRUE,"Sheet1";#N/A,"Bad",TRUE,"Sheet1"}</definedName>
    <definedName name="profit" localSheetId="2" hidden="1">{#N/A,"Good",TRUE,"Sheet1";#N/A,"Normal",TRUE,"Sheet1";#N/A,"Bad",TRUE,"Sheet1"}</definedName>
    <definedName name="project1" localSheetId="7">#REF!</definedName>
    <definedName name="project1" localSheetId="1">#REF!</definedName>
    <definedName name="project1" localSheetId="3">#REF!</definedName>
    <definedName name="project1">#REF!</definedName>
    <definedName name="ProjectName">"Test"</definedName>
    <definedName name="ProjectName1">"Test"</definedName>
    <definedName name="ProjectName2">"Test"</definedName>
    <definedName name="ProjectName3">"Test"</definedName>
    <definedName name="provide" localSheetId="7">#REF!</definedName>
    <definedName name="provide" localSheetId="1">#REF!</definedName>
    <definedName name="provide" localSheetId="3">#REF!</definedName>
    <definedName name="provide">#REF!</definedName>
    <definedName name="PROVISION" localSheetId="7">#REF!</definedName>
    <definedName name="PROVISION" localSheetId="1">#REF!</definedName>
    <definedName name="PROVISION" localSheetId="3">#REF!</definedName>
    <definedName name="PROVISION">#REF!</definedName>
    <definedName name="Provisions" localSheetId="7">#REF!</definedName>
    <definedName name="Provisions" localSheetId="1">#REF!</definedName>
    <definedName name="Provisions" localSheetId="3">#REF!</definedName>
    <definedName name="Provisions">#REF!</definedName>
    <definedName name="Provisions_I" localSheetId="7">#REF!</definedName>
    <definedName name="Provisions_I" localSheetId="1">#REF!</definedName>
    <definedName name="Provisions_I" localSheetId="3">#REF!</definedName>
    <definedName name="Provisions_I">#REF!</definedName>
    <definedName name="PS" localSheetId="7">#REF!</definedName>
    <definedName name="PS" localSheetId="1">#REF!</definedName>
    <definedName name="PS" localSheetId="3">#REF!</definedName>
    <definedName name="PS">#REF!</definedName>
    <definedName name="PS___0" localSheetId="7">#REF!</definedName>
    <definedName name="PS___0" localSheetId="1">#REF!</definedName>
    <definedName name="PS___0" localSheetId="3">#REF!</definedName>
    <definedName name="PS___0">#REF!</definedName>
    <definedName name="PS___13" localSheetId="7">#REF!</definedName>
    <definedName name="PS___13" localSheetId="1">#REF!</definedName>
    <definedName name="PS___13" localSheetId="3">#REF!</definedName>
    <definedName name="PS___13">#REF!</definedName>
    <definedName name="psLibor" localSheetId="7">#REF!</definedName>
    <definedName name="psLibor" localSheetId="1">#REF!</definedName>
    <definedName name="psLibor" localSheetId="3">#REF!</definedName>
    <definedName name="psLibor">#REF!</definedName>
    <definedName name="pStartTaxHol" localSheetId="7">#REF!</definedName>
    <definedName name="pStartTaxHol" localSheetId="1">#REF!</definedName>
    <definedName name="pStartTaxHol" localSheetId="3">#REF!</definedName>
    <definedName name="pStartTaxHol">#REF!</definedName>
    <definedName name="PT" localSheetId="7">#REF!</definedName>
    <definedName name="PT" localSheetId="1">#REF!</definedName>
    <definedName name="PT" localSheetId="3">#REF!</definedName>
    <definedName name="PT">#REF!</definedName>
    <definedName name="ptr" localSheetId="7">#REF!</definedName>
    <definedName name="ptr" localSheetId="1">#REF!</definedName>
    <definedName name="ptr" localSheetId="3">#REF!</definedName>
    <definedName name="ptr">#REF!</definedName>
    <definedName name="Pu" localSheetId="7">#REF!</definedName>
    <definedName name="Pu" localSheetId="1">#REF!</definedName>
    <definedName name="Pu" localSheetId="3">#REF!</definedName>
    <definedName name="Pu">#REF!</definedName>
    <definedName name="pub" localSheetId="7">#REF!</definedName>
    <definedName name="pub" localSheetId="1">#REF!</definedName>
    <definedName name="pub" localSheetId="3">#REF!</definedName>
    <definedName name="pub">#REF!</definedName>
    <definedName name="PUB_FileID" hidden="1">"L10003363.xls"</definedName>
    <definedName name="PUB_UserID" hidden="1">"MAYERX"</definedName>
    <definedName name="pubyfckbd" localSheetId="7">#REF!</definedName>
    <definedName name="pubyfckbd" localSheetId="1">#REF!</definedName>
    <definedName name="pubyfckbd" localSheetId="3">#REF!</definedName>
    <definedName name="pubyfckbd">#REF!</definedName>
    <definedName name="pubyfckbd1" localSheetId="7">#REF!</definedName>
    <definedName name="pubyfckbd1" localSheetId="1">#REF!</definedName>
    <definedName name="pubyfckbd1" localSheetId="3">#REF!</definedName>
    <definedName name="pubyfckbd1">#REF!</definedName>
    <definedName name="puc" localSheetId="7">#REF!</definedName>
    <definedName name="puc" localSheetId="1">#REF!</definedName>
    <definedName name="puc" localSheetId="3">#REF!</definedName>
    <definedName name="puc">#REF!</definedName>
    <definedName name="put" localSheetId="7">#REF!</definedName>
    <definedName name="put" localSheetId="1">#REF!</definedName>
    <definedName name="put" localSheetId="3">#REF!</definedName>
    <definedName name="put">#REF!</definedName>
    <definedName name="puzb" localSheetId="7">#REF!</definedName>
    <definedName name="puzb" localSheetId="1">#REF!</definedName>
    <definedName name="puzb" localSheetId="3">#REF!</definedName>
    <definedName name="puzb">#REF!</definedName>
    <definedName name="puzt" localSheetId="7">#REF!</definedName>
    <definedName name="puzt" localSheetId="1">#REF!</definedName>
    <definedName name="puzt" localSheetId="3">#REF!</definedName>
    <definedName name="puzt">#REF!</definedName>
    <definedName name="pvc_100" localSheetId="7">#REF!</definedName>
    <definedName name="pvc_100" localSheetId="1">#REF!</definedName>
    <definedName name="pvc_100" localSheetId="3">#REF!</definedName>
    <definedName name="pvc_100">#REF!</definedName>
    <definedName name="pvc_15" localSheetId="7">#REF!</definedName>
    <definedName name="pvc_15" localSheetId="1">#REF!</definedName>
    <definedName name="pvc_15" localSheetId="3">#REF!</definedName>
    <definedName name="pvc_15">#REF!</definedName>
    <definedName name="pvc_150" localSheetId="7">#REF!</definedName>
    <definedName name="pvc_150" localSheetId="1">#REF!</definedName>
    <definedName name="pvc_150" localSheetId="3">#REF!</definedName>
    <definedName name="pvc_150">#REF!</definedName>
    <definedName name="pvc_20" localSheetId="7">#REF!</definedName>
    <definedName name="pvc_20" localSheetId="1">#REF!</definedName>
    <definedName name="pvc_20" localSheetId="3">#REF!</definedName>
    <definedName name="pvc_20">#REF!</definedName>
    <definedName name="pvc_200" localSheetId="7">#REF!</definedName>
    <definedName name="pvc_200" localSheetId="1">#REF!</definedName>
    <definedName name="pvc_200" localSheetId="3">#REF!</definedName>
    <definedName name="pvc_200">#REF!</definedName>
    <definedName name="pvc_25" localSheetId="7">#REF!</definedName>
    <definedName name="pvc_25" localSheetId="1">#REF!</definedName>
    <definedName name="pvc_25" localSheetId="3">#REF!</definedName>
    <definedName name="pvc_25">#REF!</definedName>
    <definedName name="pvc_250" localSheetId="7">#REF!</definedName>
    <definedName name="pvc_250" localSheetId="1">#REF!</definedName>
    <definedName name="pvc_250" localSheetId="3">#REF!</definedName>
    <definedName name="pvc_250">#REF!</definedName>
    <definedName name="pvc_300" localSheetId="7">#REF!</definedName>
    <definedName name="pvc_300" localSheetId="1">#REF!</definedName>
    <definedName name="pvc_300" localSheetId="3">#REF!</definedName>
    <definedName name="pvc_300">#REF!</definedName>
    <definedName name="pvc_32" localSheetId="7">#REF!</definedName>
    <definedName name="pvc_32" localSheetId="1">#REF!</definedName>
    <definedName name="pvc_32" localSheetId="3">#REF!</definedName>
    <definedName name="pvc_32">#REF!</definedName>
    <definedName name="pvc_40" localSheetId="7">#REF!</definedName>
    <definedName name="pvc_40" localSheetId="1">#REF!</definedName>
    <definedName name="pvc_40" localSheetId="3">#REF!</definedName>
    <definedName name="pvc_40">#REF!</definedName>
    <definedName name="pvc_400" localSheetId="7">#REF!</definedName>
    <definedName name="pvc_400" localSheetId="1">#REF!</definedName>
    <definedName name="pvc_400" localSheetId="3">#REF!</definedName>
    <definedName name="pvc_400">#REF!</definedName>
    <definedName name="pvc_50" localSheetId="7">#REF!</definedName>
    <definedName name="pvc_50" localSheetId="1">#REF!</definedName>
    <definedName name="pvc_50" localSheetId="3">#REF!</definedName>
    <definedName name="pvc_50">#REF!</definedName>
    <definedName name="pvc_600" localSheetId="7">#REF!</definedName>
    <definedName name="pvc_600" localSheetId="1">#REF!</definedName>
    <definedName name="pvc_600" localSheetId="3">#REF!</definedName>
    <definedName name="pvc_600">#REF!</definedName>
    <definedName name="pvc_65" localSheetId="7">#REF!</definedName>
    <definedName name="pvc_65" localSheetId="1">#REF!</definedName>
    <definedName name="pvc_65" localSheetId="3">#REF!</definedName>
    <definedName name="pvc_65">#REF!</definedName>
    <definedName name="pvc_80" localSheetId="7">#REF!</definedName>
    <definedName name="pvc_80" localSheetId="1">#REF!</definedName>
    <definedName name="pvc_80" localSheetId="3">#REF!</definedName>
    <definedName name="pvc_80">#REF!</definedName>
    <definedName name="Pz" localSheetId="7">#REF!</definedName>
    <definedName name="Pz" localSheetId="1">#REF!</definedName>
    <definedName name="Pz" localSheetId="3">#REF!</definedName>
    <definedName name="Pz">#REF!</definedName>
    <definedName name="q" localSheetId="7">#REF!</definedName>
    <definedName name="q" localSheetId="1">#REF!</definedName>
    <definedName name="q" localSheetId="3">#REF!</definedName>
    <definedName name="q">#REF!</definedName>
    <definedName name="Qc" localSheetId="2">#REF!</definedName>
    <definedName name="Qc___0" localSheetId="2">#REF!</definedName>
    <definedName name="Qc___13" localSheetId="2">#REF!</definedName>
    <definedName name="Qf___0" localSheetId="7">#REF!</definedName>
    <definedName name="Qf___0" localSheetId="1">#REF!</definedName>
    <definedName name="Qf___0" localSheetId="3">#REF!</definedName>
    <definedName name="Qf___0">#REF!</definedName>
    <definedName name="Qf___13" localSheetId="7">#REF!</definedName>
    <definedName name="Qf___13" localSheetId="1">#REF!</definedName>
    <definedName name="Qf___13" localSheetId="3">#REF!</definedName>
    <definedName name="Qf___13">#REF!</definedName>
    <definedName name="Qi" localSheetId="7">#REF!</definedName>
    <definedName name="Qi" localSheetId="1">#REF!</definedName>
    <definedName name="Qi" localSheetId="3">#REF!</definedName>
    <definedName name="Qi">#REF!</definedName>
    <definedName name="Qi___0" localSheetId="7">#REF!</definedName>
    <definedName name="Qi___0" localSheetId="1">#REF!</definedName>
    <definedName name="Qi___0" localSheetId="3">#REF!</definedName>
    <definedName name="Qi___0">#REF!</definedName>
    <definedName name="Qi___13" localSheetId="7">#REF!</definedName>
    <definedName name="Qi___13" localSheetId="1">#REF!</definedName>
    <definedName name="Qi___13" localSheetId="3">#REF!</definedName>
    <definedName name="Qi___13">#REF!</definedName>
    <definedName name="Ql" localSheetId="7">#REF!</definedName>
    <definedName name="Ql" localSheetId="1">#REF!</definedName>
    <definedName name="Ql" localSheetId="3">#REF!</definedName>
    <definedName name="Ql">#REF!</definedName>
    <definedName name="Ql___0" localSheetId="7">#REF!</definedName>
    <definedName name="Ql___0" localSheetId="1">#REF!</definedName>
    <definedName name="Ql___0" localSheetId="3">#REF!</definedName>
    <definedName name="Ql___0">#REF!</definedName>
    <definedName name="Ql___13" localSheetId="7">#REF!</definedName>
    <definedName name="Ql___13" localSheetId="1">#REF!</definedName>
    <definedName name="Ql___13" localSheetId="3">#REF!</definedName>
    <definedName name="Ql___13">#REF!</definedName>
    <definedName name="qq" localSheetId="7">#REF!</definedName>
    <definedName name="qq" localSheetId="1">#REF!</definedName>
    <definedName name="qq" localSheetId="3">#REF!</definedName>
    <definedName name="qq">#REF!</definedName>
    <definedName name="qqq" localSheetId="7" hidden="1">#REF!</definedName>
    <definedName name="qqq" localSheetId="1" hidden="1">#REF!</definedName>
    <definedName name="qqq" localSheetId="3" hidden="1">#REF!</definedName>
    <definedName name="qqq" hidden="1">#REF!</definedName>
    <definedName name="qqqqq" localSheetId="7">#REF!</definedName>
    <definedName name="qqqqq" localSheetId="1">#REF!</definedName>
    <definedName name="qqqqq" localSheetId="3">#REF!</definedName>
    <definedName name="qqqqq">#REF!</definedName>
    <definedName name="QQQQQQQQQQQQQ" localSheetId="7">#REF!</definedName>
    <definedName name="QQQQQQQQQQQQQ" localSheetId="1">#REF!</definedName>
    <definedName name="QQQQQQQQQQQQQ" localSheetId="3">#REF!</definedName>
    <definedName name="QQQQQQQQQQQQQ">#REF!</definedName>
    <definedName name="qqqqqqqqqqqqqqqq" localSheetId="7">#REF!</definedName>
    <definedName name="qqqqqqqqqqqqqqqq" localSheetId="1">#REF!</definedName>
    <definedName name="qqqqqqqqqqqqqqqq" localSheetId="3">#REF!</definedName>
    <definedName name="qqqqqqqqqqqqqqqq">#REF!</definedName>
    <definedName name="QRQWD" localSheetId="7">#REF!</definedName>
    <definedName name="QRQWD" localSheetId="1">#REF!</definedName>
    <definedName name="QRQWD" localSheetId="3">#REF!</definedName>
    <definedName name="QRQWD">#REF!</definedName>
    <definedName name="Qspan" localSheetId="7">#REF!</definedName>
    <definedName name="Qspan" localSheetId="1">#REF!</definedName>
    <definedName name="Qspan" localSheetId="3">#REF!</definedName>
    <definedName name="Qspan">#REF!</definedName>
    <definedName name="Qty_as_on" localSheetId="7">#REF!</definedName>
    <definedName name="Qty_as_on" localSheetId="1">#REF!</definedName>
    <definedName name="Qty_as_on" localSheetId="3">#REF!</definedName>
    <definedName name="Qty_as_on">#REF!</definedName>
    <definedName name="Qty_as_on_apr" localSheetId="7">#REF!</definedName>
    <definedName name="Qty_as_on_apr" localSheetId="1">#REF!</definedName>
    <definedName name="Qty_as_on_apr" localSheetId="3">#REF!</definedName>
    <definedName name="Qty_as_on_apr">#REF!</definedName>
    <definedName name="QtyB02" localSheetId="7">#REF!</definedName>
    <definedName name="QtyB02" localSheetId="1">#REF!</definedName>
    <definedName name="QtyB02" localSheetId="3">#REF!</definedName>
    <definedName name="QtyB02">#REF!</definedName>
    <definedName name="QtyB05" localSheetId="7">#REF!</definedName>
    <definedName name="QtyB05" localSheetId="1">#REF!</definedName>
    <definedName name="QtyB05" localSheetId="3">#REF!</definedName>
    <definedName name="QtyB05">#REF!</definedName>
    <definedName name="QtyB06" localSheetId="7">#REF!</definedName>
    <definedName name="QtyB06" localSheetId="1">#REF!</definedName>
    <definedName name="QtyB06" localSheetId="3">#REF!</definedName>
    <definedName name="QtyB06">#REF!</definedName>
    <definedName name="QtyB07" localSheetId="7">#REF!</definedName>
    <definedName name="QtyB07" localSheetId="1">#REF!</definedName>
    <definedName name="QtyB07" localSheetId="3">#REF!</definedName>
    <definedName name="QtyB07">#REF!</definedName>
    <definedName name="qua" localSheetId="7">#REF!</definedName>
    <definedName name="qua" localSheetId="1">#REF!</definedName>
    <definedName name="qua" localSheetId="3">#REF!</definedName>
    <definedName name="qua">#REF!</definedName>
    <definedName name="Quantity">"C1"</definedName>
    <definedName name="QUANTITY1" localSheetId="7">#REF!</definedName>
    <definedName name="QUANTITY1" localSheetId="1">#REF!</definedName>
    <definedName name="QUANTITY1" localSheetId="3">#REF!</definedName>
    <definedName name="QUANTITY1">#REF!</definedName>
    <definedName name="quar" localSheetId="7">#REF!</definedName>
    <definedName name="quar" localSheetId="1">#REF!</definedName>
    <definedName name="quar" localSheetId="3">#REF!</definedName>
    <definedName name="quar">#REF!</definedName>
    <definedName name="QUARTZ" localSheetId="7">#REF!</definedName>
    <definedName name="QUARTZ" localSheetId="1">#REF!</definedName>
    <definedName name="QUARTZ" localSheetId="3">#REF!</definedName>
    <definedName name="QUARTZ">#REF!</definedName>
    <definedName name="Qv" localSheetId="7">#REF!</definedName>
    <definedName name="Qv" localSheetId="1">#REF!</definedName>
    <definedName name="Qv" localSheetId="3">#REF!</definedName>
    <definedName name="Qv">#REF!</definedName>
    <definedName name="qw" localSheetId="7">#REF!</definedName>
    <definedName name="qw" localSheetId="1">#REF!</definedName>
    <definedName name="qw" localSheetId="3">#REF!</definedName>
    <definedName name="qw">#REF!</definedName>
    <definedName name="qww" localSheetId="5">Scheduled_Payment+Extra_Payment</definedName>
    <definedName name="qww" localSheetId="2">Scheduled_Payment+Extra_Payment</definedName>
    <definedName name="qwwww" localSheetId="2">#REF!</definedName>
    <definedName name="qwy" localSheetId="5">Scheduled_Payment+Extra_Payment</definedName>
    <definedName name="qwy" localSheetId="2">Scheduled_Payment+Extra_Payment</definedName>
    <definedName name="r.p.sarma" localSheetId="2">#REF!</definedName>
    <definedName name="r.v.pal" localSheetId="2">#REF!</definedName>
    <definedName name="r.v.pall" localSheetId="2">#REF!</definedName>
    <definedName name="R___variation_factor_in_capacity_per_degree_Celcius" localSheetId="7">#REF!</definedName>
    <definedName name="R___variation_factor_in_capacity_per_degree_Celcius" localSheetId="1">#REF!</definedName>
    <definedName name="R___variation_factor_in_capacity_per_degree_Celcius" localSheetId="3">#REF!</definedName>
    <definedName name="R___variation_factor_in_capacity_per_degree_Celcius">#REF!</definedName>
    <definedName name="Ra" localSheetId="7">#REF!</definedName>
    <definedName name="Ra" localSheetId="1">#REF!</definedName>
    <definedName name="Ra" localSheetId="3">#REF!</definedName>
    <definedName name="Ra">#REF!</definedName>
    <definedName name="raams" localSheetId="7">#REF!</definedName>
    <definedName name="raams" localSheetId="1">#REF!</definedName>
    <definedName name="raams" localSheetId="3">#REF!</definedName>
    <definedName name="raams">#REF!</definedName>
    <definedName name="RAAMS12" localSheetId="7">#REF!</definedName>
    <definedName name="RAAMS12" localSheetId="1">#REF!</definedName>
    <definedName name="RAAMS12" localSheetId="3">#REF!</definedName>
    <definedName name="RAAMS12">#REF!</definedName>
    <definedName name="raams23" localSheetId="7">#REF!</definedName>
    <definedName name="raams23" localSheetId="1">#REF!</definedName>
    <definedName name="raams23" localSheetId="3">#REF!</definedName>
    <definedName name="raams23">#REF!</definedName>
    <definedName name="RAFTArea" localSheetId="2">#REF!</definedName>
    <definedName name="RaftD" localSheetId="2">#REF!</definedName>
    <definedName name="RAFTPerimeter" localSheetId="2">#REF!</definedName>
    <definedName name="Raj" localSheetId="5" hidden="1">{"'Sheet1'!$A$4386:$N$4591"}</definedName>
    <definedName name="Raj" localSheetId="2" hidden="1">{"'Sheet1'!$A$4386:$N$4591"}</definedName>
    <definedName name="rajakansari" localSheetId="7">#REF!</definedName>
    <definedName name="rajakansari" localSheetId="1">#REF!</definedName>
    <definedName name="rajakansari" localSheetId="3">#REF!</definedName>
    <definedName name="rajakansari">#REF!</definedName>
    <definedName name="rakesh" localSheetId="7">#REF!</definedName>
    <definedName name="rakesh" localSheetId="1">#REF!</definedName>
    <definedName name="rakesh" localSheetId="3">#REF!</definedName>
    <definedName name="rakesh">#REF!</definedName>
    <definedName name="ram" localSheetId="7">#REF!</definedName>
    <definedName name="ram" localSheetId="1">#REF!</definedName>
    <definedName name="ram" localSheetId="3">#REF!</definedName>
    <definedName name="ram">#REF!</definedName>
    <definedName name="RASH" localSheetId="7">#REF!</definedName>
    <definedName name="RASH" localSheetId="1">#REF!</definedName>
    <definedName name="RASH" localSheetId="3">#REF!</definedName>
    <definedName name="RASH">#REF!</definedName>
    <definedName name="RatAna" localSheetId="7">#REF!</definedName>
    <definedName name="RatAna" localSheetId="1">#REF!</definedName>
    <definedName name="RatAna" localSheetId="3">#REF!</definedName>
    <definedName name="RatAna">#REF!</definedName>
    <definedName name="rate" localSheetId="7">#REF!</definedName>
    <definedName name="rate" localSheetId="1">#REF!</definedName>
    <definedName name="rate" localSheetId="3">#REF!</definedName>
    <definedName name="rate">#REF!</definedName>
    <definedName name="RateB02" localSheetId="2">#REF!</definedName>
    <definedName name="RateB05" localSheetId="2">#REF!</definedName>
    <definedName name="RateB06" localSheetId="2">#REF!</definedName>
    <definedName name="RateMaxDemChrgs" localSheetId="7">#REF!</definedName>
    <definedName name="RateMaxDemChrgs" localSheetId="1">#REF!</definedName>
    <definedName name="RateMaxDemChrgs" localSheetId="3">#REF!</definedName>
    <definedName name="RateMaxDemChrgs">#REF!</definedName>
    <definedName name="RateMaxDemChrgs_I" localSheetId="7">#REF!</definedName>
    <definedName name="RateMaxDemChrgs_I" localSheetId="1">#REF!</definedName>
    <definedName name="RateMaxDemChrgs_I" localSheetId="3">#REF!</definedName>
    <definedName name="RateMaxDemChrgs_I">#REF!</definedName>
    <definedName name="RATES__ADJUSTMENT__AREA" localSheetId="7">#REF!</definedName>
    <definedName name="RATES__ADJUSTMENT__AREA" localSheetId="1">#REF!</definedName>
    <definedName name="RATES__ADJUSTMENT__AREA" localSheetId="3">#REF!</definedName>
    <definedName name="RATES__ADJUSTMENT__AREA">#REF!</definedName>
    <definedName name="RCArea" localSheetId="2" hidden="1">#REF!</definedName>
    <definedName name="RCT" localSheetId="2">#REF!</definedName>
    <definedName name="RCVFINAL" localSheetId="2">#REF!</definedName>
    <definedName name="rcwbgl" localSheetId="2">#REF!</definedName>
    <definedName name="RD_InputTable" localSheetId="7">#REF!</definedName>
    <definedName name="RD_InputTable" localSheetId="1">#REF!</definedName>
    <definedName name="RD_InputTable" localSheetId="3">#REF!</definedName>
    <definedName name="RD_InputTable">#REF!</definedName>
    <definedName name="RD_OutputTable" localSheetId="7">#REF!</definedName>
    <definedName name="RD_OutputTable" localSheetId="1">#REF!</definedName>
    <definedName name="RD_OutputTable" localSheetId="3">#REF!</definedName>
    <definedName name="RD_OutputTable">#REF!</definedName>
    <definedName name="RDN" localSheetId="5" hidden="1">{#N/A,#N/A,FALSE,"COVER.XLS";#N/A,#N/A,FALSE,"RACT1.XLS";#N/A,#N/A,FALSE,"RACT2.XLS";#N/A,#N/A,FALSE,"ECCMP";#N/A,#N/A,FALSE,"WELDER.XLS"}</definedName>
    <definedName name="RDN" localSheetId="2" hidden="1">{#N/A,#N/A,FALSE,"COVER.XLS";#N/A,#N/A,FALSE,"RACT1.XLS";#N/A,#N/A,FALSE,"RACT2.XLS";#N/A,#N/A,FALSE,"ECCMP";#N/A,#N/A,FALSE,"WELDER.XLS"}</definedName>
    <definedName name="Re___0" localSheetId="7">#REF!</definedName>
    <definedName name="Re___0" localSheetId="1">#REF!</definedName>
    <definedName name="Re___0" localSheetId="3">#REF!</definedName>
    <definedName name="Re___0">#REF!</definedName>
    <definedName name="Re___13" localSheetId="7">#REF!</definedName>
    <definedName name="Re___13" localSheetId="1">#REF!</definedName>
    <definedName name="Re___13" localSheetId="3">#REF!</definedName>
    <definedName name="Re___13">#REF!</definedName>
    <definedName name="Rebar_Qty._for_Bottom_L" localSheetId="7">#REF!</definedName>
    <definedName name="Rebar_Qty._for_Bottom_L" localSheetId="1">#REF!</definedName>
    <definedName name="Rebar_Qty._for_Bottom_L" localSheetId="3">#REF!</definedName>
    <definedName name="Rebar_Qty._for_Bottom_L">#REF!</definedName>
    <definedName name="RebIns" localSheetId="7">#REF!</definedName>
    <definedName name="RebIns" localSheetId="1">#REF!</definedName>
    <definedName name="RebIns" localSheetId="3">#REF!</definedName>
    <definedName name="RebIns">#REF!</definedName>
    <definedName name="RebIns_I" localSheetId="7">#REF!</definedName>
    <definedName name="RebIns_I" localSheetId="1">#REF!</definedName>
    <definedName name="RebIns_I" localSheetId="3">#REF!</definedName>
    <definedName name="RebIns_I">#REF!</definedName>
    <definedName name="rec" localSheetId="7">#REF!</definedName>
    <definedName name="rec" localSheetId="1">#REF!</definedName>
    <definedName name="rec" localSheetId="3">#REF!</definedName>
    <definedName name="rec">#REF!</definedName>
    <definedName name="receipt" localSheetId="7">#REF!</definedName>
    <definedName name="receipt" localSheetId="1">#REF!</definedName>
    <definedName name="receipt" localSheetId="3">#REF!</definedName>
    <definedName name="receipt">#REF!</definedName>
    <definedName name="Receivables" localSheetId="7">#REF!</definedName>
    <definedName name="Receivables" localSheetId="1">#REF!</definedName>
    <definedName name="Receivables" localSheetId="3">#REF!</definedName>
    <definedName name="Receivables">#REF!</definedName>
    <definedName name="Receivables_I" localSheetId="7">#REF!</definedName>
    <definedName name="Receivables_I" localSheetId="1">#REF!</definedName>
    <definedName name="Receivables_I" localSheetId="3">#REF!</definedName>
    <definedName name="Receivables_I">#REF!</definedName>
    <definedName name="RECON" localSheetId="5" hidden="1">{"form-D1",#N/A,FALSE,"FORM-D1";"form-D1_amt",#N/A,FALSE,"FORM-D1"}</definedName>
    <definedName name="RECON" localSheetId="2" hidden="1">{"form-D1",#N/A,FALSE,"FORM-D1";"form-D1_amt",#N/A,FALSE,"FORM-D1"}</definedName>
    <definedName name="RECON_1" localSheetId="5" hidden="1">{"form-D1",#N/A,FALSE,"FORM-D1";"form-D1_amt",#N/A,FALSE,"FORM-D1"}</definedName>
    <definedName name="RECON_1" localSheetId="2" hidden="1">{"form-D1",#N/A,FALSE,"FORM-D1";"form-D1_amt",#N/A,FALSE,"FORM-D1"}</definedName>
    <definedName name="RECON_1_1" localSheetId="5" hidden="1">{"form-D1",#N/A,FALSE,"FORM-D1";"form-D1_amt",#N/A,FALSE,"FORM-D1"}</definedName>
    <definedName name="RECON_1_1" localSheetId="2" hidden="1">{"form-D1",#N/A,FALSE,"FORM-D1";"form-D1_amt",#N/A,FALSE,"FORM-D1"}</definedName>
    <definedName name="RECON_1_2" localSheetId="5" hidden="1">{"form-D1",#N/A,FALSE,"FORM-D1";"form-D1_amt",#N/A,FALSE,"FORM-D1"}</definedName>
    <definedName name="RECON_1_2" localSheetId="2" hidden="1">{"form-D1",#N/A,FALSE,"FORM-D1";"form-D1_amt",#N/A,FALSE,"FORM-D1"}</definedName>
    <definedName name="RECON_2" localSheetId="5" hidden="1">{"form-D1",#N/A,FALSE,"FORM-D1";"form-D1_amt",#N/A,FALSE,"FORM-D1"}</definedName>
    <definedName name="RECON_2" localSheetId="2" hidden="1">{"form-D1",#N/A,FALSE,"FORM-D1";"form-D1_amt",#N/A,FALSE,"FORM-D1"}</definedName>
    <definedName name="RECON_2_1" localSheetId="5" hidden="1">{"form-D1",#N/A,FALSE,"FORM-D1";"form-D1_amt",#N/A,FALSE,"FORM-D1"}</definedName>
    <definedName name="RECON_2_1" localSheetId="2" hidden="1">{"form-D1",#N/A,FALSE,"FORM-D1";"form-D1_amt",#N/A,FALSE,"FORM-D1"}</definedName>
    <definedName name="RECON_3" localSheetId="5" hidden="1">{"form-D1",#N/A,FALSE,"FORM-D1";"form-D1_amt",#N/A,FALSE,"FORM-D1"}</definedName>
    <definedName name="RECON_3" localSheetId="2" hidden="1">{"form-D1",#N/A,FALSE,"FORM-D1";"form-D1_amt",#N/A,FALSE,"FORM-D1"}</definedName>
    <definedName name="RECON_3_1" localSheetId="5" hidden="1">{"form-D1",#N/A,FALSE,"FORM-D1";"form-D1_amt",#N/A,FALSE,"FORM-D1"}</definedName>
    <definedName name="RECON_3_1" localSheetId="2" hidden="1">{"form-D1",#N/A,FALSE,"FORM-D1";"form-D1_amt",#N/A,FALSE,"FORM-D1"}</definedName>
    <definedName name="RECON_4" localSheetId="5" hidden="1">{"form-D1",#N/A,FALSE,"FORM-D1";"form-D1_amt",#N/A,FALSE,"FORM-D1"}</definedName>
    <definedName name="RECON_4" localSheetId="2" hidden="1">{"form-D1",#N/A,FALSE,"FORM-D1";"form-D1_amt",#N/A,FALSE,"FORM-D1"}</definedName>
    <definedName name="RECON_4_1" localSheetId="5" hidden="1">{"form-D1",#N/A,FALSE,"FORM-D1";"form-D1_amt",#N/A,FALSE,"FORM-D1"}</definedName>
    <definedName name="RECON_4_1" localSheetId="2" hidden="1">{"form-D1",#N/A,FALSE,"FORM-D1";"form-D1_amt",#N/A,FALSE,"FORM-D1"}</definedName>
    <definedName name="RECON_5" localSheetId="5" hidden="1">{"form-D1",#N/A,FALSE,"FORM-D1";"form-D1_amt",#N/A,FALSE,"FORM-D1"}</definedName>
    <definedName name="RECON_5" localSheetId="2" hidden="1">{"form-D1",#N/A,FALSE,"FORM-D1";"form-D1_amt",#N/A,FALSE,"FORM-D1"}</definedName>
    <definedName name="RECON_5_1" localSheetId="5" hidden="1">{"form-D1",#N/A,FALSE,"FORM-D1";"form-D1_amt",#N/A,FALSE,"FORM-D1"}</definedName>
    <definedName name="RECON_5_1" localSheetId="2" hidden="1">{"form-D1",#N/A,FALSE,"FORM-D1";"form-D1_amt",#N/A,FALSE,"FORM-D1"}</definedName>
    <definedName name="_xlnm.Recorder" localSheetId="7">#REF!</definedName>
    <definedName name="_xlnm.Recorder" localSheetId="1">#REF!</definedName>
    <definedName name="_xlnm.Recorder" localSheetId="3">#REF!</definedName>
    <definedName name="_xlnm.Recorder" localSheetId="2">#REF!</definedName>
    <definedName name="_xlnm.Recorder">#REF!</definedName>
    <definedName name="RECOUT">#N/A</definedName>
    <definedName name="rect_4_415" localSheetId="2">#REF!</definedName>
    <definedName name="reee" localSheetId="2">#REF!</definedName>
    <definedName name="REGULAR_STAFF" localSheetId="7">#REF!</definedName>
    <definedName name="REGULAR_STAFF" localSheetId="1">#REF!</definedName>
    <definedName name="REGULAR_STAFF" localSheetId="3">#REF!</definedName>
    <definedName name="REGULAR_STAFF">#REF!</definedName>
    <definedName name="REGULAR_STAFF_ENTRY" localSheetId="7">#REF!</definedName>
    <definedName name="REGULAR_STAFF_ENTRY" localSheetId="1">#REF!</definedName>
    <definedName name="REGULAR_STAFF_ENTRY" localSheetId="3">#REF!</definedName>
    <definedName name="REGULAR_STAFF_ENTRY">#REF!</definedName>
    <definedName name="REHAB" localSheetId="7">#REF!</definedName>
    <definedName name="REHAB" localSheetId="1">#REF!</definedName>
    <definedName name="REHAB" localSheetId="3">#REF!</definedName>
    <definedName name="REHAB">#REF!</definedName>
    <definedName name="REINFORCEMENT" localSheetId="7">#REF!</definedName>
    <definedName name="REINFORCEMENT" localSheetId="1">#REF!</definedName>
    <definedName name="REINFORCEMENT" localSheetId="3">#REF!</definedName>
    <definedName name="REINFORCEMENT">#REF!</definedName>
    <definedName name="RejCon" localSheetId="7">#REF!</definedName>
    <definedName name="RejCon" localSheetId="1">#REF!</definedName>
    <definedName name="RejCon" localSheetId="3">#REF!</definedName>
    <definedName name="RejCon">#REF!</definedName>
    <definedName name="RejCon_I" localSheetId="7">#REF!</definedName>
    <definedName name="RejCon_I" localSheetId="1">#REF!</definedName>
    <definedName name="RejCon_I" localSheetId="3">#REF!</definedName>
    <definedName name="RejCon_I">#REF!</definedName>
    <definedName name="rel" localSheetId="7">#REF!</definedName>
    <definedName name="rel" localSheetId="1">#REF!</definedName>
    <definedName name="rel" localSheetId="3">#REF!</definedName>
    <definedName name="rel">#REF!</definedName>
    <definedName name="req" localSheetId="2">#REF!</definedName>
    <definedName name="reqDSRCov" localSheetId="2">#REF!</definedName>
    <definedName name="res_sum" localSheetId="5" hidden="1">{#N/A,#N/A,FALSE,"COVER1.XLS ";#N/A,#N/A,FALSE,"RACT1.XLS";#N/A,#N/A,FALSE,"RACT2.XLS";#N/A,#N/A,FALSE,"ECCMP";#N/A,#N/A,FALSE,"WELDER.XLS"}</definedName>
    <definedName name="res_sum" localSheetId="2" hidden="1">{#N/A,#N/A,FALSE,"COVER1.XLS ";#N/A,#N/A,FALSE,"RACT1.XLS";#N/A,#N/A,FALSE,"RACT2.XLS";#N/A,#N/A,FALSE,"ECCMP";#N/A,#N/A,FALSE,"WELDER.XLS"}</definedName>
    <definedName name="ret" localSheetId="5" hidden="1">{"Total Indirect Manpower",#N/A,FALSE,"J";"Total Direct Manpower",#N/A,FALSE,"J";"Direct Structural Manpower",#N/A,FALSE,"J";"Direct Mechanical Manpower",#N/A,FALSE,"J";"Direct Piping Manpower",#N/A,FALSE,"J";"Direct Tanks Manpower",#N/A,FALSE,"J";"Direct ElecInstrSS Manpower",#N/A,FALSE,"J"}</definedName>
    <definedName name="ret" localSheetId="2" hidden="1">{"Total Indirect Manpower",#N/A,FALSE,"J";"Total Direct Manpower",#N/A,FALSE,"J";"Direct Structural Manpower",#N/A,FALSE,"J";"Direct Mechanical Manpower",#N/A,FALSE,"J";"Direct Piping Manpower",#N/A,FALSE,"J";"Direct Tanks Manpower",#N/A,FALSE,"J";"Direct ElecInstrSS Manpower",#N/A,FALSE,"J"}</definedName>
    <definedName name="rete" localSheetId="7">#REF!</definedName>
    <definedName name="rete" localSheetId="1">#REF!</definedName>
    <definedName name="rete" localSheetId="3">#REF!</definedName>
    <definedName name="rete">#REF!</definedName>
    <definedName name="retn" localSheetId="7">#REF!</definedName>
    <definedName name="retn" localSheetId="1">#REF!</definedName>
    <definedName name="retn" localSheetId="3">#REF!</definedName>
    <definedName name="retn">#REF!</definedName>
    <definedName name="reu" localSheetId="5" hidden="1">{#N/A,#N/A,FALSE,"gc (2)"}</definedName>
    <definedName name="reu" localSheetId="2" hidden="1">{#N/A,#N/A,FALSE,"gc (2)"}</definedName>
    <definedName name="REVISED" localSheetId="7">#REF!</definedName>
    <definedName name="REVISED" localSheetId="1">#REF!</definedName>
    <definedName name="REVISED" localSheetId="3">#REF!</definedName>
    <definedName name="REVISED">#REF!</definedName>
    <definedName name="Revision" localSheetId="7">#REF!</definedName>
    <definedName name="Revision" localSheetId="1">#REF!</definedName>
    <definedName name="Revision" localSheetId="3">#REF!</definedName>
    <definedName name="Revision">#REF!</definedName>
    <definedName name="revision1" localSheetId="7">#REF!</definedName>
    <definedName name="revision1" localSheetId="1">#REF!</definedName>
    <definedName name="revision1" localSheetId="3">#REF!</definedName>
    <definedName name="revision1">#REF!</definedName>
    <definedName name="REVISION12" localSheetId="7">#REF!</definedName>
    <definedName name="REVISION12" localSheetId="1">#REF!</definedName>
    <definedName name="REVISION12" localSheetId="3">#REF!</definedName>
    <definedName name="REVISION12">#REF!</definedName>
    <definedName name="REVISION23" localSheetId="7">#REF!</definedName>
    <definedName name="REVISION23" localSheetId="1">#REF!</definedName>
    <definedName name="REVISION23" localSheetId="3">#REF!</definedName>
    <definedName name="REVISION23">#REF!</definedName>
    <definedName name="REW" localSheetId="7">#REF!</definedName>
    <definedName name="REW" localSheetId="1">#REF!</definedName>
    <definedName name="REW" localSheetId="3">#REF!</definedName>
    <definedName name="REW">#REF!</definedName>
    <definedName name="reya" localSheetId="5" hidden="1">{"office ltcg",#N/A,FALSE,"gain01";"IT LTCG",#N/A,FALSE,"gain01"}</definedName>
    <definedName name="reya" localSheetId="2" hidden="1">{"office ltcg",#N/A,FALSE,"gain01";"IT LTCG",#N/A,FALSE,"gain01"}</definedName>
    <definedName name="RFP003A" localSheetId="2">#REF!</definedName>
    <definedName name="RFP003B" localSheetId="2">#REF!</definedName>
    <definedName name="RFP003C" localSheetId="2">#REF!</definedName>
    <definedName name="RFP003E" localSheetId="7">#REF!</definedName>
    <definedName name="RFP003E" localSheetId="1">#REF!</definedName>
    <definedName name="RFP003E" localSheetId="3">#REF!</definedName>
    <definedName name="RFP003E">#REF!</definedName>
    <definedName name="RFP003F" localSheetId="7">#REF!</definedName>
    <definedName name="RFP003F" localSheetId="1">#REF!</definedName>
    <definedName name="RFP003F" localSheetId="3">#REF!</definedName>
    <definedName name="RFP003F">#REF!</definedName>
    <definedName name="Rg" localSheetId="7">#REF!</definedName>
    <definedName name="Rg" localSheetId="1">#REF!</definedName>
    <definedName name="Rg" localSheetId="3">#REF!</definedName>
    <definedName name="Rg">#REF!</definedName>
    <definedName name="rgs" localSheetId="7">#REF!</definedName>
    <definedName name="rgs" localSheetId="1">#REF!</definedName>
    <definedName name="rgs" localSheetId="3">#REF!</definedName>
    <definedName name="rgs">#REF!</definedName>
    <definedName name="RH" localSheetId="7">#REF!</definedName>
    <definedName name="RH" localSheetId="1">#REF!</definedName>
    <definedName name="RH" localSheetId="3">#REF!</definedName>
    <definedName name="RH">#REF!</definedName>
    <definedName name="rho" localSheetId="2">#REF!</definedName>
    <definedName name="RHS" localSheetId="2">#REF!</definedName>
    <definedName name="rig" localSheetId="2">#REF!</definedName>
    <definedName name="ripal" localSheetId="5" hidden="1">{#N/A,#N/A,FALSE,"gc (2)"}</definedName>
    <definedName name="ripal" localSheetId="2" hidden="1">{#N/A,#N/A,FALSE,"gc (2)"}</definedName>
    <definedName name="Rl___0" localSheetId="7">#REF!</definedName>
    <definedName name="Rl___0" localSheetId="1">#REF!</definedName>
    <definedName name="Rl___0" localSheetId="3">#REF!</definedName>
    <definedName name="Rl___0">#REF!</definedName>
    <definedName name="Rl___13" localSheetId="7">#REF!</definedName>
    <definedName name="Rl___13" localSheetId="1">#REF!</definedName>
    <definedName name="Rl___13" localSheetId="3">#REF!</definedName>
    <definedName name="Rl___13">#REF!</definedName>
    <definedName name="Rlead" localSheetId="7">#REF!</definedName>
    <definedName name="Rlead" localSheetId="1">#REF!</definedName>
    <definedName name="Rlead" localSheetId="3">#REF!</definedName>
    <definedName name="Rlead">#REF!</definedName>
    <definedName name="Rm" localSheetId="7">#REF!</definedName>
    <definedName name="Rm" localSheetId="1">#REF!</definedName>
    <definedName name="Rm" localSheetId="3">#REF!</definedName>
    <definedName name="Rm">#REF!</definedName>
    <definedName name="RNNN" localSheetId="7">#REF!</definedName>
    <definedName name="RNNN" localSheetId="1">#REF!</definedName>
    <definedName name="RNNN" localSheetId="3">#REF!</definedName>
    <definedName name="RNNN">#REF!</definedName>
    <definedName name="road" localSheetId="7">#REF!</definedName>
    <definedName name="road" localSheetId="1">#REF!</definedName>
    <definedName name="road" localSheetId="3">#REF!</definedName>
    <definedName name="road">#REF!</definedName>
    <definedName name="Roads___Footpaths" localSheetId="7">#REF!</definedName>
    <definedName name="Roads___Footpaths" localSheetId="1">#REF!</definedName>
    <definedName name="Roads___Footpaths" localSheetId="3">#REF!</definedName>
    <definedName name="Roads___Footpaths">#REF!</definedName>
    <definedName name="robot" localSheetId="7">#REF!</definedName>
    <definedName name="robot" localSheetId="1">#REF!</definedName>
    <definedName name="robot" localSheetId="3">#REF!</definedName>
    <definedName name="robot">#REF!</definedName>
    <definedName name="robot1" localSheetId="7">#REF!</definedName>
    <definedName name="robot1" localSheetId="1">#REF!</definedName>
    <definedName name="robot1" localSheetId="3">#REF!</definedName>
    <definedName name="robot1">#REF!</definedName>
    <definedName name="ROCE" localSheetId="7">#REF!</definedName>
    <definedName name="ROCE" localSheetId="1">#REF!</definedName>
    <definedName name="ROCE" localSheetId="3">#REF!</definedName>
    <definedName name="ROCE">#REF!</definedName>
    <definedName name="Roof" localSheetId="7">#REF!</definedName>
    <definedName name="Roof" localSheetId="1">#REF!</definedName>
    <definedName name="Roof" localSheetId="3">#REF!</definedName>
    <definedName name="Roof">#REF!</definedName>
    <definedName name="rose" localSheetId="7">#REF!</definedName>
    <definedName name="rose" localSheetId="1">#REF!</definedName>
    <definedName name="rose" localSheetId="3">#REF!</definedName>
    <definedName name="rose">#REF!</definedName>
    <definedName name="rosid" localSheetId="7">#REF!</definedName>
    <definedName name="rosid" localSheetId="1">#REF!</definedName>
    <definedName name="rosid" localSheetId="3">#REF!</definedName>
    <definedName name="rosid">#REF!</definedName>
    <definedName name="RQQQ" localSheetId="7">#REF!</definedName>
    <definedName name="RQQQ" localSheetId="1">#REF!</definedName>
    <definedName name="RQQQ" localSheetId="3">#REF!</definedName>
    <definedName name="RQQQ">#REF!</definedName>
    <definedName name="Rr" localSheetId="7">#REF!</definedName>
    <definedName name="Rr" localSheetId="1">#REF!</definedName>
    <definedName name="Rr" localSheetId="3">#REF!</definedName>
    <definedName name="Rr">#REF!</definedName>
    <definedName name="rrammv" localSheetId="7">#REF!</definedName>
    <definedName name="rrammv" localSheetId="1">#REF!</definedName>
    <definedName name="rrammv" localSheetId="3">#REF!</definedName>
    <definedName name="rrammv">#REF!</definedName>
    <definedName name="Rrelay" localSheetId="7">#REF!</definedName>
    <definedName name="Rrelay" localSheetId="1">#REF!</definedName>
    <definedName name="Rrelay" localSheetId="3">#REF!</definedName>
    <definedName name="Rrelay">#REF!</definedName>
    <definedName name="rrr" localSheetId="7">#REF!</definedName>
    <definedName name="rrr" localSheetId="1">#REF!</definedName>
    <definedName name="rrr" localSheetId="3">#REF!</definedName>
    <definedName name="rrr">#REF!</definedName>
    <definedName name="rrrrrr" localSheetId="7">#REF!</definedName>
    <definedName name="rrrrrr" localSheetId="1">#REF!</definedName>
    <definedName name="rrrrrr" localSheetId="3">#REF!</definedName>
    <definedName name="rrrrrr">#REF!</definedName>
    <definedName name="rrrrrrrrr" localSheetId="7">#REF!</definedName>
    <definedName name="rrrrrrrrr" localSheetId="1">#REF!</definedName>
    <definedName name="rrrrrrrrr" localSheetId="3">#REF!</definedName>
    <definedName name="rrrrrrrrr">#REF!</definedName>
    <definedName name="rrrrrrrrrr" localSheetId="7">#REF!</definedName>
    <definedName name="rrrrrrrrrr" localSheetId="1">#REF!</definedName>
    <definedName name="rrrrrrrrrr" localSheetId="3">#REF!</definedName>
    <definedName name="rrrrrrrrrr">#REF!</definedName>
    <definedName name="rrrrrrrrrrr" localSheetId="7">#REF!</definedName>
    <definedName name="rrrrrrrrrrr" localSheetId="1">#REF!</definedName>
    <definedName name="rrrrrrrrrrr" localSheetId="3">#REF!</definedName>
    <definedName name="rrrrrrrrrrr">#REF!</definedName>
    <definedName name="rrrrrrrrrrrrrrrrrrrr" localSheetId="7">#REF!</definedName>
    <definedName name="rrrrrrrrrrrrrrrrrrrr" localSheetId="1">#REF!</definedName>
    <definedName name="rrrrrrrrrrrrrrrrrrrr" localSheetId="3">#REF!</definedName>
    <definedName name="rrrrrrrrrrrrrrrrrrrr">#REF!</definedName>
    <definedName name="RRstone" localSheetId="7">#REF!</definedName>
    <definedName name="RRstone" localSheetId="1">#REF!</definedName>
    <definedName name="RRstone" localSheetId="3">#REF!</definedName>
    <definedName name="RRstone">#REF!</definedName>
    <definedName name="RRstones" localSheetId="7">#REF!</definedName>
    <definedName name="RRstones" localSheetId="1">#REF!</definedName>
    <definedName name="RRstones" localSheetId="3">#REF!</definedName>
    <definedName name="RRstones">#REF!</definedName>
    <definedName name="Rs" localSheetId="7">#REF!</definedName>
    <definedName name="Rs" localSheetId="1">#REF!</definedName>
    <definedName name="Rs" localSheetId="3">#REF!</definedName>
    <definedName name="Rs">#REF!</definedName>
    <definedName name="Rs___0" localSheetId="7">#REF!</definedName>
    <definedName name="Rs___0" localSheetId="1">#REF!</definedName>
    <definedName name="Rs___0" localSheetId="3">#REF!</definedName>
    <definedName name="Rs___0">#REF!</definedName>
    <definedName name="Rs___13" localSheetId="7">#REF!</definedName>
    <definedName name="Rs___13" localSheetId="1">#REF!</definedName>
    <definedName name="Rs___13" localSheetId="3">#REF!</definedName>
    <definedName name="Rs___13">#REF!</definedName>
    <definedName name="rsat" localSheetId="7">#REF!</definedName>
    <definedName name="rsat" localSheetId="1">#REF!</definedName>
    <definedName name="rsat" localSheetId="3">#REF!</definedName>
    <definedName name="rsat">#REF!</definedName>
    <definedName name="Rse" localSheetId="7">#REF!</definedName>
    <definedName name="Rse" localSheetId="1">#REF!</definedName>
    <definedName name="Rse" localSheetId="3">#REF!</definedName>
    <definedName name="Rse">#REF!</definedName>
    <definedName name="Rse___0" localSheetId="7">#REF!</definedName>
    <definedName name="Rse___0" localSheetId="1">#REF!</definedName>
    <definedName name="Rse___0" localSheetId="3">#REF!</definedName>
    <definedName name="Rse___0">#REF!</definedName>
    <definedName name="Rse___13" localSheetId="7">#REF!</definedName>
    <definedName name="Rse___13" localSheetId="1">#REF!</definedName>
    <definedName name="Rse___13" localSheetId="3">#REF!</definedName>
    <definedName name="Rse___13">#REF!</definedName>
    <definedName name="RSEMULSIOn" localSheetId="7">#REF!</definedName>
    <definedName name="RSEMULSIOn" localSheetId="1">#REF!</definedName>
    <definedName name="RSEMULSIOn" localSheetId="3">#REF!</definedName>
    <definedName name="RSEMULSIOn">#REF!</definedName>
    <definedName name="rtrt" localSheetId="2">#REF!</definedName>
    <definedName name="rtrtrt" localSheetId="2">#REF!</definedName>
    <definedName name="rttrt" localSheetId="5" hidden="1">{"form-D1",#N/A,FALSE,"FORM-D1";"form-D1_amt",#N/A,FALSE,"FORM-D1"}</definedName>
    <definedName name="rttrt" localSheetId="2" hidden="1">{"form-D1",#N/A,FALSE,"FORM-D1";"form-D1_amt",#N/A,FALSE,"FORM-D1"}</definedName>
    <definedName name="rttrt_1" localSheetId="5" hidden="1">{"form-D1",#N/A,FALSE,"FORM-D1";"form-D1_amt",#N/A,FALSE,"FORM-D1"}</definedName>
    <definedName name="rttrt_1" localSheetId="2" hidden="1">{"form-D1",#N/A,FALSE,"FORM-D1";"form-D1_amt",#N/A,FALSE,"FORM-D1"}</definedName>
    <definedName name="rttrt_1_1" localSheetId="5" hidden="1">{"form-D1",#N/A,FALSE,"FORM-D1";"form-D1_amt",#N/A,FALSE,"FORM-D1"}</definedName>
    <definedName name="rttrt_1_1" localSheetId="2" hidden="1">{"form-D1",#N/A,FALSE,"FORM-D1";"form-D1_amt",#N/A,FALSE,"FORM-D1"}</definedName>
    <definedName name="rttrt_1_2" localSheetId="5" hidden="1">{"form-D1",#N/A,FALSE,"FORM-D1";"form-D1_amt",#N/A,FALSE,"FORM-D1"}</definedName>
    <definedName name="rttrt_1_2" localSheetId="2" hidden="1">{"form-D1",#N/A,FALSE,"FORM-D1";"form-D1_amt",#N/A,FALSE,"FORM-D1"}</definedName>
    <definedName name="rttrt_2" localSheetId="5" hidden="1">{"form-D1",#N/A,FALSE,"FORM-D1";"form-D1_amt",#N/A,FALSE,"FORM-D1"}</definedName>
    <definedName name="rttrt_2" localSheetId="2" hidden="1">{"form-D1",#N/A,FALSE,"FORM-D1";"form-D1_amt",#N/A,FALSE,"FORM-D1"}</definedName>
    <definedName name="rttrt_2_1" localSheetId="5" hidden="1">{"form-D1",#N/A,FALSE,"FORM-D1";"form-D1_amt",#N/A,FALSE,"FORM-D1"}</definedName>
    <definedName name="rttrt_2_1" localSheetId="2" hidden="1">{"form-D1",#N/A,FALSE,"FORM-D1";"form-D1_amt",#N/A,FALSE,"FORM-D1"}</definedName>
    <definedName name="rttrt_3" localSheetId="5" hidden="1">{"form-D1",#N/A,FALSE,"FORM-D1";"form-D1_amt",#N/A,FALSE,"FORM-D1"}</definedName>
    <definedName name="rttrt_3" localSheetId="2" hidden="1">{"form-D1",#N/A,FALSE,"FORM-D1";"form-D1_amt",#N/A,FALSE,"FORM-D1"}</definedName>
    <definedName name="rttrt_3_1" localSheetId="5" hidden="1">{"form-D1",#N/A,FALSE,"FORM-D1";"form-D1_amt",#N/A,FALSE,"FORM-D1"}</definedName>
    <definedName name="rttrt_3_1" localSheetId="2" hidden="1">{"form-D1",#N/A,FALSE,"FORM-D1";"form-D1_amt",#N/A,FALSE,"FORM-D1"}</definedName>
    <definedName name="rttrt_4" localSheetId="5" hidden="1">{"form-D1",#N/A,FALSE,"FORM-D1";"form-D1_amt",#N/A,FALSE,"FORM-D1"}</definedName>
    <definedName name="rttrt_4" localSheetId="2" hidden="1">{"form-D1",#N/A,FALSE,"FORM-D1";"form-D1_amt",#N/A,FALSE,"FORM-D1"}</definedName>
    <definedName name="rttrt_4_1" localSheetId="5" hidden="1">{"form-D1",#N/A,FALSE,"FORM-D1";"form-D1_amt",#N/A,FALSE,"FORM-D1"}</definedName>
    <definedName name="rttrt_4_1" localSheetId="2" hidden="1">{"form-D1",#N/A,FALSE,"FORM-D1";"form-D1_amt",#N/A,FALSE,"FORM-D1"}</definedName>
    <definedName name="rttrt_5" localSheetId="5" hidden="1">{"form-D1",#N/A,FALSE,"FORM-D1";"form-D1_amt",#N/A,FALSE,"FORM-D1"}</definedName>
    <definedName name="rttrt_5" localSheetId="2" hidden="1">{"form-D1",#N/A,FALSE,"FORM-D1";"form-D1_amt",#N/A,FALSE,"FORM-D1"}</definedName>
    <definedName name="rttrt_5_1" localSheetId="5" hidden="1">{"form-D1",#N/A,FALSE,"FORM-D1";"form-D1_amt",#N/A,FALSE,"FORM-D1"}</definedName>
    <definedName name="rttrt_5_1" localSheetId="2" hidden="1">{"form-D1",#N/A,FALSE,"FORM-D1";"form-D1_amt",#N/A,FALSE,"FORM-D1"}</definedName>
    <definedName name="RTTRTRTR"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were" localSheetId="5" hidden="1">{#N/A,#N/A,FALSE,"COVER1.XLS ";#N/A,#N/A,FALSE,"RACT1.XLS";#N/A,#N/A,FALSE,"RACT2.XLS";#N/A,#N/A,FALSE,"ECCMP";#N/A,#N/A,FALSE,"WELDER.XLS"}</definedName>
    <definedName name="rwere" localSheetId="2" hidden="1">{#N/A,#N/A,FALSE,"COVER1.XLS ";#N/A,#N/A,FALSE,"RACT1.XLS";#N/A,#N/A,FALSE,"RACT2.XLS";#N/A,#N/A,FALSE,"ECCMP";#N/A,#N/A,FALSE,"WELDER.XLS"}</definedName>
    <definedName name="s" localSheetId="7">#REF!</definedName>
    <definedName name="s" localSheetId="1">#REF!</definedName>
    <definedName name="s" localSheetId="3">#REF!</definedName>
    <definedName name="s">#REF!</definedName>
    <definedName name="S.L.WALL" localSheetId="2">#REF!</definedName>
    <definedName name="s.l.wallls" localSheetId="2">#REF!</definedName>
    <definedName name="S.L.WALLS" localSheetId="2">#REF!</definedName>
    <definedName name="S.S.WALL1" localSheetId="7">#REF!</definedName>
    <definedName name="S.S.WALL1" localSheetId="1">#REF!</definedName>
    <definedName name="S.S.WALL1" localSheetId="3">#REF!</definedName>
    <definedName name="S.S.WALL1">#REF!</definedName>
    <definedName name="S.S.WALLL" localSheetId="7">#REF!</definedName>
    <definedName name="S.S.WALLL" localSheetId="1">#REF!</definedName>
    <definedName name="S.S.WALLL" localSheetId="3">#REF!</definedName>
    <definedName name="S.S.WALLL">#REF!</definedName>
    <definedName name="S.WALL" localSheetId="7">#REF!</definedName>
    <definedName name="S.WALL" localSheetId="1">#REF!</definedName>
    <definedName name="S.WALL" localSheetId="3">#REF!</definedName>
    <definedName name="S.WALL">#REF!</definedName>
    <definedName name="S_1" localSheetId="5" hidden="1">{"form-D1",#N/A,FALSE,"FORM-D1";"form-D1_amt",#N/A,FALSE,"FORM-D1"}</definedName>
    <definedName name="S_1" localSheetId="2" hidden="1">{"form-D1",#N/A,FALSE,"FORM-D1";"form-D1_amt",#N/A,FALSE,"FORM-D1"}</definedName>
    <definedName name="S_1_1" localSheetId="5" hidden="1">{"form-D1",#N/A,FALSE,"FORM-D1";"form-D1_amt",#N/A,FALSE,"FORM-D1"}</definedName>
    <definedName name="S_1_1" localSheetId="2" hidden="1">{"form-D1",#N/A,FALSE,"FORM-D1";"form-D1_amt",#N/A,FALSE,"FORM-D1"}</definedName>
    <definedName name="S_1_2" localSheetId="5" hidden="1">{"form-D1",#N/A,FALSE,"FORM-D1";"form-D1_amt",#N/A,FALSE,"FORM-D1"}</definedName>
    <definedName name="S_1_2" localSheetId="2" hidden="1">{"form-D1",#N/A,FALSE,"FORM-D1";"form-D1_amt",#N/A,FALSE,"FORM-D1"}</definedName>
    <definedName name="S_2" localSheetId="5" hidden="1">{"form-D1",#N/A,FALSE,"FORM-D1";"form-D1_amt",#N/A,FALSE,"FORM-D1"}</definedName>
    <definedName name="S_2" localSheetId="2" hidden="1">{"form-D1",#N/A,FALSE,"FORM-D1";"form-D1_amt",#N/A,FALSE,"FORM-D1"}</definedName>
    <definedName name="S_2_1" localSheetId="5" hidden="1">{"form-D1",#N/A,FALSE,"FORM-D1";"form-D1_amt",#N/A,FALSE,"FORM-D1"}</definedName>
    <definedName name="S_2_1" localSheetId="2" hidden="1">{"form-D1",#N/A,FALSE,"FORM-D1";"form-D1_amt",#N/A,FALSE,"FORM-D1"}</definedName>
    <definedName name="S_3" localSheetId="5" hidden="1">{"form-D1",#N/A,FALSE,"FORM-D1";"form-D1_amt",#N/A,FALSE,"FORM-D1"}</definedName>
    <definedName name="S_3" localSheetId="2" hidden="1">{"form-D1",#N/A,FALSE,"FORM-D1";"form-D1_amt",#N/A,FALSE,"FORM-D1"}</definedName>
    <definedName name="S_3_1" localSheetId="5" hidden="1">{"form-D1",#N/A,FALSE,"FORM-D1";"form-D1_amt",#N/A,FALSE,"FORM-D1"}</definedName>
    <definedName name="S_3_1" localSheetId="2" hidden="1">{"form-D1",#N/A,FALSE,"FORM-D1";"form-D1_amt",#N/A,FALSE,"FORM-D1"}</definedName>
    <definedName name="S_4" localSheetId="5" hidden="1">{"form-D1",#N/A,FALSE,"FORM-D1";"form-D1_amt",#N/A,FALSE,"FORM-D1"}</definedName>
    <definedName name="S_4" localSheetId="2" hidden="1">{"form-D1",#N/A,FALSE,"FORM-D1";"form-D1_amt",#N/A,FALSE,"FORM-D1"}</definedName>
    <definedName name="s0ne" localSheetId="7">#REF!</definedName>
    <definedName name="s0ne" localSheetId="1">#REF!</definedName>
    <definedName name="s0ne" localSheetId="3">#REF!</definedName>
    <definedName name="s0ne">#REF!</definedName>
    <definedName name="s11Area" localSheetId="7">#REF!</definedName>
    <definedName name="s11Area" localSheetId="1">#REF!</definedName>
    <definedName name="s11Area" localSheetId="3">#REF!</definedName>
    <definedName name="s11Area">#REF!</definedName>
    <definedName name="s11Perimeter" localSheetId="7">#REF!</definedName>
    <definedName name="s11Perimeter" localSheetId="1">#REF!</definedName>
    <definedName name="s11Perimeter" localSheetId="3">#REF!</definedName>
    <definedName name="s11Perimeter">#REF!</definedName>
    <definedName name="Sa" localSheetId="7">#REF!</definedName>
    <definedName name="Sa" localSheetId="1">#REF!</definedName>
    <definedName name="Sa" localSheetId="3">#REF!</definedName>
    <definedName name="Sa">#REF!</definedName>
    <definedName name="saa" localSheetId="5" hidden="1">{"form-D1",#N/A,FALSE,"FORM-D1";"form-D1_amt",#N/A,FALSE,"FORM-D1"}</definedName>
    <definedName name="saa" localSheetId="2" hidden="1">{"form-D1",#N/A,FALSE,"FORM-D1";"form-D1_amt",#N/A,FALSE,"FORM-D1"}</definedName>
    <definedName name="saa_1" localSheetId="5" hidden="1">{"form-D1",#N/A,FALSE,"FORM-D1";"form-D1_amt",#N/A,FALSE,"FORM-D1"}</definedName>
    <definedName name="saa_1" localSheetId="2" hidden="1">{"form-D1",#N/A,FALSE,"FORM-D1";"form-D1_amt",#N/A,FALSE,"FORM-D1"}</definedName>
    <definedName name="saa_1_1" localSheetId="5" hidden="1">{"form-D1",#N/A,FALSE,"FORM-D1";"form-D1_amt",#N/A,FALSE,"FORM-D1"}</definedName>
    <definedName name="saa_1_1" localSheetId="2" hidden="1">{"form-D1",#N/A,FALSE,"FORM-D1";"form-D1_amt",#N/A,FALSE,"FORM-D1"}</definedName>
    <definedName name="saa_1_2" localSheetId="5" hidden="1">{"form-D1",#N/A,FALSE,"FORM-D1";"form-D1_amt",#N/A,FALSE,"FORM-D1"}</definedName>
    <definedName name="saa_1_2" localSheetId="2" hidden="1">{"form-D1",#N/A,FALSE,"FORM-D1";"form-D1_amt",#N/A,FALSE,"FORM-D1"}</definedName>
    <definedName name="saa_2" localSheetId="5" hidden="1">{"form-D1",#N/A,FALSE,"FORM-D1";"form-D1_amt",#N/A,FALSE,"FORM-D1"}</definedName>
    <definedName name="saa_2" localSheetId="2" hidden="1">{"form-D1",#N/A,FALSE,"FORM-D1";"form-D1_amt",#N/A,FALSE,"FORM-D1"}</definedName>
    <definedName name="saa_2_1" localSheetId="5" hidden="1">{"form-D1",#N/A,FALSE,"FORM-D1";"form-D1_amt",#N/A,FALSE,"FORM-D1"}</definedName>
    <definedName name="saa_2_1" localSheetId="2" hidden="1">{"form-D1",#N/A,FALSE,"FORM-D1";"form-D1_amt",#N/A,FALSE,"FORM-D1"}</definedName>
    <definedName name="saa_3" localSheetId="5" hidden="1">{"form-D1",#N/A,FALSE,"FORM-D1";"form-D1_amt",#N/A,FALSE,"FORM-D1"}</definedName>
    <definedName name="saa_3" localSheetId="2" hidden="1">{"form-D1",#N/A,FALSE,"FORM-D1";"form-D1_amt",#N/A,FALSE,"FORM-D1"}</definedName>
    <definedName name="saa_3_1" localSheetId="5" hidden="1">{"form-D1",#N/A,FALSE,"FORM-D1";"form-D1_amt",#N/A,FALSE,"FORM-D1"}</definedName>
    <definedName name="saa_3_1" localSheetId="2" hidden="1">{"form-D1",#N/A,FALSE,"FORM-D1";"form-D1_amt",#N/A,FALSE,"FORM-D1"}</definedName>
    <definedName name="saa_4" localSheetId="5" hidden="1">{"form-D1",#N/A,FALSE,"FORM-D1";"form-D1_amt",#N/A,FALSE,"FORM-D1"}</definedName>
    <definedName name="saa_4" localSheetId="2" hidden="1">{"form-D1",#N/A,FALSE,"FORM-D1";"form-D1_amt",#N/A,FALSE,"FORM-D1"}</definedName>
    <definedName name="saa_4_1" localSheetId="5" hidden="1">{"form-D1",#N/A,FALSE,"FORM-D1";"form-D1_amt",#N/A,FALSE,"FORM-D1"}</definedName>
    <definedName name="saa_4_1" localSheetId="2" hidden="1">{"form-D1",#N/A,FALSE,"FORM-D1";"form-D1_amt",#N/A,FALSE,"FORM-D1"}</definedName>
    <definedName name="saa_5" localSheetId="5" hidden="1">{"form-D1",#N/A,FALSE,"FORM-D1";"form-D1_amt",#N/A,FALSE,"FORM-D1"}</definedName>
    <definedName name="saa_5" localSheetId="2" hidden="1">{"form-D1",#N/A,FALSE,"FORM-D1";"form-D1_amt",#N/A,FALSE,"FORM-D1"}</definedName>
    <definedName name="saa_5_1" localSheetId="5" hidden="1">{"form-D1",#N/A,FALSE,"FORM-D1";"form-D1_amt",#N/A,FALSE,"FORM-D1"}</definedName>
    <definedName name="saa_5_1" localSheetId="2" hidden="1">{"form-D1",#N/A,FALSE,"FORM-D1";"form-D1_amt",#N/A,FALSE,"FORM-D1"}</definedName>
    <definedName name="sadfsdaf" localSheetId="7">#REF!</definedName>
    <definedName name="sadfsdaf" localSheetId="1">#REF!</definedName>
    <definedName name="sadfsdaf" localSheetId="3">#REF!</definedName>
    <definedName name="sadfsdaf">#REF!</definedName>
    <definedName name="safe" localSheetId="7">#REF!</definedName>
    <definedName name="safe" localSheetId="1">#REF!</definedName>
    <definedName name="safe" localSheetId="3">#REF!</definedName>
    <definedName name="safe">#REF!</definedName>
    <definedName name="sagdhag" localSheetId="5" hidden="1">{#N/A,#N/A,FALSE,"COVER1.XLS ";#N/A,#N/A,FALSE,"RACT1.XLS";#N/A,#N/A,FALSE,"RACT2.XLS";#N/A,#N/A,FALSE,"ECCMP";#N/A,#N/A,FALSE,"WELDER.XLS"}</definedName>
    <definedName name="sagdhag" localSheetId="2" hidden="1">{#N/A,#N/A,FALSE,"COVER1.XLS ";#N/A,#N/A,FALSE,"RACT1.XLS";#N/A,#N/A,FALSE,"RACT2.XLS";#N/A,#N/A,FALSE,"ECCMP";#N/A,#N/A,FALSE,"WELDER.XLS"}</definedName>
    <definedName name="Sal_Wash" localSheetId="7">#REF!</definedName>
    <definedName name="Sal_Wash" localSheetId="1">#REF!</definedName>
    <definedName name="Sal_Wash" localSheetId="3">#REF!</definedName>
    <definedName name="Sal_Wash">#REF!</definedName>
    <definedName name="Sal_Wash_I" localSheetId="7">#REF!</definedName>
    <definedName name="Sal_Wash_I" localSheetId="1">#REF!</definedName>
    <definedName name="Sal_Wash_I" localSheetId="3">#REF!</definedName>
    <definedName name="Sal_Wash_I">#REF!</definedName>
    <definedName name="SALARY" localSheetId="7">#REF!</definedName>
    <definedName name="SALARY" localSheetId="1">#REF!</definedName>
    <definedName name="SALARY" localSheetId="3">#REF!</definedName>
    <definedName name="SALARY">#REF!</definedName>
    <definedName name="Sales_Per_Manday" localSheetId="7">#REF!</definedName>
    <definedName name="Sales_Per_Manday" localSheetId="1">#REF!</definedName>
    <definedName name="Sales_Per_Manday" localSheetId="3">#REF!</definedName>
    <definedName name="Sales_Per_Manday">#REF!</definedName>
    <definedName name="SalesCons" localSheetId="7">#REF!</definedName>
    <definedName name="SalesCons" localSheetId="1">#REF!</definedName>
    <definedName name="SalesCons" localSheetId="3">#REF!</definedName>
    <definedName name="SalesCons">#REF!</definedName>
    <definedName name="SalesCons_I" localSheetId="7">#REF!</definedName>
    <definedName name="SalesCons_I" localSheetId="1">#REF!</definedName>
    <definedName name="SalesCons_I" localSheetId="3">#REF!</definedName>
    <definedName name="SalesCons_I">#REF!</definedName>
    <definedName name="SalesNorm" localSheetId="7">#REF!</definedName>
    <definedName name="SalesNorm" localSheetId="1">#REF!</definedName>
    <definedName name="SalesNorm" localSheetId="3">#REF!</definedName>
    <definedName name="SalesNorm">#REF!</definedName>
    <definedName name="SalesNorm_I" localSheetId="7">#REF!</definedName>
    <definedName name="SalesNorm_I" localSheetId="1">#REF!</definedName>
    <definedName name="SalesNorm_I" localSheetId="3">#REF!</definedName>
    <definedName name="SalesNorm_I">#REF!</definedName>
    <definedName name="SalExp" localSheetId="7">#REF!</definedName>
    <definedName name="SalExp" localSheetId="1">#REF!</definedName>
    <definedName name="SalExp" localSheetId="3">#REF!</definedName>
    <definedName name="SalExp">#REF!</definedName>
    <definedName name="SalExp_I" localSheetId="7">#REF!</definedName>
    <definedName name="SalExp_I" localSheetId="1">#REF!</definedName>
    <definedName name="SalExp_I" localSheetId="3">#REF!</definedName>
    <definedName name="SalExp_I">#REF!</definedName>
    <definedName name="san" localSheetId="7">#REF!</definedName>
    <definedName name="san" localSheetId="1">#REF!</definedName>
    <definedName name="san" localSheetId="3">#REF!</definedName>
    <definedName name="san">#REF!</definedName>
    <definedName name="Sand_124" localSheetId="7">#REF!</definedName>
    <definedName name="Sand_124" localSheetId="1">#REF!</definedName>
    <definedName name="Sand_124" localSheetId="3">#REF!</definedName>
    <definedName name="Sand_124">#REF!</definedName>
    <definedName name="Sanitary" localSheetId="7">#REF!</definedName>
    <definedName name="Sanitary" localSheetId="1">#REF!</definedName>
    <definedName name="Sanitary" localSheetId="3">#REF!</definedName>
    <definedName name="Sanitary">#REF!</definedName>
    <definedName name="Sanitary_Fixtures" localSheetId="7">#REF!</definedName>
    <definedName name="Sanitary_Fixtures" localSheetId="1">#REF!</definedName>
    <definedName name="Sanitary_Fixtures" localSheetId="3">#REF!</definedName>
    <definedName name="Sanitary_Fixtures">#REF!</definedName>
    <definedName name="Sanitary_Plumbing" localSheetId="7">#REF!</definedName>
    <definedName name="Sanitary_Plumbing" localSheetId="1">#REF!</definedName>
    <definedName name="Sanitary_Plumbing" localSheetId="3">#REF!</definedName>
    <definedName name="Sanitary_Plumbing">#REF!</definedName>
    <definedName name="sanju" localSheetId="5" hidden="1">{"office ltcg",#N/A,FALSE,"gain01";"IT LTCG",#N/A,FALSE,"gain01"}</definedName>
    <definedName name="sanju" localSheetId="2" hidden="1">{"office ltcg",#N/A,FALSE,"gain01";"IT LTCG",#N/A,FALSE,"gain01"}</definedName>
    <definedName name="saru" localSheetId="7">#REF!</definedName>
    <definedName name="saru" localSheetId="1">#REF!</definedName>
    <definedName name="saru" localSheetId="3">#REF!</definedName>
    <definedName name="saru">#REF!</definedName>
    <definedName name="satish" localSheetId="7">#REF!</definedName>
    <definedName name="satish" localSheetId="1">#REF!</definedName>
    <definedName name="satish" localSheetId="3">#REF!</definedName>
    <definedName name="satish">#REF!</definedName>
    <definedName name="sb" localSheetId="7">#REF!</definedName>
    <definedName name="sb" localSheetId="1">#REF!</definedName>
    <definedName name="sb" localSheetId="3">#REF!</definedName>
    <definedName name="sb">#REF!</definedName>
    <definedName name="sbc" localSheetId="7">#REF!</definedName>
    <definedName name="sbc" localSheetId="1">#REF!</definedName>
    <definedName name="sbc" localSheetId="3">#REF!</definedName>
    <definedName name="sbc">#REF!</definedName>
    <definedName name="SC" localSheetId="7">#REF!</definedName>
    <definedName name="SC" localSheetId="1">#REF!</definedName>
    <definedName name="SC" localSheetId="3">#REF!</definedName>
    <definedName name="SC">#REF!</definedName>
    <definedName name="scaffolding" localSheetId="7" hidden="1">#REF!</definedName>
    <definedName name="scaffolding" localSheetId="1" hidden="1">#REF!</definedName>
    <definedName name="scaffolding" localSheetId="3" hidden="1">#REF!</definedName>
    <definedName name="scaffolding" hidden="1">#REF!</definedName>
    <definedName name="SCC" localSheetId="7">#REF!</definedName>
    <definedName name="SCC" localSheetId="1">#REF!</definedName>
    <definedName name="SCC" localSheetId="3">#REF!</definedName>
    <definedName name="SCC">#REF!</definedName>
    <definedName name="SCD" localSheetId="7">#REF!</definedName>
    <definedName name="SCD" localSheetId="1">#REF!</definedName>
    <definedName name="SCD" localSheetId="3">#REF!</definedName>
    <definedName name="SCD">#REF!</definedName>
    <definedName name="SCE" localSheetId="7">#REF!</definedName>
    <definedName name="SCE" localSheetId="1">#REF!</definedName>
    <definedName name="SCE" localSheetId="3">#REF!</definedName>
    <definedName name="SCE">#REF!</definedName>
    <definedName name="SCED" localSheetId="7">#REF!</definedName>
    <definedName name="SCED" localSheetId="1">#REF!</definedName>
    <definedName name="SCED" localSheetId="3">#REF!</definedName>
    <definedName name="SCED">#REF!</definedName>
    <definedName name="Sched_Pay" localSheetId="2">#REF!</definedName>
    <definedName name="Scheduled_Extra_Payments" localSheetId="2">#REF!</definedName>
    <definedName name="Scheduled_Interest_Rate" localSheetId="2">#REF!</definedName>
    <definedName name="scheduleType">"valve"</definedName>
    <definedName name="schools" localSheetId="7">#REF!</definedName>
    <definedName name="schools" localSheetId="1">#REF!</definedName>
    <definedName name="schools" localSheetId="3">#REF!</definedName>
    <definedName name="schools">#REF!</definedName>
    <definedName name="scrif" localSheetId="7">#REF!</definedName>
    <definedName name="scrif" localSheetId="1">#REF!</definedName>
    <definedName name="scrif" localSheetId="3">#REF!</definedName>
    <definedName name="scrif">#REF!</definedName>
    <definedName name="scs" localSheetId="7">#REF!</definedName>
    <definedName name="scs" localSheetId="1">#REF!</definedName>
    <definedName name="scs" localSheetId="3">#REF!</definedName>
    <definedName name="scs">#REF!</definedName>
    <definedName name="SCSADCESQ" localSheetId="7">#REF!</definedName>
    <definedName name="SCSADCESQ" localSheetId="1">#REF!</definedName>
    <definedName name="SCSADCESQ" localSheetId="3">#REF!</definedName>
    <definedName name="SCSADCESQ">#REF!</definedName>
    <definedName name="SD" localSheetId="7">#REF!</definedName>
    <definedName name="SD" localSheetId="1">#REF!</definedName>
    <definedName name="SD" localSheetId="3">#REF!</definedName>
    <definedName name="SD">#REF!</definedName>
    <definedName name="sdafdsa" localSheetId="5" hidden="1">{#N/A,#N/A,TRUE,"Front";#N/A,#N/A,TRUE,"Simple Letter";#N/A,#N/A,TRUE,"Inside";#N/A,#N/A,TRUE,"Contents";#N/A,#N/A,TRUE,"Basis";#N/A,#N/A,TRUE,"Inclusions";#N/A,#N/A,TRUE,"Exclusions";#N/A,#N/A,TRUE,"Areas";#N/A,#N/A,TRUE,"Summary";#N/A,#N/A,TRUE,"Detail"}</definedName>
    <definedName name="sdafdsa" localSheetId="2" hidden="1">{#N/A,#N/A,TRUE,"Front";#N/A,#N/A,TRUE,"Simple Letter";#N/A,#N/A,TRUE,"Inside";#N/A,#N/A,TRUE,"Contents";#N/A,#N/A,TRUE,"Basis";#N/A,#N/A,TRUE,"Inclusions";#N/A,#N/A,TRUE,"Exclusions";#N/A,#N/A,TRUE,"Areas";#N/A,#N/A,TRUE,"Summary";#N/A,#N/A,TRUE,"Detail"}</definedName>
    <definedName name="sdafdsa_1" localSheetId="5" hidden="1">{#N/A,#N/A,TRUE,"Front";#N/A,#N/A,TRUE,"Simple Letter";#N/A,#N/A,TRUE,"Inside";#N/A,#N/A,TRUE,"Contents";#N/A,#N/A,TRUE,"Basis";#N/A,#N/A,TRUE,"Inclusions";#N/A,#N/A,TRUE,"Exclusions";#N/A,#N/A,TRUE,"Areas";#N/A,#N/A,TRUE,"Summary";#N/A,#N/A,TRUE,"Detail"}</definedName>
    <definedName name="sdafdsa_1" localSheetId="2" hidden="1">{#N/A,#N/A,TRUE,"Front";#N/A,#N/A,TRUE,"Simple Letter";#N/A,#N/A,TRUE,"Inside";#N/A,#N/A,TRUE,"Contents";#N/A,#N/A,TRUE,"Basis";#N/A,#N/A,TRUE,"Inclusions";#N/A,#N/A,TRUE,"Exclusions";#N/A,#N/A,TRUE,"Areas";#N/A,#N/A,TRUE,"Summary";#N/A,#N/A,TRUE,"Detail"}</definedName>
    <definedName name="sdafdsa_1_1" localSheetId="5" hidden="1">{#N/A,#N/A,TRUE,"Front";#N/A,#N/A,TRUE,"Simple Letter";#N/A,#N/A,TRUE,"Inside";#N/A,#N/A,TRUE,"Contents";#N/A,#N/A,TRUE,"Basis";#N/A,#N/A,TRUE,"Inclusions";#N/A,#N/A,TRUE,"Exclusions";#N/A,#N/A,TRUE,"Areas";#N/A,#N/A,TRUE,"Summary";#N/A,#N/A,TRUE,"Detail"}</definedName>
    <definedName name="sdafdsa_1_1" localSheetId="2" hidden="1">{#N/A,#N/A,TRUE,"Front";#N/A,#N/A,TRUE,"Simple Letter";#N/A,#N/A,TRUE,"Inside";#N/A,#N/A,TRUE,"Contents";#N/A,#N/A,TRUE,"Basis";#N/A,#N/A,TRUE,"Inclusions";#N/A,#N/A,TRUE,"Exclusions";#N/A,#N/A,TRUE,"Areas";#N/A,#N/A,TRUE,"Summary";#N/A,#N/A,TRUE,"Detail"}</definedName>
    <definedName name="sdafdsa_1_2" localSheetId="5" hidden="1">{#N/A,#N/A,TRUE,"Front";#N/A,#N/A,TRUE,"Simple Letter";#N/A,#N/A,TRUE,"Inside";#N/A,#N/A,TRUE,"Contents";#N/A,#N/A,TRUE,"Basis";#N/A,#N/A,TRUE,"Inclusions";#N/A,#N/A,TRUE,"Exclusions";#N/A,#N/A,TRUE,"Areas";#N/A,#N/A,TRUE,"Summary";#N/A,#N/A,TRUE,"Detail"}</definedName>
    <definedName name="sdafdsa_1_2" localSheetId="2" hidden="1">{#N/A,#N/A,TRUE,"Front";#N/A,#N/A,TRUE,"Simple Letter";#N/A,#N/A,TRUE,"Inside";#N/A,#N/A,TRUE,"Contents";#N/A,#N/A,TRUE,"Basis";#N/A,#N/A,TRUE,"Inclusions";#N/A,#N/A,TRUE,"Exclusions";#N/A,#N/A,TRUE,"Areas";#N/A,#N/A,TRUE,"Summary";#N/A,#N/A,TRUE,"Detail"}</definedName>
    <definedName name="sdafdsa_2" localSheetId="5" hidden="1">{#N/A,#N/A,TRUE,"Front";#N/A,#N/A,TRUE,"Simple Letter";#N/A,#N/A,TRUE,"Inside";#N/A,#N/A,TRUE,"Contents";#N/A,#N/A,TRUE,"Basis";#N/A,#N/A,TRUE,"Inclusions";#N/A,#N/A,TRUE,"Exclusions";#N/A,#N/A,TRUE,"Areas";#N/A,#N/A,TRUE,"Summary";#N/A,#N/A,TRUE,"Detail"}</definedName>
    <definedName name="sdafdsa_2" localSheetId="2" hidden="1">{#N/A,#N/A,TRUE,"Front";#N/A,#N/A,TRUE,"Simple Letter";#N/A,#N/A,TRUE,"Inside";#N/A,#N/A,TRUE,"Contents";#N/A,#N/A,TRUE,"Basis";#N/A,#N/A,TRUE,"Inclusions";#N/A,#N/A,TRUE,"Exclusions";#N/A,#N/A,TRUE,"Areas";#N/A,#N/A,TRUE,"Summary";#N/A,#N/A,TRUE,"Detail"}</definedName>
    <definedName name="sdafdsa_2_1" localSheetId="5" hidden="1">{#N/A,#N/A,TRUE,"Front";#N/A,#N/A,TRUE,"Simple Letter";#N/A,#N/A,TRUE,"Inside";#N/A,#N/A,TRUE,"Contents";#N/A,#N/A,TRUE,"Basis";#N/A,#N/A,TRUE,"Inclusions";#N/A,#N/A,TRUE,"Exclusions";#N/A,#N/A,TRUE,"Areas";#N/A,#N/A,TRUE,"Summary";#N/A,#N/A,TRUE,"Detail"}</definedName>
    <definedName name="sdafdsa_2_1" localSheetId="2" hidden="1">{#N/A,#N/A,TRUE,"Front";#N/A,#N/A,TRUE,"Simple Letter";#N/A,#N/A,TRUE,"Inside";#N/A,#N/A,TRUE,"Contents";#N/A,#N/A,TRUE,"Basis";#N/A,#N/A,TRUE,"Inclusions";#N/A,#N/A,TRUE,"Exclusions";#N/A,#N/A,TRUE,"Areas";#N/A,#N/A,TRUE,"Summary";#N/A,#N/A,TRUE,"Detail"}</definedName>
    <definedName name="sdafdsa_3" localSheetId="5" hidden="1">{#N/A,#N/A,TRUE,"Front";#N/A,#N/A,TRUE,"Simple Letter";#N/A,#N/A,TRUE,"Inside";#N/A,#N/A,TRUE,"Contents";#N/A,#N/A,TRUE,"Basis";#N/A,#N/A,TRUE,"Inclusions";#N/A,#N/A,TRUE,"Exclusions";#N/A,#N/A,TRUE,"Areas";#N/A,#N/A,TRUE,"Summary";#N/A,#N/A,TRUE,"Detail"}</definedName>
    <definedName name="sdafdsa_3" localSheetId="2" hidden="1">{#N/A,#N/A,TRUE,"Front";#N/A,#N/A,TRUE,"Simple Letter";#N/A,#N/A,TRUE,"Inside";#N/A,#N/A,TRUE,"Contents";#N/A,#N/A,TRUE,"Basis";#N/A,#N/A,TRUE,"Inclusions";#N/A,#N/A,TRUE,"Exclusions";#N/A,#N/A,TRUE,"Areas";#N/A,#N/A,TRUE,"Summary";#N/A,#N/A,TRUE,"Detail"}</definedName>
    <definedName name="sdafdsa_4" localSheetId="5" hidden="1">{#N/A,#N/A,TRUE,"Front";#N/A,#N/A,TRUE,"Simple Letter";#N/A,#N/A,TRUE,"Inside";#N/A,#N/A,TRUE,"Contents";#N/A,#N/A,TRUE,"Basis";#N/A,#N/A,TRUE,"Inclusions";#N/A,#N/A,TRUE,"Exclusions";#N/A,#N/A,TRUE,"Areas";#N/A,#N/A,TRUE,"Summary";#N/A,#N/A,TRUE,"Detail"}</definedName>
    <definedName name="sdafdsa_4" localSheetId="2" hidden="1">{#N/A,#N/A,TRUE,"Front";#N/A,#N/A,TRUE,"Simple Letter";#N/A,#N/A,TRUE,"Inside";#N/A,#N/A,TRUE,"Contents";#N/A,#N/A,TRUE,"Basis";#N/A,#N/A,TRUE,"Inclusions";#N/A,#N/A,TRUE,"Exclusions";#N/A,#N/A,TRUE,"Areas";#N/A,#N/A,TRUE,"Summary";#N/A,#N/A,TRUE,"Detail"}</definedName>
    <definedName name="Sdate" localSheetId="2">#REF!</definedName>
    <definedName name="SDebtAvgDSCR" localSheetId="2">#REF!</definedName>
    <definedName name="SDebtLLCR" localSheetId="2">#REF!</definedName>
    <definedName name="sdfd" localSheetId="7">#REF!</definedName>
    <definedName name="sdfd" localSheetId="1">#REF!</definedName>
    <definedName name="sdfd" localSheetId="3">#REF!</definedName>
    <definedName name="sdfd">#REF!</definedName>
    <definedName name="sdfds" localSheetId="5" hidden="1">{#N/A,#N/A,TRUE,"Front";#N/A,#N/A,TRUE,"Simple Letter";#N/A,#N/A,TRUE,"Inside";#N/A,#N/A,TRUE,"Contents";#N/A,#N/A,TRUE,"Basis";#N/A,#N/A,TRUE,"Inclusions";#N/A,#N/A,TRUE,"Exclusions";#N/A,#N/A,TRUE,"Areas";#N/A,#N/A,TRUE,"Summary";#N/A,#N/A,TRUE,"Detail"}</definedName>
    <definedName name="sdfds" localSheetId="2" hidden="1">{#N/A,#N/A,TRUE,"Front";#N/A,#N/A,TRUE,"Simple Letter";#N/A,#N/A,TRUE,"Inside";#N/A,#N/A,TRUE,"Contents";#N/A,#N/A,TRUE,"Basis";#N/A,#N/A,TRUE,"Inclusions";#N/A,#N/A,TRUE,"Exclusions";#N/A,#N/A,TRUE,"Areas";#N/A,#N/A,TRUE,"Summary";#N/A,#N/A,TRUE,"Detail"}</definedName>
    <definedName name="sdfds_1" localSheetId="5" hidden="1">{#N/A,#N/A,TRUE,"Front";#N/A,#N/A,TRUE,"Simple Letter";#N/A,#N/A,TRUE,"Inside";#N/A,#N/A,TRUE,"Contents";#N/A,#N/A,TRUE,"Basis";#N/A,#N/A,TRUE,"Inclusions";#N/A,#N/A,TRUE,"Exclusions";#N/A,#N/A,TRUE,"Areas";#N/A,#N/A,TRUE,"Summary";#N/A,#N/A,TRUE,"Detail"}</definedName>
    <definedName name="sdfds_1" localSheetId="2" hidden="1">{#N/A,#N/A,TRUE,"Front";#N/A,#N/A,TRUE,"Simple Letter";#N/A,#N/A,TRUE,"Inside";#N/A,#N/A,TRUE,"Contents";#N/A,#N/A,TRUE,"Basis";#N/A,#N/A,TRUE,"Inclusions";#N/A,#N/A,TRUE,"Exclusions";#N/A,#N/A,TRUE,"Areas";#N/A,#N/A,TRUE,"Summary";#N/A,#N/A,TRUE,"Detail"}</definedName>
    <definedName name="sdfds_1_1" localSheetId="5" hidden="1">{#N/A,#N/A,TRUE,"Front";#N/A,#N/A,TRUE,"Simple Letter";#N/A,#N/A,TRUE,"Inside";#N/A,#N/A,TRUE,"Contents";#N/A,#N/A,TRUE,"Basis";#N/A,#N/A,TRUE,"Inclusions";#N/A,#N/A,TRUE,"Exclusions";#N/A,#N/A,TRUE,"Areas";#N/A,#N/A,TRUE,"Summary";#N/A,#N/A,TRUE,"Detail"}</definedName>
    <definedName name="sdfds_1_1" localSheetId="2" hidden="1">{#N/A,#N/A,TRUE,"Front";#N/A,#N/A,TRUE,"Simple Letter";#N/A,#N/A,TRUE,"Inside";#N/A,#N/A,TRUE,"Contents";#N/A,#N/A,TRUE,"Basis";#N/A,#N/A,TRUE,"Inclusions";#N/A,#N/A,TRUE,"Exclusions";#N/A,#N/A,TRUE,"Areas";#N/A,#N/A,TRUE,"Summary";#N/A,#N/A,TRUE,"Detail"}</definedName>
    <definedName name="sdfds_1_2" localSheetId="5" hidden="1">{#N/A,#N/A,TRUE,"Front";#N/A,#N/A,TRUE,"Simple Letter";#N/A,#N/A,TRUE,"Inside";#N/A,#N/A,TRUE,"Contents";#N/A,#N/A,TRUE,"Basis";#N/A,#N/A,TRUE,"Inclusions";#N/A,#N/A,TRUE,"Exclusions";#N/A,#N/A,TRUE,"Areas";#N/A,#N/A,TRUE,"Summary";#N/A,#N/A,TRUE,"Detail"}</definedName>
    <definedName name="sdfds_1_2" localSheetId="2" hidden="1">{#N/A,#N/A,TRUE,"Front";#N/A,#N/A,TRUE,"Simple Letter";#N/A,#N/A,TRUE,"Inside";#N/A,#N/A,TRUE,"Contents";#N/A,#N/A,TRUE,"Basis";#N/A,#N/A,TRUE,"Inclusions";#N/A,#N/A,TRUE,"Exclusions";#N/A,#N/A,TRUE,"Areas";#N/A,#N/A,TRUE,"Summary";#N/A,#N/A,TRUE,"Detail"}</definedName>
    <definedName name="sdfds_2" localSheetId="5" hidden="1">{#N/A,#N/A,TRUE,"Front";#N/A,#N/A,TRUE,"Simple Letter";#N/A,#N/A,TRUE,"Inside";#N/A,#N/A,TRUE,"Contents";#N/A,#N/A,TRUE,"Basis";#N/A,#N/A,TRUE,"Inclusions";#N/A,#N/A,TRUE,"Exclusions";#N/A,#N/A,TRUE,"Areas";#N/A,#N/A,TRUE,"Summary";#N/A,#N/A,TRUE,"Detail"}</definedName>
    <definedName name="sdfds_2" localSheetId="2" hidden="1">{#N/A,#N/A,TRUE,"Front";#N/A,#N/A,TRUE,"Simple Letter";#N/A,#N/A,TRUE,"Inside";#N/A,#N/A,TRUE,"Contents";#N/A,#N/A,TRUE,"Basis";#N/A,#N/A,TRUE,"Inclusions";#N/A,#N/A,TRUE,"Exclusions";#N/A,#N/A,TRUE,"Areas";#N/A,#N/A,TRUE,"Summary";#N/A,#N/A,TRUE,"Detail"}</definedName>
    <definedName name="sdfds_2_1" localSheetId="5" hidden="1">{#N/A,#N/A,TRUE,"Front";#N/A,#N/A,TRUE,"Simple Letter";#N/A,#N/A,TRUE,"Inside";#N/A,#N/A,TRUE,"Contents";#N/A,#N/A,TRUE,"Basis";#N/A,#N/A,TRUE,"Inclusions";#N/A,#N/A,TRUE,"Exclusions";#N/A,#N/A,TRUE,"Areas";#N/A,#N/A,TRUE,"Summary";#N/A,#N/A,TRUE,"Detail"}</definedName>
    <definedName name="sdfds_2_1" localSheetId="2" hidden="1">{#N/A,#N/A,TRUE,"Front";#N/A,#N/A,TRUE,"Simple Letter";#N/A,#N/A,TRUE,"Inside";#N/A,#N/A,TRUE,"Contents";#N/A,#N/A,TRUE,"Basis";#N/A,#N/A,TRUE,"Inclusions";#N/A,#N/A,TRUE,"Exclusions";#N/A,#N/A,TRUE,"Areas";#N/A,#N/A,TRUE,"Summary";#N/A,#N/A,TRUE,"Detail"}</definedName>
    <definedName name="sdfds_3" localSheetId="5" hidden="1">{#N/A,#N/A,TRUE,"Front";#N/A,#N/A,TRUE,"Simple Letter";#N/A,#N/A,TRUE,"Inside";#N/A,#N/A,TRUE,"Contents";#N/A,#N/A,TRUE,"Basis";#N/A,#N/A,TRUE,"Inclusions";#N/A,#N/A,TRUE,"Exclusions";#N/A,#N/A,TRUE,"Areas";#N/A,#N/A,TRUE,"Summary";#N/A,#N/A,TRUE,"Detail"}</definedName>
    <definedName name="sdfds_3" localSheetId="2" hidden="1">{#N/A,#N/A,TRUE,"Front";#N/A,#N/A,TRUE,"Simple Letter";#N/A,#N/A,TRUE,"Inside";#N/A,#N/A,TRUE,"Contents";#N/A,#N/A,TRUE,"Basis";#N/A,#N/A,TRUE,"Inclusions";#N/A,#N/A,TRUE,"Exclusions";#N/A,#N/A,TRUE,"Areas";#N/A,#N/A,TRUE,"Summary";#N/A,#N/A,TRUE,"Detail"}</definedName>
    <definedName name="sdfds_4" localSheetId="5" hidden="1">{#N/A,#N/A,TRUE,"Front";#N/A,#N/A,TRUE,"Simple Letter";#N/A,#N/A,TRUE,"Inside";#N/A,#N/A,TRUE,"Contents";#N/A,#N/A,TRUE,"Basis";#N/A,#N/A,TRUE,"Inclusions";#N/A,#N/A,TRUE,"Exclusions";#N/A,#N/A,TRUE,"Areas";#N/A,#N/A,TRUE,"Summary";#N/A,#N/A,TRUE,"Detail"}</definedName>
    <definedName name="sdfds_4" localSheetId="2" hidden="1">{#N/A,#N/A,TRUE,"Front";#N/A,#N/A,TRUE,"Simple Letter";#N/A,#N/A,TRUE,"Inside";#N/A,#N/A,TRUE,"Contents";#N/A,#N/A,TRUE,"Basis";#N/A,#N/A,TRUE,"Inclusions";#N/A,#N/A,TRUE,"Exclusions";#N/A,#N/A,TRUE,"Areas";#N/A,#N/A,TRUE,"Summary";#N/A,#N/A,TRUE,"Detail"}</definedName>
    <definedName name="sdffs" localSheetId="7">#REF!</definedName>
    <definedName name="sdffs" localSheetId="1">#REF!</definedName>
    <definedName name="sdffs" localSheetId="3">#REF!</definedName>
    <definedName name="sdffs">#REF!</definedName>
    <definedName name="sdffsd" localSheetId="7">#REF!</definedName>
    <definedName name="sdffsd" localSheetId="1">#REF!</definedName>
    <definedName name="sdffsd" localSheetId="3">#REF!</definedName>
    <definedName name="sdffsd">#REF!</definedName>
    <definedName name="sdfgsdsdsdf" localSheetId="7">#REF!</definedName>
    <definedName name="sdfgsdsdsdf" localSheetId="1">#REF!</definedName>
    <definedName name="sdfgsdsdsdf" localSheetId="3">#REF!</definedName>
    <definedName name="sdfgsdsdsdf">#REF!</definedName>
    <definedName name="sdfsd" localSheetId="5" hidden="1">{#N/A,#N/A,TRUE,"Front";#N/A,#N/A,TRUE,"Simple Letter";#N/A,#N/A,TRUE,"Inside";#N/A,#N/A,TRUE,"Contents";#N/A,#N/A,TRUE,"Basis";#N/A,#N/A,TRUE,"Inclusions";#N/A,#N/A,TRUE,"Exclusions";#N/A,#N/A,TRUE,"Areas";#N/A,#N/A,TRUE,"Summary";#N/A,#N/A,TRUE,"Detail"}</definedName>
    <definedName name="sdfsd" localSheetId="2" hidden="1">{#N/A,#N/A,TRUE,"Front";#N/A,#N/A,TRUE,"Simple Letter";#N/A,#N/A,TRUE,"Inside";#N/A,#N/A,TRUE,"Contents";#N/A,#N/A,TRUE,"Basis";#N/A,#N/A,TRUE,"Inclusions";#N/A,#N/A,TRUE,"Exclusions";#N/A,#N/A,TRUE,"Areas";#N/A,#N/A,TRUE,"Summary";#N/A,#N/A,TRUE,"Detail"}</definedName>
    <definedName name="sdfsd_1" localSheetId="5" hidden="1">{#N/A,#N/A,TRUE,"Front";#N/A,#N/A,TRUE,"Simple Letter";#N/A,#N/A,TRUE,"Inside";#N/A,#N/A,TRUE,"Contents";#N/A,#N/A,TRUE,"Basis";#N/A,#N/A,TRUE,"Inclusions";#N/A,#N/A,TRUE,"Exclusions";#N/A,#N/A,TRUE,"Areas";#N/A,#N/A,TRUE,"Summary";#N/A,#N/A,TRUE,"Detail"}</definedName>
    <definedName name="sdfsd_1" localSheetId="2" hidden="1">{#N/A,#N/A,TRUE,"Front";#N/A,#N/A,TRUE,"Simple Letter";#N/A,#N/A,TRUE,"Inside";#N/A,#N/A,TRUE,"Contents";#N/A,#N/A,TRUE,"Basis";#N/A,#N/A,TRUE,"Inclusions";#N/A,#N/A,TRUE,"Exclusions";#N/A,#N/A,TRUE,"Areas";#N/A,#N/A,TRUE,"Summary";#N/A,#N/A,TRUE,"Detail"}</definedName>
    <definedName name="sdfsd_1_1" localSheetId="5" hidden="1">{#N/A,#N/A,TRUE,"Front";#N/A,#N/A,TRUE,"Simple Letter";#N/A,#N/A,TRUE,"Inside";#N/A,#N/A,TRUE,"Contents";#N/A,#N/A,TRUE,"Basis";#N/A,#N/A,TRUE,"Inclusions";#N/A,#N/A,TRUE,"Exclusions";#N/A,#N/A,TRUE,"Areas";#N/A,#N/A,TRUE,"Summary";#N/A,#N/A,TRUE,"Detail"}</definedName>
    <definedName name="sdfsd_1_1" localSheetId="2" hidden="1">{#N/A,#N/A,TRUE,"Front";#N/A,#N/A,TRUE,"Simple Letter";#N/A,#N/A,TRUE,"Inside";#N/A,#N/A,TRUE,"Contents";#N/A,#N/A,TRUE,"Basis";#N/A,#N/A,TRUE,"Inclusions";#N/A,#N/A,TRUE,"Exclusions";#N/A,#N/A,TRUE,"Areas";#N/A,#N/A,TRUE,"Summary";#N/A,#N/A,TRUE,"Detail"}</definedName>
    <definedName name="sdfsd_1_2" localSheetId="5" hidden="1">{#N/A,#N/A,TRUE,"Front";#N/A,#N/A,TRUE,"Simple Letter";#N/A,#N/A,TRUE,"Inside";#N/A,#N/A,TRUE,"Contents";#N/A,#N/A,TRUE,"Basis";#N/A,#N/A,TRUE,"Inclusions";#N/A,#N/A,TRUE,"Exclusions";#N/A,#N/A,TRUE,"Areas";#N/A,#N/A,TRUE,"Summary";#N/A,#N/A,TRUE,"Detail"}</definedName>
    <definedName name="sdfsd_1_2" localSheetId="2" hidden="1">{#N/A,#N/A,TRUE,"Front";#N/A,#N/A,TRUE,"Simple Letter";#N/A,#N/A,TRUE,"Inside";#N/A,#N/A,TRUE,"Contents";#N/A,#N/A,TRUE,"Basis";#N/A,#N/A,TRUE,"Inclusions";#N/A,#N/A,TRUE,"Exclusions";#N/A,#N/A,TRUE,"Areas";#N/A,#N/A,TRUE,"Summary";#N/A,#N/A,TRUE,"Detail"}</definedName>
    <definedName name="sdfsd_2" localSheetId="5" hidden="1">{#N/A,#N/A,TRUE,"Front";#N/A,#N/A,TRUE,"Simple Letter";#N/A,#N/A,TRUE,"Inside";#N/A,#N/A,TRUE,"Contents";#N/A,#N/A,TRUE,"Basis";#N/A,#N/A,TRUE,"Inclusions";#N/A,#N/A,TRUE,"Exclusions";#N/A,#N/A,TRUE,"Areas";#N/A,#N/A,TRUE,"Summary";#N/A,#N/A,TRUE,"Detail"}</definedName>
    <definedName name="sdfsd_2" localSheetId="2" hidden="1">{#N/A,#N/A,TRUE,"Front";#N/A,#N/A,TRUE,"Simple Letter";#N/A,#N/A,TRUE,"Inside";#N/A,#N/A,TRUE,"Contents";#N/A,#N/A,TRUE,"Basis";#N/A,#N/A,TRUE,"Inclusions";#N/A,#N/A,TRUE,"Exclusions";#N/A,#N/A,TRUE,"Areas";#N/A,#N/A,TRUE,"Summary";#N/A,#N/A,TRUE,"Detail"}</definedName>
    <definedName name="sdfsd_2_1" localSheetId="5" hidden="1">{#N/A,#N/A,TRUE,"Front";#N/A,#N/A,TRUE,"Simple Letter";#N/A,#N/A,TRUE,"Inside";#N/A,#N/A,TRUE,"Contents";#N/A,#N/A,TRUE,"Basis";#N/A,#N/A,TRUE,"Inclusions";#N/A,#N/A,TRUE,"Exclusions";#N/A,#N/A,TRUE,"Areas";#N/A,#N/A,TRUE,"Summary";#N/A,#N/A,TRUE,"Detail"}</definedName>
    <definedName name="sdfsd_2_1" localSheetId="2" hidden="1">{#N/A,#N/A,TRUE,"Front";#N/A,#N/A,TRUE,"Simple Letter";#N/A,#N/A,TRUE,"Inside";#N/A,#N/A,TRUE,"Contents";#N/A,#N/A,TRUE,"Basis";#N/A,#N/A,TRUE,"Inclusions";#N/A,#N/A,TRUE,"Exclusions";#N/A,#N/A,TRUE,"Areas";#N/A,#N/A,TRUE,"Summary";#N/A,#N/A,TRUE,"Detail"}</definedName>
    <definedName name="sdfsd_3" localSheetId="5" hidden="1">{#N/A,#N/A,TRUE,"Front";#N/A,#N/A,TRUE,"Simple Letter";#N/A,#N/A,TRUE,"Inside";#N/A,#N/A,TRUE,"Contents";#N/A,#N/A,TRUE,"Basis";#N/A,#N/A,TRUE,"Inclusions";#N/A,#N/A,TRUE,"Exclusions";#N/A,#N/A,TRUE,"Areas";#N/A,#N/A,TRUE,"Summary";#N/A,#N/A,TRUE,"Detail"}</definedName>
    <definedName name="sdfsd_3" localSheetId="2" hidden="1">{#N/A,#N/A,TRUE,"Front";#N/A,#N/A,TRUE,"Simple Letter";#N/A,#N/A,TRUE,"Inside";#N/A,#N/A,TRUE,"Contents";#N/A,#N/A,TRUE,"Basis";#N/A,#N/A,TRUE,"Inclusions";#N/A,#N/A,TRUE,"Exclusions";#N/A,#N/A,TRUE,"Areas";#N/A,#N/A,TRUE,"Summary";#N/A,#N/A,TRUE,"Detail"}</definedName>
    <definedName name="sdfsd_4" localSheetId="5" hidden="1">{#N/A,#N/A,TRUE,"Front";#N/A,#N/A,TRUE,"Simple Letter";#N/A,#N/A,TRUE,"Inside";#N/A,#N/A,TRUE,"Contents";#N/A,#N/A,TRUE,"Basis";#N/A,#N/A,TRUE,"Inclusions";#N/A,#N/A,TRUE,"Exclusions";#N/A,#N/A,TRUE,"Areas";#N/A,#N/A,TRUE,"Summary";#N/A,#N/A,TRUE,"Detail"}</definedName>
    <definedName name="sdfsd_4" localSheetId="2" hidden="1">{#N/A,#N/A,TRUE,"Front";#N/A,#N/A,TRUE,"Simple Letter";#N/A,#N/A,TRUE,"Inside";#N/A,#N/A,TRUE,"Contents";#N/A,#N/A,TRUE,"Basis";#N/A,#N/A,TRUE,"Inclusions";#N/A,#N/A,TRUE,"Exclusions";#N/A,#N/A,TRUE,"Areas";#N/A,#N/A,TRUE,"Summary";#N/A,#N/A,TRUE,"Detail"}</definedName>
    <definedName name="sdggdsfgsdf" localSheetId="7">#REF!</definedName>
    <definedName name="sdggdsfgsdf" localSheetId="1">#REF!</definedName>
    <definedName name="sdggdsfgsdf" localSheetId="3">#REF!</definedName>
    <definedName name="sdggdsfgsdf">#REF!</definedName>
    <definedName name="sdgsdht" localSheetId="7">#REF!</definedName>
    <definedName name="sdgsdht" localSheetId="1">#REF!</definedName>
    <definedName name="sdgsdht" localSheetId="3">#REF!</definedName>
    <definedName name="sdgsdht">#REF!</definedName>
    <definedName name="sdgsdsdf" localSheetId="7">#REF!</definedName>
    <definedName name="sdgsdsdf" localSheetId="1">#REF!</definedName>
    <definedName name="sdgsdsdf" localSheetId="3">#REF!</definedName>
    <definedName name="sdgsdsdf">#REF!</definedName>
    <definedName name="sdpl" localSheetId="7">#REF!</definedName>
    <definedName name="sdpl" localSheetId="1">#REF!</definedName>
    <definedName name="sdpl" localSheetId="3">#REF!</definedName>
    <definedName name="sdpl">#REF!</definedName>
    <definedName name="SDPLBS" localSheetId="7">#REF!</definedName>
    <definedName name="SDPLBS" localSheetId="1">#REF!</definedName>
    <definedName name="SDPLBS" localSheetId="3">#REF!</definedName>
    <definedName name="SDPLBS">#REF!</definedName>
    <definedName name="SDPLFA" localSheetId="7">#REF!</definedName>
    <definedName name="SDPLFA" localSheetId="1">#REF!</definedName>
    <definedName name="SDPLFA" localSheetId="3">#REF!</definedName>
    <definedName name="SDPLFA">#REF!</definedName>
    <definedName name="SDPLPL" localSheetId="7">#REF!</definedName>
    <definedName name="SDPLPL" localSheetId="1">#REF!</definedName>
    <definedName name="SDPLPL" localSheetId="3">#REF!</definedName>
    <definedName name="SDPLPL">#REF!</definedName>
    <definedName name="SDS" localSheetId="7">#REF!</definedName>
    <definedName name="SDS" localSheetId="1">#REF!</definedName>
    <definedName name="SDS" localSheetId="3">#REF!</definedName>
    <definedName name="SDS">#REF!</definedName>
    <definedName name="sdsad" localSheetId="7">#REF!</definedName>
    <definedName name="sdsad" localSheetId="1">#REF!</definedName>
    <definedName name="sdsad" localSheetId="3">#REF!</definedName>
    <definedName name="sdsad">#REF!</definedName>
    <definedName name="SDSQ" localSheetId="7">#REF!</definedName>
    <definedName name="SDSQ" localSheetId="1">#REF!</definedName>
    <definedName name="SDSQ" localSheetId="3">#REF!</definedName>
    <definedName name="SDSQ">#REF!</definedName>
    <definedName name="SDW" localSheetId="7">#REF!</definedName>
    <definedName name="SDW" localSheetId="1">#REF!</definedName>
    <definedName name="SDW" localSheetId="3">#REF!</definedName>
    <definedName name="SDW">#REF!</definedName>
    <definedName name="se" localSheetId="7">#REF!</definedName>
    <definedName name="se" localSheetId="1">#REF!</definedName>
    <definedName name="se" localSheetId="3">#REF!</definedName>
    <definedName name="se">#REF!</definedName>
    <definedName name="sec_deposit" localSheetId="7">#REF!</definedName>
    <definedName name="sec_deposit" localSheetId="1">#REF!</definedName>
    <definedName name="sec_deposit" localSheetId="3">#REF!</definedName>
    <definedName name="sec_deposit">#REF!</definedName>
    <definedName name="SEC_TAB" localSheetId="7">#REF!</definedName>
    <definedName name="SEC_TAB" localSheetId="1">#REF!</definedName>
    <definedName name="SEC_TAB" localSheetId="3">#REF!</definedName>
    <definedName name="SEC_TAB">#REF!</definedName>
    <definedName name="SEC_TAB1" localSheetId="7">#REF!</definedName>
    <definedName name="SEC_TAB1" localSheetId="1">#REF!</definedName>
    <definedName name="SEC_TAB1" localSheetId="3">#REF!</definedName>
    <definedName name="SEC_TAB1">#REF!</definedName>
    <definedName name="Section_1_Title" localSheetId="2">#REF!</definedName>
    <definedName name="Section_2_Title" localSheetId="2">#REF!</definedName>
    <definedName name="Section_3_Title" localSheetId="2">#REF!</definedName>
    <definedName name="Section_5_Title" localSheetId="7">#REF!</definedName>
    <definedName name="Section_5_Title" localSheetId="1">#REF!</definedName>
    <definedName name="Section_5_Title" localSheetId="3">#REF!</definedName>
    <definedName name="Section_5_Title">#REF!</definedName>
    <definedName name="Section_6_Title" localSheetId="7">#REF!</definedName>
    <definedName name="Section_6_Title" localSheetId="1">#REF!</definedName>
    <definedName name="Section_6_Title" localSheetId="3">#REF!</definedName>
    <definedName name="Section_6_Title">#REF!</definedName>
    <definedName name="Section_7_Title" localSheetId="7">#REF!</definedName>
    <definedName name="Section_7_Title" localSheetId="1">#REF!</definedName>
    <definedName name="Section_7_Title" localSheetId="3">#REF!</definedName>
    <definedName name="Section_7_Title">#REF!</definedName>
    <definedName name="Section_8_Title" localSheetId="7">#REF!</definedName>
    <definedName name="Section_8_Title" localSheetId="1">#REF!</definedName>
    <definedName name="Section_8_Title" localSheetId="3">#REF!</definedName>
    <definedName name="Section_8_Title">#REF!</definedName>
    <definedName name="secured" localSheetId="7">#REF!</definedName>
    <definedName name="secured" localSheetId="1">#REF!</definedName>
    <definedName name="secured" localSheetId="3">#REF!</definedName>
    <definedName name="secured">#REF!</definedName>
    <definedName name="see" localSheetId="7">#REF!</definedName>
    <definedName name="see" localSheetId="1">#REF!</definedName>
    <definedName name="see" localSheetId="3">#REF!</definedName>
    <definedName name="see">#REF!</definedName>
    <definedName name="SegCharge" localSheetId="7">#REF!</definedName>
    <definedName name="SegCharge" localSheetId="1">#REF!</definedName>
    <definedName name="SegCharge" localSheetId="3">#REF!</definedName>
    <definedName name="SegCharge">#REF!</definedName>
    <definedName name="Seismicsource" localSheetId="7">#REF!</definedName>
    <definedName name="Seismicsource" localSheetId="1">#REF!</definedName>
    <definedName name="Seismicsource" localSheetId="3">#REF!</definedName>
    <definedName name="Seismicsource">#REF!</definedName>
    <definedName name="sencount" hidden="1">1</definedName>
    <definedName name="Sensorpaver" localSheetId="7">#REF!</definedName>
    <definedName name="Sensorpaver" localSheetId="1">#REF!</definedName>
    <definedName name="Sensorpaver" localSheetId="3">#REF!</definedName>
    <definedName name="Sensorpaver">#REF!</definedName>
    <definedName name="SEPT" localSheetId="7">#REF!</definedName>
    <definedName name="SEPT" localSheetId="1">#REF!</definedName>
    <definedName name="SEPT" localSheetId="3">#REF!</definedName>
    <definedName name="SEPT">#REF!</definedName>
    <definedName name="SER" localSheetId="7">#REF!</definedName>
    <definedName name="SER" localSheetId="1">#REF!</definedName>
    <definedName name="SER" localSheetId="3">#REF!</definedName>
    <definedName name="SER">#REF!</definedName>
    <definedName name="sere" localSheetId="7">#REF!</definedName>
    <definedName name="sere" localSheetId="1">#REF!</definedName>
    <definedName name="sere" localSheetId="3">#REF!</definedName>
    <definedName name="sere">#REF!</definedName>
    <definedName name="Service" localSheetId="7">#REF!</definedName>
    <definedName name="Service" localSheetId="1">#REF!</definedName>
    <definedName name="Service" localSheetId="3">#REF!</definedName>
    <definedName name="Service">#REF!</definedName>
    <definedName name="Services" localSheetId="7">#REF!</definedName>
    <definedName name="Services" localSheetId="1">#REF!</definedName>
    <definedName name="Services" localSheetId="3">#REF!</definedName>
    <definedName name="Services">#REF!</definedName>
    <definedName name="set" localSheetId="7">#REF!</definedName>
    <definedName name="set" localSheetId="1">#REF!</definedName>
    <definedName name="set" localSheetId="3">#REF!</definedName>
    <definedName name="set">#REF!</definedName>
    <definedName name="Setflag" localSheetId="7">#REF!</definedName>
    <definedName name="Setflag" localSheetId="1">#REF!</definedName>
    <definedName name="Setflag" localSheetId="3">#REF!</definedName>
    <definedName name="Setflag">#REF!</definedName>
    <definedName name="sets" localSheetId="7">#REF!</definedName>
    <definedName name="sets" localSheetId="1">#REF!</definedName>
    <definedName name="sets" localSheetId="3">#REF!</definedName>
    <definedName name="sets">#REF!</definedName>
    <definedName name="SF" localSheetId="7">#REF!</definedName>
    <definedName name="SF" localSheetId="1">#REF!</definedName>
    <definedName name="SF" localSheetId="3">#REF!</definedName>
    <definedName name="SF">#REF!</definedName>
    <definedName name="sfdfsd" localSheetId="7">#REF!</definedName>
    <definedName name="sfdfsd" localSheetId="1">#REF!</definedName>
    <definedName name="sfdfsd" localSheetId="3">#REF!</definedName>
    <definedName name="sfdfsd">#REF!</definedName>
    <definedName name="SFFSDF" localSheetId="7">#REF!</definedName>
    <definedName name="SFFSDF" localSheetId="1">#REF!</definedName>
    <definedName name="SFFSDF" localSheetId="3">#REF!</definedName>
    <definedName name="SFFSDF">#REF!</definedName>
    <definedName name="sffsff" localSheetId="7">#REF!</definedName>
    <definedName name="sffsff" localSheetId="1">#REF!</definedName>
    <definedName name="sffsff" localSheetId="3">#REF!</definedName>
    <definedName name="sffsff">#REF!</definedName>
    <definedName name="sffssd" localSheetId="7">#REF!</definedName>
    <definedName name="sffssd" localSheetId="1">#REF!</definedName>
    <definedName name="sffssd" localSheetId="3">#REF!</definedName>
    <definedName name="sffssd">#REF!</definedName>
    <definedName name="SFR" localSheetId="7">#REF!</definedName>
    <definedName name="SFR" localSheetId="1">#REF!</definedName>
    <definedName name="SFR" localSheetId="3">#REF!</definedName>
    <definedName name="SFR">#REF!</definedName>
    <definedName name="sfsd" localSheetId="7">#REF!</definedName>
    <definedName name="sfsd" localSheetId="1">#REF!</definedName>
    <definedName name="sfsd" localSheetId="3">#REF!</definedName>
    <definedName name="sfsd">#REF!</definedName>
    <definedName name="SFSDFS" localSheetId="7">#REF!</definedName>
    <definedName name="SFSDFS" localSheetId="1">#REF!</definedName>
    <definedName name="SFSDFS" localSheetId="3">#REF!</definedName>
    <definedName name="SFSDFS">#REF!</definedName>
    <definedName name="SFSDFSD" localSheetId="7">#REF!</definedName>
    <definedName name="SFSDFSD" localSheetId="1">#REF!</definedName>
    <definedName name="SFSDFSD" localSheetId="3">#REF!</definedName>
    <definedName name="SFSDFSD">#REF!</definedName>
    <definedName name="SFSDFSDF" localSheetId="7">#REF!</definedName>
    <definedName name="SFSDFSDF" localSheetId="1">#REF!</definedName>
    <definedName name="SFSDFSDF" localSheetId="3">#REF!</definedName>
    <definedName name="SFSDFSDF">#REF!</definedName>
    <definedName name="SFSDFSF" localSheetId="7">#REF!</definedName>
    <definedName name="SFSDFSF" localSheetId="1">#REF!</definedName>
    <definedName name="SFSDFSF" localSheetId="3">#REF!</definedName>
    <definedName name="SFSDFSF">#REF!</definedName>
    <definedName name="sfsf" localSheetId="7">#REF!</definedName>
    <definedName name="sfsf" localSheetId="1">#REF!</definedName>
    <definedName name="sfsf" localSheetId="3">#REF!</definedName>
    <definedName name="sfsf">#REF!</definedName>
    <definedName name="sfssdfs" localSheetId="7">#REF!</definedName>
    <definedName name="sfssdfs" localSheetId="1">#REF!</definedName>
    <definedName name="sfssdfs" localSheetId="3">#REF!</definedName>
    <definedName name="sfssdfs">#REF!</definedName>
    <definedName name="sfvdafv" localSheetId="5" hidden="1">{#N/A,#N/A,TRUE,"Front";#N/A,#N/A,TRUE,"Simple Letter";#N/A,#N/A,TRUE,"Inside";#N/A,#N/A,TRUE,"Contents";#N/A,#N/A,TRUE,"Basis";#N/A,#N/A,TRUE,"Inclusions";#N/A,#N/A,TRUE,"Exclusions";#N/A,#N/A,TRUE,"Areas";#N/A,#N/A,TRUE,"Summary";#N/A,#N/A,TRUE,"Detail"}</definedName>
    <definedName name="sfvdafv" localSheetId="2" hidden="1">{#N/A,#N/A,TRUE,"Front";#N/A,#N/A,TRUE,"Simple Letter";#N/A,#N/A,TRUE,"Inside";#N/A,#N/A,TRUE,"Contents";#N/A,#N/A,TRUE,"Basis";#N/A,#N/A,TRUE,"Inclusions";#N/A,#N/A,TRUE,"Exclusions";#N/A,#N/A,TRUE,"Areas";#N/A,#N/A,TRUE,"Summary";#N/A,#N/A,TRUE,"Detail"}</definedName>
    <definedName name="sfvdafv_1" localSheetId="5" hidden="1">{#N/A,#N/A,TRUE,"Front";#N/A,#N/A,TRUE,"Simple Letter";#N/A,#N/A,TRUE,"Inside";#N/A,#N/A,TRUE,"Contents";#N/A,#N/A,TRUE,"Basis";#N/A,#N/A,TRUE,"Inclusions";#N/A,#N/A,TRUE,"Exclusions";#N/A,#N/A,TRUE,"Areas";#N/A,#N/A,TRUE,"Summary";#N/A,#N/A,TRUE,"Detail"}</definedName>
    <definedName name="sfvdafv_1" localSheetId="2" hidden="1">{#N/A,#N/A,TRUE,"Front";#N/A,#N/A,TRUE,"Simple Letter";#N/A,#N/A,TRUE,"Inside";#N/A,#N/A,TRUE,"Contents";#N/A,#N/A,TRUE,"Basis";#N/A,#N/A,TRUE,"Inclusions";#N/A,#N/A,TRUE,"Exclusions";#N/A,#N/A,TRUE,"Areas";#N/A,#N/A,TRUE,"Summary";#N/A,#N/A,TRUE,"Detail"}</definedName>
    <definedName name="sfvdafv_1_1" localSheetId="5" hidden="1">{#N/A,#N/A,TRUE,"Front";#N/A,#N/A,TRUE,"Simple Letter";#N/A,#N/A,TRUE,"Inside";#N/A,#N/A,TRUE,"Contents";#N/A,#N/A,TRUE,"Basis";#N/A,#N/A,TRUE,"Inclusions";#N/A,#N/A,TRUE,"Exclusions";#N/A,#N/A,TRUE,"Areas";#N/A,#N/A,TRUE,"Summary";#N/A,#N/A,TRUE,"Detail"}</definedName>
    <definedName name="sfvdafv_1_1" localSheetId="2" hidden="1">{#N/A,#N/A,TRUE,"Front";#N/A,#N/A,TRUE,"Simple Letter";#N/A,#N/A,TRUE,"Inside";#N/A,#N/A,TRUE,"Contents";#N/A,#N/A,TRUE,"Basis";#N/A,#N/A,TRUE,"Inclusions";#N/A,#N/A,TRUE,"Exclusions";#N/A,#N/A,TRUE,"Areas";#N/A,#N/A,TRUE,"Summary";#N/A,#N/A,TRUE,"Detail"}</definedName>
    <definedName name="sfvdafv_1_2" localSheetId="5" hidden="1">{#N/A,#N/A,TRUE,"Front";#N/A,#N/A,TRUE,"Simple Letter";#N/A,#N/A,TRUE,"Inside";#N/A,#N/A,TRUE,"Contents";#N/A,#N/A,TRUE,"Basis";#N/A,#N/A,TRUE,"Inclusions";#N/A,#N/A,TRUE,"Exclusions";#N/A,#N/A,TRUE,"Areas";#N/A,#N/A,TRUE,"Summary";#N/A,#N/A,TRUE,"Detail"}</definedName>
    <definedName name="sfvdafv_1_2" localSheetId="2" hidden="1">{#N/A,#N/A,TRUE,"Front";#N/A,#N/A,TRUE,"Simple Letter";#N/A,#N/A,TRUE,"Inside";#N/A,#N/A,TRUE,"Contents";#N/A,#N/A,TRUE,"Basis";#N/A,#N/A,TRUE,"Inclusions";#N/A,#N/A,TRUE,"Exclusions";#N/A,#N/A,TRUE,"Areas";#N/A,#N/A,TRUE,"Summary";#N/A,#N/A,TRUE,"Detail"}</definedName>
    <definedName name="sfvdafv_2" localSheetId="5" hidden="1">{#N/A,#N/A,TRUE,"Front";#N/A,#N/A,TRUE,"Simple Letter";#N/A,#N/A,TRUE,"Inside";#N/A,#N/A,TRUE,"Contents";#N/A,#N/A,TRUE,"Basis";#N/A,#N/A,TRUE,"Inclusions";#N/A,#N/A,TRUE,"Exclusions";#N/A,#N/A,TRUE,"Areas";#N/A,#N/A,TRUE,"Summary";#N/A,#N/A,TRUE,"Detail"}</definedName>
    <definedName name="sfvdafv_2" localSheetId="2" hidden="1">{#N/A,#N/A,TRUE,"Front";#N/A,#N/A,TRUE,"Simple Letter";#N/A,#N/A,TRUE,"Inside";#N/A,#N/A,TRUE,"Contents";#N/A,#N/A,TRUE,"Basis";#N/A,#N/A,TRUE,"Inclusions";#N/A,#N/A,TRUE,"Exclusions";#N/A,#N/A,TRUE,"Areas";#N/A,#N/A,TRUE,"Summary";#N/A,#N/A,TRUE,"Detail"}</definedName>
    <definedName name="sfvdafv_2_1" localSheetId="5" hidden="1">{#N/A,#N/A,TRUE,"Front";#N/A,#N/A,TRUE,"Simple Letter";#N/A,#N/A,TRUE,"Inside";#N/A,#N/A,TRUE,"Contents";#N/A,#N/A,TRUE,"Basis";#N/A,#N/A,TRUE,"Inclusions";#N/A,#N/A,TRUE,"Exclusions";#N/A,#N/A,TRUE,"Areas";#N/A,#N/A,TRUE,"Summary";#N/A,#N/A,TRUE,"Detail"}</definedName>
    <definedName name="sfvdafv_2_1" localSheetId="2" hidden="1">{#N/A,#N/A,TRUE,"Front";#N/A,#N/A,TRUE,"Simple Letter";#N/A,#N/A,TRUE,"Inside";#N/A,#N/A,TRUE,"Contents";#N/A,#N/A,TRUE,"Basis";#N/A,#N/A,TRUE,"Inclusions";#N/A,#N/A,TRUE,"Exclusions";#N/A,#N/A,TRUE,"Areas";#N/A,#N/A,TRUE,"Summary";#N/A,#N/A,TRUE,"Detail"}</definedName>
    <definedName name="sfvdafv_3" localSheetId="5" hidden="1">{#N/A,#N/A,TRUE,"Front";#N/A,#N/A,TRUE,"Simple Letter";#N/A,#N/A,TRUE,"Inside";#N/A,#N/A,TRUE,"Contents";#N/A,#N/A,TRUE,"Basis";#N/A,#N/A,TRUE,"Inclusions";#N/A,#N/A,TRUE,"Exclusions";#N/A,#N/A,TRUE,"Areas";#N/A,#N/A,TRUE,"Summary";#N/A,#N/A,TRUE,"Detail"}</definedName>
    <definedName name="sfvdafv_3" localSheetId="2" hidden="1">{#N/A,#N/A,TRUE,"Front";#N/A,#N/A,TRUE,"Simple Letter";#N/A,#N/A,TRUE,"Inside";#N/A,#N/A,TRUE,"Contents";#N/A,#N/A,TRUE,"Basis";#N/A,#N/A,TRUE,"Inclusions";#N/A,#N/A,TRUE,"Exclusions";#N/A,#N/A,TRUE,"Areas";#N/A,#N/A,TRUE,"Summary";#N/A,#N/A,TRUE,"Detail"}</definedName>
    <definedName name="sfvdafv_4" localSheetId="5" hidden="1">{#N/A,#N/A,TRUE,"Front";#N/A,#N/A,TRUE,"Simple Letter";#N/A,#N/A,TRUE,"Inside";#N/A,#N/A,TRUE,"Contents";#N/A,#N/A,TRUE,"Basis";#N/A,#N/A,TRUE,"Inclusions";#N/A,#N/A,TRUE,"Exclusions";#N/A,#N/A,TRUE,"Areas";#N/A,#N/A,TRUE,"Summary";#N/A,#N/A,TRUE,"Detail"}</definedName>
    <definedName name="sfvdafv_4" localSheetId="2" hidden="1">{#N/A,#N/A,TRUE,"Front";#N/A,#N/A,TRUE,"Simple Letter";#N/A,#N/A,TRUE,"Inside";#N/A,#N/A,TRUE,"Contents";#N/A,#N/A,TRUE,"Basis";#N/A,#N/A,TRUE,"Inclusions";#N/A,#N/A,TRUE,"Exclusions";#N/A,#N/A,TRUE,"Areas";#N/A,#N/A,TRUE,"Summary";#N/A,#N/A,TRUE,"Detail"}</definedName>
    <definedName name="sgfssfs" localSheetId="2">#REF!</definedName>
    <definedName name="sh0.5" localSheetId="2">#REF!</definedName>
    <definedName name="sh0.6" localSheetId="2">#REF!</definedName>
    <definedName name="sh1.0" localSheetId="7">#REF!</definedName>
    <definedName name="sh1.0" localSheetId="1">#REF!</definedName>
    <definedName name="sh1.0" localSheetId="3">#REF!</definedName>
    <definedName name="sh1.0">#REF!</definedName>
    <definedName name="sh1.2" localSheetId="7">#REF!</definedName>
    <definedName name="sh1.2" localSheetId="1">#REF!</definedName>
    <definedName name="sh1.2" localSheetId="3">#REF!</definedName>
    <definedName name="sh1.2">#REF!</definedName>
    <definedName name="Shanthi3" localSheetId="7">#REF!</definedName>
    <definedName name="Shanthi3" localSheetId="1">#REF!</definedName>
    <definedName name="Shanthi3" localSheetId="3">#REF!</definedName>
    <definedName name="Shanthi3">#REF!</definedName>
    <definedName name="shape" localSheetId="7">#REF!</definedName>
    <definedName name="shape" localSheetId="1">#REF!</definedName>
    <definedName name="shape" localSheetId="3">#REF!</definedName>
    <definedName name="shape">#REF!</definedName>
    <definedName name="shar" localSheetId="7">#REF!</definedName>
    <definedName name="shar" localSheetId="1">#REF!</definedName>
    <definedName name="shar" localSheetId="3">#REF!</definedName>
    <definedName name="shar">#REF!</definedName>
    <definedName name="sharada">185</definedName>
    <definedName name="sheet">#N/A</definedName>
    <definedName name="sheet1" localSheetId="7">#REF!</definedName>
    <definedName name="sheet1" localSheetId="1">#REF!</definedName>
    <definedName name="sheet1" localSheetId="3">#REF!</definedName>
    <definedName name="sheet1">#REF!</definedName>
    <definedName name="sheet1___0" localSheetId="7">#REF!</definedName>
    <definedName name="sheet1___0" localSheetId="1">#REF!</definedName>
    <definedName name="sheet1___0" localSheetId="3">#REF!</definedName>
    <definedName name="sheet1___0">#REF!</definedName>
    <definedName name="sheet1___13" localSheetId="7">#REF!</definedName>
    <definedName name="sheet1___13" localSheetId="1">#REF!</definedName>
    <definedName name="sheet1___13" localSheetId="3">#REF!</definedName>
    <definedName name="sheet1___13">#REF!</definedName>
    <definedName name="shi" localSheetId="7">#REF!</definedName>
    <definedName name="shi" localSheetId="1">#REF!</definedName>
    <definedName name="shi" localSheetId="3">#REF!</definedName>
    <definedName name="shi">#REF!</definedName>
    <definedName name="shiva" localSheetId="2">#REF!</definedName>
    <definedName name="SHOPBOQ" localSheetId="2">#REF!</definedName>
    <definedName name="SHOPHED" localSheetId="2">#REF!</definedName>
    <definedName name="short" localSheetId="5" hidden="1">{#N/A,#N/A,FALSE,"COVER1.XLS ";#N/A,#N/A,FALSE,"RACT1.XLS";#N/A,#N/A,FALSE,"RACT2.XLS";#N/A,#N/A,FALSE,"ECCMP";#N/A,#N/A,FALSE,"WELDER.XLS"}</definedName>
    <definedName name="short" localSheetId="2" hidden="1">{#N/A,#N/A,FALSE,"COVER1.XLS ";#N/A,#N/A,FALSE,"RACT1.XLS";#N/A,#N/A,FALSE,"RACT2.XLS";#N/A,#N/A,FALSE,"ECCMP";#N/A,#N/A,FALSE,"WELDER.XLS"}</definedName>
    <definedName name="Show.MDB.Update.Warning" localSheetId="7" hidden="1">#REF!</definedName>
    <definedName name="Show.MDB.Update.Warning" localSheetId="1" hidden="1">#REF!</definedName>
    <definedName name="Show.MDB.Update.Warning" localSheetId="3" hidden="1">#REF!</definedName>
    <definedName name="Show.MDB.Update.Warning" hidden="1">#REF!</definedName>
    <definedName name="SHS" localSheetId="7">#REF!</definedName>
    <definedName name="SHS" localSheetId="1">#REF!</definedName>
    <definedName name="SHS" localSheetId="3">#REF!</definedName>
    <definedName name="SHS">#REF!</definedName>
    <definedName name="Sht" localSheetId="7">#REF!</definedName>
    <definedName name="Sht" localSheetId="1">#REF!</definedName>
    <definedName name="Sht" localSheetId="3">#REF!</definedName>
    <definedName name="Sht">#REF!</definedName>
    <definedName name="shup" localSheetId="7">#REF!</definedName>
    <definedName name="shup" localSheetId="1">#REF!</definedName>
    <definedName name="shup" localSheetId="3">#REF!</definedName>
    <definedName name="shup">#REF!</definedName>
    <definedName name="Shuttering" localSheetId="7">#REF!</definedName>
    <definedName name="Shuttering" localSheetId="1">#REF!</definedName>
    <definedName name="Shuttering" localSheetId="3">#REF!</definedName>
    <definedName name="Shuttering">#REF!</definedName>
    <definedName name="si" localSheetId="7">#REF!</definedName>
    <definedName name="si" localSheetId="1">#REF!</definedName>
    <definedName name="si" localSheetId="3">#REF!</definedName>
    <definedName name="si">#REF!</definedName>
    <definedName name="sigma0.2" localSheetId="7">#REF!</definedName>
    <definedName name="sigma0.2" localSheetId="1">#REF!</definedName>
    <definedName name="sigma0.2" localSheetId="3">#REF!</definedName>
    <definedName name="sigma0.2">#REF!</definedName>
    <definedName name="sigma0_2" localSheetId="7">#REF!</definedName>
    <definedName name="sigma0_2" localSheetId="1">#REF!</definedName>
    <definedName name="sigma0_2" localSheetId="3">#REF!</definedName>
    <definedName name="sigma0_2">#REF!</definedName>
    <definedName name="sigmab" localSheetId="7">#REF!</definedName>
    <definedName name="sigmab" localSheetId="1">#REF!</definedName>
    <definedName name="sigmab" localSheetId="3">#REF!</definedName>
    <definedName name="sigmab">#REF!</definedName>
    <definedName name="sigmah" localSheetId="7">#REF!</definedName>
    <definedName name="sigmah" localSheetId="1">#REF!</definedName>
    <definedName name="sigmah" localSheetId="3">#REF!</definedName>
    <definedName name="sigmah">#REF!</definedName>
    <definedName name="sigmat" localSheetId="7">#REF!</definedName>
    <definedName name="sigmat" localSheetId="1">#REF!</definedName>
    <definedName name="sigmat" localSheetId="3">#REF!</definedName>
    <definedName name="sigmat">#REF!</definedName>
    <definedName name="sii" localSheetId="2">#REF!</definedName>
    <definedName name="sinq" localSheetId="2">#REF!</definedName>
    <definedName name="sis" localSheetId="2">#REF!</definedName>
    <definedName name="sit0" localSheetId="7">#REF!</definedName>
    <definedName name="sit0" localSheetId="1">#REF!</definedName>
    <definedName name="sit0" localSheetId="3">#REF!</definedName>
    <definedName name="sit0">#REF!</definedName>
    <definedName name="Site_Preparation" localSheetId="7">#REF!</definedName>
    <definedName name="Site_Preparation" localSheetId="1">#REF!</definedName>
    <definedName name="Site_Preparation" localSheetId="3">#REF!</definedName>
    <definedName name="Site_Preparation">#REF!</definedName>
    <definedName name="sk"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IRTING" localSheetId="7">#REF!</definedName>
    <definedName name="SKIRTING" localSheetId="1">#REF!</definedName>
    <definedName name="SKIRTING" localSheetId="3">#REF!</definedName>
    <definedName name="SKIRTING">#REF!</definedName>
    <definedName name="Skirting1" localSheetId="7">#REF!</definedName>
    <definedName name="Skirting1" localSheetId="1">#REF!</definedName>
    <definedName name="Skirting1" localSheetId="3">#REF!</definedName>
    <definedName name="Skirting1">#REF!</definedName>
    <definedName name="Sl_No" localSheetId="7">#REF!</definedName>
    <definedName name="Sl_No" localSheetId="1">#REF!</definedName>
    <definedName name="Sl_No" localSheetId="3">#REF!</definedName>
    <definedName name="Sl_No">#REF!</definedName>
    <definedName name="slab" localSheetId="2">#REF!</definedName>
    <definedName name="slab_1" localSheetId="5" hidden="1">{"form-D1",#N/A,FALSE,"FORM-D1";"form-D1_amt",#N/A,FALSE,"FORM-D1"}</definedName>
    <definedName name="slab_1" localSheetId="2" hidden="1">{"form-D1",#N/A,FALSE,"FORM-D1";"form-D1_amt",#N/A,FALSE,"FORM-D1"}</definedName>
    <definedName name="slab_1_1" localSheetId="5" hidden="1">{"form-D1",#N/A,FALSE,"FORM-D1";"form-D1_amt",#N/A,FALSE,"FORM-D1"}</definedName>
    <definedName name="slab_1_1" localSheetId="2" hidden="1">{"form-D1",#N/A,FALSE,"FORM-D1";"form-D1_amt",#N/A,FALSE,"FORM-D1"}</definedName>
    <definedName name="slab_1_2" localSheetId="5" hidden="1">{"form-D1",#N/A,FALSE,"FORM-D1";"form-D1_amt",#N/A,FALSE,"FORM-D1"}</definedName>
    <definedName name="slab_1_2" localSheetId="2" hidden="1">{"form-D1",#N/A,FALSE,"FORM-D1";"form-D1_amt",#N/A,FALSE,"FORM-D1"}</definedName>
    <definedName name="slab_2" localSheetId="5" hidden="1">{"form-D1",#N/A,FALSE,"FORM-D1";"form-D1_amt",#N/A,FALSE,"FORM-D1"}</definedName>
    <definedName name="slab_2" localSheetId="2" hidden="1">{"form-D1",#N/A,FALSE,"FORM-D1";"form-D1_amt",#N/A,FALSE,"FORM-D1"}</definedName>
    <definedName name="slab_2_1" localSheetId="5" hidden="1">{"form-D1",#N/A,FALSE,"FORM-D1";"form-D1_amt",#N/A,FALSE,"FORM-D1"}</definedName>
    <definedName name="slab_2_1" localSheetId="2" hidden="1">{"form-D1",#N/A,FALSE,"FORM-D1";"form-D1_amt",#N/A,FALSE,"FORM-D1"}</definedName>
    <definedName name="slab_3" localSheetId="5" hidden="1">{"form-D1",#N/A,FALSE,"FORM-D1";"form-D1_amt",#N/A,FALSE,"FORM-D1"}</definedName>
    <definedName name="slab_3" localSheetId="2" hidden="1">{"form-D1",#N/A,FALSE,"FORM-D1";"form-D1_amt",#N/A,FALSE,"FORM-D1"}</definedName>
    <definedName name="slab_3_1" localSheetId="5" hidden="1">{"form-D1",#N/A,FALSE,"FORM-D1";"form-D1_amt",#N/A,FALSE,"FORM-D1"}</definedName>
    <definedName name="slab_3_1" localSheetId="2" hidden="1">{"form-D1",#N/A,FALSE,"FORM-D1";"form-D1_amt",#N/A,FALSE,"FORM-D1"}</definedName>
    <definedName name="slab_4" localSheetId="5" hidden="1">{"form-D1",#N/A,FALSE,"FORM-D1";"form-D1_amt",#N/A,FALSE,"FORM-D1"}</definedName>
    <definedName name="slab_4" localSheetId="2" hidden="1">{"form-D1",#N/A,FALSE,"FORM-D1";"form-D1_amt",#N/A,FALSE,"FORM-D1"}</definedName>
    <definedName name="slab_4_1" localSheetId="5" hidden="1">{"form-D1",#N/A,FALSE,"FORM-D1";"form-D1_amt",#N/A,FALSE,"FORM-D1"}</definedName>
    <definedName name="slab_4_1" localSheetId="2" hidden="1">{"form-D1",#N/A,FALSE,"FORM-D1";"form-D1_amt",#N/A,FALSE,"FORM-D1"}</definedName>
    <definedName name="slab_5" localSheetId="5" hidden="1">{"form-D1",#N/A,FALSE,"FORM-D1";"form-D1_amt",#N/A,FALSE,"FORM-D1"}</definedName>
    <definedName name="slab_5" localSheetId="2" hidden="1">{"form-D1",#N/A,FALSE,"FORM-D1";"form-D1_amt",#N/A,FALSE,"FORM-D1"}</definedName>
    <definedName name="slab_5_1" localSheetId="5" hidden="1">{"form-D1",#N/A,FALSE,"FORM-D1";"form-D1_amt",#N/A,FALSE,"FORM-D1"}</definedName>
    <definedName name="slab_5_1" localSheetId="2" hidden="1">{"form-D1",#N/A,FALSE,"FORM-D1";"form-D1_amt",#N/A,FALSE,"FORM-D1"}</definedName>
    <definedName name="slab_p" localSheetId="5" hidden="1">{"form-D1",#N/A,FALSE,"FORM-D1";"form-D1_amt",#N/A,FALSE,"FORM-D1"}</definedName>
    <definedName name="slab_p" localSheetId="2" hidden="1">{"form-D1",#N/A,FALSE,"FORM-D1";"form-D1_amt",#N/A,FALSE,"FORM-D1"}</definedName>
    <definedName name="slab_p_1" localSheetId="5" hidden="1">{"form-D1",#N/A,FALSE,"FORM-D1";"form-D1_amt",#N/A,FALSE,"FORM-D1"}</definedName>
    <definedName name="slab_p_1" localSheetId="2" hidden="1">{"form-D1",#N/A,FALSE,"FORM-D1";"form-D1_amt",#N/A,FALSE,"FORM-D1"}</definedName>
    <definedName name="slab_p_1_1" localSheetId="5" hidden="1">{"form-D1",#N/A,FALSE,"FORM-D1";"form-D1_amt",#N/A,FALSE,"FORM-D1"}</definedName>
    <definedName name="slab_p_1_1" localSheetId="2" hidden="1">{"form-D1",#N/A,FALSE,"FORM-D1";"form-D1_amt",#N/A,FALSE,"FORM-D1"}</definedName>
    <definedName name="slab_p_1_2" localSheetId="5" hidden="1">{"form-D1",#N/A,FALSE,"FORM-D1";"form-D1_amt",#N/A,FALSE,"FORM-D1"}</definedName>
    <definedName name="slab_p_1_2" localSheetId="2" hidden="1">{"form-D1",#N/A,FALSE,"FORM-D1";"form-D1_amt",#N/A,FALSE,"FORM-D1"}</definedName>
    <definedName name="slab_p_2" localSheetId="5" hidden="1">{"form-D1",#N/A,FALSE,"FORM-D1";"form-D1_amt",#N/A,FALSE,"FORM-D1"}</definedName>
    <definedName name="slab_p_2" localSheetId="2" hidden="1">{"form-D1",#N/A,FALSE,"FORM-D1";"form-D1_amt",#N/A,FALSE,"FORM-D1"}</definedName>
    <definedName name="slab_p_2_1" localSheetId="5" hidden="1">{"form-D1",#N/A,FALSE,"FORM-D1";"form-D1_amt",#N/A,FALSE,"FORM-D1"}</definedName>
    <definedName name="slab_p_2_1" localSheetId="2" hidden="1">{"form-D1",#N/A,FALSE,"FORM-D1";"form-D1_amt",#N/A,FALSE,"FORM-D1"}</definedName>
    <definedName name="slab_p_3" localSheetId="5" hidden="1">{"form-D1",#N/A,FALSE,"FORM-D1";"form-D1_amt",#N/A,FALSE,"FORM-D1"}</definedName>
    <definedName name="slab_p_3" localSheetId="2" hidden="1">{"form-D1",#N/A,FALSE,"FORM-D1";"form-D1_amt",#N/A,FALSE,"FORM-D1"}</definedName>
    <definedName name="slab_p_3_1" localSheetId="5" hidden="1">{"form-D1",#N/A,FALSE,"FORM-D1";"form-D1_amt",#N/A,FALSE,"FORM-D1"}</definedName>
    <definedName name="slab_p_3_1" localSheetId="2" hidden="1">{"form-D1",#N/A,FALSE,"FORM-D1";"form-D1_amt",#N/A,FALSE,"FORM-D1"}</definedName>
    <definedName name="slab_p_4" localSheetId="5" hidden="1">{"form-D1",#N/A,FALSE,"FORM-D1";"form-D1_amt",#N/A,FALSE,"FORM-D1"}</definedName>
    <definedName name="slab_p_4" localSheetId="2" hidden="1">{"form-D1",#N/A,FALSE,"FORM-D1";"form-D1_amt",#N/A,FALSE,"FORM-D1"}</definedName>
    <definedName name="slab_p_4_1" localSheetId="5" hidden="1">{"form-D1",#N/A,FALSE,"FORM-D1";"form-D1_amt",#N/A,FALSE,"FORM-D1"}</definedName>
    <definedName name="slab_p_4_1" localSheetId="2" hidden="1">{"form-D1",#N/A,FALSE,"FORM-D1";"form-D1_amt",#N/A,FALSE,"FORM-D1"}</definedName>
    <definedName name="slab_p_5" localSheetId="5" hidden="1">{"form-D1",#N/A,FALSE,"FORM-D1";"form-D1_amt",#N/A,FALSE,"FORM-D1"}</definedName>
    <definedName name="slab_p_5" localSheetId="2" hidden="1">{"form-D1",#N/A,FALSE,"FORM-D1";"form-D1_amt",#N/A,FALSE,"FORM-D1"}</definedName>
    <definedName name="slab_p_5_1" localSheetId="5" hidden="1">{"form-D1",#N/A,FALSE,"FORM-D1";"form-D1_amt",#N/A,FALSE,"FORM-D1"}</definedName>
    <definedName name="slab_p_5_1" localSheetId="2" hidden="1">{"form-D1",#N/A,FALSE,"FORM-D1";"form-D1_amt",#N/A,FALSE,"FORM-D1"}</definedName>
    <definedName name="SLAB12" localSheetId="7">#REF!</definedName>
    <definedName name="SLAB12" localSheetId="1">#REF!</definedName>
    <definedName name="SLAB12" localSheetId="3">#REF!</definedName>
    <definedName name="SLAB12">#REF!</definedName>
    <definedName name="SLAB13" localSheetId="7">#REF!</definedName>
    <definedName name="SLAB13" localSheetId="1">#REF!</definedName>
    <definedName name="SLAB13" localSheetId="3">#REF!</definedName>
    <definedName name="SLAB13">#REF!</definedName>
    <definedName name="slab2" localSheetId="7">#REF!</definedName>
    <definedName name="slab2" localSheetId="1">#REF!</definedName>
    <definedName name="slab2" localSheetId="3">#REF!</definedName>
    <definedName name="slab2">#REF!</definedName>
    <definedName name="slab22" localSheetId="7">#REF!</definedName>
    <definedName name="slab22" localSheetId="1">#REF!</definedName>
    <definedName name="slab22" localSheetId="3">#REF!</definedName>
    <definedName name="slab22">#REF!</definedName>
    <definedName name="SLAB31" localSheetId="7">#REF!</definedName>
    <definedName name="SLAB31" localSheetId="1">#REF!</definedName>
    <definedName name="SLAB31" localSheetId="3">#REF!</definedName>
    <definedName name="SLAB31">#REF!</definedName>
    <definedName name="slab7" localSheetId="7">#REF!</definedName>
    <definedName name="slab7" localSheetId="1">#REF!</definedName>
    <definedName name="slab7" localSheetId="3">#REF!</definedName>
    <definedName name="slab7">#REF!</definedName>
    <definedName name="SlabArea" localSheetId="7">#REF!</definedName>
    <definedName name="SlabArea" localSheetId="1">#REF!</definedName>
    <definedName name="SlabArea" localSheetId="3">#REF!</definedName>
    <definedName name="SlabArea">#REF!</definedName>
    <definedName name="slabconArea" localSheetId="7">#REF!</definedName>
    <definedName name="slabconArea" localSheetId="1">#REF!</definedName>
    <definedName name="slabconArea" localSheetId="3">#REF!</definedName>
    <definedName name="slabconArea">#REF!</definedName>
    <definedName name="slabconPerimeter" localSheetId="7">#REF!</definedName>
    <definedName name="slabconPerimeter" localSheetId="1">#REF!</definedName>
    <definedName name="slabconPerimeter" localSheetId="3">#REF!</definedName>
    <definedName name="slabconPerimeter">#REF!</definedName>
    <definedName name="SlabD" localSheetId="7">#REF!</definedName>
    <definedName name="SlabD" localSheetId="1">#REF!</definedName>
    <definedName name="SlabD" localSheetId="3">#REF!</definedName>
    <definedName name="SlabD">#REF!</definedName>
    <definedName name="SlabPerimeter" localSheetId="7">#REF!</definedName>
    <definedName name="SlabPerimeter" localSheetId="1">#REF!</definedName>
    <definedName name="SlabPerimeter" localSheetId="3">#REF!</definedName>
    <definedName name="SlabPerimeter">#REF!</definedName>
    <definedName name="SLOPE" localSheetId="2">#REF!</definedName>
    <definedName name="smmmm12" localSheetId="2">#REF!</definedName>
    <definedName name="smx" localSheetId="2">#REF!</definedName>
    <definedName name="sN" localSheetId="7">#REF!</definedName>
    <definedName name="sN" localSheetId="1">#REF!</definedName>
    <definedName name="sN" localSheetId="3">#REF!</definedName>
    <definedName name="sN">#REF!</definedName>
    <definedName name="SO" localSheetId="7">#REF!</definedName>
    <definedName name="SO" localSheetId="1">#REF!</definedName>
    <definedName name="SO" localSheetId="3">#REF!</definedName>
    <definedName name="SO">#REF!</definedName>
    <definedName name="soasia" localSheetId="7" hidden="1">#REF!</definedName>
    <definedName name="soasia" localSheetId="1" hidden="1">#REF!</definedName>
    <definedName name="soasia" localSheetId="3" hidden="1">#REF!</definedName>
    <definedName name="soasia" hidden="1">#REF!</definedName>
    <definedName name="Society" localSheetId="7">#REF!</definedName>
    <definedName name="Society" localSheetId="1">#REF!</definedName>
    <definedName name="Society" localSheetId="3">#REF!</definedName>
    <definedName name="Society">#REF!</definedName>
    <definedName name="SOFITEL" localSheetId="7">#REF!</definedName>
    <definedName name="SOFITEL" localSheetId="1">#REF!</definedName>
    <definedName name="SOFITEL" localSheetId="3">#REF!</definedName>
    <definedName name="SOFITEL">#REF!</definedName>
    <definedName name="soh">0%</definedName>
    <definedName name="SoilProfile" localSheetId="7">#REF!</definedName>
    <definedName name="SoilProfile" localSheetId="1">#REF!</definedName>
    <definedName name="SoilProfile" localSheetId="3">#REF!</definedName>
    <definedName name="SoilProfile">#REF!</definedName>
    <definedName name="SOLVENT" localSheetId="7">#REF!</definedName>
    <definedName name="SOLVENT" localSheetId="1">#REF!</definedName>
    <definedName name="SOLVENT" localSheetId="3">#REF!</definedName>
    <definedName name="SOLVENT">#REF!</definedName>
    <definedName name="solvents" localSheetId="7">#REF!</definedName>
    <definedName name="solvents" localSheetId="1">#REF!</definedName>
    <definedName name="solvents" localSheetId="3">#REF!</definedName>
    <definedName name="solvents">#REF!</definedName>
    <definedName name="sone" localSheetId="7">#REF!</definedName>
    <definedName name="sone" localSheetId="1">#REF!</definedName>
    <definedName name="sone" localSheetId="3">#REF!</definedName>
    <definedName name="sone">#REF!</definedName>
    <definedName name="soo" localSheetId="7" hidden="1">#REF!</definedName>
    <definedName name="soo" localSheetId="1" hidden="1">#REF!</definedName>
    <definedName name="soo" localSheetId="3" hidden="1">#REF!</definedName>
    <definedName name="soo" hidden="1">#REF!</definedName>
    <definedName name="Space_Heating" localSheetId="7">#REF!</definedName>
    <definedName name="Space_Heating" localSheetId="1">#REF!</definedName>
    <definedName name="Space_Heating" localSheetId="3">#REF!</definedName>
    <definedName name="Space_Heating">#REF!</definedName>
    <definedName name="Spalls" localSheetId="7">#REF!</definedName>
    <definedName name="Spalls" localSheetId="1">#REF!</definedName>
    <definedName name="Spalls" localSheetId="3">#REF!</definedName>
    <definedName name="Spalls">#REF!</definedName>
    <definedName name="span" localSheetId="7">#REF!</definedName>
    <definedName name="span" localSheetId="1">#REF!</definedName>
    <definedName name="span" localSheetId="3">#REF!</definedName>
    <definedName name="span">#REF!</definedName>
    <definedName name="spares" localSheetId="7">#REF!</definedName>
    <definedName name="spares" localSheetId="1">#REF!</definedName>
    <definedName name="spares" localSheetId="3">#REF!</definedName>
    <definedName name="spares">#REF!</definedName>
    <definedName name="Spaver" localSheetId="7">#REF!</definedName>
    <definedName name="Spaver" localSheetId="1">#REF!</definedName>
    <definedName name="Spaver" localSheetId="3">#REF!</definedName>
    <definedName name="Spaver">#REF!</definedName>
    <definedName name="Special_Equipment" localSheetId="7">#REF!</definedName>
    <definedName name="Special_Equipment" localSheetId="1">#REF!</definedName>
    <definedName name="Special_Equipment" localSheetId="3">#REF!</definedName>
    <definedName name="Special_Equipment">#REF!</definedName>
    <definedName name="Special_Services" localSheetId="7">#REF!</definedName>
    <definedName name="Special_Services" localSheetId="1">#REF!</definedName>
    <definedName name="Special_Services" localSheetId="3">#REF!</definedName>
    <definedName name="Special_Services">#REF!</definedName>
    <definedName name="SpecialPrice" localSheetId="7" hidden="1">#REF!</definedName>
    <definedName name="SpecialPrice" localSheetId="1" hidden="1">#REF!</definedName>
    <definedName name="SpecialPrice" localSheetId="3" hidden="1">#REF!</definedName>
    <definedName name="SpecialPrice" hidden="1">#REF!</definedName>
    <definedName name="SPR" localSheetId="7">#REF!</definedName>
    <definedName name="SPR" localSheetId="1">#REF!</definedName>
    <definedName name="SPR" localSheetId="3">#REF!</definedName>
    <definedName name="SPR">#REF!</definedName>
    <definedName name="sprare" localSheetId="7">#REF!</definedName>
    <definedName name="sprare" localSheetId="1">#REF!</definedName>
    <definedName name="sprare" localSheetId="3">#REF!</definedName>
    <definedName name="sprare">#REF!</definedName>
    <definedName name="spsl" localSheetId="5">DATE(YEAR(Loan_Start),MONTH(Loan_Start)+Payment_Number,DAY(Loan_Start))</definedName>
    <definedName name="spsl" localSheetId="2">DATE(YEAR(Loan_Start),MONTH(Loan_Start)+Payment_Number,DAY(Loan_Start))</definedName>
    <definedName name="SQRT__1___0.6___1.0" localSheetId="2">#REF!</definedName>
    <definedName name="SQRT__1___0_6___1_0" localSheetId="2">#REF!</definedName>
    <definedName name="SQRT__1___0_6___1_0___0" localSheetId="2">#REF!</definedName>
    <definedName name="srtthyrt" localSheetId="5" hidden="1">{#N/A,#N/A,TRUE,"Front";#N/A,#N/A,TRUE,"Simple Letter";#N/A,#N/A,TRUE,"Inside";#N/A,#N/A,TRUE,"Contents";#N/A,#N/A,TRUE,"Basis";#N/A,#N/A,TRUE,"Inclusions";#N/A,#N/A,TRUE,"Exclusions";#N/A,#N/A,TRUE,"Areas";#N/A,#N/A,TRUE,"Summary";#N/A,#N/A,TRUE,"Detail"}</definedName>
    <definedName name="srtthyrt" localSheetId="2" hidden="1">{#N/A,#N/A,TRUE,"Front";#N/A,#N/A,TRUE,"Simple Letter";#N/A,#N/A,TRUE,"Inside";#N/A,#N/A,TRUE,"Contents";#N/A,#N/A,TRUE,"Basis";#N/A,#N/A,TRUE,"Inclusions";#N/A,#N/A,TRUE,"Exclusions";#N/A,#N/A,TRUE,"Areas";#N/A,#N/A,TRUE,"Summary";#N/A,#N/A,TRUE,"Detail"}</definedName>
    <definedName name="srtthyrt_1" localSheetId="5" hidden="1">{#N/A,#N/A,TRUE,"Front";#N/A,#N/A,TRUE,"Simple Letter";#N/A,#N/A,TRUE,"Inside";#N/A,#N/A,TRUE,"Contents";#N/A,#N/A,TRUE,"Basis";#N/A,#N/A,TRUE,"Inclusions";#N/A,#N/A,TRUE,"Exclusions";#N/A,#N/A,TRUE,"Areas";#N/A,#N/A,TRUE,"Summary";#N/A,#N/A,TRUE,"Detail"}</definedName>
    <definedName name="srtthyrt_1" localSheetId="2" hidden="1">{#N/A,#N/A,TRUE,"Front";#N/A,#N/A,TRUE,"Simple Letter";#N/A,#N/A,TRUE,"Inside";#N/A,#N/A,TRUE,"Contents";#N/A,#N/A,TRUE,"Basis";#N/A,#N/A,TRUE,"Inclusions";#N/A,#N/A,TRUE,"Exclusions";#N/A,#N/A,TRUE,"Areas";#N/A,#N/A,TRUE,"Summary";#N/A,#N/A,TRUE,"Detail"}</definedName>
    <definedName name="srtthyrt_1_1" localSheetId="5" hidden="1">{#N/A,#N/A,TRUE,"Front";#N/A,#N/A,TRUE,"Simple Letter";#N/A,#N/A,TRUE,"Inside";#N/A,#N/A,TRUE,"Contents";#N/A,#N/A,TRUE,"Basis";#N/A,#N/A,TRUE,"Inclusions";#N/A,#N/A,TRUE,"Exclusions";#N/A,#N/A,TRUE,"Areas";#N/A,#N/A,TRUE,"Summary";#N/A,#N/A,TRUE,"Detail"}</definedName>
    <definedName name="srtthyrt_1_1" localSheetId="2" hidden="1">{#N/A,#N/A,TRUE,"Front";#N/A,#N/A,TRUE,"Simple Letter";#N/A,#N/A,TRUE,"Inside";#N/A,#N/A,TRUE,"Contents";#N/A,#N/A,TRUE,"Basis";#N/A,#N/A,TRUE,"Inclusions";#N/A,#N/A,TRUE,"Exclusions";#N/A,#N/A,TRUE,"Areas";#N/A,#N/A,TRUE,"Summary";#N/A,#N/A,TRUE,"Detail"}</definedName>
    <definedName name="srtthyrt_1_2" localSheetId="5" hidden="1">{#N/A,#N/A,TRUE,"Front";#N/A,#N/A,TRUE,"Simple Letter";#N/A,#N/A,TRUE,"Inside";#N/A,#N/A,TRUE,"Contents";#N/A,#N/A,TRUE,"Basis";#N/A,#N/A,TRUE,"Inclusions";#N/A,#N/A,TRUE,"Exclusions";#N/A,#N/A,TRUE,"Areas";#N/A,#N/A,TRUE,"Summary";#N/A,#N/A,TRUE,"Detail"}</definedName>
    <definedName name="srtthyrt_1_2" localSheetId="2" hidden="1">{#N/A,#N/A,TRUE,"Front";#N/A,#N/A,TRUE,"Simple Letter";#N/A,#N/A,TRUE,"Inside";#N/A,#N/A,TRUE,"Contents";#N/A,#N/A,TRUE,"Basis";#N/A,#N/A,TRUE,"Inclusions";#N/A,#N/A,TRUE,"Exclusions";#N/A,#N/A,TRUE,"Areas";#N/A,#N/A,TRUE,"Summary";#N/A,#N/A,TRUE,"Detail"}</definedName>
    <definedName name="srtthyrt_2" localSheetId="5" hidden="1">{#N/A,#N/A,TRUE,"Front";#N/A,#N/A,TRUE,"Simple Letter";#N/A,#N/A,TRUE,"Inside";#N/A,#N/A,TRUE,"Contents";#N/A,#N/A,TRUE,"Basis";#N/A,#N/A,TRUE,"Inclusions";#N/A,#N/A,TRUE,"Exclusions";#N/A,#N/A,TRUE,"Areas";#N/A,#N/A,TRUE,"Summary";#N/A,#N/A,TRUE,"Detail"}</definedName>
    <definedName name="srtthyrt_2" localSheetId="2" hidden="1">{#N/A,#N/A,TRUE,"Front";#N/A,#N/A,TRUE,"Simple Letter";#N/A,#N/A,TRUE,"Inside";#N/A,#N/A,TRUE,"Contents";#N/A,#N/A,TRUE,"Basis";#N/A,#N/A,TRUE,"Inclusions";#N/A,#N/A,TRUE,"Exclusions";#N/A,#N/A,TRUE,"Areas";#N/A,#N/A,TRUE,"Summary";#N/A,#N/A,TRUE,"Detail"}</definedName>
    <definedName name="srtthyrt_2_1" localSheetId="5" hidden="1">{#N/A,#N/A,TRUE,"Front";#N/A,#N/A,TRUE,"Simple Letter";#N/A,#N/A,TRUE,"Inside";#N/A,#N/A,TRUE,"Contents";#N/A,#N/A,TRUE,"Basis";#N/A,#N/A,TRUE,"Inclusions";#N/A,#N/A,TRUE,"Exclusions";#N/A,#N/A,TRUE,"Areas";#N/A,#N/A,TRUE,"Summary";#N/A,#N/A,TRUE,"Detail"}</definedName>
    <definedName name="srtthyrt_2_1" localSheetId="2" hidden="1">{#N/A,#N/A,TRUE,"Front";#N/A,#N/A,TRUE,"Simple Letter";#N/A,#N/A,TRUE,"Inside";#N/A,#N/A,TRUE,"Contents";#N/A,#N/A,TRUE,"Basis";#N/A,#N/A,TRUE,"Inclusions";#N/A,#N/A,TRUE,"Exclusions";#N/A,#N/A,TRUE,"Areas";#N/A,#N/A,TRUE,"Summary";#N/A,#N/A,TRUE,"Detail"}</definedName>
    <definedName name="srtthyrt_3" localSheetId="5" hidden="1">{#N/A,#N/A,TRUE,"Front";#N/A,#N/A,TRUE,"Simple Letter";#N/A,#N/A,TRUE,"Inside";#N/A,#N/A,TRUE,"Contents";#N/A,#N/A,TRUE,"Basis";#N/A,#N/A,TRUE,"Inclusions";#N/A,#N/A,TRUE,"Exclusions";#N/A,#N/A,TRUE,"Areas";#N/A,#N/A,TRUE,"Summary";#N/A,#N/A,TRUE,"Detail"}</definedName>
    <definedName name="srtthyrt_3" localSheetId="2" hidden="1">{#N/A,#N/A,TRUE,"Front";#N/A,#N/A,TRUE,"Simple Letter";#N/A,#N/A,TRUE,"Inside";#N/A,#N/A,TRUE,"Contents";#N/A,#N/A,TRUE,"Basis";#N/A,#N/A,TRUE,"Inclusions";#N/A,#N/A,TRUE,"Exclusions";#N/A,#N/A,TRUE,"Areas";#N/A,#N/A,TRUE,"Summary";#N/A,#N/A,TRUE,"Detail"}</definedName>
    <definedName name="srtthyrt_4" localSheetId="5" hidden="1">{#N/A,#N/A,TRUE,"Front";#N/A,#N/A,TRUE,"Simple Letter";#N/A,#N/A,TRUE,"Inside";#N/A,#N/A,TRUE,"Contents";#N/A,#N/A,TRUE,"Basis";#N/A,#N/A,TRUE,"Inclusions";#N/A,#N/A,TRUE,"Exclusions";#N/A,#N/A,TRUE,"Areas";#N/A,#N/A,TRUE,"Summary";#N/A,#N/A,TRUE,"Detail"}</definedName>
    <definedName name="srtthyrt_4" localSheetId="2" hidden="1">{#N/A,#N/A,TRUE,"Front";#N/A,#N/A,TRUE,"Simple Letter";#N/A,#N/A,TRUE,"Inside";#N/A,#N/A,TRUE,"Contents";#N/A,#N/A,TRUE,"Basis";#N/A,#N/A,TRUE,"Inclusions";#N/A,#N/A,TRUE,"Exclusions";#N/A,#N/A,TRUE,"Areas";#N/A,#N/A,TRUE,"Summary";#N/A,#N/A,TRUE,"Detail"}</definedName>
    <definedName name="Ssec1" localSheetId="7">#REF!</definedName>
    <definedName name="Ssec1" localSheetId="1">#REF!</definedName>
    <definedName name="Ssec1" localSheetId="3">#REF!</definedName>
    <definedName name="Ssec1">#REF!</definedName>
    <definedName name="ssec12" localSheetId="7">#REF!</definedName>
    <definedName name="ssec12" localSheetId="1">#REF!</definedName>
    <definedName name="ssec12" localSheetId="3">#REF!</definedName>
    <definedName name="ssec12">#REF!</definedName>
    <definedName name="SSEC13" localSheetId="7">#REF!</definedName>
    <definedName name="SSEC13" localSheetId="1">#REF!</definedName>
    <definedName name="SSEC13" localSheetId="3">#REF!</definedName>
    <definedName name="SSEC13">#REF!</definedName>
    <definedName name="Ssec2" localSheetId="7">#REF!</definedName>
    <definedName name="Ssec2" localSheetId="1">#REF!</definedName>
    <definedName name="Ssec2" localSheetId="3">#REF!</definedName>
    <definedName name="Ssec2">#REF!</definedName>
    <definedName name="ssec22" localSheetId="7">#REF!</definedName>
    <definedName name="ssec22" localSheetId="1">#REF!</definedName>
    <definedName name="ssec22" localSheetId="3">#REF!</definedName>
    <definedName name="ssec22">#REF!</definedName>
    <definedName name="SSEC23" localSheetId="7">#REF!</definedName>
    <definedName name="SSEC23" localSheetId="1">#REF!</definedName>
    <definedName name="SSEC23" localSheetId="3">#REF!</definedName>
    <definedName name="SSEC23">#REF!</definedName>
    <definedName name="Ssec3" localSheetId="7">#REF!</definedName>
    <definedName name="Ssec3" localSheetId="1">#REF!</definedName>
    <definedName name="Ssec3" localSheetId="3">#REF!</definedName>
    <definedName name="Ssec3">#REF!</definedName>
    <definedName name="ssec34" localSheetId="7">#REF!</definedName>
    <definedName name="ssec34" localSheetId="1">#REF!</definedName>
    <definedName name="ssec34" localSheetId="3">#REF!</definedName>
    <definedName name="ssec34">#REF!</definedName>
    <definedName name="SSEC35" localSheetId="7">#REF!</definedName>
    <definedName name="SSEC35" localSheetId="1">#REF!</definedName>
    <definedName name="SSEC35" localSheetId="3">#REF!</definedName>
    <definedName name="SSEC35">#REF!</definedName>
    <definedName name="Ssec4" localSheetId="7">#REF!</definedName>
    <definedName name="Ssec4" localSheetId="1">#REF!</definedName>
    <definedName name="Ssec4" localSheetId="3">#REF!</definedName>
    <definedName name="Ssec4">#REF!</definedName>
    <definedName name="SSEC43" localSheetId="7">#REF!</definedName>
    <definedName name="SSEC43" localSheetId="1">#REF!</definedName>
    <definedName name="SSEC43" localSheetId="3">#REF!</definedName>
    <definedName name="SSEC43">#REF!</definedName>
    <definedName name="ssec45" localSheetId="7">#REF!</definedName>
    <definedName name="ssec45" localSheetId="1">#REF!</definedName>
    <definedName name="ssec45" localSheetId="3">#REF!</definedName>
    <definedName name="ssec45">#REF!</definedName>
    <definedName name="Ssec5" localSheetId="7">#REF!</definedName>
    <definedName name="Ssec5" localSheetId="1">#REF!</definedName>
    <definedName name="Ssec5" localSheetId="3">#REF!</definedName>
    <definedName name="Ssec5">#REF!</definedName>
    <definedName name="SSEC54" localSheetId="7">#REF!</definedName>
    <definedName name="SSEC54" localSheetId="1">#REF!</definedName>
    <definedName name="SSEC54" localSheetId="3">#REF!</definedName>
    <definedName name="SSEC54">#REF!</definedName>
    <definedName name="ssec55" localSheetId="7">#REF!</definedName>
    <definedName name="ssec55" localSheetId="1">#REF!</definedName>
    <definedName name="ssec55" localSheetId="3">#REF!</definedName>
    <definedName name="ssec55">#REF!</definedName>
    <definedName name="Ssec6" localSheetId="7">#REF!</definedName>
    <definedName name="Ssec6" localSheetId="1">#REF!</definedName>
    <definedName name="Ssec6" localSheetId="3">#REF!</definedName>
    <definedName name="Ssec6">#REF!</definedName>
    <definedName name="SSEC65" localSheetId="7">#REF!</definedName>
    <definedName name="SSEC65" localSheetId="1">#REF!</definedName>
    <definedName name="SSEC65" localSheetId="3">#REF!</definedName>
    <definedName name="SSEC65">#REF!</definedName>
    <definedName name="ssec66" localSheetId="7">#REF!</definedName>
    <definedName name="ssec66" localSheetId="1">#REF!</definedName>
    <definedName name="ssec66" localSheetId="3">#REF!</definedName>
    <definedName name="ssec66">#REF!</definedName>
    <definedName name="ssemulsion" localSheetId="7">#REF!</definedName>
    <definedName name="ssemulsion" localSheetId="1">#REF!</definedName>
    <definedName name="ssemulsion" localSheetId="3">#REF!</definedName>
    <definedName name="ssemulsion">#REF!</definedName>
    <definedName name="ssl" localSheetId="7">#REF!</definedName>
    <definedName name="ssl" localSheetId="1">#REF!</definedName>
    <definedName name="ssl" localSheetId="3">#REF!</definedName>
    <definedName name="ssl">#REF!</definedName>
    <definedName name="sssss"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ssss" localSheetId="5" hidden="1">{"form-D1",#N/A,FALSE,"FORM-D1";"form-D1_amt",#N/A,FALSE,"FORM-D1"}</definedName>
    <definedName name="sssssssss" localSheetId="2" hidden="1">{"form-D1",#N/A,FALSE,"FORM-D1";"form-D1_amt",#N/A,FALSE,"FORM-D1"}</definedName>
    <definedName name="sssssssss_1" localSheetId="5" hidden="1">{"form-D1",#N/A,FALSE,"FORM-D1";"form-D1_amt",#N/A,FALSE,"FORM-D1"}</definedName>
    <definedName name="sssssssss_1" localSheetId="2" hidden="1">{"form-D1",#N/A,FALSE,"FORM-D1";"form-D1_amt",#N/A,FALSE,"FORM-D1"}</definedName>
    <definedName name="sssssssss_1_1" localSheetId="5" hidden="1">{"form-D1",#N/A,FALSE,"FORM-D1";"form-D1_amt",#N/A,FALSE,"FORM-D1"}</definedName>
    <definedName name="sssssssss_1_1" localSheetId="2" hidden="1">{"form-D1",#N/A,FALSE,"FORM-D1";"form-D1_amt",#N/A,FALSE,"FORM-D1"}</definedName>
    <definedName name="sssssssss_1_2" localSheetId="5" hidden="1">{"form-D1",#N/A,FALSE,"FORM-D1";"form-D1_amt",#N/A,FALSE,"FORM-D1"}</definedName>
    <definedName name="sssssssss_1_2" localSheetId="2" hidden="1">{"form-D1",#N/A,FALSE,"FORM-D1";"form-D1_amt",#N/A,FALSE,"FORM-D1"}</definedName>
    <definedName name="sssssssss_2" localSheetId="5" hidden="1">{"form-D1",#N/A,FALSE,"FORM-D1";"form-D1_amt",#N/A,FALSE,"FORM-D1"}</definedName>
    <definedName name="sssssssss_2" localSheetId="2" hidden="1">{"form-D1",#N/A,FALSE,"FORM-D1";"form-D1_amt",#N/A,FALSE,"FORM-D1"}</definedName>
    <definedName name="sssssssss_2_1" localSheetId="5" hidden="1">{"form-D1",#N/A,FALSE,"FORM-D1";"form-D1_amt",#N/A,FALSE,"FORM-D1"}</definedName>
    <definedName name="sssssssss_2_1" localSheetId="2" hidden="1">{"form-D1",#N/A,FALSE,"FORM-D1";"form-D1_amt",#N/A,FALSE,"FORM-D1"}</definedName>
    <definedName name="sssssssss_3" localSheetId="5" hidden="1">{"form-D1",#N/A,FALSE,"FORM-D1";"form-D1_amt",#N/A,FALSE,"FORM-D1"}</definedName>
    <definedName name="sssssssss_3" localSheetId="2" hidden="1">{"form-D1",#N/A,FALSE,"FORM-D1";"form-D1_amt",#N/A,FALSE,"FORM-D1"}</definedName>
    <definedName name="sssssssss_3_1" localSheetId="5" hidden="1">{"form-D1",#N/A,FALSE,"FORM-D1";"form-D1_amt",#N/A,FALSE,"FORM-D1"}</definedName>
    <definedName name="sssssssss_3_1" localSheetId="2" hidden="1">{"form-D1",#N/A,FALSE,"FORM-D1";"form-D1_amt",#N/A,FALSE,"FORM-D1"}</definedName>
    <definedName name="sssssssss_4" localSheetId="5" hidden="1">{"form-D1",#N/A,FALSE,"FORM-D1";"form-D1_amt",#N/A,FALSE,"FORM-D1"}</definedName>
    <definedName name="sssssssss_4" localSheetId="2" hidden="1">{"form-D1",#N/A,FALSE,"FORM-D1";"form-D1_amt",#N/A,FALSE,"FORM-D1"}</definedName>
    <definedName name="sssssssss_4_1" localSheetId="5" hidden="1">{"form-D1",#N/A,FALSE,"FORM-D1";"form-D1_amt",#N/A,FALSE,"FORM-D1"}</definedName>
    <definedName name="sssssssss_4_1" localSheetId="2" hidden="1">{"form-D1",#N/A,FALSE,"FORM-D1";"form-D1_amt",#N/A,FALSE,"FORM-D1"}</definedName>
    <definedName name="sssssssss_5" localSheetId="5" hidden="1">{"form-D1",#N/A,FALSE,"FORM-D1";"form-D1_amt",#N/A,FALSE,"FORM-D1"}</definedName>
    <definedName name="sssssssss_5" localSheetId="2" hidden="1">{"form-D1",#N/A,FALSE,"FORM-D1";"form-D1_amt",#N/A,FALSE,"FORM-D1"}</definedName>
    <definedName name="sssssssss_5_1" localSheetId="5" hidden="1">{"form-D1",#N/A,FALSE,"FORM-D1";"form-D1_amt",#N/A,FALSE,"FORM-D1"}</definedName>
    <definedName name="sssssssss_5_1" localSheetId="2" hidden="1">{"form-D1",#N/A,FALSE,"FORM-D1";"form-D1_amt",#N/A,FALSE,"FORM-D1"}</definedName>
    <definedName name="ssssssssssss" localSheetId="7">#REF!</definedName>
    <definedName name="ssssssssssss" localSheetId="1">#REF!</definedName>
    <definedName name="ssssssssssss" localSheetId="3">#REF!</definedName>
    <definedName name="ssssssssssss">#REF!</definedName>
    <definedName name="sssssssssssss" localSheetId="5" hidden="1">{"form-D1",#N/A,FALSE,"FORM-D1";"form-D1_amt",#N/A,FALSE,"FORM-D1"}</definedName>
    <definedName name="sssssssssssss" localSheetId="2" hidden="1">{"form-D1",#N/A,FALSE,"FORM-D1";"form-D1_amt",#N/A,FALSE,"FORM-D1"}</definedName>
    <definedName name="sssssssssssss_1" localSheetId="5" hidden="1">{"form-D1",#N/A,FALSE,"FORM-D1";"form-D1_amt",#N/A,FALSE,"FORM-D1"}</definedName>
    <definedName name="sssssssssssss_1" localSheetId="2" hidden="1">{"form-D1",#N/A,FALSE,"FORM-D1";"form-D1_amt",#N/A,FALSE,"FORM-D1"}</definedName>
    <definedName name="sssssssssssss_1_1" localSheetId="5" hidden="1">{"form-D1",#N/A,FALSE,"FORM-D1";"form-D1_amt",#N/A,FALSE,"FORM-D1"}</definedName>
    <definedName name="sssssssssssss_1_1" localSheetId="2" hidden="1">{"form-D1",#N/A,FALSE,"FORM-D1";"form-D1_amt",#N/A,FALSE,"FORM-D1"}</definedName>
    <definedName name="sssssssssssss_1_2" localSheetId="5" hidden="1">{"form-D1",#N/A,FALSE,"FORM-D1";"form-D1_amt",#N/A,FALSE,"FORM-D1"}</definedName>
    <definedName name="sssssssssssss_1_2" localSheetId="2" hidden="1">{"form-D1",#N/A,FALSE,"FORM-D1";"form-D1_amt",#N/A,FALSE,"FORM-D1"}</definedName>
    <definedName name="sssssssssssss_2" localSheetId="5" hidden="1">{"form-D1",#N/A,FALSE,"FORM-D1";"form-D1_amt",#N/A,FALSE,"FORM-D1"}</definedName>
    <definedName name="sssssssssssss_2" localSheetId="2" hidden="1">{"form-D1",#N/A,FALSE,"FORM-D1";"form-D1_amt",#N/A,FALSE,"FORM-D1"}</definedName>
    <definedName name="sssssssssssss_2_1" localSheetId="5" hidden="1">{"form-D1",#N/A,FALSE,"FORM-D1";"form-D1_amt",#N/A,FALSE,"FORM-D1"}</definedName>
    <definedName name="sssssssssssss_2_1" localSheetId="2" hidden="1">{"form-D1",#N/A,FALSE,"FORM-D1";"form-D1_amt",#N/A,FALSE,"FORM-D1"}</definedName>
    <definedName name="sssssssssssss_3" localSheetId="5" hidden="1">{"form-D1",#N/A,FALSE,"FORM-D1";"form-D1_amt",#N/A,FALSE,"FORM-D1"}</definedName>
    <definedName name="sssssssssssss_3" localSheetId="2" hidden="1">{"form-D1",#N/A,FALSE,"FORM-D1";"form-D1_amt",#N/A,FALSE,"FORM-D1"}</definedName>
    <definedName name="sssssssssssss_3_1" localSheetId="5" hidden="1">{"form-D1",#N/A,FALSE,"FORM-D1";"form-D1_amt",#N/A,FALSE,"FORM-D1"}</definedName>
    <definedName name="sssssssssssss_3_1" localSheetId="2" hidden="1">{"form-D1",#N/A,FALSE,"FORM-D1";"form-D1_amt",#N/A,FALSE,"FORM-D1"}</definedName>
    <definedName name="sssssssssssss_4" localSheetId="5" hidden="1">{"form-D1",#N/A,FALSE,"FORM-D1";"form-D1_amt",#N/A,FALSE,"FORM-D1"}</definedName>
    <definedName name="sssssssssssss_4" localSheetId="2" hidden="1">{"form-D1",#N/A,FALSE,"FORM-D1";"form-D1_amt",#N/A,FALSE,"FORM-D1"}</definedName>
    <definedName name="sssssssssssss_4_1" localSheetId="5" hidden="1">{"form-D1",#N/A,FALSE,"FORM-D1";"form-D1_amt",#N/A,FALSE,"FORM-D1"}</definedName>
    <definedName name="sssssssssssss_4_1" localSheetId="2" hidden="1">{"form-D1",#N/A,FALSE,"FORM-D1";"form-D1_amt",#N/A,FALSE,"FORM-D1"}</definedName>
    <definedName name="sssssssssssss_5" localSheetId="5" hidden="1">{"form-D1",#N/A,FALSE,"FORM-D1";"form-D1_amt",#N/A,FALSE,"FORM-D1"}</definedName>
    <definedName name="sssssssssssss_5" localSheetId="2" hidden="1">{"form-D1",#N/A,FALSE,"FORM-D1";"form-D1_amt",#N/A,FALSE,"FORM-D1"}</definedName>
    <definedName name="sssssssssssss_5_1" localSheetId="5" hidden="1">{"form-D1",#N/A,FALSE,"FORM-D1";"form-D1_amt",#N/A,FALSE,"FORM-D1"}</definedName>
    <definedName name="sssssssssssss_5_1" localSheetId="2" hidden="1">{"form-D1",#N/A,FALSE,"FORM-D1";"form-D1_amt",#N/A,FALSE,"FORM-D1"}</definedName>
    <definedName name="sssssssssssssas" localSheetId="5" hidden="1">{"form-D1",#N/A,FALSE,"FORM-D1";"form-D1_amt",#N/A,FALSE,"FORM-D1"}</definedName>
    <definedName name="sssssssssssssas" localSheetId="2" hidden="1">{"form-D1",#N/A,FALSE,"FORM-D1";"form-D1_amt",#N/A,FALSE,"FORM-D1"}</definedName>
    <definedName name="sssssssssssssas_1" localSheetId="5" hidden="1">{"form-D1",#N/A,FALSE,"FORM-D1";"form-D1_amt",#N/A,FALSE,"FORM-D1"}</definedName>
    <definedName name="sssssssssssssas_1" localSheetId="2" hidden="1">{"form-D1",#N/A,FALSE,"FORM-D1";"form-D1_amt",#N/A,FALSE,"FORM-D1"}</definedName>
    <definedName name="sssssssssssssas_1_1" localSheetId="5" hidden="1">{"form-D1",#N/A,FALSE,"FORM-D1";"form-D1_amt",#N/A,FALSE,"FORM-D1"}</definedName>
    <definedName name="sssssssssssssas_1_1" localSheetId="2" hidden="1">{"form-D1",#N/A,FALSE,"FORM-D1";"form-D1_amt",#N/A,FALSE,"FORM-D1"}</definedName>
    <definedName name="sssssssssssssas_1_2" localSheetId="5" hidden="1">{"form-D1",#N/A,FALSE,"FORM-D1";"form-D1_amt",#N/A,FALSE,"FORM-D1"}</definedName>
    <definedName name="sssssssssssssas_1_2" localSheetId="2" hidden="1">{"form-D1",#N/A,FALSE,"FORM-D1";"form-D1_amt",#N/A,FALSE,"FORM-D1"}</definedName>
    <definedName name="sssssssssssssas_2" localSheetId="5" hidden="1">{"form-D1",#N/A,FALSE,"FORM-D1";"form-D1_amt",#N/A,FALSE,"FORM-D1"}</definedName>
    <definedName name="sssssssssssssas_2" localSheetId="2" hidden="1">{"form-D1",#N/A,FALSE,"FORM-D1";"form-D1_amt",#N/A,FALSE,"FORM-D1"}</definedName>
    <definedName name="sssssssssssssas_2_1" localSheetId="5" hidden="1">{"form-D1",#N/A,FALSE,"FORM-D1";"form-D1_amt",#N/A,FALSE,"FORM-D1"}</definedName>
    <definedName name="sssssssssssssas_2_1" localSheetId="2" hidden="1">{"form-D1",#N/A,FALSE,"FORM-D1";"form-D1_amt",#N/A,FALSE,"FORM-D1"}</definedName>
    <definedName name="sssssssssssssas_3" localSheetId="5" hidden="1">{"form-D1",#N/A,FALSE,"FORM-D1";"form-D1_amt",#N/A,FALSE,"FORM-D1"}</definedName>
    <definedName name="sssssssssssssas_3" localSheetId="2" hidden="1">{"form-D1",#N/A,FALSE,"FORM-D1";"form-D1_amt",#N/A,FALSE,"FORM-D1"}</definedName>
    <definedName name="sssssssssssssas_3_1" localSheetId="5" hidden="1">{"form-D1",#N/A,FALSE,"FORM-D1";"form-D1_amt",#N/A,FALSE,"FORM-D1"}</definedName>
    <definedName name="sssssssssssssas_3_1" localSheetId="2" hidden="1">{"form-D1",#N/A,FALSE,"FORM-D1";"form-D1_amt",#N/A,FALSE,"FORM-D1"}</definedName>
    <definedName name="sssssssssssssas_4" localSheetId="5" hidden="1">{"form-D1",#N/A,FALSE,"FORM-D1";"form-D1_amt",#N/A,FALSE,"FORM-D1"}</definedName>
    <definedName name="sssssssssssssas_4" localSheetId="2" hidden="1">{"form-D1",#N/A,FALSE,"FORM-D1";"form-D1_amt",#N/A,FALSE,"FORM-D1"}</definedName>
    <definedName name="sssssssssssssas_4_1" localSheetId="5" hidden="1">{"form-D1",#N/A,FALSE,"FORM-D1";"form-D1_amt",#N/A,FALSE,"FORM-D1"}</definedName>
    <definedName name="sssssssssssssas_4_1" localSheetId="2" hidden="1">{"form-D1",#N/A,FALSE,"FORM-D1";"form-D1_amt",#N/A,FALSE,"FORM-D1"}</definedName>
    <definedName name="sssssssssssssas_5" localSheetId="5" hidden="1">{"form-D1",#N/A,FALSE,"FORM-D1";"form-D1_amt",#N/A,FALSE,"FORM-D1"}</definedName>
    <definedName name="sssssssssssssas_5" localSheetId="2" hidden="1">{"form-D1",#N/A,FALSE,"FORM-D1";"form-D1_amt",#N/A,FALSE,"FORM-D1"}</definedName>
    <definedName name="sssssssssssssas_5_1" localSheetId="5" hidden="1">{"form-D1",#N/A,FALSE,"FORM-D1";"form-D1_amt",#N/A,FALSE,"FORM-D1"}</definedName>
    <definedName name="sssssssssssssas_5_1" localSheetId="2" hidden="1">{"form-D1",#N/A,FALSE,"FORM-D1";"form-D1_amt",#N/A,FALSE,"FORM-D1"}</definedName>
    <definedName name="sstype3drop" localSheetId="7">#REF!</definedName>
    <definedName name="sstype3drop" localSheetId="1">#REF!</definedName>
    <definedName name="sstype3drop" localSheetId="3">#REF!</definedName>
    <definedName name="sstype3drop">#REF!</definedName>
    <definedName name="SSTYPE3DROP1" localSheetId="7">#REF!</definedName>
    <definedName name="SSTYPE3DROP1" localSheetId="1">#REF!</definedName>
    <definedName name="SSTYPE3DROP1" localSheetId="3">#REF!</definedName>
    <definedName name="SSTYPE3DROP1">#REF!</definedName>
    <definedName name="sstype3drop2" localSheetId="7">#REF!</definedName>
    <definedName name="sstype3drop2" localSheetId="1">#REF!</definedName>
    <definedName name="sstype3drop2" localSheetId="3">#REF!</definedName>
    <definedName name="sstype3drop2">#REF!</definedName>
    <definedName name="SSTYPE3DROP3" localSheetId="7">#REF!</definedName>
    <definedName name="SSTYPE3DROP3" localSheetId="1">#REF!</definedName>
    <definedName name="SSTYPE3DROP3" localSheetId="3">#REF!</definedName>
    <definedName name="SSTYPE3DROP3">#REF!</definedName>
    <definedName name="sstype3drop33" localSheetId="7">#REF!</definedName>
    <definedName name="sstype3drop33" localSheetId="1">#REF!</definedName>
    <definedName name="sstype3drop33" localSheetId="3">#REF!</definedName>
    <definedName name="sstype3drop33">#REF!</definedName>
    <definedName name="SSTYPE3DROP35" localSheetId="7">#REF!</definedName>
    <definedName name="SSTYPE3DROP35" localSheetId="1">#REF!</definedName>
    <definedName name="SSTYPE3DROP35" localSheetId="3">#REF!</definedName>
    <definedName name="SSTYPE3DROP35">#REF!</definedName>
    <definedName name="sstype3dropp" localSheetId="7">#REF!</definedName>
    <definedName name="sstype3dropp" localSheetId="1">#REF!</definedName>
    <definedName name="sstype3dropp" localSheetId="3">#REF!</definedName>
    <definedName name="sstype3dropp">#REF!</definedName>
    <definedName name="SSTYPE3DROPP1" localSheetId="7">#REF!</definedName>
    <definedName name="SSTYPE3DROPP1" localSheetId="1">#REF!</definedName>
    <definedName name="SSTYPE3DROPP1" localSheetId="3">#REF!</definedName>
    <definedName name="SSTYPE3DROPP1">#REF!</definedName>
    <definedName name="sstype3slab" localSheetId="7">#REF!</definedName>
    <definedName name="sstype3slab" localSheetId="1">#REF!</definedName>
    <definedName name="sstype3slab" localSheetId="3">#REF!</definedName>
    <definedName name="sstype3slab">#REF!</definedName>
    <definedName name="SSTYPE3SLAB121" localSheetId="7">#REF!</definedName>
    <definedName name="SSTYPE3SLAB121" localSheetId="1">#REF!</definedName>
    <definedName name="SSTYPE3SLAB121" localSheetId="3">#REF!</definedName>
    <definedName name="SSTYPE3SLAB121">#REF!</definedName>
    <definedName name="sstype3slab2" localSheetId="7">#REF!</definedName>
    <definedName name="sstype3slab2" localSheetId="1">#REF!</definedName>
    <definedName name="sstype3slab2" localSheetId="3">#REF!</definedName>
    <definedName name="sstype3slab2">#REF!</definedName>
    <definedName name="SSTYPE3SLAB3" localSheetId="7">#REF!</definedName>
    <definedName name="SSTYPE3SLAB3" localSheetId="1">#REF!</definedName>
    <definedName name="SSTYPE3SLAB3" localSheetId="3">#REF!</definedName>
    <definedName name="SSTYPE3SLAB3">#REF!</definedName>
    <definedName name="SSTYPE3SLAB32" localSheetId="7">#REF!</definedName>
    <definedName name="SSTYPE3SLAB32" localSheetId="1">#REF!</definedName>
    <definedName name="SSTYPE3SLAB32" localSheetId="3">#REF!</definedName>
    <definedName name="SSTYPE3SLAB32">#REF!</definedName>
    <definedName name="sstype3slab6" localSheetId="7">#REF!</definedName>
    <definedName name="sstype3slab6" localSheetId="1">#REF!</definedName>
    <definedName name="sstype3slab6" localSheetId="3">#REF!</definedName>
    <definedName name="sstype3slab6">#REF!</definedName>
    <definedName name="sstype3slabb" localSheetId="7">#REF!</definedName>
    <definedName name="sstype3slabb" localSheetId="1">#REF!</definedName>
    <definedName name="sstype3slabb" localSheetId="3">#REF!</definedName>
    <definedName name="sstype3slabb">#REF!</definedName>
    <definedName name="SSTYPESLAB1" localSheetId="7">#REF!</definedName>
    <definedName name="SSTYPESLAB1" localSheetId="1">#REF!</definedName>
    <definedName name="SSTYPESLAB1" localSheetId="3">#REF!</definedName>
    <definedName name="SSTYPESLAB1">#REF!</definedName>
    <definedName name="SSWEWE" localSheetId="7" hidden="1">#REF!</definedName>
    <definedName name="SSWEWE" localSheetId="1" hidden="1">#REF!</definedName>
    <definedName name="SSWEWE" localSheetId="3" hidden="1">#REF!</definedName>
    <definedName name="SSWEWE" hidden="1">#REF!</definedName>
    <definedName name="st" localSheetId="5" hidden="1">{#N/A,#N/A,TRUE,"Front";#N/A,#N/A,TRUE,"Simple Letter";#N/A,#N/A,TRUE,"Inside";#N/A,#N/A,TRUE,"Contents";#N/A,#N/A,TRUE,"Basis";#N/A,#N/A,TRUE,"Inclusions";#N/A,#N/A,TRUE,"Exclusions";#N/A,#N/A,TRUE,"Areas";#N/A,#N/A,TRUE,"Summary";#N/A,#N/A,TRUE,"Detail"}</definedName>
    <definedName name="st" localSheetId="2" hidden="1">{#N/A,#N/A,TRUE,"Front";#N/A,#N/A,TRUE,"Simple Letter";#N/A,#N/A,TRUE,"Inside";#N/A,#N/A,TRUE,"Contents";#N/A,#N/A,TRUE,"Basis";#N/A,#N/A,TRUE,"Inclusions";#N/A,#N/A,TRUE,"Exclusions";#N/A,#N/A,TRUE,"Areas";#N/A,#N/A,TRUE,"Summary";#N/A,#N/A,TRUE,"Detail"}</definedName>
    <definedName name="st_1" localSheetId="5" hidden="1">{#N/A,#N/A,TRUE,"Front";#N/A,#N/A,TRUE,"Simple Letter";#N/A,#N/A,TRUE,"Inside";#N/A,#N/A,TRUE,"Contents";#N/A,#N/A,TRUE,"Basis";#N/A,#N/A,TRUE,"Inclusions";#N/A,#N/A,TRUE,"Exclusions";#N/A,#N/A,TRUE,"Areas";#N/A,#N/A,TRUE,"Summary";#N/A,#N/A,TRUE,"Detail"}</definedName>
    <definedName name="st_1" localSheetId="2" hidden="1">{#N/A,#N/A,TRUE,"Front";#N/A,#N/A,TRUE,"Simple Letter";#N/A,#N/A,TRUE,"Inside";#N/A,#N/A,TRUE,"Contents";#N/A,#N/A,TRUE,"Basis";#N/A,#N/A,TRUE,"Inclusions";#N/A,#N/A,TRUE,"Exclusions";#N/A,#N/A,TRUE,"Areas";#N/A,#N/A,TRUE,"Summary";#N/A,#N/A,TRUE,"Detail"}</definedName>
    <definedName name="st_1_1" localSheetId="5" hidden="1">{#N/A,#N/A,TRUE,"Front";#N/A,#N/A,TRUE,"Simple Letter";#N/A,#N/A,TRUE,"Inside";#N/A,#N/A,TRUE,"Contents";#N/A,#N/A,TRUE,"Basis";#N/A,#N/A,TRUE,"Inclusions";#N/A,#N/A,TRUE,"Exclusions";#N/A,#N/A,TRUE,"Areas";#N/A,#N/A,TRUE,"Summary";#N/A,#N/A,TRUE,"Detail"}</definedName>
    <definedName name="st_1_1" localSheetId="2" hidden="1">{#N/A,#N/A,TRUE,"Front";#N/A,#N/A,TRUE,"Simple Letter";#N/A,#N/A,TRUE,"Inside";#N/A,#N/A,TRUE,"Contents";#N/A,#N/A,TRUE,"Basis";#N/A,#N/A,TRUE,"Inclusions";#N/A,#N/A,TRUE,"Exclusions";#N/A,#N/A,TRUE,"Areas";#N/A,#N/A,TRUE,"Summary";#N/A,#N/A,TRUE,"Detail"}</definedName>
    <definedName name="st_1_2" localSheetId="5" hidden="1">{#N/A,#N/A,TRUE,"Front";#N/A,#N/A,TRUE,"Simple Letter";#N/A,#N/A,TRUE,"Inside";#N/A,#N/A,TRUE,"Contents";#N/A,#N/A,TRUE,"Basis";#N/A,#N/A,TRUE,"Inclusions";#N/A,#N/A,TRUE,"Exclusions";#N/A,#N/A,TRUE,"Areas";#N/A,#N/A,TRUE,"Summary";#N/A,#N/A,TRUE,"Detail"}</definedName>
    <definedName name="st_1_2" localSheetId="2" hidden="1">{#N/A,#N/A,TRUE,"Front";#N/A,#N/A,TRUE,"Simple Letter";#N/A,#N/A,TRUE,"Inside";#N/A,#N/A,TRUE,"Contents";#N/A,#N/A,TRUE,"Basis";#N/A,#N/A,TRUE,"Inclusions";#N/A,#N/A,TRUE,"Exclusions";#N/A,#N/A,TRUE,"Areas";#N/A,#N/A,TRUE,"Summary";#N/A,#N/A,TRUE,"Detail"}</definedName>
    <definedName name="st_150" localSheetId="7">#REF!</definedName>
    <definedName name="st_150" localSheetId="1">#REF!</definedName>
    <definedName name="st_150" localSheetId="3">#REF!</definedName>
    <definedName name="st_150">#REF!</definedName>
    <definedName name="st_2" localSheetId="5" hidden="1">{#N/A,#N/A,TRUE,"Front";#N/A,#N/A,TRUE,"Simple Letter";#N/A,#N/A,TRUE,"Inside";#N/A,#N/A,TRUE,"Contents";#N/A,#N/A,TRUE,"Basis";#N/A,#N/A,TRUE,"Inclusions";#N/A,#N/A,TRUE,"Exclusions";#N/A,#N/A,TRUE,"Areas";#N/A,#N/A,TRUE,"Summary";#N/A,#N/A,TRUE,"Detail"}</definedName>
    <definedName name="st_2" localSheetId="2" hidden="1">{#N/A,#N/A,TRUE,"Front";#N/A,#N/A,TRUE,"Simple Letter";#N/A,#N/A,TRUE,"Inside";#N/A,#N/A,TRUE,"Contents";#N/A,#N/A,TRUE,"Basis";#N/A,#N/A,TRUE,"Inclusions";#N/A,#N/A,TRUE,"Exclusions";#N/A,#N/A,TRUE,"Areas";#N/A,#N/A,TRUE,"Summary";#N/A,#N/A,TRUE,"Detail"}</definedName>
    <definedName name="st_2_1" localSheetId="5" hidden="1">{#N/A,#N/A,TRUE,"Front";#N/A,#N/A,TRUE,"Simple Letter";#N/A,#N/A,TRUE,"Inside";#N/A,#N/A,TRUE,"Contents";#N/A,#N/A,TRUE,"Basis";#N/A,#N/A,TRUE,"Inclusions";#N/A,#N/A,TRUE,"Exclusions";#N/A,#N/A,TRUE,"Areas";#N/A,#N/A,TRUE,"Summary";#N/A,#N/A,TRUE,"Detail"}</definedName>
    <definedName name="st_2_1" localSheetId="2" hidden="1">{#N/A,#N/A,TRUE,"Front";#N/A,#N/A,TRUE,"Simple Letter";#N/A,#N/A,TRUE,"Inside";#N/A,#N/A,TRUE,"Contents";#N/A,#N/A,TRUE,"Basis";#N/A,#N/A,TRUE,"Inclusions";#N/A,#N/A,TRUE,"Exclusions";#N/A,#N/A,TRUE,"Areas";#N/A,#N/A,TRUE,"Summary";#N/A,#N/A,TRUE,"Detail"}</definedName>
    <definedName name="st_25" localSheetId="7">#REF!</definedName>
    <definedName name="st_25" localSheetId="1">#REF!</definedName>
    <definedName name="st_25" localSheetId="3">#REF!</definedName>
    <definedName name="st_25">#REF!</definedName>
    <definedName name="st_250" localSheetId="7">#REF!</definedName>
    <definedName name="st_250" localSheetId="1">#REF!</definedName>
    <definedName name="st_250" localSheetId="3">#REF!</definedName>
    <definedName name="st_250">#REF!</definedName>
    <definedName name="st_3" localSheetId="5" hidden="1">{#N/A,#N/A,TRUE,"Front";#N/A,#N/A,TRUE,"Simple Letter";#N/A,#N/A,TRUE,"Inside";#N/A,#N/A,TRUE,"Contents";#N/A,#N/A,TRUE,"Basis";#N/A,#N/A,TRUE,"Inclusions";#N/A,#N/A,TRUE,"Exclusions";#N/A,#N/A,TRUE,"Areas";#N/A,#N/A,TRUE,"Summary";#N/A,#N/A,TRUE,"Detail"}</definedName>
    <definedName name="st_3" localSheetId="2" hidden="1">{#N/A,#N/A,TRUE,"Front";#N/A,#N/A,TRUE,"Simple Letter";#N/A,#N/A,TRUE,"Inside";#N/A,#N/A,TRUE,"Contents";#N/A,#N/A,TRUE,"Basis";#N/A,#N/A,TRUE,"Inclusions";#N/A,#N/A,TRUE,"Exclusions";#N/A,#N/A,TRUE,"Areas";#N/A,#N/A,TRUE,"Summary";#N/A,#N/A,TRUE,"Detail"}</definedName>
    <definedName name="st_32" localSheetId="7">#REF!</definedName>
    <definedName name="st_32" localSheetId="1">#REF!</definedName>
    <definedName name="st_32" localSheetId="3">#REF!</definedName>
    <definedName name="st_32">#REF!</definedName>
    <definedName name="st_40" localSheetId="7">#REF!</definedName>
    <definedName name="st_40" localSheetId="1">#REF!</definedName>
    <definedName name="st_40" localSheetId="3">#REF!</definedName>
    <definedName name="st_40">#REF!</definedName>
    <definedName name="st_400" localSheetId="7">#REF!</definedName>
    <definedName name="st_400" localSheetId="1">#REF!</definedName>
    <definedName name="st_400" localSheetId="3">#REF!</definedName>
    <definedName name="st_400">#REF!</definedName>
    <definedName name="st_50" localSheetId="7">#REF!</definedName>
    <definedName name="st_50" localSheetId="1">#REF!</definedName>
    <definedName name="st_50" localSheetId="3">#REF!</definedName>
    <definedName name="st_50">#REF!</definedName>
    <definedName name="st_500" localSheetId="7">#REF!</definedName>
    <definedName name="st_500" localSheetId="1">#REF!</definedName>
    <definedName name="st_500" localSheetId="3">#REF!</definedName>
    <definedName name="st_500">#REF!</definedName>
    <definedName name="st_65" localSheetId="7">#REF!</definedName>
    <definedName name="st_65" localSheetId="1">#REF!</definedName>
    <definedName name="st_65" localSheetId="3">#REF!</definedName>
    <definedName name="st_65">#REF!</definedName>
    <definedName name="st_80" localSheetId="7">#REF!</definedName>
    <definedName name="st_80" localSheetId="1">#REF!</definedName>
    <definedName name="st_80" localSheetId="3">#REF!</definedName>
    <definedName name="st_80">#REF!</definedName>
    <definedName name="staff" localSheetId="5" hidden="1">{#N/A,#N/A,TRUE,"Front";#N/A,#N/A,TRUE,"Simple Letter";#N/A,#N/A,TRUE,"Inside";#N/A,#N/A,TRUE,"Contents";#N/A,#N/A,TRUE,"Basis";#N/A,#N/A,TRUE,"Inclusions";#N/A,#N/A,TRUE,"Exclusions";#N/A,#N/A,TRUE,"Areas";#N/A,#N/A,TRUE,"Summary";#N/A,#N/A,TRUE,"Detail"}</definedName>
    <definedName name="staff" localSheetId="2" hidden="1">{#N/A,#N/A,TRUE,"Front";#N/A,#N/A,TRUE,"Simple Letter";#N/A,#N/A,TRUE,"Inside";#N/A,#N/A,TRUE,"Contents";#N/A,#N/A,TRUE,"Basis";#N/A,#N/A,TRUE,"Inclusions";#N/A,#N/A,TRUE,"Exclusions";#N/A,#N/A,TRUE,"Areas";#N/A,#N/A,TRUE,"Summary";#N/A,#N/A,TRUE,"Detail"}</definedName>
    <definedName name="staff_1" localSheetId="5" hidden="1">{#N/A,#N/A,TRUE,"Front";#N/A,#N/A,TRUE,"Simple Letter";#N/A,#N/A,TRUE,"Inside";#N/A,#N/A,TRUE,"Contents";#N/A,#N/A,TRUE,"Basis";#N/A,#N/A,TRUE,"Inclusions";#N/A,#N/A,TRUE,"Exclusions";#N/A,#N/A,TRUE,"Areas";#N/A,#N/A,TRUE,"Summary";#N/A,#N/A,TRUE,"Detail"}</definedName>
    <definedName name="staff_1" localSheetId="2" hidden="1">{#N/A,#N/A,TRUE,"Front";#N/A,#N/A,TRUE,"Simple Letter";#N/A,#N/A,TRUE,"Inside";#N/A,#N/A,TRUE,"Contents";#N/A,#N/A,TRUE,"Basis";#N/A,#N/A,TRUE,"Inclusions";#N/A,#N/A,TRUE,"Exclusions";#N/A,#N/A,TRUE,"Areas";#N/A,#N/A,TRUE,"Summary";#N/A,#N/A,TRUE,"Detail"}</definedName>
    <definedName name="staff_1_1" localSheetId="5" hidden="1">{#N/A,#N/A,TRUE,"Front";#N/A,#N/A,TRUE,"Simple Letter";#N/A,#N/A,TRUE,"Inside";#N/A,#N/A,TRUE,"Contents";#N/A,#N/A,TRUE,"Basis";#N/A,#N/A,TRUE,"Inclusions";#N/A,#N/A,TRUE,"Exclusions";#N/A,#N/A,TRUE,"Areas";#N/A,#N/A,TRUE,"Summary";#N/A,#N/A,TRUE,"Detail"}</definedName>
    <definedName name="staff_1_1" localSheetId="2" hidden="1">{#N/A,#N/A,TRUE,"Front";#N/A,#N/A,TRUE,"Simple Letter";#N/A,#N/A,TRUE,"Inside";#N/A,#N/A,TRUE,"Contents";#N/A,#N/A,TRUE,"Basis";#N/A,#N/A,TRUE,"Inclusions";#N/A,#N/A,TRUE,"Exclusions";#N/A,#N/A,TRUE,"Areas";#N/A,#N/A,TRUE,"Summary";#N/A,#N/A,TRUE,"Detail"}</definedName>
    <definedName name="staff_1_2" localSheetId="5" hidden="1">{#N/A,#N/A,TRUE,"Front";#N/A,#N/A,TRUE,"Simple Letter";#N/A,#N/A,TRUE,"Inside";#N/A,#N/A,TRUE,"Contents";#N/A,#N/A,TRUE,"Basis";#N/A,#N/A,TRUE,"Inclusions";#N/A,#N/A,TRUE,"Exclusions";#N/A,#N/A,TRUE,"Areas";#N/A,#N/A,TRUE,"Summary";#N/A,#N/A,TRUE,"Detail"}</definedName>
    <definedName name="staff_1_2" localSheetId="2" hidden="1">{#N/A,#N/A,TRUE,"Front";#N/A,#N/A,TRUE,"Simple Letter";#N/A,#N/A,TRUE,"Inside";#N/A,#N/A,TRUE,"Contents";#N/A,#N/A,TRUE,"Basis";#N/A,#N/A,TRUE,"Inclusions";#N/A,#N/A,TRUE,"Exclusions";#N/A,#N/A,TRUE,"Areas";#N/A,#N/A,TRUE,"Summary";#N/A,#N/A,TRUE,"Detail"}</definedName>
    <definedName name="staff_2" localSheetId="5" hidden="1">{#N/A,#N/A,TRUE,"Front";#N/A,#N/A,TRUE,"Simple Letter";#N/A,#N/A,TRUE,"Inside";#N/A,#N/A,TRUE,"Contents";#N/A,#N/A,TRUE,"Basis";#N/A,#N/A,TRUE,"Inclusions";#N/A,#N/A,TRUE,"Exclusions";#N/A,#N/A,TRUE,"Areas";#N/A,#N/A,TRUE,"Summary";#N/A,#N/A,TRUE,"Detail"}</definedName>
    <definedName name="staff_2" localSheetId="2" hidden="1">{#N/A,#N/A,TRUE,"Front";#N/A,#N/A,TRUE,"Simple Letter";#N/A,#N/A,TRUE,"Inside";#N/A,#N/A,TRUE,"Contents";#N/A,#N/A,TRUE,"Basis";#N/A,#N/A,TRUE,"Inclusions";#N/A,#N/A,TRUE,"Exclusions";#N/A,#N/A,TRUE,"Areas";#N/A,#N/A,TRUE,"Summary";#N/A,#N/A,TRUE,"Detail"}</definedName>
    <definedName name="staff_2_1" localSheetId="5" hidden="1">{#N/A,#N/A,TRUE,"Front";#N/A,#N/A,TRUE,"Simple Letter";#N/A,#N/A,TRUE,"Inside";#N/A,#N/A,TRUE,"Contents";#N/A,#N/A,TRUE,"Basis";#N/A,#N/A,TRUE,"Inclusions";#N/A,#N/A,TRUE,"Exclusions";#N/A,#N/A,TRUE,"Areas";#N/A,#N/A,TRUE,"Summary";#N/A,#N/A,TRUE,"Detail"}</definedName>
    <definedName name="staff_2_1" localSheetId="2" hidden="1">{#N/A,#N/A,TRUE,"Front";#N/A,#N/A,TRUE,"Simple Letter";#N/A,#N/A,TRUE,"Inside";#N/A,#N/A,TRUE,"Contents";#N/A,#N/A,TRUE,"Basis";#N/A,#N/A,TRUE,"Inclusions";#N/A,#N/A,TRUE,"Exclusions";#N/A,#N/A,TRUE,"Areas";#N/A,#N/A,TRUE,"Summary";#N/A,#N/A,TRUE,"Detail"}</definedName>
    <definedName name="staff_3" localSheetId="5" hidden="1">{#N/A,#N/A,TRUE,"Front";#N/A,#N/A,TRUE,"Simple Letter";#N/A,#N/A,TRUE,"Inside";#N/A,#N/A,TRUE,"Contents";#N/A,#N/A,TRUE,"Basis";#N/A,#N/A,TRUE,"Inclusions";#N/A,#N/A,TRUE,"Exclusions";#N/A,#N/A,TRUE,"Areas";#N/A,#N/A,TRUE,"Summary";#N/A,#N/A,TRUE,"Detail"}</definedName>
    <definedName name="staff_3" localSheetId="2" hidden="1">{#N/A,#N/A,TRUE,"Front";#N/A,#N/A,TRUE,"Simple Letter";#N/A,#N/A,TRUE,"Inside";#N/A,#N/A,TRUE,"Contents";#N/A,#N/A,TRUE,"Basis";#N/A,#N/A,TRUE,"Inclusions";#N/A,#N/A,TRUE,"Exclusions";#N/A,#N/A,TRUE,"Areas";#N/A,#N/A,TRUE,"Summary";#N/A,#N/A,TRUE,"Detail"}</definedName>
    <definedName name="staff_4" localSheetId="5" hidden="1">{#N/A,#N/A,TRUE,"Front";#N/A,#N/A,TRUE,"Simple Letter";#N/A,#N/A,TRUE,"Inside";#N/A,#N/A,TRUE,"Contents";#N/A,#N/A,TRUE,"Basis";#N/A,#N/A,TRUE,"Inclusions";#N/A,#N/A,TRUE,"Exclusions";#N/A,#N/A,TRUE,"Areas";#N/A,#N/A,TRUE,"Summary";#N/A,#N/A,TRUE,"Detail"}</definedName>
    <definedName name="staff_4" localSheetId="2" hidden="1">{#N/A,#N/A,TRUE,"Front";#N/A,#N/A,TRUE,"Simple Letter";#N/A,#N/A,TRUE,"Inside";#N/A,#N/A,TRUE,"Contents";#N/A,#N/A,TRUE,"Basis";#N/A,#N/A,TRUE,"Inclusions";#N/A,#N/A,TRUE,"Exclusions";#N/A,#N/A,TRUE,"Areas";#N/A,#N/A,TRUE,"Summary";#N/A,#N/A,TRUE,"Detail"}</definedName>
    <definedName name="Staircase2" localSheetId="7">#REF!</definedName>
    <definedName name="Staircase2" localSheetId="1">#REF!</definedName>
    <definedName name="Staircase2" localSheetId="3">#REF!</definedName>
    <definedName name="Staircase2">#REF!</definedName>
    <definedName name="Staircases" localSheetId="7">#REF!</definedName>
    <definedName name="Staircases" localSheetId="1">#REF!</definedName>
    <definedName name="Staircases" localSheetId="3">#REF!</definedName>
    <definedName name="Staircases">#REF!</definedName>
    <definedName name="STANDARD_SPECIFICATION_FOR_HOSPITAL_STRUCTURES" localSheetId="7">#REF!</definedName>
    <definedName name="STANDARD_SPECIFICATION_FOR_HOSPITAL_STRUCTURES" localSheetId="1">#REF!</definedName>
    <definedName name="STANDARD_SPECIFICATION_FOR_HOSPITAL_STRUCTURES" localSheetId="3">#REF!</definedName>
    <definedName name="STANDARD_SPECIFICATION_FOR_HOSPITAL_STRUCTURES">#REF!</definedName>
    <definedName name="Start_Date" localSheetId="7">#REF!</definedName>
    <definedName name="Start_Date" localSheetId="1">#REF!</definedName>
    <definedName name="Start_Date" localSheetId="3">#REF!</definedName>
    <definedName name="Start_Date">#REF!</definedName>
    <definedName name="StartRow">6</definedName>
    <definedName name="State" localSheetId="7">#REF!</definedName>
    <definedName name="State" localSheetId="1">#REF!</definedName>
    <definedName name="State" localSheetId="3">#REF!</definedName>
    <definedName name="State">#REF!</definedName>
    <definedName name="StdWorking" localSheetId="7" hidden="1">#REF!</definedName>
    <definedName name="StdWorking" localSheetId="1" hidden="1">#REF!</definedName>
    <definedName name="StdWorking" localSheetId="3" hidden="1">#REF!</definedName>
    <definedName name="StdWorking" hidden="1">#REF!</definedName>
    <definedName name="steam_props" localSheetId="7">#REF!</definedName>
    <definedName name="steam_props" localSheetId="1">#REF!</definedName>
    <definedName name="steam_props" localSheetId="3">#REF!</definedName>
    <definedName name="steam_props">#REF!</definedName>
    <definedName name="STEEL" localSheetId="7">#REF!</definedName>
    <definedName name="STEEL" localSheetId="1">#REF!</definedName>
    <definedName name="STEEL" localSheetId="3">#REF!</definedName>
    <definedName name="STEEL">#REF!</definedName>
    <definedName name="STEEL_PRO" localSheetId="7">#REF!</definedName>
    <definedName name="STEEL_PRO" localSheetId="1">#REF!</definedName>
    <definedName name="STEEL_PRO" localSheetId="3">#REF!</definedName>
    <definedName name="STEEL_PRO">#REF!</definedName>
    <definedName name="steelar" localSheetId="7">#REF!</definedName>
    <definedName name="steelar" localSheetId="1">#REF!</definedName>
    <definedName name="steelar" localSheetId="3">#REF!</definedName>
    <definedName name="steelar">#REF!</definedName>
    <definedName name="steelreq" localSheetId="7">#REF!</definedName>
    <definedName name="steelreq" localSheetId="1">#REF!</definedName>
    <definedName name="steelreq" localSheetId="3">#REF!</definedName>
    <definedName name="steelreq">#REF!</definedName>
    <definedName name="Stg_Sub" localSheetId="7">#REF!</definedName>
    <definedName name="Stg_Sub" localSheetId="1">#REF!</definedName>
    <definedName name="Stg_Sub" localSheetId="3">#REF!</definedName>
    <definedName name="Stg_Sub">#REF!</definedName>
    <definedName name="Stg_Super" localSheetId="7">#REF!</definedName>
    <definedName name="Stg_Super" localSheetId="1">#REF!</definedName>
    <definedName name="Stg_Super" localSheetId="3">#REF!</definedName>
    <definedName name="Stg_Super">#REF!</definedName>
    <definedName name="stock" localSheetId="7">#REF!</definedName>
    <definedName name="stock" localSheetId="1">#REF!</definedName>
    <definedName name="stock" localSheetId="3">#REF!</definedName>
    <definedName name="stock">#REF!</definedName>
    <definedName name="stock02" localSheetId="5" hidden="1">{#N/A,#N/A,FALSE,"gc (2)"}</definedName>
    <definedName name="stock02" localSheetId="2" hidden="1">{#N/A,#N/A,FALSE,"gc (2)"}</definedName>
    <definedName name="StorWash_I" localSheetId="7">#REF!</definedName>
    <definedName name="StorWash_I" localSheetId="1">#REF!</definedName>
    <definedName name="StorWash_I" localSheetId="3">#REF!</definedName>
    <definedName name="StorWash_I">#REF!</definedName>
    <definedName name="STP" localSheetId="7">#REF!</definedName>
    <definedName name="STP" localSheetId="1">#REF!</definedName>
    <definedName name="STP" localSheetId="3">#REF!</definedName>
    <definedName name="STP">#REF!</definedName>
    <definedName name="Str" localSheetId="7">#REF!</definedName>
    <definedName name="Str" localSheetId="1">#REF!</definedName>
    <definedName name="Str" localSheetId="3">#REF!</definedName>
    <definedName name="Str">#REF!</definedName>
    <definedName name="StrID" localSheetId="7">#REF!</definedName>
    <definedName name="StrID" localSheetId="1">#REF!</definedName>
    <definedName name="StrID" localSheetId="3">#REF!</definedName>
    <definedName name="StrID">#REF!</definedName>
    <definedName name="structure" localSheetId="7">#REF!</definedName>
    <definedName name="structure" localSheetId="1">#REF!</definedName>
    <definedName name="structure" localSheetId="3">#REF!</definedName>
    <definedName name="structure">#REF!</definedName>
    <definedName name="stt" localSheetId="7">#REF!</definedName>
    <definedName name="stt" localSheetId="1">#REF!</definedName>
    <definedName name="stt" localSheetId="3">#REF!</definedName>
    <definedName name="stt">#REF!</definedName>
    <definedName name="StudioArea" localSheetId="7">#REF!</definedName>
    <definedName name="StudioArea" localSheetId="1">#REF!</definedName>
    <definedName name="StudioArea" localSheetId="3">#REF!</definedName>
    <definedName name="StudioArea">#REF!</definedName>
    <definedName name="StudioPerimeter" localSheetId="7">#REF!</definedName>
    <definedName name="StudioPerimeter" localSheetId="1">#REF!</definedName>
    <definedName name="StudioPerimeter" localSheetId="3">#REF!</definedName>
    <definedName name="StudioPerimeter">#REF!</definedName>
    <definedName name="stype2drop" localSheetId="7">#REF!</definedName>
    <definedName name="stype2drop" localSheetId="1">#REF!</definedName>
    <definedName name="stype2drop" localSheetId="3">#REF!</definedName>
    <definedName name="stype2drop">#REF!</definedName>
    <definedName name="STYPE2DROP1" localSheetId="7">#REF!</definedName>
    <definedName name="STYPE2DROP1" localSheetId="1">#REF!</definedName>
    <definedName name="STYPE2DROP1" localSheetId="3">#REF!</definedName>
    <definedName name="STYPE2DROP1">#REF!</definedName>
    <definedName name="stype2drop11" localSheetId="7">#REF!</definedName>
    <definedName name="stype2drop11" localSheetId="1">#REF!</definedName>
    <definedName name="stype2drop11" localSheetId="3">#REF!</definedName>
    <definedName name="stype2drop11">#REF!</definedName>
    <definedName name="stype2drop2" localSheetId="7">#REF!</definedName>
    <definedName name="stype2drop2" localSheetId="1">#REF!</definedName>
    <definedName name="stype2drop2" localSheetId="3">#REF!</definedName>
    <definedName name="stype2drop2">#REF!</definedName>
    <definedName name="STYPE2DROP23" localSheetId="7">#REF!</definedName>
    <definedName name="STYPE2DROP23" localSheetId="1">#REF!</definedName>
    <definedName name="STYPE2DROP23" localSheetId="3">#REF!</definedName>
    <definedName name="STYPE2DROP23">#REF!</definedName>
    <definedName name="STYPE2DROP3" localSheetId="7">#REF!</definedName>
    <definedName name="STYPE2DROP3" localSheetId="1">#REF!</definedName>
    <definedName name="STYPE2DROP3" localSheetId="3">#REF!</definedName>
    <definedName name="STYPE2DROP3">#REF!</definedName>
    <definedName name="STYPE2DROP4" localSheetId="7">#REF!</definedName>
    <definedName name="STYPE2DROP4" localSheetId="1">#REF!</definedName>
    <definedName name="STYPE2DROP4" localSheetId="3">#REF!</definedName>
    <definedName name="STYPE2DROP4">#REF!</definedName>
    <definedName name="stype2drop6" localSheetId="7">#REF!</definedName>
    <definedName name="stype2drop6" localSheetId="1">#REF!</definedName>
    <definedName name="stype2drop6" localSheetId="3">#REF!</definedName>
    <definedName name="stype2drop6">#REF!</definedName>
    <definedName name="stype2slab" localSheetId="7">#REF!</definedName>
    <definedName name="stype2slab" localSheetId="1">#REF!</definedName>
    <definedName name="stype2slab" localSheetId="3">#REF!</definedName>
    <definedName name="stype2slab">#REF!</definedName>
    <definedName name="STYPE2SLAB1" localSheetId="7">#REF!</definedName>
    <definedName name="STYPE2SLAB1" localSheetId="1">#REF!</definedName>
    <definedName name="STYPE2SLAB1" localSheetId="3">#REF!</definedName>
    <definedName name="STYPE2SLAB1">#REF!</definedName>
    <definedName name="STYPE2SLAB12" localSheetId="7">#REF!</definedName>
    <definedName name="STYPE2SLAB12" localSheetId="1">#REF!</definedName>
    <definedName name="STYPE2SLAB12" localSheetId="3">#REF!</definedName>
    <definedName name="STYPE2SLAB12">#REF!</definedName>
    <definedName name="STYPE2SLAB2" localSheetId="7">#REF!</definedName>
    <definedName name="STYPE2SLAB2" localSheetId="1">#REF!</definedName>
    <definedName name="STYPE2SLAB2" localSheetId="3">#REF!</definedName>
    <definedName name="STYPE2SLAB2">#REF!</definedName>
    <definedName name="stype2slab22" localSheetId="7">#REF!</definedName>
    <definedName name="stype2slab22" localSheetId="1">#REF!</definedName>
    <definedName name="stype2slab22" localSheetId="3">#REF!</definedName>
    <definedName name="stype2slab22">#REF!</definedName>
    <definedName name="STYPE2SLAB23" localSheetId="7">#REF!</definedName>
    <definedName name="STYPE2SLAB23" localSheetId="1">#REF!</definedName>
    <definedName name="STYPE2SLAB23" localSheetId="3">#REF!</definedName>
    <definedName name="STYPE2SLAB23">#REF!</definedName>
    <definedName name="stype2slab3" localSheetId="7">#REF!</definedName>
    <definedName name="stype2slab3" localSheetId="1">#REF!</definedName>
    <definedName name="stype2slab3" localSheetId="3">#REF!</definedName>
    <definedName name="stype2slab3">#REF!</definedName>
    <definedName name="stype2slab6" localSheetId="7">#REF!</definedName>
    <definedName name="stype2slab6" localSheetId="1">#REF!</definedName>
    <definedName name="stype2slab6" localSheetId="3">#REF!</definedName>
    <definedName name="stype2slab6">#REF!</definedName>
    <definedName name="stype3drop" localSheetId="7">#REF!</definedName>
    <definedName name="stype3drop" localSheetId="1">#REF!</definedName>
    <definedName name="stype3drop" localSheetId="3">#REF!</definedName>
    <definedName name="stype3drop">#REF!</definedName>
    <definedName name="STYPE3DROP2" localSheetId="7">#REF!</definedName>
    <definedName name="STYPE3DROP2" localSheetId="1">#REF!</definedName>
    <definedName name="STYPE3DROP2" localSheetId="3">#REF!</definedName>
    <definedName name="STYPE3DROP2">#REF!</definedName>
    <definedName name="STYPE3DROP21" localSheetId="7">#REF!</definedName>
    <definedName name="STYPE3DROP21" localSheetId="1">#REF!</definedName>
    <definedName name="STYPE3DROP21" localSheetId="3">#REF!</definedName>
    <definedName name="STYPE3DROP21">#REF!</definedName>
    <definedName name="STYPE3DROP23" localSheetId="7">#REF!</definedName>
    <definedName name="STYPE3DROP23" localSheetId="1">#REF!</definedName>
    <definedName name="STYPE3DROP23" localSheetId="3">#REF!</definedName>
    <definedName name="STYPE3DROP23">#REF!</definedName>
    <definedName name="stype3drop3" localSheetId="7">#REF!</definedName>
    <definedName name="stype3drop3" localSheetId="1">#REF!</definedName>
    <definedName name="stype3drop3" localSheetId="3">#REF!</definedName>
    <definedName name="stype3drop3">#REF!</definedName>
    <definedName name="stype3drop33" localSheetId="7">#REF!</definedName>
    <definedName name="stype3drop33" localSheetId="1">#REF!</definedName>
    <definedName name="stype3drop33" localSheetId="3">#REF!</definedName>
    <definedName name="stype3drop33">#REF!</definedName>
    <definedName name="STYPE3DROP4" localSheetId="7">#REF!</definedName>
    <definedName name="STYPE3DROP4" localSheetId="1">#REF!</definedName>
    <definedName name="STYPE3DROP4" localSheetId="3">#REF!</definedName>
    <definedName name="STYPE3DROP4">#REF!</definedName>
    <definedName name="stype3drop6" localSheetId="7">#REF!</definedName>
    <definedName name="stype3drop6" localSheetId="1">#REF!</definedName>
    <definedName name="stype3drop6" localSheetId="3">#REF!</definedName>
    <definedName name="stype3drop6">#REF!</definedName>
    <definedName name="stype3slab" localSheetId="7">#REF!</definedName>
    <definedName name="stype3slab" localSheetId="1">#REF!</definedName>
    <definedName name="stype3slab" localSheetId="3">#REF!</definedName>
    <definedName name="stype3slab">#REF!</definedName>
    <definedName name="STYPE3SLAB1" localSheetId="7">#REF!</definedName>
    <definedName name="STYPE3SLAB1" localSheetId="1">#REF!</definedName>
    <definedName name="STYPE3SLAB1" localSheetId="3">#REF!</definedName>
    <definedName name="STYPE3SLAB1">#REF!</definedName>
    <definedName name="STYPE3SLAB12" localSheetId="7">#REF!</definedName>
    <definedName name="STYPE3SLAB12" localSheetId="1">#REF!</definedName>
    <definedName name="STYPE3SLAB12" localSheetId="3">#REF!</definedName>
    <definedName name="STYPE3SLAB12">#REF!</definedName>
    <definedName name="STYPE3SLAB13" localSheetId="7">#REF!</definedName>
    <definedName name="STYPE3SLAB13" localSheetId="1">#REF!</definedName>
    <definedName name="STYPE3SLAB13" localSheetId="3">#REF!</definedName>
    <definedName name="STYPE3SLAB13">#REF!</definedName>
    <definedName name="stype3slab22" localSheetId="7">#REF!</definedName>
    <definedName name="stype3slab22" localSheetId="1">#REF!</definedName>
    <definedName name="stype3slab22" localSheetId="3">#REF!</definedName>
    <definedName name="stype3slab22">#REF!</definedName>
    <definedName name="STYPE3SLAB23" localSheetId="7">#REF!</definedName>
    <definedName name="STYPE3SLAB23" localSheetId="1">#REF!</definedName>
    <definedName name="STYPE3SLAB23" localSheetId="3">#REF!</definedName>
    <definedName name="STYPE3SLAB23">#REF!</definedName>
    <definedName name="stype3slab3" localSheetId="7">#REF!</definedName>
    <definedName name="stype3slab3" localSheetId="1">#REF!</definedName>
    <definedName name="stype3slab3" localSheetId="3">#REF!</definedName>
    <definedName name="stype3slab3">#REF!</definedName>
    <definedName name="stype3slab6" localSheetId="7">#REF!</definedName>
    <definedName name="stype3slab6" localSheetId="1">#REF!</definedName>
    <definedName name="stype3slab6" localSheetId="3">#REF!</definedName>
    <definedName name="stype3slab6">#REF!</definedName>
    <definedName name="SubDebtAvgDSCR" localSheetId="7">#REF!</definedName>
    <definedName name="SubDebtAvgDSCR" localSheetId="1">#REF!</definedName>
    <definedName name="SubDebtAvgDSCR" localSheetId="3">#REF!</definedName>
    <definedName name="SubDebtAvgDSCR">#REF!</definedName>
    <definedName name="SubDebtLLCR" localSheetId="7">#REF!</definedName>
    <definedName name="SubDebtLLCR" localSheetId="1">#REF!</definedName>
    <definedName name="SubDebtLLCR" localSheetId="3">#REF!</definedName>
    <definedName name="SubDebtLLCR">#REF!</definedName>
    <definedName name="SubDebtMinDSCR" localSheetId="7">#REF!</definedName>
    <definedName name="SubDebtMinDSCR" localSheetId="1">#REF!</definedName>
    <definedName name="SubDebtMinDSCR" localSheetId="3">#REF!</definedName>
    <definedName name="SubDebtMinDSCR">#REF!</definedName>
    <definedName name="Subject" localSheetId="7">#REF!</definedName>
    <definedName name="Subject" localSheetId="1">#REF!</definedName>
    <definedName name="Subject" localSheetId="3">#REF!</definedName>
    <definedName name="Subject">#REF!</definedName>
    <definedName name="Substructure" localSheetId="7">#REF!</definedName>
    <definedName name="Substructure" localSheetId="1">#REF!</definedName>
    <definedName name="Substructure" localSheetId="3">#REF!</definedName>
    <definedName name="Substructure">#REF!</definedName>
    <definedName name="succ" localSheetId="5" hidden="1">{#N/A,#N/A,FALSE,"COVER1.XLS ";#N/A,#N/A,FALSE,"RACT1.XLS";#N/A,#N/A,FALSE,"RACT2.XLS";#N/A,#N/A,FALSE,"ECCMP";#N/A,#N/A,FALSE,"WELDER.XLS"}</definedName>
    <definedName name="succ" localSheetId="2" hidden="1">{#N/A,#N/A,FALSE,"COVER1.XLS ";#N/A,#N/A,FALSE,"RACT1.XLS";#N/A,#N/A,FALSE,"RACT2.XLS";#N/A,#N/A,FALSE,"ECCMP";#N/A,#N/A,FALSE,"WELDER.XLS"}</definedName>
    <definedName name="suite17Perimeter" localSheetId="7">#REF!</definedName>
    <definedName name="suite17Perimeter" localSheetId="1">#REF!</definedName>
    <definedName name="suite17Perimeter" localSheetId="3">#REF!</definedName>
    <definedName name="suite17Perimeter">#REF!</definedName>
    <definedName name="sum" localSheetId="7">#REF!</definedName>
    <definedName name="sum" localSheetId="1">#REF!</definedName>
    <definedName name="sum" localSheetId="3">#REF!</definedName>
    <definedName name="sum">#REF!</definedName>
    <definedName name="sumana" localSheetId="7">#REF!</definedName>
    <definedName name="sumana" localSheetId="1">#REF!</definedName>
    <definedName name="sumana" localSheetId="3">#REF!</definedName>
    <definedName name="sumana">#REF!</definedName>
    <definedName name="SUMFINAL" localSheetId="7">#REF!</definedName>
    <definedName name="SUMFINAL" localSheetId="1">#REF!</definedName>
    <definedName name="SUMFINAL" localSheetId="3">#REF!</definedName>
    <definedName name="SUMFINAL">#REF!</definedName>
    <definedName name="summary" localSheetId="7">#REF!</definedName>
    <definedName name="summary" localSheetId="1">#REF!</definedName>
    <definedName name="summary" localSheetId="3">#REF!</definedName>
    <definedName name="summary">#REF!</definedName>
    <definedName name="summary1" localSheetId="7">#REF!</definedName>
    <definedName name="summary1" localSheetId="1">#REF!</definedName>
    <definedName name="summary1" localSheetId="3">#REF!</definedName>
    <definedName name="summary1">#REF!</definedName>
    <definedName name="summery" localSheetId="7">#REF!</definedName>
    <definedName name="summery" localSheetId="1">#REF!</definedName>
    <definedName name="summery" localSheetId="3">#REF!</definedName>
    <definedName name="summery">#REF!</definedName>
    <definedName name="sump" localSheetId="7">#REF!</definedName>
    <definedName name="sump" localSheetId="1">#REF!</definedName>
    <definedName name="sump" localSheetId="3">#REF!</definedName>
    <definedName name="sump">#REF!</definedName>
    <definedName name="suresh" localSheetId="5" hidden="1">{#N/A,#N/A,TRUE,"Front";#N/A,#N/A,TRUE,"Simple Letter";#N/A,#N/A,TRUE,"Inside";#N/A,#N/A,TRUE,"Contents";#N/A,#N/A,TRUE,"Basis";#N/A,#N/A,TRUE,"Inclusions";#N/A,#N/A,TRUE,"Exclusions";#N/A,#N/A,TRUE,"Areas";#N/A,#N/A,TRUE,"Summary";#N/A,#N/A,TRUE,"Detail"}</definedName>
    <definedName name="suresh" localSheetId="2" hidden="1">{#N/A,#N/A,TRUE,"Front";#N/A,#N/A,TRUE,"Simple Letter";#N/A,#N/A,TRUE,"Inside";#N/A,#N/A,TRUE,"Contents";#N/A,#N/A,TRUE,"Basis";#N/A,#N/A,TRUE,"Inclusions";#N/A,#N/A,TRUE,"Exclusions";#N/A,#N/A,TRUE,"Areas";#N/A,#N/A,TRUE,"Summary";#N/A,#N/A,TRUE,"Detail"}</definedName>
    <definedName name="suresh_1" localSheetId="5" hidden="1">{#N/A,#N/A,TRUE,"Front";#N/A,#N/A,TRUE,"Simple Letter";#N/A,#N/A,TRUE,"Inside";#N/A,#N/A,TRUE,"Contents";#N/A,#N/A,TRUE,"Basis";#N/A,#N/A,TRUE,"Inclusions";#N/A,#N/A,TRUE,"Exclusions";#N/A,#N/A,TRUE,"Areas";#N/A,#N/A,TRUE,"Summary";#N/A,#N/A,TRUE,"Detail"}</definedName>
    <definedName name="suresh_1" localSheetId="2" hidden="1">{#N/A,#N/A,TRUE,"Front";#N/A,#N/A,TRUE,"Simple Letter";#N/A,#N/A,TRUE,"Inside";#N/A,#N/A,TRUE,"Contents";#N/A,#N/A,TRUE,"Basis";#N/A,#N/A,TRUE,"Inclusions";#N/A,#N/A,TRUE,"Exclusions";#N/A,#N/A,TRUE,"Areas";#N/A,#N/A,TRUE,"Summary";#N/A,#N/A,TRUE,"Detail"}</definedName>
    <definedName name="suresh_1_1" localSheetId="5" hidden="1">{#N/A,#N/A,TRUE,"Front";#N/A,#N/A,TRUE,"Simple Letter";#N/A,#N/A,TRUE,"Inside";#N/A,#N/A,TRUE,"Contents";#N/A,#N/A,TRUE,"Basis";#N/A,#N/A,TRUE,"Inclusions";#N/A,#N/A,TRUE,"Exclusions";#N/A,#N/A,TRUE,"Areas";#N/A,#N/A,TRUE,"Summary";#N/A,#N/A,TRUE,"Detail"}</definedName>
    <definedName name="suresh_1_1" localSheetId="2" hidden="1">{#N/A,#N/A,TRUE,"Front";#N/A,#N/A,TRUE,"Simple Letter";#N/A,#N/A,TRUE,"Inside";#N/A,#N/A,TRUE,"Contents";#N/A,#N/A,TRUE,"Basis";#N/A,#N/A,TRUE,"Inclusions";#N/A,#N/A,TRUE,"Exclusions";#N/A,#N/A,TRUE,"Areas";#N/A,#N/A,TRUE,"Summary";#N/A,#N/A,TRUE,"Detail"}</definedName>
    <definedName name="suresh_1_2" localSheetId="5" hidden="1">{#N/A,#N/A,TRUE,"Front";#N/A,#N/A,TRUE,"Simple Letter";#N/A,#N/A,TRUE,"Inside";#N/A,#N/A,TRUE,"Contents";#N/A,#N/A,TRUE,"Basis";#N/A,#N/A,TRUE,"Inclusions";#N/A,#N/A,TRUE,"Exclusions";#N/A,#N/A,TRUE,"Areas";#N/A,#N/A,TRUE,"Summary";#N/A,#N/A,TRUE,"Detail"}</definedName>
    <definedName name="suresh_1_2" localSheetId="2" hidden="1">{#N/A,#N/A,TRUE,"Front";#N/A,#N/A,TRUE,"Simple Letter";#N/A,#N/A,TRUE,"Inside";#N/A,#N/A,TRUE,"Contents";#N/A,#N/A,TRUE,"Basis";#N/A,#N/A,TRUE,"Inclusions";#N/A,#N/A,TRUE,"Exclusions";#N/A,#N/A,TRUE,"Areas";#N/A,#N/A,TRUE,"Summary";#N/A,#N/A,TRUE,"Detail"}</definedName>
    <definedName name="suresh_2" localSheetId="5" hidden="1">{#N/A,#N/A,TRUE,"Front";#N/A,#N/A,TRUE,"Simple Letter";#N/A,#N/A,TRUE,"Inside";#N/A,#N/A,TRUE,"Contents";#N/A,#N/A,TRUE,"Basis";#N/A,#N/A,TRUE,"Inclusions";#N/A,#N/A,TRUE,"Exclusions";#N/A,#N/A,TRUE,"Areas";#N/A,#N/A,TRUE,"Summary";#N/A,#N/A,TRUE,"Detail"}</definedName>
    <definedName name="suresh_2" localSheetId="2" hidden="1">{#N/A,#N/A,TRUE,"Front";#N/A,#N/A,TRUE,"Simple Letter";#N/A,#N/A,TRUE,"Inside";#N/A,#N/A,TRUE,"Contents";#N/A,#N/A,TRUE,"Basis";#N/A,#N/A,TRUE,"Inclusions";#N/A,#N/A,TRUE,"Exclusions";#N/A,#N/A,TRUE,"Areas";#N/A,#N/A,TRUE,"Summary";#N/A,#N/A,TRUE,"Detail"}</definedName>
    <definedName name="suresh_2_1" localSheetId="5" hidden="1">{#N/A,#N/A,TRUE,"Front";#N/A,#N/A,TRUE,"Simple Letter";#N/A,#N/A,TRUE,"Inside";#N/A,#N/A,TRUE,"Contents";#N/A,#N/A,TRUE,"Basis";#N/A,#N/A,TRUE,"Inclusions";#N/A,#N/A,TRUE,"Exclusions";#N/A,#N/A,TRUE,"Areas";#N/A,#N/A,TRUE,"Summary";#N/A,#N/A,TRUE,"Detail"}</definedName>
    <definedName name="suresh_2_1" localSheetId="2" hidden="1">{#N/A,#N/A,TRUE,"Front";#N/A,#N/A,TRUE,"Simple Letter";#N/A,#N/A,TRUE,"Inside";#N/A,#N/A,TRUE,"Contents";#N/A,#N/A,TRUE,"Basis";#N/A,#N/A,TRUE,"Inclusions";#N/A,#N/A,TRUE,"Exclusions";#N/A,#N/A,TRUE,"Areas";#N/A,#N/A,TRUE,"Summary";#N/A,#N/A,TRUE,"Detail"}</definedName>
    <definedName name="suresh_3" localSheetId="5" hidden="1">{#N/A,#N/A,TRUE,"Front";#N/A,#N/A,TRUE,"Simple Letter";#N/A,#N/A,TRUE,"Inside";#N/A,#N/A,TRUE,"Contents";#N/A,#N/A,TRUE,"Basis";#N/A,#N/A,TRUE,"Inclusions";#N/A,#N/A,TRUE,"Exclusions";#N/A,#N/A,TRUE,"Areas";#N/A,#N/A,TRUE,"Summary";#N/A,#N/A,TRUE,"Detail"}</definedName>
    <definedName name="suresh_3" localSheetId="2" hidden="1">{#N/A,#N/A,TRUE,"Front";#N/A,#N/A,TRUE,"Simple Letter";#N/A,#N/A,TRUE,"Inside";#N/A,#N/A,TRUE,"Contents";#N/A,#N/A,TRUE,"Basis";#N/A,#N/A,TRUE,"Inclusions";#N/A,#N/A,TRUE,"Exclusions";#N/A,#N/A,TRUE,"Areas";#N/A,#N/A,TRUE,"Summary";#N/A,#N/A,TRUE,"Detail"}</definedName>
    <definedName name="suresh_4" localSheetId="5" hidden="1">{#N/A,#N/A,TRUE,"Front";#N/A,#N/A,TRUE,"Simple Letter";#N/A,#N/A,TRUE,"Inside";#N/A,#N/A,TRUE,"Contents";#N/A,#N/A,TRUE,"Basis";#N/A,#N/A,TRUE,"Inclusions";#N/A,#N/A,TRUE,"Exclusions";#N/A,#N/A,TRUE,"Areas";#N/A,#N/A,TRUE,"Summary";#N/A,#N/A,TRUE,"Detail"}</definedName>
    <definedName name="suresh_4" localSheetId="2" hidden="1">{#N/A,#N/A,TRUE,"Front";#N/A,#N/A,TRUE,"Simple Letter";#N/A,#N/A,TRUE,"Inside";#N/A,#N/A,TRUE,"Contents";#N/A,#N/A,TRUE,"Basis";#N/A,#N/A,TRUE,"Inclusions";#N/A,#N/A,TRUE,"Exclusions";#N/A,#N/A,TRUE,"Areas";#N/A,#N/A,TRUE,"Summary";#N/A,#N/A,TRUE,"Detail"}</definedName>
    <definedName name="sushma" localSheetId="7">#REF!</definedName>
    <definedName name="sushma" localSheetId="1">#REF!</definedName>
    <definedName name="sushma" localSheetId="3">#REF!</definedName>
    <definedName name="sushma">#REF!</definedName>
    <definedName name="SWALL" localSheetId="7">#REF!</definedName>
    <definedName name="SWALL" localSheetId="1">#REF!</definedName>
    <definedName name="SWALL" localSheetId="3">#REF!</definedName>
    <definedName name="SWALL">#REF!</definedName>
    <definedName name="SXZCAX" localSheetId="5">City&amp;" "&amp;State</definedName>
    <definedName name="SXZCAX" localSheetId="2">City&amp;" "&amp;State</definedName>
    <definedName name="SystemName" localSheetId="2">#REF!</definedName>
    <definedName name="SZCSDACQE" localSheetId="2">#REF!</definedName>
    <definedName name="T"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area" localSheetId="7">#REF!</definedName>
    <definedName name="t.area" localSheetId="1">#REF!</definedName>
    <definedName name="t.area" localSheetId="3">#REF!</definedName>
    <definedName name="t.area">#REF!</definedName>
    <definedName name="t___0" localSheetId="7">#REF!</definedName>
    <definedName name="t___0" localSheetId="1">#REF!</definedName>
    <definedName name="t___0" localSheetId="3">#REF!</definedName>
    <definedName name="t___0">#REF!</definedName>
    <definedName name="t___13" localSheetId="7">#REF!</definedName>
    <definedName name="t___13" localSheetId="1">#REF!</definedName>
    <definedName name="t___13" localSheetId="3">#REF!</definedName>
    <definedName name="t___13">#REF!</definedName>
    <definedName name="T0" localSheetId="7">#REF!</definedName>
    <definedName name="T0" localSheetId="1">#REF!</definedName>
    <definedName name="T0" localSheetId="3">#REF!</definedName>
    <definedName name="T0">#REF!</definedName>
    <definedName name="TA" localSheetId="5" hidden="1">{#N/A,#N/A,TRUE,"Financials";#N/A,#N/A,TRUE,"Operating Statistics";#N/A,#N/A,TRUE,"Capex &amp; Depreciation";#N/A,#N/A,TRUE,"Debt"}</definedName>
    <definedName name="TA" localSheetId="2" hidden="1">{#N/A,#N/A,TRUE,"Financials";#N/A,#N/A,TRUE,"Operating Statistics";#N/A,#N/A,TRUE,"Capex &amp; Depreciation";#N/A,#N/A,TRUE,"Debt"}</definedName>
    <definedName name="TAB_COLUMN" localSheetId="7">#REF!</definedName>
    <definedName name="TAB_COLUMN" localSheetId="1">#REF!</definedName>
    <definedName name="TAB_COLUMN" localSheetId="3">#REF!</definedName>
    <definedName name="TAB_COLUMN">#REF!</definedName>
    <definedName name="Table" localSheetId="7">#REF!</definedName>
    <definedName name="Table" localSheetId="1">#REF!</definedName>
    <definedName name="Table" localSheetId="3">#REF!</definedName>
    <definedName name="Table">#REF!</definedName>
    <definedName name="TABLE_4" localSheetId="7">#REF!</definedName>
    <definedName name="TABLE_4" localSheetId="1">#REF!</definedName>
    <definedName name="TABLE_4" localSheetId="3">#REF!</definedName>
    <definedName name="TABLE_4">#REF!</definedName>
    <definedName name="table1" localSheetId="7">#REF!</definedName>
    <definedName name="table1" localSheetId="1">#REF!</definedName>
    <definedName name="table1" localSheetId="3">#REF!</definedName>
    <definedName name="table1">#REF!</definedName>
    <definedName name="TABLE2" localSheetId="7">#REF!</definedName>
    <definedName name="TABLE2" localSheetId="1">#REF!</definedName>
    <definedName name="TABLE2" localSheetId="3">#REF!</definedName>
    <definedName name="TABLE2">#REF!</definedName>
    <definedName name="TableRange" localSheetId="7">#REF!</definedName>
    <definedName name="TableRange" localSheetId="1">#REF!</definedName>
    <definedName name="TableRange" localSheetId="3">#REF!</definedName>
    <definedName name="TableRange">#REF!</definedName>
    <definedName name="tallu" localSheetId="7">#REF!</definedName>
    <definedName name="tallu" localSheetId="1">#REF!</definedName>
    <definedName name="tallu" localSheetId="3">#REF!</definedName>
    <definedName name="tallu">#REF!</definedName>
    <definedName name="tally" localSheetId="7">#REF!</definedName>
    <definedName name="tally" localSheetId="1">#REF!</definedName>
    <definedName name="tally" localSheetId="3">#REF!</definedName>
    <definedName name="tally">#REF!</definedName>
    <definedName name="TANDEMROLLER" localSheetId="7">#REF!</definedName>
    <definedName name="TANDEMROLLER" localSheetId="1">#REF!</definedName>
    <definedName name="TANDEMROLLER" localSheetId="3">#REF!</definedName>
    <definedName name="TANDEMROLLER">#REF!</definedName>
    <definedName name="tarar"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iff_I" localSheetId="7">#REF!</definedName>
    <definedName name="Tariff_I" localSheetId="1">#REF!</definedName>
    <definedName name="Tariff_I" localSheetId="3">#REF!</definedName>
    <definedName name="Tariff_I">#REF!</definedName>
    <definedName name="taxCapAp" localSheetId="7">#REF!</definedName>
    <definedName name="taxCapAp" localSheetId="1">#REF!</definedName>
    <definedName name="taxCapAp" localSheetId="3">#REF!</definedName>
    <definedName name="taxCapAp">#REF!</definedName>
    <definedName name="taxCorpIDFC" localSheetId="7">#REF!</definedName>
    <definedName name="taxCorpIDFC" localSheetId="1">#REF!</definedName>
    <definedName name="taxCorpIDFC" localSheetId="3">#REF!</definedName>
    <definedName name="taxCorpIDFC">#REF!</definedName>
    <definedName name="taxPaidThisYear" localSheetId="7">#REF!</definedName>
    <definedName name="taxPaidThisYear" localSheetId="1">#REF!</definedName>
    <definedName name="taxPaidThisYear" localSheetId="3">#REF!</definedName>
    <definedName name="taxPaidThisYear">#REF!</definedName>
    <definedName name="taxRate" localSheetId="7">#REF!</definedName>
    <definedName name="taxRate" localSheetId="1">#REF!</definedName>
    <definedName name="taxRate" localSheetId="3">#REF!</definedName>
    <definedName name="taxRate">#REF!</definedName>
    <definedName name="TaxTV">10%</definedName>
    <definedName name="TaxXL">5%</definedName>
    <definedName name="TB" localSheetId="5" hidden="1">{#N/A,#N/A,FALSE,"One Pager";#N/A,#N/A,FALSE,"Technical"}</definedName>
    <definedName name="TB" localSheetId="2" hidden="1">{#N/A,#N/A,FALSE,"One Pager";#N/A,#N/A,FALSE,"Technical"}</definedName>
    <definedName name="tc" localSheetId="7">#REF!</definedName>
    <definedName name="tc" localSheetId="1">#REF!</definedName>
    <definedName name="tc" localSheetId="3">#REF!</definedName>
    <definedName name="tc">#REF!</definedName>
    <definedName name="tcap" localSheetId="7">#REF!</definedName>
    <definedName name="tcap" localSheetId="1">#REF!</definedName>
    <definedName name="tcap" localSheetId="3">#REF!</definedName>
    <definedName name="tcap">#REF!</definedName>
    <definedName name="Tcrane" localSheetId="7">#REF!</definedName>
    <definedName name="Tcrane" localSheetId="1">#REF!</definedName>
    <definedName name="Tcrane" localSheetId="3">#REF!</definedName>
    <definedName name="Tcrane">#REF!</definedName>
    <definedName name="tcy" localSheetId="7">#REF!</definedName>
    <definedName name="tcy" localSheetId="1">#REF!</definedName>
    <definedName name="tcy" localSheetId="3">#REF!</definedName>
    <definedName name="tcy">#REF!</definedName>
    <definedName name="TEI" localSheetId="7">#REF!</definedName>
    <definedName name="TEI" localSheetId="1">#REF!</definedName>
    <definedName name="TEI" localSheetId="3">#REF!</definedName>
    <definedName name="TEI">#REF!</definedName>
    <definedName name="telecom" localSheetId="7">#REF!</definedName>
    <definedName name="telecom" localSheetId="1">#REF!</definedName>
    <definedName name="telecom" localSheetId="3">#REF!</definedName>
    <definedName name="telecom">#REF!</definedName>
    <definedName name="temp1" localSheetId="7">#REF!</definedName>
    <definedName name="temp1" localSheetId="1">#REF!</definedName>
    <definedName name="temp1" localSheetId="3">#REF!</definedName>
    <definedName name="temp1">#REF!</definedName>
    <definedName name="tendem" localSheetId="7">#REF!</definedName>
    <definedName name="tendem" localSheetId="1">#REF!</definedName>
    <definedName name="tendem" localSheetId="3">#REF!</definedName>
    <definedName name="tendem">#REF!</definedName>
    <definedName name="ter_vapi" localSheetId="7">#REF!</definedName>
    <definedName name="ter_vapi" localSheetId="1">#REF!</definedName>
    <definedName name="ter_vapi" localSheetId="3">#REF!</definedName>
    <definedName name="ter_vapi">#REF!</definedName>
    <definedName name="TERM" localSheetId="7">#REF!</definedName>
    <definedName name="TERM" localSheetId="1">#REF!</definedName>
    <definedName name="TERM" localSheetId="3">#REF!</definedName>
    <definedName name="TERM">#REF!</definedName>
    <definedName name="TEs" localSheetId="7">#REF!</definedName>
    <definedName name="TEs" localSheetId="1">#REF!</definedName>
    <definedName name="TEs" localSheetId="3">#REF!</definedName>
    <definedName name="TEs">#REF!</definedName>
    <definedName name="TEs___0" localSheetId="7">#REF!</definedName>
    <definedName name="TEs___0" localSheetId="1">#REF!</definedName>
    <definedName name="TEs___0" localSheetId="3">#REF!</definedName>
    <definedName name="TEs___0">#REF!</definedName>
    <definedName name="TEs___13" localSheetId="7">#REF!</definedName>
    <definedName name="TEs___13" localSheetId="1">#REF!</definedName>
    <definedName name="TEs___13" localSheetId="3">#REF!</definedName>
    <definedName name="TEs___13">#REF!</definedName>
    <definedName name="TEST" localSheetId="7">#REF!</definedName>
    <definedName name="TEST" localSheetId="1">#REF!</definedName>
    <definedName name="TEST" localSheetId="3">#REF!</definedName>
    <definedName name="TEST">#REF!</definedName>
    <definedName name="TEt" localSheetId="7">#REF!</definedName>
    <definedName name="TEt" localSheetId="1">#REF!</definedName>
    <definedName name="TEt" localSheetId="3">#REF!</definedName>
    <definedName name="TEt">#REF!</definedName>
    <definedName name="TEt___0" localSheetId="7">#REF!</definedName>
    <definedName name="TEt___0" localSheetId="1">#REF!</definedName>
    <definedName name="TEt___0" localSheetId="3">#REF!</definedName>
    <definedName name="TEt___0">#REF!</definedName>
    <definedName name="TEt___13" localSheetId="7">#REF!</definedName>
    <definedName name="TEt___13" localSheetId="1">#REF!</definedName>
    <definedName name="TEt___13" localSheetId="3">#REF!</definedName>
    <definedName name="TEt___13">#REF!</definedName>
    <definedName name="TF" localSheetId="7">#REF!</definedName>
    <definedName name="TF" localSheetId="1">#REF!</definedName>
    <definedName name="TF" localSheetId="3">#REF!</definedName>
    <definedName name="TF">#REF!</definedName>
    <definedName name="th" localSheetId="7">#REF!</definedName>
    <definedName name="th" localSheetId="1">#REF!</definedName>
    <definedName name="th" localSheetId="3">#REF!</definedName>
    <definedName name="th">#REF!</definedName>
    <definedName name="the" localSheetId="5" hidden="1">{#N/A,#N/A,FALSE,"gc (2)"}</definedName>
    <definedName name="the" localSheetId="2" hidden="1">{#N/A,#N/A,FALSE,"gc (2)"}</definedName>
    <definedName name="thousand">1000</definedName>
    <definedName name="tick">"ü"</definedName>
    <definedName name="tileaq" localSheetId="7">#REF!</definedName>
    <definedName name="tileaq" localSheetId="1">#REF!</definedName>
    <definedName name="tileaq" localSheetId="3">#REF!</definedName>
    <definedName name="tileaq">#REF!</definedName>
    <definedName name="timeHorizon" localSheetId="2">#REF!</definedName>
    <definedName name="tipper" localSheetId="2">#REF!</definedName>
    <definedName name="TIPPER6" localSheetId="2">#REF!</definedName>
    <definedName name="TIPPER8" localSheetId="2">#REF!</definedName>
    <definedName name="Title1" localSheetId="7">#REF!</definedName>
    <definedName name="Title1" localSheetId="1">#REF!</definedName>
    <definedName name="Title1" localSheetId="3">#REF!</definedName>
    <definedName name="Title1">#REF!</definedName>
    <definedName name="Title2" localSheetId="7">#REF!</definedName>
    <definedName name="Title2" localSheetId="1">#REF!</definedName>
    <definedName name="Title2" localSheetId="3">#REF!</definedName>
    <definedName name="Title2">#REF!</definedName>
    <definedName name="Titoli_stampa_MI" localSheetId="7">#REF!</definedName>
    <definedName name="Titoli_stampa_MI" localSheetId="1">#REF!</definedName>
    <definedName name="Titoli_stampa_MI" localSheetId="3">#REF!</definedName>
    <definedName name="Titoli_stampa_MI">#REF!</definedName>
    <definedName name="Tk" localSheetId="7">#REF!</definedName>
    <definedName name="Tk" localSheetId="1">#REF!</definedName>
    <definedName name="Tk" localSheetId="3">#REF!</definedName>
    <definedName name="Tk">#REF!</definedName>
    <definedName name="Tkl" localSheetId="7">#REF!</definedName>
    <definedName name="Tkl" localSheetId="1">#REF!</definedName>
    <definedName name="Tkl" localSheetId="3">#REF!</definedName>
    <definedName name="Tkl">#REF!</definedName>
    <definedName name="Tm" localSheetId="7">#REF!</definedName>
    <definedName name="Tm" localSheetId="1">#REF!</definedName>
    <definedName name="Tm" localSheetId="3">#REF!</definedName>
    <definedName name="Tm">#REF!</definedName>
    <definedName name="TMaj_cou" localSheetId="7">#REF!</definedName>
    <definedName name="TMaj_cou" localSheetId="1">#REF!</definedName>
    <definedName name="TMaj_cou" localSheetId="3">#REF!</definedName>
    <definedName name="TMaj_cou">#REF!</definedName>
    <definedName name="TMIXER" localSheetId="7">#REF!</definedName>
    <definedName name="TMIXER" localSheetId="1">#REF!</definedName>
    <definedName name="TMIXER" localSheetId="3">#REF!</definedName>
    <definedName name="TMIXER">#REF!</definedName>
    <definedName name="TMTbars" localSheetId="7">#REF!</definedName>
    <definedName name="TMTbars" localSheetId="1">#REF!</definedName>
    <definedName name="TMTbars" localSheetId="3">#REF!</definedName>
    <definedName name="TMTbars">#REF!</definedName>
    <definedName name="TO.AR" localSheetId="7">#REF!</definedName>
    <definedName name="TO.AR" localSheetId="1">#REF!</definedName>
    <definedName name="TO.AR" localSheetId="3">#REF!</definedName>
    <definedName name="TO.AR">#REF!</definedName>
    <definedName name="tol" localSheetId="7">#REF!</definedName>
    <definedName name="tol" localSheetId="1">#REF!</definedName>
    <definedName name="tol" localSheetId="3">#REF!</definedName>
    <definedName name="tol">#REF!</definedName>
    <definedName name="tools" localSheetId="7">#REF!</definedName>
    <definedName name="tools" localSheetId="1">#REF!</definedName>
    <definedName name="tools" localSheetId="3">#REF!</definedName>
    <definedName name="tools">#REF!</definedName>
    <definedName name="tools1" localSheetId="7">#REF!</definedName>
    <definedName name="tools1" localSheetId="1">#REF!</definedName>
    <definedName name="tools1" localSheetId="3">#REF!</definedName>
    <definedName name="tools1">#REF!</definedName>
    <definedName name="top" localSheetId="7">#REF!</definedName>
    <definedName name="top" localSheetId="1">#REF!</definedName>
    <definedName name="top" localSheetId="3">#REF!</definedName>
    <definedName name="top">#REF!</definedName>
    <definedName name="topl" localSheetId="7">#REF!</definedName>
    <definedName name="topl" localSheetId="1">#REF!</definedName>
    <definedName name="topl" localSheetId="3">#REF!</definedName>
    <definedName name="topl">#REF!</definedName>
    <definedName name="topn" localSheetId="7">#REF!</definedName>
    <definedName name="topn" localSheetId="1">#REF!</definedName>
    <definedName name="topn" localSheetId="3">#REF!</definedName>
    <definedName name="topn">#REF!</definedName>
    <definedName name="TopSlbThk" localSheetId="7">#REF!</definedName>
    <definedName name="TopSlbThk" localSheetId="1">#REF!</definedName>
    <definedName name="TopSlbThk" localSheetId="3">#REF!</definedName>
    <definedName name="TopSlbThk">#REF!</definedName>
    <definedName name="TOTAL_CONSUMPTION" localSheetId="2">#REF!</definedName>
    <definedName name="Total_Interest" localSheetId="2">#REF!</definedName>
    <definedName name="Total_Mandays" localSheetId="2">#REF!</definedName>
    <definedName name="Total_Payment" localSheetId="5">Scheduled_Payment+Extra_Payment</definedName>
    <definedName name="Total_Payment" localSheetId="2">Scheduled_Payment+Extra_Payment</definedName>
    <definedName name="TotDebtAvgDSCR" localSheetId="2">#REF!</definedName>
    <definedName name="TotDebtLLCR" localSheetId="2">#REF!</definedName>
    <definedName name="TotDebtMinDSCR" localSheetId="2">#REF!</definedName>
    <definedName name="tr" localSheetId="5" hidden="1">{#N/A,#N/A,FALSE,"COVER.XLS";#N/A,#N/A,FALSE,"RACT1.XLS";#N/A,#N/A,FALSE,"RACT2.XLS";#N/A,#N/A,FALSE,"ECCMP";#N/A,#N/A,FALSE,"WELDER.XLS"}</definedName>
    <definedName name="tr" localSheetId="2" hidden="1">{#N/A,#N/A,FALSE,"COVER.XLS";#N/A,#N/A,FALSE,"RACT1.XLS";#N/A,#N/A,FALSE,"RACT2.XLS";#N/A,#N/A,FALSE,"ECCMP";#N/A,#N/A,FALSE,"WELDER.XLS"}</definedName>
    <definedName name="tractor" localSheetId="7">#REF!</definedName>
    <definedName name="tractor" localSheetId="1">#REF!</definedName>
    <definedName name="tractor" localSheetId="3">#REF!</definedName>
    <definedName name="tractor">#REF!</definedName>
    <definedName name="TRADESMAN" localSheetId="7">#REF!</definedName>
    <definedName name="TRADESMAN" localSheetId="1">#REF!</definedName>
    <definedName name="TRADESMAN" localSheetId="3">#REF!</definedName>
    <definedName name="TRADESMAN">#REF!</definedName>
    <definedName name="TransInsu" localSheetId="7">#REF!</definedName>
    <definedName name="TransInsu" localSheetId="1">#REF!</definedName>
    <definedName name="TransInsu" localSheetId="3">#REF!</definedName>
    <definedName name="TransInsu">#REF!</definedName>
    <definedName name="Transport" localSheetId="7">#REF!</definedName>
    <definedName name="Transport" localSheetId="1">#REF!</definedName>
    <definedName name="Transport" localSheetId="3">#REF!</definedName>
    <definedName name="Transport">#REF!</definedName>
    <definedName name="Tres" localSheetId="7">#REF!</definedName>
    <definedName name="Tres" localSheetId="1">#REF!</definedName>
    <definedName name="Tres" localSheetId="3">#REF!</definedName>
    <definedName name="Tres">#REF!</definedName>
    <definedName name="tres4" localSheetId="7">#REF!</definedName>
    <definedName name="tres4" localSheetId="1">#REF!</definedName>
    <definedName name="tres4" localSheetId="3">#REF!</definedName>
    <definedName name="tres4">#REF!</definedName>
    <definedName name="Troller" localSheetId="7">#REF!</definedName>
    <definedName name="Troller" localSheetId="1">#REF!</definedName>
    <definedName name="Troller" localSheetId="3">#REF!</definedName>
    <definedName name="Troller">#REF!</definedName>
    <definedName name="trrrrrrrrrrrrr" localSheetId="5" hidden="1">{"form-D1",#N/A,FALSE,"FORM-D1";"form-D1_amt",#N/A,FALSE,"FORM-D1"}</definedName>
    <definedName name="trrrrrrrrrrrrr" localSheetId="2" hidden="1">{"form-D1",#N/A,FALSE,"FORM-D1";"form-D1_amt",#N/A,FALSE,"FORM-D1"}</definedName>
    <definedName name="trrrrrrrrrrrrr_1" localSheetId="5" hidden="1">{"form-D1",#N/A,FALSE,"FORM-D1";"form-D1_amt",#N/A,FALSE,"FORM-D1"}</definedName>
    <definedName name="trrrrrrrrrrrrr_1" localSheetId="2" hidden="1">{"form-D1",#N/A,FALSE,"FORM-D1";"form-D1_amt",#N/A,FALSE,"FORM-D1"}</definedName>
    <definedName name="trrrrrrrrrrrrr_1_1" localSheetId="5" hidden="1">{"form-D1",#N/A,FALSE,"FORM-D1";"form-D1_amt",#N/A,FALSE,"FORM-D1"}</definedName>
    <definedName name="trrrrrrrrrrrrr_1_1" localSheetId="2" hidden="1">{"form-D1",#N/A,FALSE,"FORM-D1";"form-D1_amt",#N/A,FALSE,"FORM-D1"}</definedName>
    <definedName name="trrrrrrrrrrrrr_1_2" localSheetId="5" hidden="1">{"form-D1",#N/A,FALSE,"FORM-D1";"form-D1_amt",#N/A,FALSE,"FORM-D1"}</definedName>
    <definedName name="trrrrrrrrrrrrr_1_2" localSheetId="2" hidden="1">{"form-D1",#N/A,FALSE,"FORM-D1";"form-D1_amt",#N/A,FALSE,"FORM-D1"}</definedName>
    <definedName name="trrrrrrrrrrrrr_2" localSheetId="5" hidden="1">{"form-D1",#N/A,FALSE,"FORM-D1";"form-D1_amt",#N/A,FALSE,"FORM-D1"}</definedName>
    <definedName name="trrrrrrrrrrrrr_2" localSheetId="2" hidden="1">{"form-D1",#N/A,FALSE,"FORM-D1";"form-D1_amt",#N/A,FALSE,"FORM-D1"}</definedName>
    <definedName name="trrrrrrrrrrrrr_2_1" localSheetId="5" hidden="1">{"form-D1",#N/A,FALSE,"FORM-D1";"form-D1_amt",#N/A,FALSE,"FORM-D1"}</definedName>
    <definedName name="trrrrrrrrrrrrr_2_1" localSheetId="2" hidden="1">{"form-D1",#N/A,FALSE,"FORM-D1";"form-D1_amt",#N/A,FALSE,"FORM-D1"}</definedName>
    <definedName name="trrrrrrrrrrrrr_3" localSheetId="5" hidden="1">{"form-D1",#N/A,FALSE,"FORM-D1";"form-D1_amt",#N/A,FALSE,"FORM-D1"}</definedName>
    <definedName name="trrrrrrrrrrrrr_3" localSheetId="2" hidden="1">{"form-D1",#N/A,FALSE,"FORM-D1";"form-D1_amt",#N/A,FALSE,"FORM-D1"}</definedName>
    <definedName name="trrrrrrrrrrrrr_3_1" localSheetId="5" hidden="1">{"form-D1",#N/A,FALSE,"FORM-D1";"form-D1_amt",#N/A,FALSE,"FORM-D1"}</definedName>
    <definedName name="trrrrrrrrrrrrr_3_1" localSheetId="2" hidden="1">{"form-D1",#N/A,FALSE,"FORM-D1";"form-D1_amt",#N/A,FALSE,"FORM-D1"}</definedName>
    <definedName name="trrrrrrrrrrrrr_4" localSheetId="5" hidden="1">{"form-D1",#N/A,FALSE,"FORM-D1";"form-D1_amt",#N/A,FALSE,"FORM-D1"}</definedName>
    <definedName name="trrrrrrrrrrrrr_4" localSheetId="2" hidden="1">{"form-D1",#N/A,FALSE,"FORM-D1";"form-D1_amt",#N/A,FALSE,"FORM-D1"}</definedName>
    <definedName name="trrrrrrrrrrrrr_4_1" localSheetId="5" hidden="1">{"form-D1",#N/A,FALSE,"FORM-D1";"form-D1_amt",#N/A,FALSE,"FORM-D1"}</definedName>
    <definedName name="trrrrrrrrrrrrr_4_1" localSheetId="2" hidden="1">{"form-D1",#N/A,FALSE,"FORM-D1";"form-D1_amt",#N/A,FALSE,"FORM-D1"}</definedName>
    <definedName name="trrrrrrrrrrrrr_5" localSheetId="5" hidden="1">{"form-D1",#N/A,FALSE,"FORM-D1";"form-D1_amt",#N/A,FALSE,"FORM-D1"}</definedName>
    <definedName name="trrrrrrrrrrrrr_5" localSheetId="2" hidden="1">{"form-D1",#N/A,FALSE,"FORM-D1";"form-D1_amt",#N/A,FALSE,"FORM-D1"}</definedName>
    <definedName name="trrrrrrrrrrrrr_5_1" localSheetId="5" hidden="1">{"form-D1",#N/A,FALSE,"FORM-D1";"form-D1_amt",#N/A,FALSE,"FORM-D1"}</definedName>
    <definedName name="trrrrrrrrrrrrr_5_1" localSheetId="2" hidden="1">{"form-D1",#N/A,FALSE,"FORM-D1";"form-D1_amt",#N/A,FALSE,"FORM-D1"}</definedName>
    <definedName name="Trt" localSheetId="7">#REF!</definedName>
    <definedName name="Trt" localSheetId="1">#REF!</definedName>
    <definedName name="Trt" localSheetId="3">#REF!</definedName>
    <definedName name="Trt">#REF!</definedName>
    <definedName name="trt0" localSheetId="7">#REF!</definedName>
    <definedName name="trt0" localSheetId="1">#REF!</definedName>
    <definedName name="trt0" localSheetId="3">#REF!</definedName>
    <definedName name="trt0">#REF!</definedName>
    <definedName name="tS" localSheetId="7">#REF!</definedName>
    <definedName name="tS" localSheetId="1">#REF!</definedName>
    <definedName name="tS" localSheetId="3">#REF!</definedName>
    <definedName name="tS">#REF!</definedName>
    <definedName name="tS___0" localSheetId="7">#REF!</definedName>
    <definedName name="tS___0" localSheetId="1">#REF!</definedName>
    <definedName name="tS___0" localSheetId="3">#REF!</definedName>
    <definedName name="tS___0">#REF!</definedName>
    <definedName name="tS___13" localSheetId="7">#REF!</definedName>
    <definedName name="tS___13" localSheetId="1">#REF!</definedName>
    <definedName name="tS___13" localSheetId="3">#REF!</definedName>
    <definedName name="tS___13">#REF!</definedName>
    <definedName name="TT" localSheetId="5" hidden="1">{#N/A,#N/A,TRUE,"Financials";#N/A,#N/A,TRUE,"Operating Statistics";#N/A,#N/A,TRUE,"Capex &amp; Depreciation";#N/A,#N/A,TRUE,"Debt"}</definedName>
    <definedName name="TT" localSheetId="2" hidden="1">{#N/A,#N/A,TRUE,"Financials";#N/A,#N/A,TRUE,"Operating Statistics";#N/A,#N/A,TRUE,"Capex &amp; Depreciation";#N/A,#N/A,TRUE,"Debt"}</definedName>
    <definedName name="tttt" localSheetId="7">#REF!</definedName>
    <definedName name="tttt" localSheetId="1">#REF!</definedName>
    <definedName name="tttt" localSheetId="3">#REF!</definedName>
    <definedName name="tttt">#REF!</definedName>
    <definedName name="ttttt" localSheetId="7">#REF!</definedName>
    <definedName name="ttttt" localSheetId="1">#REF!</definedName>
    <definedName name="ttttt" localSheetId="3">#REF!</definedName>
    <definedName name="ttttt">#REF!</definedName>
    <definedName name="tttttt" localSheetId="7">#REF!</definedName>
    <definedName name="tttttt" localSheetId="1">#REF!</definedName>
    <definedName name="tttttt" localSheetId="3">#REF!</definedName>
    <definedName name="tttttt">#REF!</definedName>
    <definedName name="tttttttt" localSheetId="7">#REF!</definedName>
    <definedName name="tttttttt" localSheetId="1">#REF!</definedName>
    <definedName name="tttttttt" localSheetId="3">#REF!</definedName>
    <definedName name="tttttttt">#REF!</definedName>
    <definedName name="ttttttttt" localSheetId="7">#REF!</definedName>
    <definedName name="ttttttttt" localSheetId="1">#REF!</definedName>
    <definedName name="ttttttttt" localSheetId="3">#REF!</definedName>
    <definedName name="ttttttttt">#REF!</definedName>
    <definedName name="tttttttttttttt" localSheetId="7">#REF!</definedName>
    <definedName name="tttttttttttttt" localSheetId="1">#REF!</definedName>
    <definedName name="tttttttttttttt" localSheetId="3">#REF!</definedName>
    <definedName name="tttttttttttttt">#REF!</definedName>
    <definedName name="tttttttttttttttttttt" localSheetId="7">#REF!</definedName>
    <definedName name="tttttttttttttttttttt" localSheetId="1">#REF!</definedName>
    <definedName name="tttttttttttttttttttt" localSheetId="3">#REF!</definedName>
    <definedName name="tttttttttttttttttttt">#REF!</definedName>
    <definedName name="TUES1" localSheetId="7">#REF!</definedName>
    <definedName name="TUES1" localSheetId="1">#REF!</definedName>
    <definedName name="TUES1" localSheetId="3">#REF!</definedName>
    <definedName name="TUES1">#REF!</definedName>
    <definedName name="tulip" localSheetId="7">#REF!</definedName>
    <definedName name="tulip" localSheetId="1">#REF!</definedName>
    <definedName name="tulip" localSheetId="3">#REF!</definedName>
    <definedName name="tulip">#REF!</definedName>
    <definedName name="TurHeatRate" localSheetId="7">#REF!</definedName>
    <definedName name="TurHeatRate" localSheetId="1">#REF!</definedName>
    <definedName name="TurHeatRate" localSheetId="3">#REF!</definedName>
    <definedName name="TurHeatRate">#REF!</definedName>
    <definedName name="TurHeatRate_I" localSheetId="7">#REF!</definedName>
    <definedName name="TurHeatRate_I" localSheetId="1">#REF!</definedName>
    <definedName name="TurHeatRate_I" localSheetId="3">#REF!</definedName>
    <definedName name="TurHeatRate_I">#REF!</definedName>
    <definedName name="twentytwo" localSheetId="7">#REF!</definedName>
    <definedName name="twentytwo" localSheetId="1">#REF!</definedName>
    <definedName name="twentytwo" localSheetId="3">#REF!</definedName>
    <definedName name="twentytwo">#REF!</definedName>
    <definedName name="type1" localSheetId="2">#REF!</definedName>
    <definedName name="type11" localSheetId="2">#REF!</definedName>
    <definedName name="type12" localSheetId="2">#REF!</definedName>
    <definedName name="type1drop" localSheetId="7">#REF!</definedName>
    <definedName name="type1drop" localSheetId="1">#REF!</definedName>
    <definedName name="type1drop" localSheetId="3">#REF!</definedName>
    <definedName name="type1drop">#REF!</definedName>
    <definedName name="type1drop11" localSheetId="7">#REF!</definedName>
    <definedName name="type1drop11" localSheetId="1">#REF!</definedName>
    <definedName name="type1drop11" localSheetId="3">#REF!</definedName>
    <definedName name="type1drop11">#REF!</definedName>
    <definedName name="type1drop12" localSheetId="7">#REF!</definedName>
    <definedName name="type1drop12" localSheetId="1">#REF!</definedName>
    <definedName name="type1drop12" localSheetId="3">#REF!</definedName>
    <definedName name="type1drop12">#REF!</definedName>
    <definedName name="type1drop2" localSheetId="7">#REF!</definedName>
    <definedName name="type1drop2" localSheetId="1">#REF!</definedName>
    <definedName name="type1drop2" localSheetId="3">#REF!</definedName>
    <definedName name="type1drop2">#REF!</definedName>
    <definedName name="TYPE1DROP212" localSheetId="7">#REF!</definedName>
    <definedName name="TYPE1DROP212" localSheetId="1">#REF!</definedName>
    <definedName name="TYPE1DROP212" localSheetId="3">#REF!</definedName>
    <definedName name="TYPE1DROP212">#REF!</definedName>
    <definedName name="TYPE1DROP23" localSheetId="7">#REF!</definedName>
    <definedName name="TYPE1DROP23" localSheetId="1">#REF!</definedName>
    <definedName name="TYPE1DROP23" localSheetId="3">#REF!</definedName>
    <definedName name="TYPE1DROP23">#REF!</definedName>
    <definedName name="TYPE1DROP3" localSheetId="7">#REF!</definedName>
    <definedName name="TYPE1DROP3" localSheetId="1">#REF!</definedName>
    <definedName name="TYPE1DROP3" localSheetId="3">#REF!</definedName>
    <definedName name="TYPE1DROP3">#REF!</definedName>
    <definedName name="type1slab" localSheetId="7">#REF!</definedName>
    <definedName name="type1slab" localSheetId="1">#REF!</definedName>
    <definedName name="type1slab" localSheetId="3">#REF!</definedName>
    <definedName name="type1slab">#REF!</definedName>
    <definedName name="type1slab11" localSheetId="7">#REF!</definedName>
    <definedName name="type1slab11" localSheetId="1">#REF!</definedName>
    <definedName name="type1slab11" localSheetId="3">#REF!</definedName>
    <definedName name="type1slab11">#REF!</definedName>
    <definedName name="TYPE1SLAB12" localSheetId="7">#REF!</definedName>
    <definedName name="TYPE1SLAB12" localSheetId="1">#REF!</definedName>
    <definedName name="TYPE1SLAB12" localSheetId="3">#REF!</definedName>
    <definedName name="TYPE1SLAB12">#REF!</definedName>
    <definedName name="TYPE1SLAB13" localSheetId="7">#REF!</definedName>
    <definedName name="TYPE1SLAB13" localSheetId="1">#REF!</definedName>
    <definedName name="TYPE1SLAB13" localSheetId="3">#REF!</definedName>
    <definedName name="TYPE1SLAB13">#REF!</definedName>
    <definedName name="type1slab2" localSheetId="7">#REF!</definedName>
    <definedName name="type1slab2" localSheetId="1">#REF!</definedName>
    <definedName name="type1slab2" localSheetId="3">#REF!</definedName>
    <definedName name="type1slab2">#REF!</definedName>
    <definedName name="TYPE1SLAB21" localSheetId="7">#REF!</definedName>
    <definedName name="TYPE1SLAB21" localSheetId="1">#REF!</definedName>
    <definedName name="TYPE1SLAB21" localSheetId="3">#REF!</definedName>
    <definedName name="TYPE1SLAB21">#REF!</definedName>
    <definedName name="type1slab6" localSheetId="7">#REF!</definedName>
    <definedName name="type1slab6" localSheetId="1">#REF!</definedName>
    <definedName name="type1slab6" localSheetId="3">#REF!</definedName>
    <definedName name="type1slab6">#REF!</definedName>
    <definedName name="TYPE2" localSheetId="7">#REF!</definedName>
    <definedName name="TYPE2" localSheetId="1">#REF!</definedName>
    <definedName name="TYPE2" localSheetId="3">#REF!</definedName>
    <definedName name="TYPE2">#REF!</definedName>
    <definedName name="type22" localSheetId="7">#REF!</definedName>
    <definedName name="type22" localSheetId="1">#REF!</definedName>
    <definedName name="type22" localSheetId="3">#REF!</definedName>
    <definedName name="type22">#REF!</definedName>
    <definedName name="TYPE23" localSheetId="7">#REF!</definedName>
    <definedName name="TYPE23" localSheetId="1">#REF!</definedName>
    <definedName name="TYPE23" localSheetId="3">#REF!</definedName>
    <definedName name="TYPE23">#REF!</definedName>
    <definedName name="type2drop" localSheetId="7">#REF!</definedName>
    <definedName name="type2drop" localSheetId="1">#REF!</definedName>
    <definedName name="type2drop" localSheetId="3">#REF!</definedName>
    <definedName name="type2drop">#REF!</definedName>
    <definedName name="type2drop2" localSheetId="7">#REF!</definedName>
    <definedName name="type2drop2" localSheetId="1">#REF!</definedName>
    <definedName name="type2drop2" localSheetId="3">#REF!</definedName>
    <definedName name="type2drop2">#REF!</definedName>
    <definedName name="type2drop22" localSheetId="7">#REF!</definedName>
    <definedName name="type2drop22" localSheetId="1">#REF!</definedName>
    <definedName name="type2drop22" localSheetId="3">#REF!</definedName>
    <definedName name="type2drop22">#REF!</definedName>
    <definedName name="type2drop23" localSheetId="7">#REF!</definedName>
    <definedName name="type2drop23" localSheetId="1">#REF!</definedName>
    <definedName name="type2drop23" localSheetId="3">#REF!</definedName>
    <definedName name="type2drop23">#REF!</definedName>
    <definedName name="TYPE2DROP24" localSheetId="7">#REF!</definedName>
    <definedName name="TYPE2DROP24" localSheetId="1">#REF!</definedName>
    <definedName name="TYPE2DROP24" localSheetId="3">#REF!</definedName>
    <definedName name="TYPE2DROP24">#REF!</definedName>
    <definedName name="TYPE2DROP3" localSheetId="7">#REF!</definedName>
    <definedName name="TYPE2DROP3" localSheetId="1">#REF!</definedName>
    <definedName name="TYPE2DROP3" localSheetId="3">#REF!</definedName>
    <definedName name="TYPE2DROP3">#REF!</definedName>
    <definedName name="TYPE2DROP32" localSheetId="7">#REF!</definedName>
    <definedName name="TYPE2DROP32" localSheetId="1">#REF!</definedName>
    <definedName name="TYPE2DROP32" localSheetId="3">#REF!</definedName>
    <definedName name="TYPE2DROP32">#REF!</definedName>
    <definedName name="type2slab" localSheetId="7">#REF!</definedName>
    <definedName name="type2slab" localSheetId="1">#REF!</definedName>
    <definedName name="type2slab" localSheetId="3">#REF!</definedName>
    <definedName name="type2slab">#REF!</definedName>
    <definedName name="TYPE2SLAB12" localSheetId="7">#REF!</definedName>
    <definedName name="TYPE2SLAB12" localSheetId="1">#REF!</definedName>
    <definedName name="TYPE2SLAB12" localSheetId="3">#REF!</definedName>
    <definedName name="TYPE2SLAB12">#REF!</definedName>
    <definedName name="type2slab2" localSheetId="7">#REF!</definedName>
    <definedName name="type2slab2" localSheetId="1">#REF!</definedName>
    <definedName name="type2slab2" localSheetId="3">#REF!</definedName>
    <definedName name="type2slab2">#REF!</definedName>
    <definedName name="TYPE2SLAB21" localSheetId="7">#REF!</definedName>
    <definedName name="TYPE2SLAB21" localSheetId="1">#REF!</definedName>
    <definedName name="TYPE2SLAB21" localSheetId="3">#REF!</definedName>
    <definedName name="TYPE2SLAB21">#REF!</definedName>
    <definedName name="type2slab22" localSheetId="7">#REF!</definedName>
    <definedName name="type2slab22" localSheetId="1">#REF!</definedName>
    <definedName name="type2slab22" localSheetId="3">#REF!</definedName>
    <definedName name="type2slab22">#REF!</definedName>
    <definedName name="TYPE2SLAB24" localSheetId="7">#REF!</definedName>
    <definedName name="TYPE2SLAB24" localSheetId="1">#REF!</definedName>
    <definedName name="TYPE2SLAB24" localSheetId="3">#REF!</definedName>
    <definedName name="TYPE2SLAB24">#REF!</definedName>
    <definedName name="type2slab3" localSheetId="7">#REF!</definedName>
    <definedName name="type2slab3" localSheetId="1">#REF!</definedName>
    <definedName name="type2slab3" localSheetId="3">#REF!</definedName>
    <definedName name="type2slab3">#REF!</definedName>
    <definedName name="Type3" localSheetId="7">#REF!</definedName>
    <definedName name="Type3" localSheetId="1">#REF!</definedName>
    <definedName name="Type3" localSheetId="3">#REF!</definedName>
    <definedName name="Type3">#REF!</definedName>
    <definedName name="type3drop" localSheetId="7">#REF!</definedName>
    <definedName name="type3drop" localSheetId="1">#REF!</definedName>
    <definedName name="type3drop" localSheetId="3">#REF!</definedName>
    <definedName name="type3drop">#REF!</definedName>
    <definedName name="type3drop2" localSheetId="7">#REF!</definedName>
    <definedName name="type3drop2" localSheetId="1">#REF!</definedName>
    <definedName name="type3drop2" localSheetId="3">#REF!</definedName>
    <definedName name="type3drop2">#REF!</definedName>
    <definedName name="type3drop22" localSheetId="7">#REF!</definedName>
    <definedName name="type3drop22" localSheetId="1">#REF!</definedName>
    <definedName name="type3drop22" localSheetId="3">#REF!</definedName>
    <definedName name="type3drop22">#REF!</definedName>
    <definedName name="TYPE3DROP23" localSheetId="7">#REF!</definedName>
    <definedName name="TYPE3DROP23" localSheetId="1">#REF!</definedName>
    <definedName name="TYPE3DROP23" localSheetId="3">#REF!</definedName>
    <definedName name="TYPE3DROP23">#REF!</definedName>
    <definedName name="TYPE3DROP43" localSheetId="7">#REF!</definedName>
    <definedName name="TYPE3DROP43" localSheetId="1">#REF!</definedName>
    <definedName name="TYPE3DROP43" localSheetId="3">#REF!</definedName>
    <definedName name="TYPE3DROP43">#REF!</definedName>
    <definedName name="TYPE3DROP56" localSheetId="7">#REF!</definedName>
    <definedName name="TYPE3DROP56" localSheetId="1">#REF!</definedName>
    <definedName name="TYPE3DROP56" localSheetId="3">#REF!</definedName>
    <definedName name="TYPE3DROP56">#REF!</definedName>
    <definedName name="type3drop6" localSheetId="7">#REF!</definedName>
    <definedName name="type3drop6" localSheetId="1">#REF!</definedName>
    <definedName name="type3drop6" localSheetId="3">#REF!</definedName>
    <definedName name="type3drop6">#REF!</definedName>
    <definedName name="type3slab" localSheetId="7">#REF!</definedName>
    <definedName name="type3slab" localSheetId="1">#REF!</definedName>
    <definedName name="type3slab" localSheetId="3">#REF!</definedName>
    <definedName name="type3slab">#REF!</definedName>
    <definedName name="TYPE3SLAB12" localSheetId="7">#REF!</definedName>
    <definedName name="TYPE3SLAB12" localSheetId="1">#REF!</definedName>
    <definedName name="TYPE3SLAB12" localSheetId="3">#REF!</definedName>
    <definedName name="TYPE3SLAB12">#REF!</definedName>
    <definedName name="type3slab2" localSheetId="7">#REF!</definedName>
    <definedName name="type3slab2" localSheetId="1">#REF!</definedName>
    <definedName name="type3slab2" localSheetId="3">#REF!</definedName>
    <definedName name="type3slab2">#REF!</definedName>
    <definedName name="TYPE3SLAB23" localSheetId="7">#REF!</definedName>
    <definedName name="TYPE3SLAB23" localSheetId="1">#REF!</definedName>
    <definedName name="TYPE3SLAB23" localSheetId="3">#REF!</definedName>
    <definedName name="TYPE3SLAB23">#REF!</definedName>
    <definedName name="type3slab3" localSheetId="7">#REF!</definedName>
    <definedName name="type3slab3" localSheetId="1">#REF!</definedName>
    <definedName name="type3slab3" localSheetId="3">#REF!</definedName>
    <definedName name="type3slab3">#REF!</definedName>
    <definedName name="TYPE3SLAB32" localSheetId="7">#REF!</definedName>
    <definedName name="TYPE3SLAB32" localSheetId="1">#REF!</definedName>
    <definedName name="TYPE3SLAB32" localSheetId="3">#REF!</definedName>
    <definedName name="TYPE3SLAB32">#REF!</definedName>
    <definedName name="type3slab4" localSheetId="7">#REF!</definedName>
    <definedName name="type3slab4" localSheetId="1">#REF!</definedName>
    <definedName name="type3slab4" localSheetId="3">#REF!</definedName>
    <definedName name="type3slab4">#REF!</definedName>
    <definedName name="type3slab6" localSheetId="7">#REF!</definedName>
    <definedName name="type3slab6" localSheetId="1">#REF!</definedName>
    <definedName name="type3slab6" localSheetId="3">#REF!</definedName>
    <definedName name="type3slab6">#REF!</definedName>
    <definedName name="type4" localSheetId="7">#REF!</definedName>
    <definedName name="type4" localSheetId="1">#REF!</definedName>
    <definedName name="type4" localSheetId="3">#REF!</definedName>
    <definedName name="type4">#REF!</definedName>
    <definedName name="type44" localSheetId="7">#REF!</definedName>
    <definedName name="type44" localSheetId="1">#REF!</definedName>
    <definedName name="type44" localSheetId="3">#REF!</definedName>
    <definedName name="type44">#REF!</definedName>
    <definedName name="type45" localSheetId="7">#REF!</definedName>
    <definedName name="type45" localSheetId="1">#REF!</definedName>
    <definedName name="type45" localSheetId="3">#REF!</definedName>
    <definedName name="type45">#REF!</definedName>
    <definedName name="type46" localSheetId="7">#REF!</definedName>
    <definedName name="type46" localSheetId="1">#REF!</definedName>
    <definedName name="type46" localSheetId="3">#REF!</definedName>
    <definedName name="type46">#REF!</definedName>
    <definedName name="TYPE47" localSheetId="7">#REF!</definedName>
    <definedName name="TYPE47" localSheetId="1">#REF!</definedName>
    <definedName name="TYPE47" localSheetId="3">#REF!</definedName>
    <definedName name="TYPE47">#REF!</definedName>
    <definedName name="TYPE48" localSheetId="7">#REF!</definedName>
    <definedName name="TYPE48" localSheetId="1">#REF!</definedName>
    <definedName name="TYPE48" localSheetId="3">#REF!</definedName>
    <definedName name="TYPE48">#REF!</definedName>
    <definedName name="type4drop" localSheetId="7">#REF!</definedName>
    <definedName name="type4drop" localSheetId="1">#REF!</definedName>
    <definedName name="type4drop" localSheetId="3">#REF!</definedName>
    <definedName name="type4drop">#REF!</definedName>
    <definedName name="TYPE4DROP12" localSheetId="7">#REF!</definedName>
    <definedName name="TYPE4DROP12" localSheetId="1">#REF!</definedName>
    <definedName name="TYPE4DROP12" localSheetId="3">#REF!</definedName>
    <definedName name="TYPE4DROP12">#REF!</definedName>
    <definedName name="type4drop2" localSheetId="7">#REF!</definedName>
    <definedName name="type4drop2" localSheetId="1">#REF!</definedName>
    <definedName name="type4drop2" localSheetId="3">#REF!</definedName>
    <definedName name="type4drop2">#REF!</definedName>
    <definedName name="TYPE4DROP23" localSheetId="7">#REF!</definedName>
    <definedName name="TYPE4DROP23" localSheetId="1">#REF!</definedName>
    <definedName name="TYPE4DROP23" localSheetId="3">#REF!</definedName>
    <definedName name="TYPE4DROP23">#REF!</definedName>
    <definedName name="type4drop4" localSheetId="7">#REF!</definedName>
    <definedName name="type4drop4" localSheetId="1">#REF!</definedName>
    <definedName name="type4drop4" localSheetId="3">#REF!</definedName>
    <definedName name="type4drop4">#REF!</definedName>
    <definedName name="TYPE4DROP54" localSheetId="7">#REF!</definedName>
    <definedName name="TYPE4DROP54" localSheetId="1">#REF!</definedName>
    <definedName name="TYPE4DROP54" localSheetId="3">#REF!</definedName>
    <definedName name="TYPE4DROP54">#REF!</definedName>
    <definedName name="type4drops" localSheetId="7">#REF!</definedName>
    <definedName name="type4drops" localSheetId="1">#REF!</definedName>
    <definedName name="type4drops" localSheetId="3">#REF!</definedName>
    <definedName name="type4drops">#REF!</definedName>
    <definedName name="type4slab" localSheetId="7">#REF!</definedName>
    <definedName name="type4slab" localSheetId="1">#REF!</definedName>
    <definedName name="type4slab" localSheetId="3">#REF!</definedName>
    <definedName name="type4slab">#REF!</definedName>
    <definedName name="TYPE4SLAB12" localSheetId="7">#REF!</definedName>
    <definedName name="TYPE4SLAB12" localSheetId="1">#REF!</definedName>
    <definedName name="TYPE4SLAB12" localSheetId="3">#REF!</definedName>
    <definedName name="TYPE4SLAB12">#REF!</definedName>
    <definedName name="type4slab22" localSheetId="7">#REF!</definedName>
    <definedName name="type4slab22" localSheetId="1">#REF!</definedName>
    <definedName name="type4slab22" localSheetId="3">#REF!</definedName>
    <definedName name="type4slab22">#REF!</definedName>
    <definedName name="TYPE4SLAB23" localSheetId="7">#REF!</definedName>
    <definedName name="TYPE4SLAB23" localSheetId="1">#REF!</definedName>
    <definedName name="TYPE4SLAB23" localSheetId="3">#REF!</definedName>
    <definedName name="TYPE4SLAB23">#REF!</definedName>
    <definedName name="TYPE4SLAB32" localSheetId="7">#REF!</definedName>
    <definedName name="TYPE4SLAB32" localSheetId="1">#REF!</definedName>
    <definedName name="TYPE4SLAB32" localSheetId="3">#REF!</definedName>
    <definedName name="TYPE4SLAB32">#REF!</definedName>
    <definedName name="type4slab6" localSheetId="7">#REF!</definedName>
    <definedName name="type4slab6" localSheetId="1">#REF!</definedName>
    <definedName name="type4slab6" localSheetId="3">#REF!</definedName>
    <definedName name="type4slab6">#REF!</definedName>
    <definedName name="type5" localSheetId="7">#REF!</definedName>
    <definedName name="type5" localSheetId="1">#REF!</definedName>
    <definedName name="type5" localSheetId="3">#REF!</definedName>
    <definedName name="type5">#REF!</definedName>
    <definedName name="type6" localSheetId="7">#REF!</definedName>
    <definedName name="type6" localSheetId="1">#REF!</definedName>
    <definedName name="type6" localSheetId="3">#REF!</definedName>
    <definedName name="type6">#REF!</definedName>
    <definedName name="TYPE64" localSheetId="7">#REF!</definedName>
    <definedName name="TYPE64" localSheetId="1">#REF!</definedName>
    <definedName name="TYPE64" localSheetId="3">#REF!</definedName>
    <definedName name="TYPE64">#REF!</definedName>
    <definedName name="tyty" localSheetId="7">#REF!</definedName>
    <definedName name="tyty" localSheetId="1">#REF!</definedName>
    <definedName name="tyty" localSheetId="3">#REF!</definedName>
    <definedName name="tyty">#REF!</definedName>
    <definedName name="U" localSheetId="7">#REF!</definedName>
    <definedName name="U" localSheetId="1">#REF!</definedName>
    <definedName name="U" localSheetId="3">#REF!</definedName>
    <definedName name="U">#REF!</definedName>
    <definedName name="ulenx" localSheetId="7">#REF!</definedName>
    <definedName name="ulenx" localSheetId="1">#REF!</definedName>
    <definedName name="ulenx" localSheetId="3">#REF!</definedName>
    <definedName name="ulenx">#REF!</definedName>
    <definedName name="uleny" localSheetId="7">#REF!</definedName>
    <definedName name="uleny" localSheetId="1">#REF!</definedName>
    <definedName name="uleny" localSheetId="3">#REF!</definedName>
    <definedName name="uleny">#REF!</definedName>
    <definedName name="uma" localSheetId="5" hidden="1">{#N/A,#N/A,FALSE,"COVER1.XLS ";#N/A,#N/A,FALSE,"RACT1.XLS";#N/A,#N/A,FALSE,"RACT2.XLS";#N/A,#N/A,FALSE,"ECCMP";#N/A,#N/A,FALSE,"WELDER.XLS"}</definedName>
    <definedName name="uma" localSheetId="2" hidden="1">{#N/A,#N/A,FALSE,"COVER1.XLS ";#N/A,#N/A,FALSE,"RACT1.XLS";#N/A,#N/A,FALSE,"RACT2.XLS";#N/A,#N/A,FALSE,"ECCMP";#N/A,#N/A,FALSE,"WELDER.XLS"}</definedName>
    <definedName name="uniexp" localSheetId="7">#REF!</definedName>
    <definedName name="uniexp" localSheetId="1">#REF!</definedName>
    <definedName name="uniexp" localSheetId="3">#REF!</definedName>
    <definedName name="uniexp">#REF!</definedName>
    <definedName name="uniexp1" localSheetId="7">#REF!</definedName>
    <definedName name="uniexp1" localSheetId="1">#REF!</definedName>
    <definedName name="uniexp1" localSheetId="3">#REF!</definedName>
    <definedName name="uniexp1">#REF!</definedName>
    <definedName name="unit" localSheetId="7">#REF!</definedName>
    <definedName name="unit" localSheetId="1">#REF!</definedName>
    <definedName name="unit" localSheetId="3">#REF!</definedName>
    <definedName name="unit">#REF!</definedName>
    <definedName name="Unit_Rate">"E1"</definedName>
    <definedName name="UNITS" localSheetId="7">#REF!</definedName>
    <definedName name="UNITS" localSheetId="1">#REF!</definedName>
    <definedName name="UNITS" localSheetId="3">#REF!</definedName>
    <definedName name="UNITS">#REF!</definedName>
    <definedName name="Units_Generated" localSheetId="7">#REF!</definedName>
    <definedName name="Units_Generated" localSheetId="1">#REF!</definedName>
    <definedName name="Units_Generated" localSheetId="3">#REF!</definedName>
    <definedName name="Units_Generated">#REF!</definedName>
    <definedName name="unsecured" localSheetId="7">#REF!</definedName>
    <definedName name="unsecured" localSheetId="1">#REF!</definedName>
    <definedName name="unsecured" localSheetId="3">#REF!</definedName>
    <definedName name="unsecured">#REF!</definedName>
    <definedName name="Unskilledmazdoor" localSheetId="7">#REF!</definedName>
    <definedName name="Unskilledmazdoor" localSheetId="1">#REF!</definedName>
    <definedName name="Unskilledmazdoor" localSheetId="3">#REF!</definedName>
    <definedName name="Unskilledmazdoor">#REF!</definedName>
    <definedName name="Uo" localSheetId="7">#REF!</definedName>
    <definedName name="Uo" localSheetId="1">#REF!</definedName>
    <definedName name="Uo" localSheetId="3">#REF!</definedName>
    <definedName name="Uo">#REF!</definedName>
    <definedName name="UP" localSheetId="7">#REF!</definedName>
    <definedName name="UP" localSheetId="1">#REF!</definedName>
    <definedName name="UP" localSheetId="3">#REF!</definedName>
    <definedName name="UP">#REF!</definedName>
    <definedName name="usd" localSheetId="2">#REF!</definedName>
    <definedName name="Use_Alternates" localSheetId="2">#REF!</definedName>
    <definedName name="Ut" localSheetId="7">#REF!</definedName>
    <definedName name="Ut" localSheetId="1">#REF!</definedName>
    <definedName name="Ut" localSheetId="3">#REF!</definedName>
    <definedName name="Ut">#REF!</definedName>
    <definedName name="UtilExp" localSheetId="7">#REF!</definedName>
    <definedName name="UtilExp" localSheetId="1">#REF!</definedName>
    <definedName name="UtilExp" localSheetId="3">#REF!</definedName>
    <definedName name="UtilExp">#REF!</definedName>
    <definedName name="UtilExp_I" localSheetId="7">#REF!</definedName>
    <definedName name="UtilExp_I" localSheetId="1">#REF!</definedName>
    <definedName name="UtilExp_I" localSheetId="3">#REF!</definedName>
    <definedName name="UtilExp_I">#REF!</definedName>
    <definedName name="uu" localSheetId="5" hidden="1">{#N/A,#N/A,FALSE,"gc (2)"}</definedName>
    <definedName name="uu" localSheetId="2" hidden="1">{#N/A,#N/A,FALSE,"gc (2)"}</definedName>
    <definedName name="uuuuuuuu" localSheetId="7">#REF!</definedName>
    <definedName name="uuuuuuuu" localSheetId="1">#REF!</definedName>
    <definedName name="uuuuuuuu" localSheetId="3">#REF!</definedName>
    <definedName name="uuuuuuuu">#REF!</definedName>
    <definedName name="uuuuuuuuuuuuuu" localSheetId="7">#REF!</definedName>
    <definedName name="uuuuuuuuuuuuuu" localSheetId="1">#REF!</definedName>
    <definedName name="uuuuuuuuuuuuuu" localSheetId="3">#REF!</definedName>
    <definedName name="uuuuuuuuuuuuuu">#REF!</definedName>
    <definedName name="v" localSheetId="7">#REF!</definedName>
    <definedName name="v" localSheetId="1">#REF!</definedName>
    <definedName name="v" localSheetId="3">#REF!</definedName>
    <definedName name="v">#REF!</definedName>
    <definedName name="v.nagaraju" localSheetId="7">#REF!</definedName>
    <definedName name="v.nagaraju" localSheetId="1">#REF!</definedName>
    <definedName name="v.nagaraju" localSheetId="3">#REF!</definedName>
    <definedName name="v.nagaraju">#REF!</definedName>
    <definedName name="va" localSheetId="7">#REF!</definedName>
    <definedName name="va" localSheetId="1">#REF!</definedName>
    <definedName name="va" localSheetId="3">#REF!</definedName>
    <definedName name="va">#REF!</definedName>
    <definedName name="va___0" localSheetId="7">#REF!</definedName>
    <definedName name="va___0" localSheetId="1">#REF!</definedName>
    <definedName name="va___0" localSheetId="3">#REF!</definedName>
    <definedName name="va___0">#REF!</definedName>
    <definedName name="va___13" localSheetId="7">#REF!</definedName>
    <definedName name="va___13" localSheetId="1">#REF!</definedName>
    <definedName name="va___13" localSheetId="3">#REF!</definedName>
    <definedName name="va___13">#REF!</definedName>
    <definedName name="Values_Entered" localSheetId="5">IF(Loan_Amount*Interest_Rate*Loan_Years*Loan_Start&gt;0,1,0)</definedName>
    <definedName name="Values_Entered" localSheetId="2">IF(Loan_Amount*Interest_Rate*Loan_Years*Loan_Start&gt;0,1,0)</definedName>
    <definedName name="valve2" localSheetId="7">#REF!</definedName>
    <definedName name="valve2" localSheetId="1">#REF!</definedName>
    <definedName name="valve2" localSheetId="3">#REF!</definedName>
    <definedName name="valve2">#REF!</definedName>
    <definedName name="valve3" localSheetId="7">#REF!</definedName>
    <definedName name="valve3" localSheetId="1">#REF!</definedName>
    <definedName name="valve3" localSheetId="3">#REF!</definedName>
    <definedName name="valve3">#REF!</definedName>
    <definedName name="ValveCfg" localSheetId="7">#REF!</definedName>
    <definedName name="ValveCfg" localSheetId="1">#REF!</definedName>
    <definedName name="ValveCfg" localSheetId="3">#REF!</definedName>
    <definedName name="ValveCfg">#REF!</definedName>
    <definedName name="ValveCloseoff" localSheetId="7">#REF!</definedName>
    <definedName name="ValveCloseoff" localSheetId="1">#REF!</definedName>
    <definedName name="ValveCloseoff" localSheetId="3">#REF!</definedName>
    <definedName name="ValveCloseoff">#REF!</definedName>
    <definedName name="ValveCode" localSheetId="7">#REF!</definedName>
    <definedName name="ValveCode" localSheetId="1">#REF!</definedName>
    <definedName name="ValveCode" localSheetId="3">#REF!</definedName>
    <definedName name="ValveCode">#REF!</definedName>
    <definedName name="ValveConn" localSheetId="7">#REF!</definedName>
    <definedName name="ValveConn" localSheetId="1">#REF!</definedName>
    <definedName name="ValveConn" localSheetId="3">#REF!</definedName>
    <definedName name="ValveConn">#REF!</definedName>
    <definedName name="ValveCv" localSheetId="7">#REF!</definedName>
    <definedName name="ValveCv" localSheetId="1">#REF!</definedName>
    <definedName name="ValveCv" localSheetId="3">#REF!</definedName>
    <definedName name="ValveCv">#REF!</definedName>
    <definedName name="ValveFlow" localSheetId="7">#REF!</definedName>
    <definedName name="ValveFlow" localSheetId="1">#REF!</definedName>
    <definedName name="ValveFlow" localSheetId="3">#REF!</definedName>
    <definedName name="ValveFlow">#REF!</definedName>
    <definedName name="ValveFP" localSheetId="7">#REF!</definedName>
    <definedName name="ValveFP" localSheetId="1">#REF!</definedName>
    <definedName name="ValveFP" localSheetId="3">#REF!</definedName>
    <definedName name="ValveFP">#REF!</definedName>
    <definedName name="ValveQty" localSheetId="7">#REF!</definedName>
    <definedName name="ValveQty" localSheetId="1">#REF!</definedName>
    <definedName name="ValveQty" localSheetId="3">#REF!</definedName>
    <definedName name="ValveQty">#REF!</definedName>
    <definedName name="valves" localSheetId="7">#REF!</definedName>
    <definedName name="valves" localSheetId="1">#REF!</definedName>
    <definedName name="valves" localSheetId="3">#REF!</definedName>
    <definedName name="valves">#REF!</definedName>
    <definedName name="ValveSize" localSheetId="7">#REF!</definedName>
    <definedName name="ValveSize" localSheetId="1">#REF!</definedName>
    <definedName name="ValveSize" localSheetId="3">#REF!</definedName>
    <definedName name="ValveSize">#REF!</definedName>
    <definedName name="VANDEMATARAM" localSheetId="2">#REF!</definedName>
    <definedName name="vapi_baywise" localSheetId="2">#REF!</definedName>
    <definedName name="variance" localSheetId="2">#REF!</definedName>
    <definedName name="vbv" localSheetId="7">#REF!</definedName>
    <definedName name="vbv" localSheetId="1">#REF!</definedName>
    <definedName name="vbv" localSheetId="3">#REF!</definedName>
    <definedName name="vbv">#REF!</definedName>
    <definedName name="vbvb" localSheetId="7">#REF!</definedName>
    <definedName name="vbvb" localSheetId="1">#REF!</definedName>
    <definedName name="vbvb" localSheetId="3">#REF!</definedName>
    <definedName name="vbvb">#REF!</definedName>
    <definedName name="Vc" localSheetId="7">#REF!</definedName>
    <definedName name="Vc" localSheetId="1">#REF!</definedName>
    <definedName name="Vc" localSheetId="3">#REF!</definedName>
    <definedName name="Vc">#REF!</definedName>
    <definedName name="vcurr" localSheetId="7">#REF!</definedName>
    <definedName name="vcurr" localSheetId="1">#REF!</definedName>
    <definedName name="vcurr" localSheetId="3">#REF!</definedName>
    <definedName name="vcurr">#REF!</definedName>
    <definedName name="VD" localSheetId="7">#REF!</definedName>
    <definedName name="VD" localSheetId="1">#REF!</definedName>
    <definedName name="VD" localSheetId="3">#REF!</definedName>
    <definedName name="VD">#REF!</definedName>
    <definedName name="Vend" localSheetId="7">#REF!</definedName>
    <definedName name="Vend" localSheetId="1">#REF!</definedName>
    <definedName name="Vend" localSheetId="3">#REF!</definedName>
    <definedName name="Vend">#REF!</definedName>
    <definedName name="venu">150</definedName>
    <definedName name="vere" localSheetId="7">#REF!</definedName>
    <definedName name="vere" localSheetId="1">#REF!</definedName>
    <definedName name="vere" localSheetId="3">#REF!</definedName>
    <definedName name="vere">#REF!</definedName>
    <definedName name="Version">3</definedName>
    <definedName name="vertex42_copyright" hidden="1">"© 2012-2019 Vertex42 LLC"</definedName>
    <definedName name="vertex42_id" hidden="1">"project-budget-WBS.xlsx"</definedName>
    <definedName name="vertex42_title" hidden="1">"Detailed Project Budget with WBS"</definedName>
    <definedName name="VERTICAL" localSheetId="7">#REF!</definedName>
    <definedName name="VERTICAL" localSheetId="1">#REF!</definedName>
    <definedName name="VERTICAL" localSheetId="3">#REF!</definedName>
    <definedName name="VERTICAL">#REF!</definedName>
    <definedName name="vertical_col_and_corner_walls" localSheetId="7">#REF!</definedName>
    <definedName name="vertical_col_and_corner_walls" localSheetId="1">#REF!</definedName>
    <definedName name="vertical_col_and_corner_walls" localSheetId="3">#REF!</definedName>
    <definedName name="vertical_col_and_corner_walls">#REF!</definedName>
    <definedName name="Vf" localSheetId="7">#REF!</definedName>
    <definedName name="Vf" localSheetId="1">#REF!</definedName>
    <definedName name="Vf" localSheetId="3">#REF!</definedName>
    <definedName name="Vf">#REF!</definedName>
    <definedName name="Vfour" localSheetId="7">#REF!</definedName>
    <definedName name="Vfour" localSheetId="1">#REF!</definedName>
    <definedName name="Vfour" localSheetId="3">#REF!</definedName>
    <definedName name="Vfour">#REF!</definedName>
    <definedName name="vg" localSheetId="5" hidden="1">{#N/A,#N/A,FALSE,"One Pager";#N/A,#N/A,FALSE,"Technical"}</definedName>
    <definedName name="vg" localSheetId="2" hidden="1">{#N/A,#N/A,FALSE,"One Pager";#N/A,#N/A,FALSE,"Technical"}</definedName>
    <definedName name="vhskvbdshkv" localSheetId="5">IF(Loan_Amount*Interest_Rate*Loan_Years*Loan_Start&gt;0,1,0)</definedName>
    <definedName name="vhskvbdshkv" localSheetId="2">IF(Loan_Amount*Interest_Rate*Loan_Years*Loan_Start&gt;0,1,0)</definedName>
    <definedName name="vijay" localSheetId="2">#REF!</definedName>
    <definedName name="Vinod"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shnu" localSheetId="5" hidden="1">{#N/A,#N/A,FALSE,"One Pager";#N/A,#N/A,FALSE,"Technical"}</definedName>
    <definedName name="vishnu" localSheetId="2" hidden="1">{#N/A,#N/A,FALSE,"One Pager";#N/A,#N/A,FALSE,"Technical"}</definedName>
    <definedName name="vjj" localSheetId="7">#REF!</definedName>
    <definedName name="vjj" localSheetId="1">#REF!</definedName>
    <definedName name="vjj" localSheetId="3">#REF!</definedName>
    <definedName name="vjj">#REF!</definedName>
    <definedName name="vk" localSheetId="5" hidden="1">{#N/A,#N/A,FALSE,"One Pager";#N/A,#N/A,FALSE,"Technical"}</definedName>
    <definedName name="vk" localSheetId="2" hidden="1">{#N/A,#N/A,FALSE,"One Pager";#N/A,#N/A,FALSE,"Technical"}</definedName>
    <definedName name="Vm" localSheetId="7">#REF!</definedName>
    <definedName name="Vm" localSheetId="1">#REF!</definedName>
    <definedName name="Vm" localSheetId="3">#REF!</definedName>
    <definedName name="Vm">#REF!</definedName>
    <definedName name="Vone" localSheetId="7">#REF!</definedName>
    <definedName name="Vone" localSheetId="1">#REF!</definedName>
    <definedName name="Vone" localSheetId="3">#REF!</definedName>
    <definedName name="Vone">#REF!</definedName>
    <definedName name="vroller" localSheetId="7">#REF!</definedName>
    <definedName name="vroller" localSheetId="1">#REF!</definedName>
    <definedName name="vroller" localSheetId="3">#REF!</definedName>
    <definedName name="vroller">#REF!</definedName>
    <definedName name="vsasgfsghxas" localSheetId="5" hidden="1">{#N/A,#N/A,FALSE,"consu_cover";#N/A,#N/A,FALSE,"consu_strategy";#N/A,#N/A,FALSE,"consu_flow";#N/A,#N/A,FALSE,"Summary_reqmt";#N/A,#N/A,FALSE,"field_ppg";#N/A,#N/A,FALSE,"ppg_shop";#N/A,#N/A,FALSE,"strl";#N/A,#N/A,FALSE,"tankages";#N/A,#N/A,FALSE,"gases"}</definedName>
    <definedName name="vsasgfsghxas" localSheetId="2" hidden="1">{#N/A,#N/A,FALSE,"consu_cover";#N/A,#N/A,FALSE,"consu_strategy";#N/A,#N/A,FALSE,"consu_flow";#N/A,#N/A,FALSE,"Summary_reqmt";#N/A,#N/A,FALSE,"field_ppg";#N/A,#N/A,FALSE,"ppg_shop";#N/A,#N/A,FALSE,"strl";#N/A,#N/A,FALSE,"tankages";#N/A,#N/A,FALSE,"gases"}</definedName>
    <definedName name="Vsigma1" localSheetId="7">#REF!</definedName>
    <definedName name="Vsigma1" localSheetId="1">#REF!</definedName>
    <definedName name="Vsigma1" localSheetId="3">#REF!</definedName>
    <definedName name="Vsigma1">#REF!</definedName>
    <definedName name="vthree" localSheetId="7">#REF!</definedName>
    <definedName name="vthree" localSheetId="1">#REF!</definedName>
    <definedName name="vthree" localSheetId="3">#REF!</definedName>
    <definedName name="vthree">#REF!</definedName>
    <definedName name="Vtwo" localSheetId="7">#REF!</definedName>
    <definedName name="Vtwo" localSheetId="1">#REF!</definedName>
    <definedName name="Vtwo" localSheetId="3">#REF!</definedName>
    <definedName name="Vtwo">#REF!</definedName>
    <definedName name="Vtwo1" localSheetId="7">#REF!</definedName>
    <definedName name="Vtwo1" localSheetId="1">#REF!</definedName>
    <definedName name="Vtwo1" localSheetId="3">#REF!</definedName>
    <definedName name="Vtwo1">#REF!</definedName>
    <definedName name="vv" localSheetId="7">#REF!</definedName>
    <definedName name="vv" localSheetId="1">#REF!</definedName>
    <definedName name="vv" localSheetId="3">#REF!</definedName>
    <definedName name="vv">#REF!</definedName>
    <definedName name="vvvvvvvvvvvvvvv" localSheetId="2">#REF!</definedName>
    <definedName name="Vz" localSheetId="2">#REF!</definedName>
    <definedName name="W" localSheetId="2">#REF!</definedName>
    <definedName name="Waiting">"Picture 1"</definedName>
    <definedName name="wallht" localSheetId="7">#REF!</definedName>
    <definedName name="wallht" localSheetId="1">#REF!</definedName>
    <definedName name="wallht" localSheetId="3">#REF!</definedName>
    <definedName name="wallht">#REF!</definedName>
    <definedName name="wallthk" localSheetId="7">#REF!</definedName>
    <definedName name="wallthk" localSheetId="1">#REF!</definedName>
    <definedName name="wallthk" localSheetId="3">#REF!</definedName>
    <definedName name="wallthk">#REF!</definedName>
    <definedName name="WasCurAdm" localSheetId="7">#REF!</definedName>
    <definedName name="WasCurAdm" localSheetId="1">#REF!</definedName>
    <definedName name="WasCurAdm" localSheetId="3">#REF!</definedName>
    <definedName name="WasCurAdm">#REF!</definedName>
    <definedName name="WasCurAdm_I" localSheetId="7">#REF!</definedName>
    <definedName name="WasCurAdm_I" localSheetId="1">#REF!</definedName>
    <definedName name="WasCurAdm_I" localSheetId="3">#REF!</definedName>
    <definedName name="WasCurAdm_I">#REF!</definedName>
    <definedName name="WasCurO_M" localSheetId="7">#REF!</definedName>
    <definedName name="WasCurO_M" localSheetId="1">#REF!</definedName>
    <definedName name="WasCurO_M" localSheetId="3">#REF!</definedName>
    <definedName name="WasCurO_M">#REF!</definedName>
    <definedName name="WasCurO_M_I" localSheetId="7">#REF!</definedName>
    <definedName name="WasCurO_M_I" localSheetId="1">#REF!</definedName>
    <definedName name="WasCurO_M_I" localSheetId="3">#REF!</definedName>
    <definedName name="WasCurO_M_I">#REF!</definedName>
    <definedName name="WashRej" localSheetId="7">#REF!</definedName>
    <definedName name="WashRej" localSheetId="1">#REF!</definedName>
    <definedName name="WashRej" localSheetId="3">#REF!</definedName>
    <definedName name="WashRej">#REF!</definedName>
    <definedName name="WashRej_I" localSheetId="7">#REF!</definedName>
    <definedName name="WashRej_I" localSheetId="1">#REF!</definedName>
    <definedName name="WashRej_I" localSheetId="3">#REF!</definedName>
    <definedName name="WashRej_I">#REF!</definedName>
    <definedName name="WasRec." localSheetId="7">#REF!</definedName>
    <definedName name="WasRec." localSheetId="1">#REF!</definedName>
    <definedName name="WasRec." localSheetId="3">#REF!</definedName>
    <definedName name="WasRec.">#REF!</definedName>
    <definedName name="WasRec._I" localSheetId="7">#REF!</definedName>
    <definedName name="WasRec._I" localSheetId="1">#REF!</definedName>
    <definedName name="WasRec._I" localSheetId="3">#REF!</definedName>
    <definedName name="WasRec._I">#REF!</definedName>
    <definedName name="WasRejCost" localSheetId="7">#REF!</definedName>
    <definedName name="WasRejCost" localSheetId="1">#REF!</definedName>
    <definedName name="WasRejCost" localSheetId="3">#REF!</definedName>
    <definedName name="WasRejCost">#REF!</definedName>
    <definedName name="WasRejCost_I" localSheetId="7">#REF!</definedName>
    <definedName name="WasRejCost_I" localSheetId="1">#REF!</definedName>
    <definedName name="WasRejCost_I" localSheetId="3">#REF!</definedName>
    <definedName name="WasRejCost_I">#REF!</definedName>
    <definedName name="WasStores" localSheetId="7">#REF!</definedName>
    <definedName name="WasStores" localSheetId="1">#REF!</definedName>
    <definedName name="WasStores" localSheetId="3">#REF!</definedName>
    <definedName name="WasStores">#REF!</definedName>
    <definedName name="WasStores_I" localSheetId="7">#REF!</definedName>
    <definedName name="WasStores_I" localSheetId="1">#REF!</definedName>
    <definedName name="WasStores_I" localSheetId="3">#REF!</definedName>
    <definedName name="WasStores_I">#REF!</definedName>
    <definedName name="water" localSheetId="7">#REF!</definedName>
    <definedName name="water" localSheetId="1">#REF!</definedName>
    <definedName name="water" localSheetId="3">#REF!</definedName>
    <definedName name="water">#REF!</definedName>
    <definedName name="WC_Int.Rate" localSheetId="7">#REF!</definedName>
    <definedName name="WC_Int.Rate" localSheetId="1">#REF!</definedName>
    <definedName name="WC_Int.Rate" localSheetId="3">#REF!</definedName>
    <definedName name="WC_Int.Rate">#REF!</definedName>
    <definedName name="wdf" localSheetId="2">#REF!</definedName>
    <definedName name="we" localSheetId="5" hidden="1">{"form-D1",#N/A,FALSE,"FORM-D1";"form-D1_amt",#N/A,FALSE,"FORM-D1"}</definedName>
    <definedName name="we" localSheetId="2" hidden="1">{"form-D1",#N/A,FALSE,"FORM-D1";"form-D1_amt",#N/A,FALSE,"FORM-D1"}</definedName>
    <definedName name="we_1" localSheetId="5" hidden="1">{"form-D1",#N/A,FALSE,"FORM-D1";"form-D1_amt",#N/A,FALSE,"FORM-D1"}</definedName>
    <definedName name="we_1" localSheetId="2" hidden="1">{"form-D1",#N/A,FALSE,"FORM-D1";"form-D1_amt",#N/A,FALSE,"FORM-D1"}</definedName>
    <definedName name="we_1_1" localSheetId="5" hidden="1">{"form-D1",#N/A,FALSE,"FORM-D1";"form-D1_amt",#N/A,FALSE,"FORM-D1"}</definedName>
    <definedName name="we_1_1" localSheetId="2" hidden="1">{"form-D1",#N/A,FALSE,"FORM-D1";"form-D1_amt",#N/A,FALSE,"FORM-D1"}</definedName>
    <definedName name="we_1_2" localSheetId="5" hidden="1">{"form-D1",#N/A,FALSE,"FORM-D1";"form-D1_amt",#N/A,FALSE,"FORM-D1"}</definedName>
    <definedName name="we_1_2" localSheetId="2" hidden="1">{"form-D1",#N/A,FALSE,"FORM-D1";"form-D1_amt",#N/A,FALSE,"FORM-D1"}</definedName>
    <definedName name="we_2" localSheetId="5" hidden="1">{"form-D1",#N/A,FALSE,"FORM-D1";"form-D1_amt",#N/A,FALSE,"FORM-D1"}</definedName>
    <definedName name="we_2" localSheetId="2" hidden="1">{"form-D1",#N/A,FALSE,"FORM-D1";"form-D1_amt",#N/A,FALSE,"FORM-D1"}</definedName>
    <definedName name="we_2_1" localSheetId="5" hidden="1">{"form-D1",#N/A,FALSE,"FORM-D1";"form-D1_amt",#N/A,FALSE,"FORM-D1"}</definedName>
    <definedName name="we_2_1" localSheetId="2" hidden="1">{"form-D1",#N/A,FALSE,"FORM-D1";"form-D1_amt",#N/A,FALSE,"FORM-D1"}</definedName>
    <definedName name="we_3" localSheetId="5" hidden="1">{"form-D1",#N/A,FALSE,"FORM-D1";"form-D1_amt",#N/A,FALSE,"FORM-D1"}</definedName>
    <definedName name="we_3" localSheetId="2" hidden="1">{"form-D1",#N/A,FALSE,"FORM-D1";"form-D1_amt",#N/A,FALSE,"FORM-D1"}</definedName>
    <definedName name="we_3_1" localSheetId="5" hidden="1">{"form-D1",#N/A,FALSE,"FORM-D1";"form-D1_amt",#N/A,FALSE,"FORM-D1"}</definedName>
    <definedName name="we_3_1" localSheetId="2" hidden="1">{"form-D1",#N/A,FALSE,"FORM-D1";"form-D1_amt",#N/A,FALSE,"FORM-D1"}</definedName>
    <definedName name="we_4" localSheetId="5" hidden="1">{"form-D1",#N/A,FALSE,"FORM-D1";"form-D1_amt",#N/A,FALSE,"FORM-D1"}</definedName>
    <definedName name="we_4" localSheetId="2" hidden="1">{"form-D1",#N/A,FALSE,"FORM-D1";"form-D1_amt",#N/A,FALSE,"FORM-D1"}</definedName>
    <definedName name="we_4_1" localSheetId="5" hidden="1">{"form-D1",#N/A,FALSE,"FORM-D1";"form-D1_amt",#N/A,FALSE,"FORM-D1"}</definedName>
    <definedName name="we_4_1" localSheetId="2" hidden="1">{"form-D1",#N/A,FALSE,"FORM-D1";"form-D1_amt",#N/A,FALSE,"FORM-D1"}</definedName>
    <definedName name="we_5" localSheetId="5" hidden="1">{"form-D1",#N/A,FALSE,"FORM-D1";"form-D1_amt",#N/A,FALSE,"FORM-D1"}</definedName>
    <definedName name="we_5" localSheetId="2" hidden="1">{"form-D1",#N/A,FALSE,"FORM-D1";"form-D1_amt",#N/A,FALSE,"FORM-D1"}</definedName>
    <definedName name="we_5_1" localSheetId="5" hidden="1">{"form-D1",#N/A,FALSE,"FORM-D1";"form-D1_amt",#N/A,FALSE,"FORM-D1"}</definedName>
    <definedName name="we_5_1" localSheetId="2" hidden="1">{"form-D1",#N/A,FALSE,"FORM-D1";"form-D1_amt",#N/A,FALSE,"FORM-D1"}</definedName>
    <definedName name="wer_1" localSheetId="5" hidden="1">{"form-D1",#N/A,FALSE,"FORM-D1";"form-D1_amt",#N/A,FALSE,"FORM-D1"}</definedName>
    <definedName name="wer_1" localSheetId="2" hidden="1">{"form-D1",#N/A,FALSE,"FORM-D1";"form-D1_amt",#N/A,FALSE,"FORM-D1"}</definedName>
    <definedName name="wer_1_1" localSheetId="5" hidden="1">{"form-D1",#N/A,FALSE,"FORM-D1";"form-D1_amt",#N/A,FALSE,"FORM-D1"}</definedName>
    <definedName name="wer_1_1" localSheetId="2" hidden="1">{"form-D1",#N/A,FALSE,"FORM-D1";"form-D1_amt",#N/A,FALSE,"FORM-D1"}</definedName>
    <definedName name="wer_1_2" localSheetId="5" hidden="1">{"form-D1",#N/A,FALSE,"FORM-D1";"form-D1_amt",#N/A,FALSE,"FORM-D1"}</definedName>
    <definedName name="wer_1_2" localSheetId="2" hidden="1">{"form-D1",#N/A,FALSE,"FORM-D1";"form-D1_amt",#N/A,FALSE,"FORM-D1"}</definedName>
    <definedName name="wer_2" localSheetId="5" hidden="1">{"form-D1",#N/A,FALSE,"FORM-D1";"form-D1_amt",#N/A,FALSE,"FORM-D1"}</definedName>
    <definedName name="wer_2" localSheetId="2" hidden="1">{"form-D1",#N/A,FALSE,"FORM-D1";"form-D1_amt",#N/A,FALSE,"FORM-D1"}</definedName>
    <definedName name="wer_2_1" localSheetId="5" hidden="1">{"form-D1",#N/A,FALSE,"FORM-D1";"form-D1_amt",#N/A,FALSE,"FORM-D1"}</definedName>
    <definedName name="wer_2_1" localSheetId="2" hidden="1">{"form-D1",#N/A,FALSE,"FORM-D1";"form-D1_amt",#N/A,FALSE,"FORM-D1"}</definedName>
    <definedName name="wer_3" localSheetId="5" hidden="1">{"form-D1",#N/A,FALSE,"FORM-D1";"form-D1_amt",#N/A,FALSE,"FORM-D1"}</definedName>
    <definedName name="wer_3" localSheetId="2" hidden="1">{"form-D1",#N/A,FALSE,"FORM-D1";"form-D1_amt",#N/A,FALSE,"FORM-D1"}</definedName>
    <definedName name="wer_3_1" localSheetId="5" hidden="1">{"form-D1",#N/A,FALSE,"FORM-D1";"form-D1_amt",#N/A,FALSE,"FORM-D1"}</definedName>
    <definedName name="wer_3_1" localSheetId="2" hidden="1">{"form-D1",#N/A,FALSE,"FORM-D1";"form-D1_amt",#N/A,FALSE,"FORM-D1"}</definedName>
    <definedName name="wer_4" localSheetId="5" hidden="1">{"form-D1",#N/A,FALSE,"FORM-D1";"form-D1_amt",#N/A,FALSE,"FORM-D1"}</definedName>
    <definedName name="wer_4" localSheetId="2" hidden="1">{"form-D1",#N/A,FALSE,"FORM-D1";"form-D1_amt",#N/A,FALSE,"FORM-D1"}</definedName>
    <definedName name="wer_4_1" localSheetId="5" hidden="1">{"form-D1",#N/A,FALSE,"FORM-D1";"form-D1_amt",#N/A,FALSE,"FORM-D1"}</definedName>
    <definedName name="wer_4_1" localSheetId="2" hidden="1">{"form-D1",#N/A,FALSE,"FORM-D1";"form-D1_amt",#N/A,FALSE,"FORM-D1"}</definedName>
    <definedName name="wer_5" localSheetId="5" hidden="1">{"form-D1",#N/A,FALSE,"FORM-D1";"form-D1_amt",#N/A,FALSE,"FORM-D1"}</definedName>
    <definedName name="wer_5" localSheetId="2" hidden="1">{"form-D1",#N/A,FALSE,"FORM-D1";"form-D1_amt",#N/A,FALSE,"FORM-D1"}</definedName>
    <definedName name="wer_5_1" localSheetId="5" hidden="1">{"form-D1",#N/A,FALSE,"FORM-D1";"form-D1_amt",#N/A,FALSE,"FORM-D1"}</definedName>
    <definedName name="wer_5_1" localSheetId="2" hidden="1">{"form-D1",#N/A,FALSE,"FORM-D1";"form-D1_amt",#N/A,FALSE,"FORM-D1"}</definedName>
    <definedName name="Wg" localSheetId="7">#REF!</definedName>
    <definedName name="Wg" localSheetId="1">#REF!</definedName>
    <definedName name="Wg" localSheetId="3">#REF!</definedName>
    <definedName name="Wg">#REF!</definedName>
    <definedName name="WheelChrg" localSheetId="7">#REF!</definedName>
    <definedName name="WheelChrg" localSheetId="1">#REF!</definedName>
    <definedName name="WheelChrg" localSheetId="3">#REF!</definedName>
    <definedName name="WheelChrg">#REF!</definedName>
    <definedName name="WheelChrg_I" localSheetId="7">#REF!</definedName>
    <definedName name="WheelChrg_I" localSheetId="1">#REF!</definedName>
    <definedName name="WheelChrg_I" localSheetId="3">#REF!</definedName>
    <definedName name="WheelChrg_I">#REF!</definedName>
    <definedName name="Wheeling" localSheetId="7">#REF!</definedName>
    <definedName name="Wheeling" localSheetId="1">#REF!</definedName>
    <definedName name="Wheeling" localSheetId="3">#REF!</definedName>
    <definedName name="Wheeling">#REF!</definedName>
    <definedName name="wid" localSheetId="7">#REF!</definedName>
    <definedName name="wid" localSheetId="1">#REF!</definedName>
    <definedName name="wid" localSheetId="3">#REF!</definedName>
    <definedName name="wid">#REF!</definedName>
    <definedName name="wip" localSheetId="7">#REF!</definedName>
    <definedName name="wip" localSheetId="1">#REF!</definedName>
    <definedName name="wip" localSheetId="3">#REF!</definedName>
    <definedName name="wip">#REF!</definedName>
    <definedName name="WLP" localSheetId="7">#REF!</definedName>
    <definedName name="WLP" localSheetId="1">#REF!</definedName>
    <definedName name="WLP" localSheetId="3">#REF!</definedName>
    <definedName name="WLP">#REF!</definedName>
    <definedName name="wmmp" localSheetId="7">#REF!</definedName>
    <definedName name="wmmp" localSheetId="1">#REF!</definedName>
    <definedName name="wmmp" localSheetId="3">#REF!</definedName>
    <definedName name="wmmp">#REF!</definedName>
    <definedName name="work" localSheetId="2">#REF!</definedName>
    <definedName name="Work_Capital" localSheetId="2">#REF!</definedName>
    <definedName name="WP" localSheetId="2">#REF!</definedName>
    <definedName name="wr" localSheetId="5" hidden="1">{#N/A,#N/A,FALSE,"COVER1.XLS ";#N/A,#N/A,FALSE,"RACT1.XLS";#N/A,#N/A,FALSE,"RACT2.XLS";#N/A,#N/A,FALSE,"ECCMP";#N/A,#N/A,FALSE,"WELDER.XLS"}</definedName>
    <definedName name="wr" localSheetId="2" hidden="1">{#N/A,#N/A,FALSE,"COVER1.XLS ";#N/A,#N/A,FALSE,"RACT1.XLS";#N/A,#N/A,FALSE,"RACT2.XLS";#N/A,#N/A,FALSE,"ECCMP";#N/A,#N/A,FALSE,"WELDER.XLS"}</definedName>
    <definedName name="wrn" localSheetId="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5" hidden="1">{#N/A,#N/A,FALSE,"17MAY";#N/A,#N/A,FALSE,"24MAY"}</definedName>
    <definedName name="wrn.1." localSheetId="2" hidden="1">{#N/A,#N/A,FALSE,"17MAY";#N/A,#N/A,FALSE,"24MAY"}</definedName>
    <definedName name="wrn.2.2" localSheetId="5" hidden="1">{#N/A,#N/A,FALSE,"17MAY";#N/A,#N/A,FALSE,"24MAY"}</definedName>
    <definedName name="wrn.2.2" localSheetId="2" hidden="1">{#N/A,#N/A,FALSE,"17MAY";#N/A,#N/A,FALSE,"24MAY"}</definedName>
    <definedName name="wrn.Aging._.and._.Trend._.Analysis." localSheetId="5"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ll."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ssumption._.Book." localSheetId="5" hidden="1">{#N/A,#N/A,FALSE,"Model Assumptions"}</definedName>
    <definedName name="wrn.Assumption._.Book." localSheetId="2" hidden="1">{#N/A,#N/A,FALSE,"Model Assumptions"}</definedName>
    <definedName name="wrn.backup." localSheetId="5" hidden="1">{"financials",#N/A,FALSE,"BASIC";"interest",#N/A,FALSE,"BASIC";"leasing and financing",#N/A,FALSE,"BASIC";"returns back up",#N/A,FALSE,"BASIC"}</definedName>
    <definedName name="wrn.backup." localSheetId="2" hidden="1">{"financials",#N/A,FALSE,"BASIC";"interest",#N/A,FALSE,"BASIC";"leasing and financing",#N/A,FALSE,"BASIC";"returns back up",#N/A,FALSE,"BASIC"}</definedName>
    <definedName name="wrn.bank._.model." localSheetId="5" hidden="1">{"banks",#N/A,FALSE,"BASIC"}</definedName>
    <definedName name="wrn.bank._.model." localSheetId="2" hidden="1">{"banks",#N/A,FALSE,"BASIC"}</definedName>
    <definedName name="wrn.budget." localSheetId="5" hidden="1">{"form-D1",#N/A,FALSE,"FORM-D1";"form-D1_amt",#N/A,FALSE,"FORM-D1"}</definedName>
    <definedName name="wrn.budget." localSheetId="2" hidden="1">{"form-D1",#N/A,FALSE,"FORM-D1";"form-D1_amt",#N/A,FALSE,"FORM-D1"}</definedName>
    <definedName name="wrn.budget._1" localSheetId="5" hidden="1">{"form-D1",#N/A,FALSE,"FORM-D1";"form-D1_amt",#N/A,FALSE,"FORM-D1"}</definedName>
    <definedName name="wrn.budget._1" localSheetId="2" hidden="1">{"form-D1",#N/A,FALSE,"FORM-D1";"form-D1_amt",#N/A,FALSE,"FORM-D1"}</definedName>
    <definedName name="wrn.budget._1_1" localSheetId="5" hidden="1">{"form-D1",#N/A,FALSE,"FORM-D1";"form-D1_amt",#N/A,FALSE,"FORM-D1"}</definedName>
    <definedName name="wrn.budget._1_1" localSheetId="2" hidden="1">{"form-D1",#N/A,FALSE,"FORM-D1";"form-D1_amt",#N/A,FALSE,"FORM-D1"}</definedName>
    <definedName name="wrn.budget._1_2" localSheetId="5" hidden="1">{"form-D1",#N/A,FALSE,"FORM-D1";"form-D1_amt",#N/A,FALSE,"FORM-D1"}</definedName>
    <definedName name="wrn.budget._1_2" localSheetId="2" hidden="1">{"form-D1",#N/A,FALSE,"FORM-D1";"form-D1_amt",#N/A,FALSE,"FORM-D1"}</definedName>
    <definedName name="wrn.budget._2" localSheetId="5" hidden="1">{"form-D1",#N/A,FALSE,"FORM-D1";"form-D1_amt",#N/A,FALSE,"FORM-D1"}</definedName>
    <definedName name="wrn.budget._2" localSheetId="2" hidden="1">{"form-D1",#N/A,FALSE,"FORM-D1";"form-D1_amt",#N/A,FALSE,"FORM-D1"}</definedName>
    <definedName name="wrn.budget._2_1" localSheetId="5" hidden="1">{"form-D1",#N/A,FALSE,"FORM-D1";"form-D1_amt",#N/A,FALSE,"FORM-D1"}</definedName>
    <definedName name="wrn.budget._2_1" localSheetId="2" hidden="1">{"form-D1",#N/A,FALSE,"FORM-D1";"form-D1_amt",#N/A,FALSE,"FORM-D1"}</definedName>
    <definedName name="wrn.budget._3" localSheetId="5" hidden="1">{"form-D1",#N/A,FALSE,"FORM-D1";"form-D1_amt",#N/A,FALSE,"FORM-D1"}</definedName>
    <definedName name="wrn.budget._3" localSheetId="2" hidden="1">{"form-D1",#N/A,FALSE,"FORM-D1";"form-D1_amt",#N/A,FALSE,"FORM-D1"}</definedName>
    <definedName name="wrn.budget._3_1" localSheetId="5" hidden="1">{"form-D1",#N/A,FALSE,"FORM-D1";"form-D1_amt",#N/A,FALSE,"FORM-D1"}</definedName>
    <definedName name="wrn.budget._3_1" localSheetId="2" hidden="1">{"form-D1",#N/A,FALSE,"FORM-D1";"form-D1_amt",#N/A,FALSE,"FORM-D1"}</definedName>
    <definedName name="wrn.budget._4" localSheetId="5" hidden="1">{"form-D1",#N/A,FALSE,"FORM-D1";"form-D1_amt",#N/A,FALSE,"FORM-D1"}</definedName>
    <definedName name="wrn.budget._4" localSheetId="2" hidden="1">{"form-D1",#N/A,FALSE,"FORM-D1";"form-D1_amt",#N/A,FALSE,"FORM-D1"}</definedName>
    <definedName name="wrn.budget._4_1" localSheetId="5" hidden="1">{"form-D1",#N/A,FALSE,"FORM-D1";"form-D1_amt",#N/A,FALSE,"FORM-D1"}</definedName>
    <definedName name="wrn.budget._4_1" localSheetId="2" hidden="1">{"form-D1",#N/A,FALSE,"FORM-D1";"form-D1_amt",#N/A,FALSE,"FORM-D1"}</definedName>
    <definedName name="wrn.budget._5" localSheetId="5" hidden="1">{"form-D1",#N/A,FALSE,"FORM-D1";"form-D1_amt",#N/A,FALSE,"FORM-D1"}</definedName>
    <definedName name="wrn.budget._5" localSheetId="2" hidden="1">{"form-D1",#N/A,FALSE,"FORM-D1";"form-D1_amt",#N/A,FALSE,"FORM-D1"}</definedName>
    <definedName name="wrn.budget._5_1" localSheetId="5" hidden="1">{"form-D1",#N/A,FALSE,"FORM-D1";"form-D1_amt",#N/A,FALSE,"FORM-D1"}</definedName>
    <definedName name="wrn.budget._5_1" localSheetId="2" hidden="1">{"form-D1",#N/A,FALSE,"FORM-D1";"form-D1_amt",#N/A,FALSE,"FORM-D1"}</definedName>
    <definedName name="wrn.Complete._.Cost._.Sheet." localSheetId="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5" hidden="1">{#N/A,#N/A,FALSE,"consu_cover";#N/A,#N/A,FALSE,"consu_strategy";#N/A,#N/A,FALSE,"consu_flow";#N/A,#N/A,FALSE,"Summary_reqmt";#N/A,#N/A,FALSE,"field_ppg";#N/A,#N/A,FALSE,"ppg_shop";#N/A,#N/A,FALSE,"strl";#N/A,#N/A,FALSE,"tankages";#N/A,#N/A,FALSE,"gases"}</definedName>
    <definedName name="wrn.consumable." localSheetId="2" hidden="1">{#N/A,#N/A,FALSE,"consu_cover";#N/A,#N/A,FALSE,"consu_strategy";#N/A,#N/A,FALSE,"consu_flow";#N/A,#N/A,FALSE,"Summary_reqmt";#N/A,#N/A,FALSE,"field_ppg";#N/A,#N/A,FALSE,"ppg_shop";#N/A,#N/A,FALSE,"strl";#N/A,#N/A,FALSE,"tankages";#N/A,#N/A,FALSE,"gases"}</definedName>
    <definedName name="wrn.Cost._.Summary." localSheetId="5" hidden="1">{"Cost Summary",#N/A,FALSE,"B";"Cost Detail 1",#N/A,FALSE,"C";"Cost Detail 2",#N/A,FALSE,"C"}</definedName>
    <definedName name="wrn.Cost._.Summary." localSheetId="2" hidden="1">{"Cost Summary",#N/A,FALSE,"B";"Cost Detail 1",#N/A,FALSE,"C";"Cost Detail 2",#N/A,FALSE,"C"}</definedName>
    <definedName name="wrn.costprint." localSheetId="5" hidden="1">{"cost",#N/A,FALSE,"B";"Sum",#N/A,FALSE,"C";"Sal1",#N/A,FALSE,"D";"Sal2",#N/A,FALSE,"D";"Mob",#N/A,FALSE,"E";"Eqpcst1",#N/A,FALSE,"F";"Eqpcst2",#N/A,FALSE,"F";"Eqpcst3",#N/A,FALSE,"F";"Est1",#N/A,FALSE,"G";"Est2",#N/A,FALSE,"G";"Fin",#N/A,FALSE,"H";"EqpCal",#N/A,FALSE,"I";"ManCal1",#N/A,FALSE,"J";"ManCal2",#N/A,FALSE,"J";"Consm",#N/A,FALSE,"L";"B O",#N/A,FALSE,"M";"S C",#N/A,FALSE,"N"}</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dep." localSheetId="5" hidden="1">{"dep. full detail",#N/A,FALSE,"annex";"3cd annex",#N/A,FALSE,"annex";"co. dep.",#N/A,FALSE,"annex"}</definedName>
    <definedName name="wrn.dep." localSheetId="2" hidden="1">{"dep. full detail",#N/A,FALSE,"annex";"3cd annex",#N/A,FALSE,"annex";"co. dep.",#N/A,FALSE,"annex"}</definedName>
    <definedName name="wrn.elect." localSheetId="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5" hidden="1">{"b",#N/A,FALSE,"B";"C 1",#N/A,FALSE,"C";"C 2",#N/A,FALSE,"C";"D 1",#N/A,FALSE,"D";"d 2",#N/A,FALSE,"D";"D 3",#N/A,FALSE,"D";"E",#N/A,FALSE,"E";"F 1",#N/A,FALSE,"F";"F 2",#N/A,FALSE,"F";"F 3",#N/A,FALSE,"F";"G 1",#N/A,FALSE,"G";"G 2",#N/A,FALSE,"G";"I 1",#N/A,FALSE,"I";"J 1",#N/A,FALSE,"J";"J 2",#N/A,FALSE,"J";"L",#N/A,FALSE,"L";"M 1",#N/A,FALSE,"M";"N",#N/A,FALSE,"N"}</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Financials." localSheetId="5" hidden="1">{#N/A,#N/A,TRUE,"Financials";#N/A,#N/A,TRUE,"Operating Statistics";#N/A,#N/A,TRUE,"Capex &amp; Depreciation";#N/A,#N/A,TRUE,"Debt"}</definedName>
    <definedName name="wrn.Full._.Financials." localSheetId="2" hidden="1">{#N/A,#N/A,TRUE,"Financials";#N/A,#N/A,TRUE,"Operating Statistics";#N/A,#N/A,TRUE,"Capex &amp; Depreciation";#N/A,#N/A,TRUE,"Debt"}</definedName>
    <definedName name="wrn.Full._.Report." localSheetId="5"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_1" localSheetId="5" hidden="1">{#N/A,#N/A,TRUE,"Front";#N/A,#N/A,TRUE,"Simple Letter";#N/A,#N/A,TRUE,"Inside";#N/A,#N/A,TRUE,"Contents";#N/A,#N/A,TRUE,"Basis";#N/A,#N/A,TRUE,"Inclusions";#N/A,#N/A,TRUE,"Exclusions";#N/A,#N/A,TRUE,"Areas";#N/A,#N/A,TRUE,"Summary";#N/A,#N/A,TRUE,"Detail"}</definedName>
    <definedName name="wrn.Full._.Report._1" localSheetId="2" hidden="1">{#N/A,#N/A,TRUE,"Front";#N/A,#N/A,TRUE,"Simple Letter";#N/A,#N/A,TRUE,"Inside";#N/A,#N/A,TRUE,"Contents";#N/A,#N/A,TRUE,"Basis";#N/A,#N/A,TRUE,"Inclusions";#N/A,#N/A,TRUE,"Exclusions";#N/A,#N/A,TRUE,"Areas";#N/A,#N/A,TRUE,"Summary";#N/A,#N/A,TRUE,"Detail"}</definedName>
    <definedName name="wrn.Full._.Report._1_1" localSheetId="5" hidden="1">{#N/A,#N/A,TRUE,"Front";#N/A,#N/A,TRUE,"Simple Letter";#N/A,#N/A,TRUE,"Inside";#N/A,#N/A,TRUE,"Contents";#N/A,#N/A,TRUE,"Basis";#N/A,#N/A,TRUE,"Inclusions";#N/A,#N/A,TRUE,"Exclusions";#N/A,#N/A,TRUE,"Areas";#N/A,#N/A,TRUE,"Summary";#N/A,#N/A,TRUE,"Detail"}</definedName>
    <definedName name="wrn.Full._.Report._1_1" localSheetId="2" hidden="1">{#N/A,#N/A,TRUE,"Front";#N/A,#N/A,TRUE,"Simple Letter";#N/A,#N/A,TRUE,"Inside";#N/A,#N/A,TRUE,"Contents";#N/A,#N/A,TRUE,"Basis";#N/A,#N/A,TRUE,"Inclusions";#N/A,#N/A,TRUE,"Exclusions";#N/A,#N/A,TRUE,"Areas";#N/A,#N/A,TRUE,"Summary";#N/A,#N/A,TRUE,"Detail"}</definedName>
    <definedName name="wrn.Full._.Report._1_2" localSheetId="5" hidden="1">{#N/A,#N/A,TRUE,"Front";#N/A,#N/A,TRUE,"Simple Letter";#N/A,#N/A,TRUE,"Inside";#N/A,#N/A,TRUE,"Contents";#N/A,#N/A,TRUE,"Basis";#N/A,#N/A,TRUE,"Inclusions";#N/A,#N/A,TRUE,"Exclusions";#N/A,#N/A,TRUE,"Areas";#N/A,#N/A,TRUE,"Summary";#N/A,#N/A,TRUE,"Detail"}</definedName>
    <definedName name="wrn.Full._.Report._1_2" localSheetId="2" hidden="1">{#N/A,#N/A,TRUE,"Front";#N/A,#N/A,TRUE,"Simple Letter";#N/A,#N/A,TRUE,"Inside";#N/A,#N/A,TRUE,"Contents";#N/A,#N/A,TRUE,"Basis";#N/A,#N/A,TRUE,"Inclusions";#N/A,#N/A,TRUE,"Exclusions";#N/A,#N/A,TRUE,"Areas";#N/A,#N/A,TRUE,"Summary";#N/A,#N/A,TRUE,"Detail"}</definedName>
    <definedName name="wrn.Full._.Report._2" localSheetId="5" hidden="1">{#N/A,#N/A,TRUE,"Front";#N/A,#N/A,TRUE,"Simple Letter";#N/A,#N/A,TRUE,"Inside";#N/A,#N/A,TRUE,"Contents";#N/A,#N/A,TRUE,"Basis";#N/A,#N/A,TRUE,"Inclusions";#N/A,#N/A,TRUE,"Exclusions";#N/A,#N/A,TRUE,"Areas";#N/A,#N/A,TRUE,"Summary";#N/A,#N/A,TRUE,"Detail"}</definedName>
    <definedName name="wrn.Full._.Report._2" localSheetId="2" hidden="1">{#N/A,#N/A,TRUE,"Front";#N/A,#N/A,TRUE,"Simple Letter";#N/A,#N/A,TRUE,"Inside";#N/A,#N/A,TRUE,"Contents";#N/A,#N/A,TRUE,"Basis";#N/A,#N/A,TRUE,"Inclusions";#N/A,#N/A,TRUE,"Exclusions";#N/A,#N/A,TRUE,"Areas";#N/A,#N/A,TRUE,"Summary";#N/A,#N/A,TRUE,"Detail"}</definedName>
    <definedName name="wrn.Full._.Report._2_1" localSheetId="5" hidden="1">{#N/A,#N/A,TRUE,"Front";#N/A,#N/A,TRUE,"Simple Letter";#N/A,#N/A,TRUE,"Inside";#N/A,#N/A,TRUE,"Contents";#N/A,#N/A,TRUE,"Basis";#N/A,#N/A,TRUE,"Inclusions";#N/A,#N/A,TRUE,"Exclusions";#N/A,#N/A,TRUE,"Areas";#N/A,#N/A,TRUE,"Summary";#N/A,#N/A,TRUE,"Detail"}</definedName>
    <definedName name="wrn.Full._.Report._2_1" localSheetId="2" hidden="1">{#N/A,#N/A,TRUE,"Front";#N/A,#N/A,TRUE,"Simple Letter";#N/A,#N/A,TRUE,"Inside";#N/A,#N/A,TRUE,"Contents";#N/A,#N/A,TRUE,"Basis";#N/A,#N/A,TRUE,"Inclusions";#N/A,#N/A,TRUE,"Exclusions";#N/A,#N/A,TRUE,"Areas";#N/A,#N/A,TRUE,"Summary";#N/A,#N/A,TRUE,"Detail"}</definedName>
    <definedName name="wrn.Full._.Report._3" localSheetId="5" hidden="1">{#N/A,#N/A,TRUE,"Front";#N/A,#N/A,TRUE,"Simple Letter";#N/A,#N/A,TRUE,"Inside";#N/A,#N/A,TRUE,"Contents";#N/A,#N/A,TRUE,"Basis";#N/A,#N/A,TRUE,"Inclusions";#N/A,#N/A,TRUE,"Exclusions";#N/A,#N/A,TRUE,"Areas";#N/A,#N/A,TRUE,"Summary";#N/A,#N/A,TRUE,"Detail"}</definedName>
    <definedName name="wrn.Full._.Report._3" localSheetId="2" hidden="1">{#N/A,#N/A,TRUE,"Front";#N/A,#N/A,TRUE,"Simple Letter";#N/A,#N/A,TRUE,"Inside";#N/A,#N/A,TRUE,"Contents";#N/A,#N/A,TRUE,"Basis";#N/A,#N/A,TRUE,"Inclusions";#N/A,#N/A,TRUE,"Exclusions";#N/A,#N/A,TRUE,"Areas";#N/A,#N/A,TRUE,"Summary";#N/A,#N/A,TRUE,"Detail"}</definedName>
    <definedName name="wrn.Full._.Report._4" localSheetId="5" hidden="1">{#N/A,#N/A,TRUE,"Front";#N/A,#N/A,TRUE,"Simple Letter";#N/A,#N/A,TRUE,"Inside";#N/A,#N/A,TRUE,"Contents";#N/A,#N/A,TRUE,"Basis";#N/A,#N/A,TRUE,"Inclusions";#N/A,#N/A,TRUE,"Exclusions";#N/A,#N/A,TRUE,"Areas";#N/A,#N/A,TRUE,"Summary";#N/A,#N/A,TRUE,"Detail"}</definedName>
    <definedName name="wrn.Full._.Report._4" localSheetId="2" hidden="1">{#N/A,#N/A,TRUE,"Front";#N/A,#N/A,TRUE,"Simple Letter";#N/A,#N/A,TRUE,"Inside";#N/A,#N/A,TRUE,"Contents";#N/A,#N/A,TRUE,"Basis";#N/A,#N/A,TRUE,"Inclusions";#N/A,#N/A,TRUE,"Exclusions";#N/A,#N/A,TRUE,"Areas";#N/A,#N/A,TRUE,"Summary";#N/A,#N/A,TRUE,"Detail"}</definedName>
    <definedName name="wrn.full.fin.1" localSheetId="5" hidden="1">{#N/A,#N/A,TRUE,"Financials";#N/A,#N/A,TRUE,"Operating Statistics";#N/A,#N/A,TRUE,"Capex &amp; Depreciation";#N/A,#N/A,TRUE,"Debt"}</definedName>
    <definedName name="wrn.full.fin.1" localSheetId="2" hidden="1">{#N/A,#N/A,TRUE,"Financials";#N/A,#N/A,TRUE,"Operating Statistics";#N/A,#N/A,TRUE,"Capex &amp; Depreciation";#N/A,#N/A,TRUE,"Debt"}</definedName>
    <definedName name="wrn.G.C.P.L.." localSheetId="5" hidden="1">{#N/A,#N/A,FALSE,"gc (2)"}</definedName>
    <definedName name="wrn.G.C.P.L.." localSheetId="2" hidden="1">{#N/A,#N/A,FALSE,"gc (2)"}</definedName>
    <definedName name="wrn.LTCG." localSheetId="5" hidden="1">{"office ltcg",#N/A,FALSE,"gain01";"IT LTCG",#N/A,FALSE,"gain01"}</definedName>
    <definedName name="wrn.LTCG." localSheetId="2" hidden="1">{"office ltcg",#N/A,FALSE,"gain01";"IT LTCG",#N/A,FALSE,"gain01"}</definedName>
    <definedName name="wrn.Manpower._.Details." localSheetId="5"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odel." localSheetId="5" hidden="1">{"basic",#N/A,FALSE,"BASIC"}</definedName>
    <definedName name="wrn.model." localSheetId="2" hidden="1">{"basic",#N/A,FALSE,"BASIC"}</definedName>
    <definedName name="wrn.One._.Pager._.plus._.Technicals." localSheetId="5" hidden="1">{#N/A,#N/A,FALSE,"One Pager";#N/A,#N/A,FALSE,"Technical"}</definedName>
    <definedName name="wrn.One._.Pager._.plus._.Technicals." localSheetId="2" hidden="1">{#N/A,#N/A,FALSE,"One Pager";#N/A,#N/A,FALSE,"Technical"}</definedName>
    <definedName name="wrn.piping."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int._.Model." localSheetId="5"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whole._.Report." localSheetId="5"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fitability." localSheetId="5" hidden="1">{#N/A,"Good",TRUE,"Sheet1";#N/A,"Normal",TRUE,"Sheet1";#N/A,"Bad",TRUE,"Sheet1"}</definedName>
    <definedName name="wrn.Profitability." localSheetId="2" hidden="1">{#N/A,"Good",TRUE,"Sheet1";#N/A,"Normal",TRUE,"Sheet1";#N/A,"Bad",TRUE,"Sheet1"}</definedName>
    <definedName name="wrn.RCC." localSheetId="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5" hidden="1">{#N/A,#N/A,FALSE,"COVER.XLS";#N/A,#N/A,FALSE,"RACT1.XLS";#N/A,#N/A,FALSE,"RACT2.XLS";#N/A,#N/A,FALSE,"ECCMP";#N/A,#N/A,FALSE,"WELDER.XLS"}</definedName>
    <definedName name="wrn.report." localSheetId="2" hidden="1">{#N/A,#N/A,FALSE,"COVER.XLS";#N/A,#N/A,FALSE,"RACT1.XLS";#N/A,#N/A,FALSE,"RACT2.XLS";#N/A,#N/A,FALSE,"ECCMP";#N/A,#N/A,FALSE,"WELDER.XLS"}</definedName>
    <definedName name="wrn.RPLINS." localSheetId="5"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summ1" localSheetId="5" hidden="1">{#N/A,#N/A,FALSE,"COVER1.XLS ";#N/A,#N/A,FALSE,"RACT1.XLS";#N/A,#N/A,FALSE,"RACT2.XLS";#N/A,#N/A,FALSE,"ECCMP";#N/A,#N/A,FALSE,"WELDER.XLS"}</definedName>
    <definedName name="wrn.summ1" localSheetId="2" hidden="1">{#N/A,#N/A,FALSE,"COVER1.XLS ";#N/A,#N/A,FALSE,"RACT1.XLS";#N/A,#N/A,FALSE,"RACT2.XLS";#N/A,#N/A,FALSE,"ECCMP";#N/A,#N/A,FALSE,"WELDER.XLS"}</definedName>
    <definedName name="wrn.summary." localSheetId="5" hidden="1">{"financials",#N/A,FALSE,"BASIC"}</definedName>
    <definedName name="wrn.summary." localSheetId="2" hidden="1">{"financials",#N/A,FALSE,"BASIC"}</definedName>
    <definedName name="wrn.Total._.Print." localSheetId="5"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2"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rial." localSheetId="5" hidden="1">{#N/A,#N/A,FALSE,"mpph1";#N/A,#N/A,FALSE,"mpmseb";#N/A,#N/A,FALSE,"mpph2"}</definedName>
    <definedName name="wrn.trial." localSheetId="2" hidden="1">{#N/A,#N/A,FALSE,"mpph1";#N/A,#N/A,FALSE,"mpmseb";#N/A,#N/A,FALSE,"mpph2"}</definedName>
    <definedName name="wrn.Valuation._.Summaries." localSheetId="5" hidden="1">{#N/A,#N/A,FALSE,"Cover Sheet";#N/A,#N/A,FALSE,"Financial Assumptions";#N/A,#N/A,FALSE,"DCFOverviewPower";#N/A,#N/A,FALSE,"DCFOverviewGas";#N/A,#N/A,FALSE,"DCFOverviewWater";#N/A,#N/A,FALSE,"DCFOverviewVersorgung"}</definedName>
    <definedName name="wrn.Valuation._.Summaries." localSheetId="2" hidden="1">{#N/A,#N/A,FALSE,"Cover Sheet";#N/A,#N/A,FALSE,"Financial Assumptions";#N/A,#N/A,FALSE,"DCFOverviewPower";#N/A,#N/A,FALSE,"DCFOverviewGas";#N/A,#N/A,FALSE,"DCFOverviewWater";#N/A,#N/A,FALSE,"DCFOverviewVersorgung"}</definedName>
    <definedName name="wrn.Versorgungs._.GmbH._.Data." localSheetId="5"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2" hidden="1">{#N/A,#N/A,FALSE,"DCFCoverVersorgung";#N/A,#N/A,FALSE,"DCFOverviewVersorgung";#N/A,#N/A,FALSE,"PlanVersorgung";#N/A,#N/A,FALSE,"DCFVersorgung";#N/A,#N/A,FALSE,"ValueVersorgung";#N/A,#N/A,FALSE,"WaccVersorgung";#N/A,#N/A,FALSE,"WaccVersorgung";#N/A,#N/A,FALSE,"WaccCompVersorgung";#N/A,#N/A,FALSE,"MatrixVersorgung"}</definedName>
    <definedName name="WRN0" localSheetId="5" hidden="1">{#N/A,#N/A,FALSE,"COVER1.XLS ";#N/A,#N/A,FALSE,"RACT1.XLS";#N/A,#N/A,FALSE,"RACT2.XLS";#N/A,#N/A,FALSE,"ECCMP";#N/A,#N/A,FALSE,"WELDER.XLS"}</definedName>
    <definedName name="WRN0" localSheetId="2" hidden="1">{#N/A,#N/A,FALSE,"COVER1.XLS ";#N/A,#N/A,FALSE,"RACT1.XLS";#N/A,#N/A,FALSE,"RACT2.XLS";#N/A,#N/A,FALSE,"ECCMP";#N/A,#N/A,FALSE,"WELDER.XLS"}</definedName>
    <definedName name="wrnfulla" localSheetId="5" hidden="1">{#N/A,#N/A,TRUE,"Front";#N/A,#N/A,TRUE,"Simple Letter";#N/A,#N/A,TRUE,"Inside";#N/A,#N/A,TRUE,"Contents";#N/A,#N/A,TRUE,"Basis";#N/A,#N/A,TRUE,"Inclusions";#N/A,#N/A,TRUE,"Exclusions";#N/A,#N/A,TRUE,"Areas";#N/A,#N/A,TRUE,"Summary";#N/A,#N/A,TRUE,"Detail"}</definedName>
    <definedName name="wrnfulla" localSheetId="2" hidden="1">{#N/A,#N/A,TRUE,"Front";#N/A,#N/A,TRUE,"Simple Letter";#N/A,#N/A,TRUE,"Inside";#N/A,#N/A,TRUE,"Contents";#N/A,#N/A,TRUE,"Basis";#N/A,#N/A,TRUE,"Inclusions";#N/A,#N/A,TRUE,"Exclusions";#N/A,#N/A,TRUE,"Areas";#N/A,#N/A,TRUE,"Summary";#N/A,#N/A,TRUE,"Detail"}</definedName>
    <definedName name="wrnfulla_1" localSheetId="5" hidden="1">{#N/A,#N/A,TRUE,"Front";#N/A,#N/A,TRUE,"Simple Letter";#N/A,#N/A,TRUE,"Inside";#N/A,#N/A,TRUE,"Contents";#N/A,#N/A,TRUE,"Basis";#N/A,#N/A,TRUE,"Inclusions";#N/A,#N/A,TRUE,"Exclusions";#N/A,#N/A,TRUE,"Areas";#N/A,#N/A,TRUE,"Summary";#N/A,#N/A,TRUE,"Detail"}</definedName>
    <definedName name="wrnfulla_1" localSheetId="2" hidden="1">{#N/A,#N/A,TRUE,"Front";#N/A,#N/A,TRUE,"Simple Letter";#N/A,#N/A,TRUE,"Inside";#N/A,#N/A,TRUE,"Contents";#N/A,#N/A,TRUE,"Basis";#N/A,#N/A,TRUE,"Inclusions";#N/A,#N/A,TRUE,"Exclusions";#N/A,#N/A,TRUE,"Areas";#N/A,#N/A,TRUE,"Summary";#N/A,#N/A,TRUE,"Detail"}</definedName>
    <definedName name="wrnfulla_1_1" localSheetId="5" hidden="1">{#N/A,#N/A,TRUE,"Front";#N/A,#N/A,TRUE,"Simple Letter";#N/A,#N/A,TRUE,"Inside";#N/A,#N/A,TRUE,"Contents";#N/A,#N/A,TRUE,"Basis";#N/A,#N/A,TRUE,"Inclusions";#N/A,#N/A,TRUE,"Exclusions";#N/A,#N/A,TRUE,"Areas";#N/A,#N/A,TRUE,"Summary";#N/A,#N/A,TRUE,"Detail"}</definedName>
    <definedName name="wrnfulla_1_1" localSheetId="2" hidden="1">{#N/A,#N/A,TRUE,"Front";#N/A,#N/A,TRUE,"Simple Letter";#N/A,#N/A,TRUE,"Inside";#N/A,#N/A,TRUE,"Contents";#N/A,#N/A,TRUE,"Basis";#N/A,#N/A,TRUE,"Inclusions";#N/A,#N/A,TRUE,"Exclusions";#N/A,#N/A,TRUE,"Areas";#N/A,#N/A,TRUE,"Summary";#N/A,#N/A,TRUE,"Detail"}</definedName>
    <definedName name="wrnfulla_1_2" localSheetId="5" hidden="1">{#N/A,#N/A,TRUE,"Front";#N/A,#N/A,TRUE,"Simple Letter";#N/A,#N/A,TRUE,"Inside";#N/A,#N/A,TRUE,"Contents";#N/A,#N/A,TRUE,"Basis";#N/A,#N/A,TRUE,"Inclusions";#N/A,#N/A,TRUE,"Exclusions";#N/A,#N/A,TRUE,"Areas";#N/A,#N/A,TRUE,"Summary";#N/A,#N/A,TRUE,"Detail"}</definedName>
    <definedName name="wrnfulla_1_2" localSheetId="2" hidden="1">{#N/A,#N/A,TRUE,"Front";#N/A,#N/A,TRUE,"Simple Letter";#N/A,#N/A,TRUE,"Inside";#N/A,#N/A,TRUE,"Contents";#N/A,#N/A,TRUE,"Basis";#N/A,#N/A,TRUE,"Inclusions";#N/A,#N/A,TRUE,"Exclusions";#N/A,#N/A,TRUE,"Areas";#N/A,#N/A,TRUE,"Summary";#N/A,#N/A,TRUE,"Detail"}</definedName>
    <definedName name="wrnfulla_2" localSheetId="5" hidden="1">{#N/A,#N/A,TRUE,"Front";#N/A,#N/A,TRUE,"Simple Letter";#N/A,#N/A,TRUE,"Inside";#N/A,#N/A,TRUE,"Contents";#N/A,#N/A,TRUE,"Basis";#N/A,#N/A,TRUE,"Inclusions";#N/A,#N/A,TRUE,"Exclusions";#N/A,#N/A,TRUE,"Areas";#N/A,#N/A,TRUE,"Summary";#N/A,#N/A,TRUE,"Detail"}</definedName>
    <definedName name="wrnfulla_2" localSheetId="2" hidden="1">{#N/A,#N/A,TRUE,"Front";#N/A,#N/A,TRUE,"Simple Letter";#N/A,#N/A,TRUE,"Inside";#N/A,#N/A,TRUE,"Contents";#N/A,#N/A,TRUE,"Basis";#N/A,#N/A,TRUE,"Inclusions";#N/A,#N/A,TRUE,"Exclusions";#N/A,#N/A,TRUE,"Areas";#N/A,#N/A,TRUE,"Summary";#N/A,#N/A,TRUE,"Detail"}</definedName>
    <definedName name="wrnfulla_2_1" localSheetId="5" hidden="1">{#N/A,#N/A,TRUE,"Front";#N/A,#N/A,TRUE,"Simple Letter";#N/A,#N/A,TRUE,"Inside";#N/A,#N/A,TRUE,"Contents";#N/A,#N/A,TRUE,"Basis";#N/A,#N/A,TRUE,"Inclusions";#N/A,#N/A,TRUE,"Exclusions";#N/A,#N/A,TRUE,"Areas";#N/A,#N/A,TRUE,"Summary";#N/A,#N/A,TRUE,"Detail"}</definedName>
    <definedName name="wrnfulla_2_1" localSheetId="2" hidden="1">{#N/A,#N/A,TRUE,"Front";#N/A,#N/A,TRUE,"Simple Letter";#N/A,#N/A,TRUE,"Inside";#N/A,#N/A,TRUE,"Contents";#N/A,#N/A,TRUE,"Basis";#N/A,#N/A,TRUE,"Inclusions";#N/A,#N/A,TRUE,"Exclusions";#N/A,#N/A,TRUE,"Areas";#N/A,#N/A,TRUE,"Summary";#N/A,#N/A,TRUE,"Detail"}</definedName>
    <definedName name="wrnfulla_3" localSheetId="5" hidden="1">{#N/A,#N/A,TRUE,"Front";#N/A,#N/A,TRUE,"Simple Letter";#N/A,#N/A,TRUE,"Inside";#N/A,#N/A,TRUE,"Contents";#N/A,#N/A,TRUE,"Basis";#N/A,#N/A,TRUE,"Inclusions";#N/A,#N/A,TRUE,"Exclusions";#N/A,#N/A,TRUE,"Areas";#N/A,#N/A,TRUE,"Summary";#N/A,#N/A,TRUE,"Detail"}</definedName>
    <definedName name="wrnfulla_3" localSheetId="2" hidden="1">{#N/A,#N/A,TRUE,"Front";#N/A,#N/A,TRUE,"Simple Letter";#N/A,#N/A,TRUE,"Inside";#N/A,#N/A,TRUE,"Contents";#N/A,#N/A,TRUE,"Basis";#N/A,#N/A,TRUE,"Inclusions";#N/A,#N/A,TRUE,"Exclusions";#N/A,#N/A,TRUE,"Areas";#N/A,#N/A,TRUE,"Summary";#N/A,#N/A,TRUE,"Detail"}</definedName>
    <definedName name="wrnfulla_4" localSheetId="5" hidden="1">{#N/A,#N/A,TRUE,"Front";#N/A,#N/A,TRUE,"Simple Letter";#N/A,#N/A,TRUE,"Inside";#N/A,#N/A,TRUE,"Contents";#N/A,#N/A,TRUE,"Basis";#N/A,#N/A,TRUE,"Inclusions";#N/A,#N/A,TRUE,"Exclusions";#N/A,#N/A,TRUE,"Areas";#N/A,#N/A,TRUE,"Summary";#N/A,#N/A,TRUE,"Detail"}</definedName>
    <definedName name="wrnfulla_4" localSheetId="2" hidden="1">{#N/A,#N/A,TRUE,"Front";#N/A,#N/A,TRUE,"Simple Letter";#N/A,#N/A,TRUE,"Inside";#N/A,#N/A,TRUE,"Contents";#N/A,#N/A,TRUE,"Basis";#N/A,#N/A,TRUE,"Inclusions";#N/A,#N/A,TRUE,"Exclusions";#N/A,#N/A,TRUE,"Areas";#N/A,#N/A,TRUE,"Summary";#N/A,#N/A,TRUE,"Detail"}</definedName>
    <definedName name="WRNFULLA1" localSheetId="5" hidden="1">{#N/A,#N/A,TRUE,"Front";#N/A,#N/A,TRUE,"Simple Letter";#N/A,#N/A,TRUE,"Inside";#N/A,#N/A,TRUE,"Contents";#N/A,#N/A,TRUE,"Basis";#N/A,#N/A,TRUE,"Inclusions";#N/A,#N/A,TRUE,"Exclusions";#N/A,#N/A,TRUE,"Areas";#N/A,#N/A,TRUE,"Summary";#N/A,#N/A,TRUE,"Detail"}</definedName>
    <definedName name="WRNFULLA1" localSheetId="2" hidden="1">{#N/A,#N/A,TRUE,"Front";#N/A,#N/A,TRUE,"Simple Letter";#N/A,#N/A,TRUE,"Inside";#N/A,#N/A,TRUE,"Contents";#N/A,#N/A,TRUE,"Basis";#N/A,#N/A,TRUE,"Inclusions";#N/A,#N/A,TRUE,"Exclusions";#N/A,#N/A,TRUE,"Areas";#N/A,#N/A,TRUE,"Summary";#N/A,#N/A,TRUE,"Detail"}</definedName>
    <definedName name="WRNFULLA1_1" localSheetId="5" hidden="1">{#N/A,#N/A,TRUE,"Front";#N/A,#N/A,TRUE,"Simple Letter";#N/A,#N/A,TRUE,"Inside";#N/A,#N/A,TRUE,"Contents";#N/A,#N/A,TRUE,"Basis";#N/A,#N/A,TRUE,"Inclusions";#N/A,#N/A,TRUE,"Exclusions";#N/A,#N/A,TRUE,"Areas";#N/A,#N/A,TRUE,"Summary";#N/A,#N/A,TRUE,"Detail"}</definedName>
    <definedName name="WRNFULLA1_1" localSheetId="2" hidden="1">{#N/A,#N/A,TRUE,"Front";#N/A,#N/A,TRUE,"Simple Letter";#N/A,#N/A,TRUE,"Inside";#N/A,#N/A,TRUE,"Contents";#N/A,#N/A,TRUE,"Basis";#N/A,#N/A,TRUE,"Inclusions";#N/A,#N/A,TRUE,"Exclusions";#N/A,#N/A,TRUE,"Areas";#N/A,#N/A,TRUE,"Summary";#N/A,#N/A,TRUE,"Detail"}</definedName>
    <definedName name="WRNFULLA1_1_1" localSheetId="5" hidden="1">{#N/A,#N/A,TRUE,"Front";#N/A,#N/A,TRUE,"Simple Letter";#N/A,#N/A,TRUE,"Inside";#N/A,#N/A,TRUE,"Contents";#N/A,#N/A,TRUE,"Basis";#N/A,#N/A,TRUE,"Inclusions";#N/A,#N/A,TRUE,"Exclusions";#N/A,#N/A,TRUE,"Areas";#N/A,#N/A,TRUE,"Summary";#N/A,#N/A,TRUE,"Detail"}</definedName>
    <definedName name="WRNFULLA1_1_1" localSheetId="2" hidden="1">{#N/A,#N/A,TRUE,"Front";#N/A,#N/A,TRUE,"Simple Letter";#N/A,#N/A,TRUE,"Inside";#N/A,#N/A,TRUE,"Contents";#N/A,#N/A,TRUE,"Basis";#N/A,#N/A,TRUE,"Inclusions";#N/A,#N/A,TRUE,"Exclusions";#N/A,#N/A,TRUE,"Areas";#N/A,#N/A,TRUE,"Summary";#N/A,#N/A,TRUE,"Detail"}</definedName>
    <definedName name="WRNFULLA1_1_2" localSheetId="5" hidden="1">{#N/A,#N/A,TRUE,"Front";#N/A,#N/A,TRUE,"Simple Letter";#N/A,#N/A,TRUE,"Inside";#N/A,#N/A,TRUE,"Contents";#N/A,#N/A,TRUE,"Basis";#N/A,#N/A,TRUE,"Inclusions";#N/A,#N/A,TRUE,"Exclusions";#N/A,#N/A,TRUE,"Areas";#N/A,#N/A,TRUE,"Summary";#N/A,#N/A,TRUE,"Detail"}</definedName>
    <definedName name="WRNFULLA1_1_2" localSheetId="2" hidden="1">{#N/A,#N/A,TRUE,"Front";#N/A,#N/A,TRUE,"Simple Letter";#N/A,#N/A,TRUE,"Inside";#N/A,#N/A,TRUE,"Contents";#N/A,#N/A,TRUE,"Basis";#N/A,#N/A,TRUE,"Inclusions";#N/A,#N/A,TRUE,"Exclusions";#N/A,#N/A,TRUE,"Areas";#N/A,#N/A,TRUE,"Summary";#N/A,#N/A,TRUE,"Detail"}</definedName>
    <definedName name="WRNFULLA1_2" localSheetId="5" hidden="1">{#N/A,#N/A,TRUE,"Front";#N/A,#N/A,TRUE,"Simple Letter";#N/A,#N/A,TRUE,"Inside";#N/A,#N/A,TRUE,"Contents";#N/A,#N/A,TRUE,"Basis";#N/A,#N/A,TRUE,"Inclusions";#N/A,#N/A,TRUE,"Exclusions";#N/A,#N/A,TRUE,"Areas";#N/A,#N/A,TRUE,"Summary";#N/A,#N/A,TRUE,"Detail"}</definedName>
    <definedName name="WRNFULLA1_2" localSheetId="2" hidden="1">{#N/A,#N/A,TRUE,"Front";#N/A,#N/A,TRUE,"Simple Letter";#N/A,#N/A,TRUE,"Inside";#N/A,#N/A,TRUE,"Contents";#N/A,#N/A,TRUE,"Basis";#N/A,#N/A,TRUE,"Inclusions";#N/A,#N/A,TRUE,"Exclusions";#N/A,#N/A,TRUE,"Areas";#N/A,#N/A,TRUE,"Summary";#N/A,#N/A,TRUE,"Detail"}</definedName>
    <definedName name="WRNFULLA1_2_1" localSheetId="5" hidden="1">{#N/A,#N/A,TRUE,"Front";#N/A,#N/A,TRUE,"Simple Letter";#N/A,#N/A,TRUE,"Inside";#N/A,#N/A,TRUE,"Contents";#N/A,#N/A,TRUE,"Basis";#N/A,#N/A,TRUE,"Inclusions";#N/A,#N/A,TRUE,"Exclusions";#N/A,#N/A,TRUE,"Areas";#N/A,#N/A,TRUE,"Summary";#N/A,#N/A,TRUE,"Detail"}</definedName>
    <definedName name="WRNFULLA1_2_1" localSheetId="2" hidden="1">{#N/A,#N/A,TRUE,"Front";#N/A,#N/A,TRUE,"Simple Letter";#N/A,#N/A,TRUE,"Inside";#N/A,#N/A,TRUE,"Contents";#N/A,#N/A,TRUE,"Basis";#N/A,#N/A,TRUE,"Inclusions";#N/A,#N/A,TRUE,"Exclusions";#N/A,#N/A,TRUE,"Areas";#N/A,#N/A,TRUE,"Summary";#N/A,#N/A,TRUE,"Detail"}</definedName>
    <definedName name="WRNFULLA1_3" localSheetId="5" hidden="1">{#N/A,#N/A,TRUE,"Front";#N/A,#N/A,TRUE,"Simple Letter";#N/A,#N/A,TRUE,"Inside";#N/A,#N/A,TRUE,"Contents";#N/A,#N/A,TRUE,"Basis";#N/A,#N/A,TRUE,"Inclusions";#N/A,#N/A,TRUE,"Exclusions";#N/A,#N/A,TRUE,"Areas";#N/A,#N/A,TRUE,"Summary";#N/A,#N/A,TRUE,"Detail"}</definedName>
    <definedName name="WRNFULLA1_3" localSheetId="2" hidden="1">{#N/A,#N/A,TRUE,"Front";#N/A,#N/A,TRUE,"Simple Letter";#N/A,#N/A,TRUE,"Inside";#N/A,#N/A,TRUE,"Contents";#N/A,#N/A,TRUE,"Basis";#N/A,#N/A,TRUE,"Inclusions";#N/A,#N/A,TRUE,"Exclusions";#N/A,#N/A,TRUE,"Areas";#N/A,#N/A,TRUE,"Summary";#N/A,#N/A,TRUE,"Detail"}</definedName>
    <definedName name="WRNFULLA1_4" localSheetId="5" hidden="1">{#N/A,#N/A,TRUE,"Front";#N/A,#N/A,TRUE,"Simple Letter";#N/A,#N/A,TRUE,"Inside";#N/A,#N/A,TRUE,"Contents";#N/A,#N/A,TRUE,"Basis";#N/A,#N/A,TRUE,"Inclusions";#N/A,#N/A,TRUE,"Exclusions";#N/A,#N/A,TRUE,"Areas";#N/A,#N/A,TRUE,"Summary";#N/A,#N/A,TRUE,"Detail"}</definedName>
    <definedName name="WRNFULLA1_4" localSheetId="2" hidden="1">{#N/A,#N/A,TRUE,"Front";#N/A,#N/A,TRUE,"Simple Letter";#N/A,#N/A,TRUE,"Inside";#N/A,#N/A,TRUE,"Contents";#N/A,#N/A,TRUE,"Basis";#N/A,#N/A,TRUE,"Inclusions";#N/A,#N/A,TRUE,"Exclusions";#N/A,#N/A,TRUE,"Areas";#N/A,#N/A,TRUE,"Summary";#N/A,#N/A,TRUE,"Detail"}</definedName>
    <definedName name="wsgz" localSheetId="5" hidden="1">{#N/A,#N/A,FALSE,"COVER1.XLS ";#N/A,#N/A,FALSE,"RACT1.XLS";#N/A,#N/A,FALSE,"RACT2.XLS";#N/A,#N/A,FALSE,"ECCMP";#N/A,#N/A,FALSE,"WELDER.XLS"}</definedName>
    <definedName name="wsgz" localSheetId="2" hidden="1">{#N/A,#N/A,FALSE,"COVER1.XLS ";#N/A,#N/A,FALSE,"RACT1.XLS";#N/A,#N/A,FALSE,"RACT2.XLS";#N/A,#N/A,FALSE,"ECCMP";#N/A,#N/A,FALSE,"WELDER.XLS"}</definedName>
    <definedName name="wtanker" localSheetId="7">#REF!</definedName>
    <definedName name="wtanker" localSheetId="1">#REF!</definedName>
    <definedName name="wtanker" localSheetId="3">#REF!</definedName>
    <definedName name="wtanker">#REF!</definedName>
    <definedName name="wtrwwefr" localSheetId="7">#REF!</definedName>
    <definedName name="wtrwwefr" localSheetId="1">#REF!</definedName>
    <definedName name="wtrwwefr" localSheetId="3">#REF!</definedName>
    <definedName name="wtrwwefr">#REF!</definedName>
    <definedName name="www" localSheetId="5" hidden="1">{#N/A,#N/A,FALSE,"COVER.XLS";#N/A,#N/A,FALSE,"RACT1.XLS";#N/A,#N/A,FALSE,"RACT2.XLS";#N/A,#N/A,FALSE,"ECCMP";#N/A,#N/A,FALSE,"WELDER.XLS"}</definedName>
    <definedName name="www" localSheetId="2" hidden="1">{#N/A,#N/A,FALSE,"COVER.XLS";#N/A,#N/A,FALSE,"RACT1.XLS";#N/A,#N/A,FALSE,"RACT2.XLS";#N/A,#N/A,FALSE,"ECCMP";#N/A,#N/A,FALSE,"WELDER.XLS"}</definedName>
    <definedName name="WWWW" localSheetId="5" hidden="1">{#N/A,#N/A,FALSE,"COVER.XLS";#N/A,#N/A,FALSE,"RACT1.XLS";#N/A,#N/A,FALSE,"RACT2.XLS";#N/A,#N/A,FALSE,"ECCMP";#N/A,#N/A,FALSE,"WELDER.XLS"}</definedName>
    <definedName name="WWWW" localSheetId="2" hidden="1">{#N/A,#N/A,FALSE,"COVER.XLS";#N/A,#N/A,FALSE,"RACT1.XLS";#N/A,#N/A,FALSE,"RACT2.XLS";#N/A,#N/A,FALSE,"ECCMP";#N/A,#N/A,FALSE,"WELDER.XLS"}</definedName>
    <definedName name="wwwwww" localSheetId="7">#REF!</definedName>
    <definedName name="wwwwww" localSheetId="1">#REF!</definedName>
    <definedName name="wwwwww" localSheetId="3">#REF!</definedName>
    <definedName name="wwwwww">#REF!</definedName>
    <definedName name="WWWWWWWW" localSheetId="7">#REF!</definedName>
    <definedName name="WWWWWWWW" localSheetId="1">#REF!</definedName>
    <definedName name="WWWWWWWW" localSheetId="3">#REF!</definedName>
    <definedName name="WWWWWWWW">#REF!</definedName>
    <definedName name="wwwwwwwww" localSheetId="7">#REF!</definedName>
    <definedName name="wwwwwwwww" localSheetId="1">#REF!</definedName>
    <definedName name="wwwwwwwww" localSheetId="3">#REF!</definedName>
    <definedName name="wwwwwwwww">#REF!</definedName>
    <definedName name="wwwwwwwwwwwwwwww" localSheetId="2">#REF!</definedName>
    <definedName name="X" localSheetId="2">#REF!</definedName>
    <definedName name="x_1" localSheetId="5" hidden="1">{"form-D1",#N/A,FALSE,"FORM-D1";"form-D1_amt",#N/A,FALSE,"FORM-D1"}</definedName>
    <definedName name="x_1" localSheetId="2" hidden="1">{"form-D1",#N/A,FALSE,"FORM-D1";"form-D1_amt",#N/A,FALSE,"FORM-D1"}</definedName>
    <definedName name="x_1_1" localSheetId="5" hidden="1">{"form-D1",#N/A,FALSE,"FORM-D1";"form-D1_amt",#N/A,FALSE,"FORM-D1"}</definedName>
    <definedName name="x_1_1" localSheetId="2" hidden="1">{"form-D1",#N/A,FALSE,"FORM-D1";"form-D1_amt",#N/A,FALSE,"FORM-D1"}</definedName>
    <definedName name="x_2" localSheetId="5" hidden="1">{"form-D1",#N/A,FALSE,"FORM-D1";"form-D1_amt",#N/A,FALSE,"FORM-D1"}</definedName>
    <definedName name="x_2" localSheetId="2" hidden="1">{"form-D1",#N/A,FALSE,"FORM-D1";"form-D1_amt",#N/A,FALSE,"FORM-D1"}</definedName>
    <definedName name="x_2_1" localSheetId="5" hidden="1">{"form-D1",#N/A,FALSE,"FORM-D1";"form-D1_amt",#N/A,FALSE,"FORM-D1"}</definedName>
    <definedName name="x_2_1" localSheetId="2" hidden="1">{"form-D1",#N/A,FALSE,"FORM-D1";"form-D1_amt",#N/A,FALSE,"FORM-D1"}</definedName>
    <definedName name="x_3" localSheetId="5" hidden="1">{"form-D1",#N/A,FALSE,"FORM-D1";"form-D1_amt",#N/A,FALSE,"FORM-D1"}</definedName>
    <definedName name="x_3" localSheetId="2" hidden="1">{"form-D1",#N/A,FALSE,"FORM-D1";"form-D1_amt",#N/A,FALSE,"FORM-D1"}</definedName>
    <definedName name="x_3_1" localSheetId="5" hidden="1">{"form-D1",#N/A,FALSE,"FORM-D1";"form-D1_amt",#N/A,FALSE,"FORM-D1"}</definedName>
    <definedName name="x_3_1" localSheetId="2" hidden="1">{"form-D1",#N/A,FALSE,"FORM-D1";"form-D1_amt",#N/A,FALSE,"FORM-D1"}</definedName>
    <definedName name="x_4" localSheetId="5" hidden="1">{"form-D1",#N/A,FALSE,"FORM-D1";"form-D1_amt",#N/A,FALSE,"FORM-D1"}</definedName>
    <definedName name="x_4" localSheetId="2" hidden="1">{"form-D1",#N/A,FALSE,"FORM-D1";"form-D1_amt",#N/A,FALSE,"FORM-D1"}</definedName>
    <definedName name="x_4_1" localSheetId="5" hidden="1">{"form-D1",#N/A,FALSE,"FORM-D1";"form-D1_amt",#N/A,FALSE,"FORM-D1"}</definedName>
    <definedName name="x_4_1" localSheetId="2" hidden="1">{"form-D1",#N/A,FALSE,"FORM-D1";"form-D1_amt",#N/A,FALSE,"FORM-D1"}</definedName>
    <definedName name="x_5" localSheetId="5" hidden="1">{"form-D1",#N/A,FALSE,"FORM-D1";"form-D1_amt",#N/A,FALSE,"FORM-D1"}</definedName>
    <definedName name="x_5" localSheetId="2" hidden="1">{"form-D1",#N/A,FALSE,"FORM-D1";"form-D1_amt",#N/A,FALSE,"FORM-D1"}</definedName>
    <definedName name="xc" localSheetId="5" hidden="1">{"form-D1",#N/A,FALSE,"FORM-D1";"form-D1_amt",#N/A,FALSE,"FORM-D1"}</definedName>
    <definedName name="xc" localSheetId="2" hidden="1">{"form-D1",#N/A,FALSE,"FORM-D1";"form-D1_amt",#N/A,FALSE,"FORM-D1"}</definedName>
    <definedName name="xc_1" localSheetId="5" hidden="1">{"form-D1",#N/A,FALSE,"FORM-D1";"form-D1_amt",#N/A,FALSE,"FORM-D1"}</definedName>
    <definedName name="xc_1" localSheetId="2" hidden="1">{"form-D1",#N/A,FALSE,"FORM-D1";"form-D1_amt",#N/A,FALSE,"FORM-D1"}</definedName>
    <definedName name="xc_1_1" localSheetId="5" hidden="1">{"form-D1",#N/A,FALSE,"FORM-D1";"form-D1_amt",#N/A,FALSE,"FORM-D1"}</definedName>
    <definedName name="xc_1_1" localSheetId="2" hidden="1">{"form-D1",#N/A,FALSE,"FORM-D1";"form-D1_amt",#N/A,FALSE,"FORM-D1"}</definedName>
    <definedName name="xc_1_2" localSheetId="5" hidden="1">{"form-D1",#N/A,FALSE,"FORM-D1";"form-D1_amt",#N/A,FALSE,"FORM-D1"}</definedName>
    <definedName name="xc_1_2" localSheetId="2" hidden="1">{"form-D1",#N/A,FALSE,"FORM-D1";"form-D1_amt",#N/A,FALSE,"FORM-D1"}</definedName>
    <definedName name="xc_2" localSheetId="5" hidden="1">{"form-D1",#N/A,FALSE,"FORM-D1";"form-D1_amt",#N/A,FALSE,"FORM-D1"}</definedName>
    <definedName name="xc_2" localSheetId="2" hidden="1">{"form-D1",#N/A,FALSE,"FORM-D1";"form-D1_amt",#N/A,FALSE,"FORM-D1"}</definedName>
    <definedName name="xc_2_1" localSheetId="5" hidden="1">{"form-D1",#N/A,FALSE,"FORM-D1";"form-D1_amt",#N/A,FALSE,"FORM-D1"}</definedName>
    <definedName name="xc_2_1" localSheetId="2" hidden="1">{"form-D1",#N/A,FALSE,"FORM-D1";"form-D1_amt",#N/A,FALSE,"FORM-D1"}</definedName>
    <definedName name="xc_3" localSheetId="5" hidden="1">{"form-D1",#N/A,FALSE,"FORM-D1";"form-D1_amt",#N/A,FALSE,"FORM-D1"}</definedName>
    <definedName name="xc_3" localSheetId="2" hidden="1">{"form-D1",#N/A,FALSE,"FORM-D1";"form-D1_amt",#N/A,FALSE,"FORM-D1"}</definedName>
    <definedName name="xc_3_1" localSheetId="5" hidden="1">{"form-D1",#N/A,FALSE,"FORM-D1";"form-D1_amt",#N/A,FALSE,"FORM-D1"}</definedName>
    <definedName name="xc_3_1" localSheetId="2" hidden="1">{"form-D1",#N/A,FALSE,"FORM-D1";"form-D1_amt",#N/A,FALSE,"FORM-D1"}</definedName>
    <definedName name="xc_4" localSheetId="5" hidden="1">{"form-D1",#N/A,FALSE,"FORM-D1";"form-D1_amt",#N/A,FALSE,"FORM-D1"}</definedName>
    <definedName name="xc_4" localSheetId="2" hidden="1">{"form-D1",#N/A,FALSE,"FORM-D1";"form-D1_amt",#N/A,FALSE,"FORM-D1"}</definedName>
    <definedName name="xc_4_1" localSheetId="5" hidden="1">{"form-D1",#N/A,FALSE,"FORM-D1";"form-D1_amt",#N/A,FALSE,"FORM-D1"}</definedName>
    <definedName name="xc_4_1" localSheetId="2" hidden="1">{"form-D1",#N/A,FALSE,"FORM-D1";"form-D1_amt",#N/A,FALSE,"FORM-D1"}</definedName>
    <definedName name="xc_5" localSheetId="5" hidden="1">{"form-D1",#N/A,FALSE,"FORM-D1";"form-D1_amt",#N/A,FALSE,"FORM-D1"}</definedName>
    <definedName name="xc_5" localSheetId="2" hidden="1">{"form-D1",#N/A,FALSE,"FORM-D1";"form-D1_amt",#N/A,FALSE,"FORM-D1"}</definedName>
    <definedName name="xc_5_1" localSheetId="5" hidden="1">{"form-D1",#N/A,FALSE,"FORM-D1";"form-D1_amt",#N/A,FALSE,"FORM-D1"}</definedName>
    <definedName name="xc_5_1" localSheetId="2" hidden="1">{"form-D1",#N/A,FALSE,"FORM-D1";"form-D1_amt",#N/A,FALSE,"FORM-D1"}</definedName>
    <definedName name="Xl" localSheetId="7">#REF!</definedName>
    <definedName name="Xl" localSheetId="1">#REF!</definedName>
    <definedName name="Xl" localSheetId="3">#REF!</definedName>
    <definedName name="Xl">#REF!</definedName>
    <definedName name="Xl___0" localSheetId="7">#REF!</definedName>
    <definedName name="Xl___0" localSheetId="1">#REF!</definedName>
    <definedName name="Xl___0" localSheetId="3">#REF!</definedName>
    <definedName name="Xl___0">#REF!</definedName>
    <definedName name="Xl___13" localSheetId="7">#REF!</definedName>
    <definedName name="Xl___13" localSheetId="1">#REF!</definedName>
    <definedName name="Xl___13" localSheetId="3">#REF!</definedName>
    <definedName name="Xl___13">#REF!</definedName>
    <definedName name="Xm" localSheetId="7">#REF!</definedName>
    <definedName name="Xm" localSheetId="1">#REF!</definedName>
    <definedName name="Xm" localSheetId="3">#REF!</definedName>
    <definedName name="Xm">#REF!</definedName>
    <definedName name="xs" localSheetId="7">#REF!</definedName>
    <definedName name="xs" localSheetId="1">#REF!</definedName>
    <definedName name="xs" localSheetId="3">#REF!</definedName>
    <definedName name="xs">#REF!</definedName>
    <definedName name="Xso" localSheetId="7">#REF!</definedName>
    <definedName name="Xso" localSheetId="1">#REF!</definedName>
    <definedName name="Xso" localSheetId="3">#REF!</definedName>
    <definedName name="Xso">#REF!</definedName>
    <definedName name="xt" localSheetId="7">#REF!</definedName>
    <definedName name="xt" localSheetId="1">#REF!</definedName>
    <definedName name="xt" localSheetId="3">#REF!</definedName>
    <definedName name="xt">#REF!</definedName>
    <definedName name="xx" localSheetId="7">#REF!</definedName>
    <definedName name="xx" localSheetId="1">#REF!</definedName>
    <definedName name="xx" localSheetId="3">#REF!</definedName>
    <definedName name="xx">#REF!</definedName>
    <definedName name="xxx" localSheetId="7">#REF!</definedName>
    <definedName name="xxx" localSheetId="1">#REF!</definedName>
    <definedName name="xxx" localSheetId="3">#REF!</definedName>
    <definedName name="xxx">#REF!</definedName>
    <definedName name="xxx1" localSheetId="7">#REF!</definedName>
    <definedName name="xxx1" localSheetId="1">#REF!</definedName>
    <definedName name="xxx1" localSheetId="3">#REF!</definedName>
    <definedName name="xxx1">#REF!</definedName>
    <definedName name="xxxx" localSheetId="7">#REF!</definedName>
    <definedName name="xxxx" localSheetId="1">#REF!</definedName>
    <definedName name="xxxx" localSheetId="3">#REF!</definedName>
    <definedName name="xxxx">#REF!</definedName>
    <definedName name="xxxxxxxxxxxxx" localSheetId="7">#REF!</definedName>
    <definedName name="xxxxxxxxxxxxx" localSheetId="1">#REF!</definedName>
    <definedName name="xxxxxxxxxxxxx" localSheetId="3">#REF!</definedName>
    <definedName name="xxxxxxxxxxxxx">#REF!</definedName>
    <definedName name="y" localSheetId="7">#REF!</definedName>
    <definedName name="y" localSheetId="1">#REF!</definedName>
    <definedName name="y" localSheetId="3">#REF!</definedName>
    <definedName name="y">#REF!</definedName>
    <definedName name="ys" localSheetId="2">#REF!</definedName>
    <definedName name="yty" localSheetId="2">#REF!</definedName>
    <definedName name="yuuy" localSheetId="2">#REF!</definedName>
    <definedName name="yy" localSheetId="7">#REF!</definedName>
    <definedName name="yy" localSheetId="1">#REF!</definedName>
    <definedName name="yy" localSheetId="3">#REF!</definedName>
    <definedName name="yy">#REF!</definedName>
    <definedName name="yyy" localSheetId="5" hidden="1">{#N/A,#N/A,TRUE,"Front";#N/A,#N/A,TRUE,"Simple Letter";#N/A,#N/A,TRUE,"Inside";#N/A,#N/A,TRUE,"Contents";#N/A,#N/A,TRUE,"Basis";#N/A,#N/A,TRUE,"Inclusions";#N/A,#N/A,TRUE,"Exclusions";#N/A,#N/A,TRUE,"Areas";#N/A,#N/A,TRUE,"Summary";#N/A,#N/A,TRUE,"Detail"}</definedName>
    <definedName name="yyy" localSheetId="2" hidden="1">{#N/A,#N/A,TRUE,"Front";#N/A,#N/A,TRUE,"Simple Letter";#N/A,#N/A,TRUE,"Inside";#N/A,#N/A,TRUE,"Contents";#N/A,#N/A,TRUE,"Basis";#N/A,#N/A,TRUE,"Inclusions";#N/A,#N/A,TRUE,"Exclusions";#N/A,#N/A,TRUE,"Areas";#N/A,#N/A,TRUE,"Summary";#N/A,#N/A,TRUE,"Detail"}</definedName>
    <definedName name="yyy_1" localSheetId="5" hidden="1">{#N/A,#N/A,TRUE,"Front";#N/A,#N/A,TRUE,"Simple Letter";#N/A,#N/A,TRUE,"Inside";#N/A,#N/A,TRUE,"Contents";#N/A,#N/A,TRUE,"Basis";#N/A,#N/A,TRUE,"Inclusions";#N/A,#N/A,TRUE,"Exclusions";#N/A,#N/A,TRUE,"Areas";#N/A,#N/A,TRUE,"Summary";#N/A,#N/A,TRUE,"Detail"}</definedName>
    <definedName name="yyy_1" localSheetId="2" hidden="1">{#N/A,#N/A,TRUE,"Front";#N/A,#N/A,TRUE,"Simple Letter";#N/A,#N/A,TRUE,"Inside";#N/A,#N/A,TRUE,"Contents";#N/A,#N/A,TRUE,"Basis";#N/A,#N/A,TRUE,"Inclusions";#N/A,#N/A,TRUE,"Exclusions";#N/A,#N/A,TRUE,"Areas";#N/A,#N/A,TRUE,"Summary";#N/A,#N/A,TRUE,"Detail"}</definedName>
    <definedName name="yyy_1_1" localSheetId="5" hidden="1">{#N/A,#N/A,TRUE,"Front";#N/A,#N/A,TRUE,"Simple Letter";#N/A,#N/A,TRUE,"Inside";#N/A,#N/A,TRUE,"Contents";#N/A,#N/A,TRUE,"Basis";#N/A,#N/A,TRUE,"Inclusions";#N/A,#N/A,TRUE,"Exclusions";#N/A,#N/A,TRUE,"Areas";#N/A,#N/A,TRUE,"Summary";#N/A,#N/A,TRUE,"Detail"}</definedName>
    <definedName name="yyy_1_1" localSheetId="2" hidden="1">{#N/A,#N/A,TRUE,"Front";#N/A,#N/A,TRUE,"Simple Letter";#N/A,#N/A,TRUE,"Inside";#N/A,#N/A,TRUE,"Contents";#N/A,#N/A,TRUE,"Basis";#N/A,#N/A,TRUE,"Inclusions";#N/A,#N/A,TRUE,"Exclusions";#N/A,#N/A,TRUE,"Areas";#N/A,#N/A,TRUE,"Summary";#N/A,#N/A,TRUE,"Detail"}</definedName>
    <definedName name="yyy_1_2" localSheetId="5" hidden="1">{#N/A,#N/A,TRUE,"Front";#N/A,#N/A,TRUE,"Simple Letter";#N/A,#N/A,TRUE,"Inside";#N/A,#N/A,TRUE,"Contents";#N/A,#N/A,TRUE,"Basis";#N/A,#N/A,TRUE,"Inclusions";#N/A,#N/A,TRUE,"Exclusions";#N/A,#N/A,TRUE,"Areas";#N/A,#N/A,TRUE,"Summary";#N/A,#N/A,TRUE,"Detail"}</definedName>
    <definedName name="yyy_1_2" localSheetId="2" hidden="1">{#N/A,#N/A,TRUE,"Front";#N/A,#N/A,TRUE,"Simple Letter";#N/A,#N/A,TRUE,"Inside";#N/A,#N/A,TRUE,"Contents";#N/A,#N/A,TRUE,"Basis";#N/A,#N/A,TRUE,"Inclusions";#N/A,#N/A,TRUE,"Exclusions";#N/A,#N/A,TRUE,"Areas";#N/A,#N/A,TRUE,"Summary";#N/A,#N/A,TRUE,"Detail"}</definedName>
    <definedName name="yyy_2" localSheetId="5" hidden="1">{#N/A,#N/A,TRUE,"Front";#N/A,#N/A,TRUE,"Simple Letter";#N/A,#N/A,TRUE,"Inside";#N/A,#N/A,TRUE,"Contents";#N/A,#N/A,TRUE,"Basis";#N/A,#N/A,TRUE,"Inclusions";#N/A,#N/A,TRUE,"Exclusions";#N/A,#N/A,TRUE,"Areas";#N/A,#N/A,TRUE,"Summary";#N/A,#N/A,TRUE,"Detail"}</definedName>
    <definedName name="yyy_2" localSheetId="2" hidden="1">{#N/A,#N/A,TRUE,"Front";#N/A,#N/A,TRUE,"Simple Letter";#N/A,#N/A,TRUE,"Inside";#N/A,#N/A,TRUE,"Contents";#N/A,#N/A,TRUE,"Basis";#N/A,#N/A,TRUE,"Inclusions";#N/A,#N/A,TRUE,"Exclusions";#N/A,#N/A,TRUE,"Areas";#N/A,#N/A,TRUE,"Summary";#N/A,#N/A,TRUE,"Detail"}</definedName>
    <definedName name="yyy_2_1" localSheetId="5" hidden="1">{#N/A,#N/A,TRUE,"Front";#N/A,#N/A,TRUE,"Simple Letter";#N/A,#N/A,TRUE,"Inside";#N/A,#N/A,TRUE,"Contents";#N/A,#N/A,TRUE,"Basis";#N/A,#N/A,TRUE,"Inclusions";#N/A,#N/A,TRUE,"Exclusions";#N/A,#N/A,TRUE,"Areas";#N/A,#N/A,TRUE,"Summary";#N/A,#N/A,TRUE,"Detail"}</definedName>
    <definedName name="yyy_2_1" localSheetId="2" hidden="1">{#N/A,#N/A,TRUE,"Front";#N/A,#N/A,TRUE,"Simple Letter";#N/A,#N/A,TRUE,"Inside";#N/A,#N/A,TRUE,"Contents";#N/A,#N/A,TRUE,"Basis";#N/A,#N/A,TRUE,"Inclusions";#N/A,#N/A,TRUE,"Exclusions";#N/A,#N/A,TRUE,"Areas";#N/A,#N/A,TRUE,"Summary";#N/A,#N/A,TRUE,"Detail"}</definedName>
    <definedName name="yyy_3" localSheetId="5" hidden="1">{#N/A,#N/A,TRUE,"Front";#N/A,#N/A,TRUE,"Simple Letter";#N/A,#N/A,TRUE,"Inside";#N/A,#N/A,TRUE,"Contents";#N/A,#N/A,TRUE,"Basis";#N/A,#N/A,TRUE,"Inclusions";#N/A,#N/A,TRUE,"Exclusions";#N/A,#N/A,TRUE,"Areas";#N/A,#N/A,TRUE,"Summary";#N/A,#N/A,TRUE,"Detail"}</definedName>
    <definedName name="yyy_3" localSheetId="2" hidden="1">{#N/A,#N/A,TRUE,"Front";#N/A,#N/A,TRUE,"Simple Letter";#N/A,#N/A,TRUE,"Inside";#N/A,#N/A,TRUE,"Contents";#N/A,#N/A,TRUE,"Basis";#N/A,#N/A,TRUE,"Inclusions";#N/A,#N/A,TRUE,"Exclusions";#N/A,#N/A,TRUE,"Areas";#N/A,#N/A,TRUE,"Summary";#N/A,#N/A,TRUE,"Detail"}</definedName>
    <definedName name="yyy_4" localSheetId="5" hidden="1">{#N/A,#N/A,TRUE,"Front";#N/A,#N/A,TRUE,"Simple Letter";#N/A,#N/A,TRUE,"Inside";#N/A,#N/A,TRUE,"Contents";#N/A,#N/A,TRUE,"Basis";#N/A,#N/A,TRUE,"Inclusions";#N/A,#N/A,TRUE,"Exclusions";#N/A,#N/A,TRUE,"Areas";#N/A,#N/A,TRUE,"Summary";#N/A,#N/A,TRUE,"Detail"}</definedName>
    <definedName name="yyy_4" localSheetId="2" hidden="1">{#N/A,#N/A,TRUE,"Front";#N/A,#N/A,TRUE,"Simple Letter";#N/A,#N/A,TRUE,"Inside";#N/A,#N/A,TRUE,"Contents";#N/A,#N/A,TRUE,"Basis";#N/A,#N/A,TRUE,"Inclusions";#N/A,#N/A,TRUE,"Exclusions";#N/A,#N/A,TRUE,"Areas";#N/A,#N/A,TRUE,"Summary";#N/A,#N/A,TRUE,"Detail"}</definedName>
    <definedName name="yyyy" localSheetId="5" hidden="1">{#N/A,#N/A,TRUE,"Front";#N/A,#N/A,TRUE,"Simple Letter";#N/A,#N/A,TRUE,"Inside";#N/A,#N/A,TRUE,"Contents";#N/A,#N/A,TRUE,"Basis";#N/A,#N/A,TRUE,"Inclusions";#N/A,#N/A,TRUE,"Exclusions";#N/A,#N/A,TRUE,"Areas";#N/A,#N/A,TRUE,"Summary";#N/A,#N/A,TRUE,"Detail"}</definedName>
    <definedName name="yyyy" localSheetId="2" hidden="1">{#N/A,#N/A,TRUE,"Front";#N/A,#N/A,TRUE,"Simple Letter";#N/A,#N/A,TRUE,"Inside";#N/A,#N/A,TRUE,"Contents";#N/A,#N/A,TRUE,"Basis";#N/A,#N/A,TRUE,"Inclusions";#N/A,#N/A,TRUE,"Exclusions";#N/A,#N/A,TRUE,"Areas";#N/A,#N/A,TRUE,"Summary";#N/A,#N/A,TRUE,"Detail"}</definedName>
    <definedName name="yyyy_1" localSheetId="5" hidden="1">{#N/A,#N/A,TRUE,"Front";#N/A,#N/A,TRUE,"Simple Letter";#N/A,#N/A,TRUE,"Inside";#N/A,#N/A,TRUE,"Contents";#N/A,#N/A,TRUE,"Basis";#N/A,#N/A,TRUE,"Inclusions";#N/A,#N/A,TRUE,"Exclusions";#N/A,#N/A,TRUE,"Areas";#N/A,#N/A,TRUE,"Summary";#N/A,#N/A,TRUE,"Detail"}</definedName>
    <definedName name="yyyy_1" localSheetId="2" hidden="1">{#N/A,#N/A,TRUE,"Front";#N/A,#N/A,TRUE,"Simple Letter";#N/A,#N/A,TRUE,"Inside";#N/A,#N/A,TRUE,"Contents";#N/A,#N/A,TRUE,"Basis";#N/A,#N/A,TRUE,"Inclusions";#N/A,#N/A,TRUE,"Exclusions";#N/A,#N/A,TRUE,"Areas";#N/A,#N/A,TRUE,"Summary";#N/A,#N/A,TRUE,"Detail"}</definedName>
    <definedName name="yyyy_1_1" localSheetId="5" hidden="1">{#N/A,#N/A,TRUE,"Front";#N/A,#N/A,TRUE,"Simple Letter";#N/A,#N/A,TRUE,"Inside";#N/A,#N/A,TRUE,"Contents";#N/A,#N/A,TRUE,"Basis";#N/A,#N/A,TRUE,"Inclusions";#N/A,#N/A,TRUE,"Exclusions";#N/A,#N/A,TRUE,"Areas";#N/A,#N/A,TRUE,"Summary";#N/A,#N/A,TRUE,"Detail"}</definedName>
    <definedName name="yyyy_1_1" localSheetId="2" hidden="1">{#N/A,#N/A,TRUE,"Front";#N/A,#N/A,TRUE,"Simple Letter";#N/A,#N/A,TRUE,"Inside";#N/A,#N/A,TRUE,"Contents";#N/A,#N/A,TRUE,"Basis";#N/A,#N/A,TRUE,"Inclusions";#N/A,#N/A,TRUE,"Exclusions";#N/A,#N/A,TRUE,"Areas";#N/A,#N/A,TRUE,"Summary";#N/A,#N/A,TRUE,"Detail"}</definedName>
    <definedName name="yyyy_1_2" localSheetId="5" hidden="1">{#N/A,#N/A,TRUE,"Front";#N/A,#N/A,TRUE,"Simple Letter";#N/A,#N/A,TRUE,"Inside";#N/A,#N/A,TRUE,"Contents";#N/A,#N/A,TRUE,"Basis";#N/A,#N/A,TRUE,"Inclusions";#N/A,#N/A,TRUE,"Exclusions";#N/A,#N/A,TRUE,"Areas";#N/A,#N/A,TRUE,"Summary";#N/A,#N/A,TRUE,"Detail"}</definedName>
    <definedName name="yyyy_1_2" localSheetId="2" hidden="1">{#N/A,#N/A,TRUE,"Front";#N/A,#N/A,TRUE,"Simple Letter";#N/A,#N/A,TRUE,"Inside";#N/A,#N/A,TRUE,"Contents";#N/A,#N/A,TRUE,"Basis";#N/A,#N/A,TRUE,"Inclusions";#N/A,#N/A,TRUE,"Exclusions";#N/A,#N/A,TRUE,"Areas";#N/A,#N/A,TRUE,"Summary";#N/A,#N/A,TRUE,"Detail"}</definedName>
    <definedName name="yyyy_2" localSheetId="5" hidden="1">{#N/A,#N/A,TRUE,"Front";#N/A,#N/A,TRUE,"Simple Letter";#N/A,#N/A,TRUE,"Inside";#N/A,#N/A,TRUE,"Contents";#N/A,#N/A,TRUE,"Basis";#N/A,#N/A,TRUE,"Inclusions";#N/A,#N/A,TRUE,"Exclusions";#N/A,#N/A,TRUE,"Areas";#N/A,#N/A,TRUE,"Summary";#N/A,#N/A,TRUE,"Detail"}</definedName>
    <definedName name="yyyy_2" localSheetId="2" hidden="1">{#N/A,#N/A,TRUE,"Front";#N/A,#N/A,TRUE,"Simple Letter";#N/A,#N/A,TRUE,"Inside";#N/A,#N/A,TRUE,"Contents";#N/A,#N/A,TRUE,"Basis";#N/A,#N/A,TRUE,"Inclusions";#N/A,#N/A,TRUE,"Exclusions";#N/A,#N/A,TRUE,"Areas";#N/A,#N/A,TRUE,"Summary";#N/A,#N/A,TRUE,"Detail"}</definedName>
    <definedName name="yyyy_2_1" localSheetId="5" hidden="1">{#N/A,#N/A,TRUE,"Front";#N/A,#N/A,TRUE,"Simple Letter";#N/A,#N/A,TRUE,"Inside";#N/A,#N/A,TRUE,"Contents";#N/A,#N/A,TRUE,"Basis";#N/A,#N/A,TRUE,"Inclusions";#N/A,#N/A,TRUE,"Exclusions";#N/A,#N/A,TRUE,"Areas";#N/A,#N/A,TRUE,"Summary";#N/A,#N/A,TRUE,"Detail"}</definedName>
    <definedName name="yyyy_2_1" localSheetId="2" hidden="1">{#N/A,#N/A,TRUE,"Front";#N/A,#N/A,TRUE,"Simple Letter";#N/A,#N/A,TRUE,"Inside";#N/A,#N/A,TRUE,"Contents";#N/A,#N/A,TRUE,"Basis";#N/A,#N/A,TRUE,"Inclusions";#N/A,#N/A,TRUE,"Exclusions";#N/A,#N/A,TRUE,"Areas";#N/A,#N/A,TRUE,"Summary";#N/A,#N/A,TRUE,"Detail"}</definedName>
    <definedName name="yyyy_3" localSheetId="5" hidden="1">{#N/A,#N/A,TRUE,"Front";#N/A,#N/A,TRUE,"Simple Letter";#N/A,#N/A,TRUE,"Inside";#N/A,#N/A,TRUE,"Contents";#N/A,#N/A,TRUE,"Basis";#N/A,#N/A,TRUE,"Inclusions";#N/A,#N/A,TRUE,"Exclusions";#N/A,#N/A,TRUE,"Areas";#N/A,#N/A,TRUE,"Summary";#N/A,#N/A,TRUE,"Detail"}</definedName>
    <definedName name="yyyy_3" localSheetId="2" hidden="1">{#N/A,#N/A,TRUE,"Front";#N/A,#N/A,TRUE,"Simple Letter";#N/A,#N/A,TRUE,"Inside";#N/A,#N/A,TRUE,"Contents";#N/A,#N/A,TRUE,"Basis";#N/A,#N/A,TRUE,"Inclusions";#N/A,#N/A,TRUE,"Exclusions";#N/A,#N/A,TRUE,"Areas";#N/A,#N/A,TRUE,"Summary";#N/A,#N/A,TRUE,"Detail"}</definedName>
    <definedName name="yyyy_4" localSheetId="5" hidden="1">{#N/A,#N/A,TRUE,"Front";#N/A,#N/A,TRUE,"Simple Letter";#N/A,#N/A,TRUE,"Inside";#N/A,#N/A,TRUE,"Contents";#N/A,#N/A,TRUE,"Basis";#N/A,#N/A,TRUE,"Inclusions";#N/A,#N/A,TRUE,"Exclusions";#N/A,#N/A,TRUE,"Areas";#N/A,#N/A,TRUE,"Summary";#N/A,#N/A,TRUE,"Detail"}</definedName>
    <definedName name="yyyy_4" localSheetId="2" hidden="1">{#N/A,#N/A,TRUE,"Front";#N/A,#N/A,TRUE,"Simple Letter";#N/A,#N/A,TRUE,"Inside";#N/A,#N/A,TRUE,"Contents";#N/A,#N/A,TRUE,"Basis";#N/A,#N/A,TRUE,"Inclusions";#N/A,#N/A,TRUE,"Exclusions";#N/A,#N/A,TRUE,"Areas";#N/A,#N/A,TRUE,"Summary";#N/A,#N/A,TRUE,"Detail"}</definedName>
    <definedName name="yyyyyyyyyyy" localSheetId="7">#REF!</definedName>
    <definedName name="yyyyyyyyyyy" localSheetId="1">#REF!</definedName>
    <definedName name="yyyyyyyyyyy" localSheetId="3">#REF!</definedName>
    <definedName name="yyyyyyyyyyy">#REF!</definedName>
    <definedName name="yyyyyyyyyyyyyyyy" localSheetId="7">#REF!</definedName>
    <definedName name="yyyyyyyyyyyyyyyy" localSheetId="1">#REF!</definedName>
    <definedName name="yyyyyyyyyyyyyyyy" localSheetId="3">#REF!</definedName>
    <definedName name="yyyyyyyyyyyyyyyy">#REF!</definedName>
    <definedName name="z" localSheetId="7">#REF!</definedName>
    <definedName name="z" localSheetId="1">#REF!</definedName>
    <definedName name="z" localSheetId="3">#REF!</definedName>
    <definedName name="z">#REF!</definedName>
    <definedName name="Z_01EEECA8_52E8_4BA6_B221_CB6D3C468C80_.wvu.Cols" localSheetId="7" hidden="1">#REF!</definedName>
    <definedName name="Z_01EEECA8_52E8_4BA6_B221_CB6D3C468C80_.wvu.Cols" localSheetId="1" hidden="1">#REF!</definedName>
    <definedName name="Z_01EEECA8_52E8_4BA6_B221_CB6D3C468C80_.wvu.Cols" localSheetId="3" hidden="1">#REF!</definedName>
    <definedName name="Z_01EEECA8_52E8_4BA6_B221_CB6D3C468C80_.wvu.Cols" hidden="1">#REF!</definedName>
    <definedName name="Z_01EEECA8_52E8_4BA6_B221_CB6D3C468C80_.wvu.FilterData" localSheetId="7" hidden="1">#REF!</definedName>
    <definedName name="Z_01EEECA8_52E8_4BA6_B221_CB6D3C468C80_.wvu.FilterData" localSheetId="1" hidden="1">#REF!</definedName>
    <definedName name="Z_01EEECA8_52E8_4BA6_B221_CB6D3C468C80_.wvu.FilterData" localSheetId="3" hidden="1">#REF!</definedName>
    <definedName name="Z_01EEECA8_52E8_4BA6_B221_CB6D3C468C80_.wvu.FilterData" hidden="1">#REF!</definedName>
    <definedName name="Z_0B3EF283_BAAE_40DA_B109_606B8002D5D4_.wvu.FilterData" localSheetId="7" hidden="1">#REF!</definedName>
    <definedName name="Z_0B3EF283_BAAE_40DA_B109_606B8002D5D4_.wvu.FilterData" localSheetId="1" hidden="1">#REF!</definedName>
    <definedName name="Z_0B3EF283_BAAE_40DA_B109_606B8002D5D4_.wvu.FilterData" localSheetId="3" hidden="1">#REF!</definedName>
    <definedName name="Z_0B3EF283_BAAE_40DA_B109_606B8002D5D4_.wvu.FilterData" hidden="1">#REF!</definedName>
    <definedName name="z_1" localSheetId="5" hidden="1">{"form-D1",#N/A,FALSE,"FORM-D1";"form-D1_amt",#N/A,FALSE,"FORM-D1"}</definedName>
    <definedName name="z_1" localSheetId="2" hidden="1">{"form-D1",#N/A,FALSE,"FORM-D1";"form-D1_amt",#N/A,FALSE,"FORM-D1"}</definedName>
    <definedName name="z_1_1" localSheetId="5" hidden="1">{"form-D1",#N/A,FALSE,"FORM-D1";"form-D1_amt",#N/A,FALSE,"FORM-D1"}</definedName>
    <definedName name="z_1_1" localSheetId="2" hidden="1">{"form-D1",#N/A,FALSE,"FORM-D1";"form-D1_amt",#N/A,FALSE,"FORM-D1"}</definedName>
    <definedName name="z_1_2" localSheetId="5" hidden="1">{"form-D1",#N/A,FALSE,"FORM-D1";"form-D1_amt",#N/A,FALSE,"FORM-D1"}</definedName>
    <definedName name="z_1_2" localSheetId="2" hidden="1">{"form-D1",#N/A,FALSE,"FORM-D1";"form-D1_amt",#N/A,FALSE,"FORM-D1"}</definedName>
    <definedName name="z_2" localSheetId="5" hidden="1">{"form-D1",#N/A,FALSE,"FORM-D1";"form-D1_amt",#N/A,FALSE,"FORM-D1"}</definedName>
    <definedName name="z_2" localSheetId="2" hidden="1">{"form-D1",#N/A,FALSE,"FORM-D1";"form-D1_amt",#N/A,FALSE,"FORM-D1"}</definedName>
    <definedName name="z_2_1" localSheetId="5" hidden="1">{"form-D1",#N/A,FALSE,"FORM-D1";"form-D1_amt",#N/A,FALSE,"FORM-D1"}</definedName>
    <definedName name="z_2_1" localSheetId="2" hidden="1">{"form-D1",#N/A,FALSE,"FORM-D1";"form-D1_amt",#N/A,FALSE,"FORM-D1"}</definedName>
    <definedName name="z_3" localSheetId="5" hidden="1">{"form-D1",#N/A,FALSE,"FORM-D1";"form-D1_amt",#N/A,FALSE,"FORM-D1"}</definedName>
    <definedName name="z_3" localSheetId="2" hidden="1">{"form-D1",#N/A,FALSE,"FORM-D1";"form-D1_amt",#N/A,FALSE,"FORM-D1"}</definedName>
    <definedName name="z_3_1" localSheetId="5" hidden="1">{"form-D1",#N/A,FALSE,"FORM-D1";"form-D1_amt",#N/A,FALSE,"FORM-D1"}</definedName>
    <definedName name="z_3_1" localSheetId="2" hidden="1">{"form-D1",#N/A,FALSE,"FORM-D1";"form-D1_amt",#N/A,FALSE,"FORM-D1"}</definedName>
    <definedName name="z_4" localSheetId="5" hidden="1">{"form-D1",#N/A,FALSE,"FORM-D1";"form-D1_amt",#N/A,FALSE,"FORM-D1"}</definedName>
    <definedName name="z_4" localSheetId="2" hidden="1">{"form-D1",#N/A,FALSE,"FORM-D1";"form-D1_amt",#N/A,FALSE,"FORM-D1"}</definedName>
    <definedName name="z_4_1" localSheetId="5" hidden="1">{"form-D1",#N/A,FALSE,"FORM-D1";"form-D1_amt",#N/A,FALSE,"FORM-D1"}</definedName>
    <definedName name="z_4_1" localSheetId="2" hidden="1">{"form-D1",#N/A,FALSE,"FORM-D1";"form-D1_amt",#N/A,FALSE,"FORM-D1"}</definedName>
    <definedName name="z_5" localSheetId="5" hidden="1">{"form-D1",#N/A,FALSE,"FORM-D1";"form-D1_amt",#N/A,FALSE,"FORM-D1"}</definedName>
    <definedName name="z_5" localSheetId="2" hidden="1">{"form-D1",#N/A,FALSE,"FORM-D1";"form-D1_amt",#N/A,FALSE,"FORM-D1"}</definedName>
    <definedName name="z_5_1" localSheetId="5" hidden="1">{"form-D1",#N/A,FALSE,"FORM-D1";"form-D1_amt",#N/A,FALSE,"FORM-D1"}</definedName>
    <definedName name="z_5_1" localSheetId="2" hidden="1">{"form-D1",#N/A,FALSE,"FORM-D1";"form-D1_amt",#N/A,FALSE,"FORM-D1"}</definedName>
    <definedName name="Z_67879F2D_A365_4C5F_ACA2_06A222DC585F_.wvu.FilterData" localSheetId="2" hidden="1">#REF!</definedName>
    <definedName name="Z_6CDCF69B_5AF1_4147_8314_DDC51BBAE13A_.wvu.FilterData" localSheetId="2" hidden="1">#REF!</definedName>
    <definedName name="Z_8FCC9949_BB10_48DD_835F_9D6E68B3AE12_.wvu.PrintTitles" localSheetId="2" hidden="1">#REF!</definedName>
    <definedName name="Z_97AF8B62_D04D_48F2_A853_93998C7922D6_.wvu.FilterData" localSheetId="2" hidden="1">#REF!</definedName>
    <definedName name="Z_9F278A40_BF82_4E3D_9E8B_F7A34E58042E_.wvu.FilterData" localSheetId="2" hidden="1">#REF!</definedName>
    <definedName name="Z_EA424862_9DB5_4158_B57E_464B76E20666_.wvu.FilterData" localSheetId="2" hidden="1">#REF!</definedName>
    <definedName name="Z_F56F135F_44F3_478B_BCC3_5E739B702BEF_.wvu.Cols" localSheetId="2" hidden="1">#REF!</definedName>
    <definedName name="Z_F56F135F_44F3_478B_BCC3_5E739B702BEF_.wvu.FilterData" localSheetId="2" hidden="1">#REF!</definedName>
    <definedName name="Z_F56F135F_44F3_478B_BCC3_5E739B702BEF_.wvu.PrintTitles" localSheetId="2" hidden="1">#REF!,#REF!</definedName>
    <definedName name="zero">0</definedName>
    <definedName name="zes" localSheetId="7">#REF!</definedName>
    <definedName name="zes" localSheetId="1">#REF!</definedName>
    <definedName name="zes" localSheetId="3">#REF!</definedName>
    <definedName name="zes">#REF!</definedName>
    <definedName name="zet0" localSheetId="7">#REF!</definedName>
    <definedName name="zet0" localSheetId="1">#REF!</definedName>
    <definedName name="zet0" localSheetId="3">#REF!</definedName>
    <definedName name="zet0">#REF!</definedName>
    <definedName name="zet75" localSheetId="7">#REF!</definedName>
    <definedName name="zet75" localSheetId="1">#REF!</definedName>
    <definedName name="zet75" localSheetId="3">#REF!</definedName>
    <definedName name="zet75">#REF!</definedName>
    <definedName name="Zip" localSheetId="7">#REF!</definedName>
    <definedName name="Zip" localSheetId="1">#REF!</definedName>
    <definedName name="Zip" localSheetId="3">#REF!</definedName>
    <definedName name="Zip">#REF!</definedName>
    <definedName name="zl" localSheetId="7">#REF!</definedName>
    <definedName name="zl" localSheetId="1">#REF!</definedName>
    <definedName name="zl" localSheetId="3">#REF!</definedName>
    <definedName name="zl">#REF!</definedName>
    <definedName name="zl___0" localSheetId="7">#REF!</definedName>
    <definedName name="zl___0" localSheetId="1">#REF!</definedName>
    <definedName name="zl___0" localSheetId="3">#REF!</definedName>
    <definedName name="zl___0">#REF!</definedName>
    <definedName name="zl___13" localSheetId="7">#REF!</definedName>
    <definedName name="zl___13" localSheetId="1">#REF!</definedName>
    <definedName name="zl___13" localSheetId="3">#REF!</definedName>
    <definedName name="zl___13">#REF!</definedName>
    <definedName name="zlpu" localSheetId="7">#REF!</definedName>
    <definedName name="zlpu" localSheetId="1">#REF!</definedName>
    <definedName name="zlpu" localSheetId="3">#REF!</definedName>
    <definedName name="zlpu">#REF!</definedName>
    <definedName name="zlpu___0" localSheetId="7">#REF!</definedName>
    <definedName name="zlpu___0" localSheetId="1">#REF!</definedName>
    <definedName name="zlpu___0" localSheetId="3">#REF!</definedName>
    <definedName name="zlpu___0">#REF!</definedName>
    <definedName name="zlpu___13" localSheetId="7">#REF!</definedName>
    <definedName name="zlpu___13" localSheetId="1">#REF!</definedName>
    <definedName name="zlpu___13" localSheetId="3">#REF!</definedName>
    <definedName name="zlpu___13">#REF!</definedName>
    <definedName name="zs" localSheetId="7">#REF!</definedName>
    <definedName name="zs" localSheetId="1">#REF!</definedName>
    <definedName name="zs" localSheetId="3">#REF!</definedName>
    <definedName name="zs">#REF!</definedName>
    <definedName name="zs___0" localSheetId="7">#REF!</definedName>
    <definedName name="zs___0" localSheetId="1">#REF!</definedName>
    <definedName name="zs___0" localSheetId="3">#REF!</definedName>
    <definedName name="zs___0">#REF!</definedName>
    <definedName name="zs___13" localSheetId="7">#REF!</definedName>
    <definedName name="zs___13" localSheetId="1">#REF!</definedName>
    <definedName name="zs___13" localSheetId="3">#REF!</definedName>
    <definedName name="zs___13">#REF!</definedName>
    <definedName name="zspu" localSheetId="7">#REF!</definedName>
    <definedName name="zspu" localSheetId="1">#REF!</definedName>
    <definedName name="zspu" localSheetId="3">#REF!</definedName>
    <definedName name="zspu">#REF!</definedName>
    <definedName name="zspu___0" localSheetId="7">#REF!</definedName>
    <definedName name="zspu___0" localSheetId="1">#REF!</definedName>
    <definedName name="zspu___0" localSheetId="3">#REF!</definedName>
    <definedName name="zspu___0">#REF!</definedName>
    <definedName name="zspu___13" localSheetId="7">#REF!</definedName>
    <definedName name="zspu___13" localSheetId="1">#REF!</definedName>
    <definedName name="zspu___13" localSheetId="3">#REF!</definedName>
    <definedName name="zspu___13">#REF!</definedName>
    <definedName name="ZSS" localSheetId="7">#REF!</definedName>
    <definedName name="ZSS" localSheetId="1">#REF!</definedName>
    <definedName name="ZSS" localSheetId="3">#REF!</definedName>
    <definedName name="ZSS">#REF!</definedName>
    <definedName name="ZSS___0" localSheetId="7">#REF!</definedName>
    <definedName name="ZSS___0" localSheetId="1">#REF!</definedName>
    <definedName name="ZSS___0" localSheetId="3">#REF!</definedName>
    <definedName name="ZSS___0">#REF!</definedName>
    <definedName name="ZSS___13" localSheetId="7">#REF!</definedName>
    <definedName name="ZSS___13" localSheetId="1">#REF!</definedName>
    <definedName name="ZSS___13" localSheetId="3">#REF!</definedName>
    <definedName name="ZSS___13">#REF!</definedName>
    <definedName name="ztpu" localSheetId="7">#REF!</definedName>
    <definedName name="ztpu" localSheetId="1">#REF!</definedName>
    <definedName name="ztpu" localSheetId="3">#REF!</definedName>
    <definedName name="ztpu">#REF!</definedName>
    <definedName name="ztpu___0" localSheetId="7">#REF!</definedName>
    <definedName name="ztpu___0" localSheetId="1">#REF!</definedName>
    <definedName name="ztpu___0" localSheetId="3">#REF!</definedName>
    <definedName name="ztpu___0">#REF!</definedName>
    <definedName name="ztpu___13" localSheetId="7">#REF!</definedName>
    <definedName name="ztpu___13" localSheetId="1">#REF!</definedName>
    <definedName name="ztpu___13" localSheetId="3">#REF!</definedName>
    <definedName name="ztpu___13">#REF!</definedName>
    <definedName name="ZXCADCAD" localSheetId="7">#REF!</definedName>
    <definedName name="ZXCADCAD" localSheetId="1">#REF!</definedName>
    <definedName name="ZXCADCAD" localSheetId="3">#REF!</definedName>
    <definedName name="ZXCADCAD">#REF!</definedName>
    <definedName name="ZXCADCDACE" localSheetId="7">#REF!</definedName>
    <definedName name="ZXCADCDACE" localSheetId="1">#REF!</definedName>
    <definedName name="ZXCADCDACE" localSheetId="3">#REF!</definedName>
    <definedName name="ZXCADCDACE">#REF!</definedName>
    <definedName name="zxgsdfg" localSheetId="5" hidden="1">{"'Bill No. 7'!$A$1:$G$32"}</definedName>
    <definedName name="zxgsdfg" localSheetId="2" hidden="1">{"'Bill No. 7'!$A$1:$G$32"}</definedName>
    <definedName name="ZY___0" localSheetId="7">#REF!</definedName>
    <definedName name="ZY___0" localSheetId="1">#REF!</definedName>
    <definedName name="ZY___0" localSheetId="3">#REF!</definedName>
    <definedName name="ZY___0">#REF!</definedName>
    <definedName name="ZY___13" localSheetId="7">#REF!</definedName>
    <definedName name="ZY___13" localSheetId="1">#REF!</definedName>
    <definedName name="ZY___13" localSheetId="3">#REF!</definedName>
    <definedName name="ZY___13">#REF!</definedName>
    <definedName name="zz" localSheetId="7">#REF!</definedName>
    <definedName name="zz" localSheetId="1">#REF!</definedName>
    <definedName name="zz" localSheetId="3">#REF!</definedName>
    <definedName name="zz">#REF!</definedName>
    <definedName name="zzx" localSheetId="7">#REF!</definedName>
    <definedName name="zzx" localSheetId="1">#REF!</definedName>
    <definedName name="zzx" localSheetId="3">#REF!</definedName>
    <definedName name="zzx">#REF!</definedName>
    <definedName name="zzzzzzzzzzzzzzzzzzzz" localSheetId="7">#REF!</definedName>
    <definedName name="zzzzzzzzzzzzzzzzzzzz" localSheetId="1">#REF!</definedName>
    <definedName name="zzzzzzzzzzzzzzzzzzzz" localSheetId="3">#REF!</definedName>
    <definedName name="zzzzzzzzzzzzzzzzzzzz">#REF!</definedName>
    <definedName name="전체" localSheetId="7">#REF!</definedName>
    <definedName name="전체" localSheetId="1">#REF!</definedName>
    <definedName name="전체" localSheetId="3">#REF!</definedName>
    <definedName name="전체">#REF!</definedName>
    <definedName name="掛率" localSheetId="2">#REF!</definedName>
  </definedNames>
  <calcPr calcId="124519"/>
</workbook>
</file>

<file path=xl/calcChain.xml><?xml version="1.0" encoding="utf-8"?>
<calcChain xmlns="http://schemas.openxmlformats.org/spreadsheetml/2006/main">
  <c r="J13" i="15"/>
  <c r="F12"/>
  <c r="N43" i="20"/>
  <c r="F16" i="15"/>
  <c r="F74" i="16"/>
  <c r="G75" s="1"/>
  <c r="F71"/>
  <c r="F68"/>
  <c r="F67"/>
  <c r="F66"/>
  <c r="F63"/>
  <c r="G64" s="1"/>
  <c r="F60"/>
  <c r="F59"/>
  <c r="F58"/>
  <c r="F55"/>
  <c r="F54"/>
  <c r="F53"/>
  <c r="F52"/>
  <c r="F49"/>
  <c r="F48"/>
  <c r="F45"/>
  <c r="F44"/>
  <c r="F43"/>
  <c r="F12"/>
  <c r="F8"/>
  <c r="F7"/>
  <c r="F40"/>
  <c r="F34"/>
  <c r="F35" s="1"/>
  <c r="F36" s="1"/>
  <c r="F20"/>
  <c r="E9"/>
  <c r="F9" s="1"/>
  <c r="C2"/>
  <c r="H42" i="20"/>
  <c r="L41"/>
  <c r="J41"/>
  <c r="I41"/>
  <c r="D411" i="14"/>
  <c r="F408"/>
  <c r="E407"/>
  <c r="F407"/>
  <c r="D404"/>
  <c r="I75" i="16" l="1"/>
  <c r="H75"/>
  <c r="G69"/>
  <c r="F414" i="14"/>
  <c r="F411"/>
  <c r="E406"/>
  <c r="F406" s="1"/>
  <c r="F409" s="1"/>
  <c r="F415"/>
  <c r="D395"/>
  <c r="D389"/>
  <c r="F398"/>
  <c r="F395"/>
  <c r="F391"/>
  <c r="E391"/>
  <c r="E383"/>
  <c r="E380"/>
  <c r="F380" s="1"/>
  <c r="E23" i="10"/>
  <c r="F383" i="14"/>
  <c r="F384" s="1"/>
  <c r="K39" i="20" s="1"/>
  <c r="D378" i="14"/>
  <c r="D362"/>
  <c r="F396" l="1"/>
  <c r="J40" i="20" s="1"/>
  <c r="F412" i="14"/>
  <c r="F417" s="1"/>
  <c r="F399"/>
  <c r="L40" i="20" s="1"/>
  <c r="F392" i="14"/>
  <c r="F393" s="1"/>
  <c r="F381"/>
  <c r="D359"/>
  <c r="E362"/>
  <c r="F362" s="1"/>
  <c r="F372"/>
  <c r="F373" s="1"/>
  <c r="K38" i="20" s="1"/>
  <c r="D369" i="14"/>
  <c r="F369" s="1"/>
  <c r="F365"/>
  <c r="F366" s="1"/>
  <c r="E365"/>
  <c r="F361"/>
  <c r="D343"/>
  <c r="F353"/>
  <c r="D350"/>
  <c r="F350" s="1"/>
  <c r="E346"/>
  <c r="F346" s="1"/>
  <c r="F345"/>
  <c r="E345"/>
  <c r="F330"/>
  <c r="D326"/>
  <c r="D334"/>
  <c r="F334" s="1"/>
  <c r="F337"/>
  <c r="E329"/>
  <c r="F329" s="1"/>
  <c r="E328"/>
  <c r="F328" s="1"/>
  <c r="K35" i="20"/>
  <c r="K34"/>
  <c r="K33"/>
  <c r="F401" i="14" l="1"/>
  <c r="I40" i="20"/>
  <c r="F386" i="14"/>
  <c r="H39" i="20"/>
  <c r="F347" i="14"/>
  <c r="F363"/>
  <c r="H38" i="20" s="1"/>
  <c r="F370" i="14"/>
  <c r="J38" i="20" s="1"/>
  <c r="F367" i="14"/>
  <c r="F354"/>
  <c r="L37" i="20" s="1"/>
  <c r="F348" i="14"/>
  <c r="I37" i="20" s="1"/>
  <c r="F351" i="14"/>
  <c r="J37" i="20" s="1"/>
  <c r="F335" i="14"/>
  <c r="J36" i="20" s="1"/>
  <c r="F331" i="14"/>
  <c r="F332" s="1"/>
  <c r="F338"/>
  <c r="L36" i="20" s="1"/>
  <c r="F375" i="14" l="1"/>
  <c r="I38" i="20"/>
  <c r="F356" i="14"/>
  <c r="F340"/>
  <c r="I36" i="20"/>
  <c r="D317" i="14" l="1"/>
  <c r="F317" s="1"/>
  <c r="E313"/>
  <c r="F313" s="1"/>
  <c r="F314" s="1"/>
  <c r="E295"/>
  <c r="F295" s="1"/>
  <c r="F296" s="1"/>
  <c r="E310"/>
  <c r="D310"/>
  <c r="D308"/>
  <c r="F320"/>
  <c r="D299"/>
  <c r="F299" s="1"/>
  <c r="D289"/>
  <c r="D291" s="1"/>
  <c r="E291"/>
  <c r="F302"/>
  <c r="D270"/>
  <c r="D272"/>
  <c r="D280"/>
  <c r="E276"/>
  <c r="F276" s="1"/>
  <c r="E272"/>
  <c r="F310" l="1"/>
  <c r="F311" s="1"/>
  <c r="H30" i="20" s="1"/>
  <c r="H31" s="1"/>
  <c r="H32" s="1"/>
  <c r="F303" i="14"/>
  <c r="L29" i="20" s="1"/>
  <c r="F321" i="14"/>
  <c r="L30" i="20" s="1"/>
  <c r="L31" s="1"/>
  <c r="L32" s="1"/>
  <c r="F318" i="14"/>
  <c r="J30" i="20" s="1"/>
  <c r="J31" s="1"/>
  <c r="J32" s="1"/>
  <c r="F315" i="14"/>
  <c r="I30" i="20" s="1"/>
  <c r="I31" s="1"/>
  <c r="I32" s="1"/>
  <c r="F297" i="14"/>
  <c r="I29" i="20" s="1"/>
  <c r="F291" i="14"/>
  <c r="F292" s="1"/>
  <c r="F293" s="1"/>
  <c r="H29" i="20" s="1"/>
  <c r="F300" i="14"/>
  <c r="J29" i="20" s="1"/>
  <c r="F280" i="14"/>
  <c r="F281" s="1"/>
  <c r="J28" i="20" s="1"/>
  <c r="E275" i="14"/>
  <c r="F275" s="1"/>
  <c r="F272"/>
  <c r="F273" s="1"/>
  <c r="H28" i="20" s="1"/>
  <c r="D283" i="14"/>
  <c r="F283" s="1"/>
  <c r="F284" s="1"/>
  <c r="K28" i="20" s="1"/>
  <c r="F323" i="14" l="1"/>
  <c r="F305"/>
  <c r="F277"/>
  <c r="F278" s="1"/>
  <c r="I28" i="20" l="1"/>
  <c r="F286" i="14"/>
  <c r="D22" i="24" l="1"/>
  <c r="K9" l="1"/>
  <c r="K10" s="1"/>
  <c r="K11" s="1"/>
  <c r="J10"/>
  <c r="J11"/>
  <c r="J9"/>
  <c r="I8"/>
  <c r="F22"/>
  <c r="F23" s="1"/>
  <c r="E18"/>
  <c r="F18" s="1"/>
  <c r="F19" s="1"/>
  <c r="F20" s="1"/>
  <c r="F14"/>
  <c r="F15" s="1"/>
  <c r="F16" s="1"/>
  <c r="F11"/>
  <c r="D10"/>
  <c r="D9"/>
  <c r="F9" s="1"/>
  <c r="F8"/>
  <c r="D254" i="14"/>
  <c r="D261"/>
  <c r="F261" s="1"/>
  <c r="E254"/>
  <c r="D252"/>
  <c r="D264" s="1"/>
  <c r="F264" s="1"/>
  <c r="E257"/>
  <c r="F257" s="1"/>
  <c r="F13" i="10"/>
  <c r="G13" s="1"/>
  <c r="D13"/>
  <c r="E240" i="14"/>
  <c r="F247"/>
  <c r="F246"/>
  <c r="F242"/>
  <c r="F241"/>
  <c r="D240"/>
  <c r="F10" i="24" l="1"/>
  <c r="F12"/>
  <c r="F25" s="1"/>
  <c r="F248" i="14"/>
  <c r="K26" i="20" s="1"/>
  <c r="L26" s="1"/>
  <c r="F254" i="14"/>
  <c r="F255" s="1"/>
  <c r="H27" i="20" s="1"/>
  <c r="F265" i="14"/>
  <c r="K27" i="20" s="1"/>
  <c r="F240" i="14"/>
  <c r="F243" s="1"/>
  <c r="F244" s="1"/>
  <c r="H26" i="20" s="1"/>
  <c r="F262" i="14"/>
  <c r="F258"/>
  <c r="F259" s="1"/>
  <c r="I27" i="20" s="1"/>
  <c r="D234" i="14"/>
  <c r="F234" s="1"/>
  <c r="F235" s="1"/>
  <c r="J23" i="20" s="1"/>
  <c r="J24" s="1"/>
  <c r="J25" s="1"/>
  <c r="E230" i="14"/>
  <c r="F230" s="1"/>
  <c r="F231" s="1"/>
  <c r="F232" s="1"/>
  <c r="I23" i="20" s="1"/>
  <c r="I24" s="1"/>
  <c r="I25" s="1"/>
  <c r="F226" i="14"/>
  <c r="F227" s="1"/>
  <c r="F228" s="1"/>
  <c r="K23" i="20" s="1"/>
  <c r="L23" s="1"/>
  <c r="F223" i="14"/>
  <c r="D222"/>
  <c r="D221"/>
  <c r="D219"/>
  <c r="D220" s="1"/>
  <c r="E197"/>
  <c r="E221" s="1"/>
  <c r="D198"/>
  <c r="D174"/>
  <c r="D210"/>
  <c r="F210" s="1"/>
  <c r="F211" s="1"/>
  <c r="J21" i="20" s="1"/>
  <c r="E206" i="14"/>
  <c r="F206" s="1"/>
  <c r="F207" s="1"/>
  <c r="F208" s="1"/>
  <c r="I21" i="20" s="1"/>
  <c r="F202" i="14"/>
  <c r="F203" s="1"/>
  <c r="F204" s="1"/>
  <c r="K21" i="20" s="1"/>
  <c r="L21" s="1"/>
  <c r="F199" i="14"/>
  <c r="D197"/>
  <c r="D195"/>
  <c r="D196" s="1"/>
  <c r="D186"/>
  <c r="F186" s="1"/>
  <c r="F187" s="1"/>
  <c r="J20" i="20" s="1"/>
  <c r="E182" i="14"/>
  <c r="F182" s="1"/>
  <c r="F183" s="1"/>
  <c r="F184" s="1"/>
  <c r="I20" i="20" s="1"/>
  <c r="F178" i="14"/>
  <c r="F179" s="1"/>
  <c r="F180" s="1"/>
  <c r="K20" i="20" s="1"/>
  <c r="L20" s="1"/>
  <c r="F175" i="14"/>
  <c r="D173"/>
  <c r="F173" s="1"/>
  <c r="D171"/>
  <c r="D172" s="1"/>
  <c r="E149"/>
  <c r="E174" s="1"/>
  <c r="E148"/>
  <c r="E147"/>
  <c r="E172" s="1"/>
  <c r="E146"/>
  <c r="E145"/>
  <c r="E170" s="1"/>
  <c r="E194" s="1"/>
  <c r="E218" s="1"/>
  <c r="F218" s="1"/>
  <c r="F249" l="1"/>
  <c r="J27" i="20"/>
  <c r="F267" i="14"/>
  <c r="F221"/>
  <c r="K25" i="20"/>
  <c r="L25" s="1"/>
  <c r="F197" i="14"/>
  <c r="K24" i="20"/>
  <c r="L24" s="1"/>
  <c r="F194" i="14"/>
  <c r="F174"/>
  <c r="E198"/>
  <c r="F170"/>
  <c r="E196"/>
  <c r="E220" s="1"/>
  <c r="E171"/>
  <c r="E195" s="1"/>
  <c r="E219" s="1"/>
  <c r="F219" s="1"/>
  <c r="F172"/>
  <c r="D143"/>
  <c r="D145" s="1"/>
  <c r="D162"/>
  <c r="F162" s="1"/>
  <c r="E158"/>
  <c r="F158" s="1"/>
  <c r="F159" s="1"/>
  <c r="F154"/>
  <c r="F153"/>
  <c r="F150"/>
  <c r="B26" i="10"/>
  <c r="AM43" i="21"/>
  <c r="D26" i="10" s="1"/>
  <c r="G26" s="1"/>
  <c r="AM5" i="21"/>
  <c r="AM6"/>
  <c r="AM7"/>
  <c r="AM8"/>
  <c r="AM9"/>
  <c r="AM10"/>
  <c r="AM11"/>
  <c r="AM12"/>
  <c r="AM13"/>
  <c r="AM14"/>
  <c r="AM15"/>
  <c r="AM16"/>
  <c r="AM17"/>
  <c r="AM18"/>
  <c r="AM19"/>
  <c r="AM20"/>
  <c r="AM21"/>
  <c r="AM22"/>
  <c r="AM23"/>
  <c r="AM24"/>
  <c r="AM25"/>
  <c r="AM26"/>
  <c r="AM27"/>
  <c r="AM28"/>
  <c r="AM29"/>
  <c r="AM30"/>
  <c r="AM31"/>
  <c r="AM32"/>
  <c r="AM33"/>
  <c r="AM34"/>
  <c r="AM35"/>
  <c r="AM36"/>
  <c r="AM37"/>
  <c r="AM38"/>
  <c r="AM39"/>
  <c r="AM40"/>
  <c r="AM41"/>
  <c r="AM42"/>
  <c r="AM4"/>
  <c r="F45"/>
  <c r="F155" i="14" l="1"/>
  <c r="F156" s="1"/>
  <c r="K19" i="20" s="1"/>
  <c r="L19" s="1"/>
  <c r="F198" i="14"/>
  <c r="E222"/>
  <c r="F222" s="1"/>
  <c r="F196"/>
  <c r="F171"/>
  <c r="F176" s="1"/>
  <c r="F220"/>
  <c r="F195"/>
  <c r="D149"/>
  <c r="F149" s="1"/>
  <c r="D146"/>
  <c r="D147" s="1"/>
  <c r="D148"/>
  <c r="E143"/>
  <c r="F160" s="1"/>
  <c r="I19" i="20" s="1"/>
  <c r="F200" i="14" l="1"/>
  <c r="H21" i="20" s="1"/>
  <c r="F224" i="14"/>
  <c r="F189"/>
  <c r="H20" i="20"/>
  <c r="F163" i="14"/>
  <c r="J19" i="20" s="1"/>
  <c r="B12" i="10"/>
  <c r="F213" i="14" l="1"/>
  <c r="F237"/>
  <c r="H23" i="20"/>
  <c r="H24" s="1"/>
  <c r="H25" s="1"/>
  <c r="F22" i="10"/>
  <c r="F24"/>
  <c r="F23"/>
  <c r="F21"/>
  <c r="F20"/>
  <c r="D25"/>
  <c r="D24"/>
  <c r="D23"/>
  <c r="D22"/>
  <c r="G22" s="1"/>
  <c r="D21"/>
  <c r="D20"/>
  <c r="D19"/>
  <c r="D18"/>
  <c r="D17"/>
  <c r="D16"/>
  <c r="D15"/>
  <c r="D14"/>
  <c r="D12"/>
  <c r="D11"/>
  <c r="D10"/>
  <c r="D9"/>
  <c r="B25"/>
  <c r="B24"/>
  <c r="B23"/>
  <c r="B22"/>
  <c r="B21"/>
  <c r="B20"/>
  <c r="B19"/>
  <c r="B18"/>
  <c r="B17"/>
  <c r="B16"/>
  <c r="B15"/>
  <c r="B10"/>
  <c r="AJ5" i="21"/>
  <c r="AJ6"/>
  <c r="AJ43" s="1"/>
  <c r="AJ7"/>
  <c r="AJ8"/>
  <c r="AJ9"/>
  <c r="AJ10"/>
  <c r="AJ11"/>
  <c r="AJ12"/>
  <c r="AJ13"/>
  <c r="AJ14"/>
  <c r="AJ15"/>
  <c r="AJ16"/>
  <c r="AJ17"/>
  <c r="AJ18"/>
  <c r="AJ19"/>
  <c r="AJ20"/>
  <c r="AJ21"/>
  <c r="AJ22"/>
  <c r="AJ23"/>
  <c r="AJ24"/>
  <c r="AJ25"/>
  <c r="AJ26"/>
  <c r="AJ27"/>
  <c r="AJ28"/>
  <c r="AJ29"/>
  <c r="AJ30"/>
  <c r="AJ31"/>
  <c r="AJ32"/>
  <c r="AJ33"/>
  <c r="AJ34"/>
  <c r="AJ35"/>
  <c r="AJ36"/>
  <c r="AJ37"/>
  <c r="AJ38"/>
  <c r="AJ39"/>
  <c r="AJ40"/>
  <c r="AJ41"/>
  <c r="AJ42"/>
  <c r="AL43"/>
  <c r="AJ4"/>
  <c r="K38"/>
  <c r="AD5"/>
  <c r="AE5"/>
  <c r="AD6"/>
  <c r="AE6"/>
  <c r="AD7"/>
  <c r="AE7"/>
  <c r="AD8"/>
  <c r="AE8"/>
  <c r="AD9"/>
  <c r="AE9"/>
  <c r="AD10"/>
  <c r="AE10"/>
  <c r="AD11"/>
  <c r="AE11"/>
  <c r="AD12"/>
  <c r="AE12"/>
  <c r="AD13"/>
  <c r="AE13"/>
  <c r="AD14"/>
  <c r="AE14"/>
  <c r="AD15"/>
  <c r="AE15"/>
  <c r="AD16"/>
  <c r="AE16"/>
  <c r="AD17"/>
  <c r="AE17"/>
  <c r="AD18"/>
  <c r="AE18"/>
  <c r="AD19"/>
  <c r="AE19"/>
  <c r="AD20"/>
  <c r="AE20"/>
  <c r="AD21"/>
  <c r="AE21"/>
  <c r="AD22"/>
  <c r="AE22"/>
  <c r="AD23"/>
  <c r="AE23"/>
  <c r="AD24"/>
  <c r="AE24"/>
  <c r="AD25"/>
  <c r="AE25"/>
  <c r="AD26"/>
  <c r="AE26"/>
  <c r="AD27"/>
  <c r="AE27"/>
  <c r="AD28"/>
  <c r="AE28"/>
  <c r="AD29"/>
  <c r="AE29"/>
  <c r="AD30"/>
  <c r="AE30"/>
  <c r="AE31"/>
  <c r="AD32"/>
  <c r="AD33"/>
  <c r="AE33"/>
  <c r="AD34"/>
  <c r="AE34"/>
  <c r="AD35"/>
  <c r="AE35"/>
  <c r="AD36"/>
  <c r="AE36"/>
  <c r="AD37"/>
  <c r="AE37"/>
  <c r="AD38"/>
  <c r="AE38"/>
  <c r="AD39"/>
  <c r="AE39"/>
  <c r="AD40"/>
  <c r="AE40"/>
  <c r="AD41"/>
  <c r="AE41"/>
  <c r="AD42"/>
  <c r="AE42"/>
  <c r="AE4"/>
  <c r="AD4"/>
  <c r="M32"/>
  <c r="AE32" s="1"/>
  <c r="L31"/>
  <c r="AD31" s="1"/>
  <c r="AC5"/>
  <c r="AC6"/>
  <c r="AC7"/>
  <c r="AC8"/>
  <c r="AC9"/>
  <c r="AC10"/>
  <c r="AC11"/>
  <c r="AC12"/>
  <c r="AC13"/>
  <c r="AC14"/>
  <c r="AC15"/>
  <c r="AC16"/>
  <c r="AC17"/>
  <c r="AC18"/>
  <c r="AC19"/>
  <c r="AC20"/>
  <c r="AC21"/>
  <c r="AC22"/>
  <c r="AC23"/>
  <c r="AC24"/>
  <c r="AC25"/>
  <c r="AC26"/>
  <c r="AC27"/>
  <c r="AC28"/>
  <c r="AC29"/>
  <c r="AC30"/>
  <c r="AC31"/>
  <c r="AC32"/>
  <c r="AC33"/>
  <c r="AC34"/>
  <c r="AC35"/>
  <c r="AC36"/>
  <c r="AC37"/>
  <c r="AC38"/>
  <c r="AC39"/>
  <c r="AC40"/>
  <c r="AC41"/>
  <c r="AC42"/>
  <c r="AC4"/>
  <c r="AC43" s="1"/>
  <c r="K30"/>
  <c r="Q29"/>
  <c r="G24" i="10" l="1"/>
  <c r="G23"/>
  <c r="G21"/>
  <c r="G20"/>
  <c r="AD43" i="21"/>
  <c r="AE43"/>
  <c r="J28"/>
  <c r="AB28" s="1"/>
  <c r="AB43" s="1"/>
  <c r="I27"/>
  <c r="AB5"/>
  <c r="AB6"/>
  <c r="AB7"/>
  <c r="AB8"/>
  <c r="AB9"/>
  <c r="AB10"/>
  <c r="AB11"/>
  <c r="AB12"/>
  <c r="AB13"/>
  <c r="AB14"/>
  <c r="AB15"/>
  <c r="AB16"/>
  <c r="AB17"/>
  <c r="AB18"/>
  <c r="AB19"/>
  <c r="AB20"/>
  <c r="AB21"/>
  <c r="AB22"/>
  <c r="AB23"/>
  <c r="AB24"/>
  <c r="AB25"/>
  <c r="AB26"/>
  <c r="AB27"/>
  <c r="AB29"/>
  <c r="AB30"/>
  <c r="AB31"/>
  <c r="AB32"/>
  <c r="AB33"/>
  <c r="AB34"/>
  <c r="AB35"/>
  <c r="AB36"/>
  <c r="AB37"/>
  <c r="AB38"/>
  <c r="AB39"/>
  <c r="AB40"/>
  <c r="AB41"/>
  <c r="AB42"/>
  <c r="AB4"/>
  <c r="AA5"/>
  <c r="AA6"/>
  <c r="AA7"/>
  <c r="AA8"/>
  <c r="AA9"/>
  <c r="AA10"/>
  <c r="AA11"/>
  <c r="AA12"/>
  <c r="AA13"/>
  <c r="AA14"/>
  <c r="AA15"/>
  <c r="AA16"/>
  <c r="AA17"/>
  <c r="AA18"/>
  <c r="AA19"/>
  <c r="AA20"/>
  <c r="AA21"/>
  <c r="AA22"/>
  <c r="AA23"/>
  <c r="AA24"/>
  <c r="AA25"/>
  <c r="AA26"/>
  <c r="AA27"/>
  <c r="AA28"/>
  <c r="AA29"/>
  <c r="AA30"/>
  <c r="AA31"/>
  <c r="AA32"/>
  <c r="AA33"/>
  <c r="AA34"/>
  <c r="AA35"/>
  <c r="AA36"/>
  <c r="AA37"/>
  <c r="AA38"/>
  <c r="AA39"/>
  <c r="AA40"/>
  <c r="AA41"/>
  <c r="AA42"/>
  <c r="AA4"/>
  <c r="H25"/>
  <c r="F25"/>
  <c r="H24"/>
  <c r="F24"/>
  <c r="H23"/>
  <c r="F23"/>
  <c r="H21"/>
  <c r="F21"/>
  <c r="H20"/>
  <c r="F20"/>
  <c r="AA43" l="1"/>
  <c r="AL5"/>
  <c r="AL6"/>
  <c r="AL7"/>
  <c r="AL8"/>
  <c r="AL9"/>
  <c r="AL10"/>
  <c r="AL11"/>
  <c r="AL12"/>
  <c r="AL13"/>
  <c r="AL14"/>
  <c r="AL15"/>
  <c r="AL16"/>
  <c r="AL17"/>
  <c r="AL18"/>
  <c r="AL19"/>
  <c r="AL20"/>
  <c r="AL21"/>
  <c r="AL22"/>
  <c r="AL23"/>
  <c r="AL24"/>
  <c r="AL25"/>
  <c r="AL26"/>
  <c r="AL27"/>
  <c r="AL28"/>
  <c r="AL29"/>
  <c r="AL30"/>
  <c r="AL31"/>
  <c r="AL32"/>
  <c r="AL33"/>
  <c r="AL34"/>
  <c r="AL35"/>
  <c r="AL36"/>
  <c r="AL37"/>
  <c r="AL38"/>
  <c r="AL39"/>
  <c r="AL40"/>
  <c r="AL41"/>
  <c r="AL42"/>
  <c r="AL4"/>
  <c r="E124" i="14"/>
  <c r="D137"/>
  <c r="F137" s="1"/>
  <c r="F138" s="1"/>
  <c r="J17" i="20" s="1"/>
  <c r="J18" s="1"/>
  <c r="F133" i="14"/>
  <c r="F134" s="1"/>
  <c r="F135" s="1"/>
  <c r="I17" i="20" s="1"/>
  <c r="I18" s="1"/>
  <c r="E133" i="14"/>
  <c r="F129"/>
  <c r="F128"/>
  <c r="F125"/>
  <c r="D124"/>
  <c r="D123"/>
  <c r="D121"/>
  <c r="D88"/>
  <c r="D112"/>
  <c r="F112" s="1"/>
  <c r="F113" s="1"/>
  <c r="J14" i="20" s="1"/>
  <c r="J15" s="1"/>
  <c r="E108" i="14"/>
  <c r="F108" s="1"/>
  <c r="F109" s="1"/>
  <c r="F110" s="1"/>
  <c r="I14" i="20" s="1"/>
  <c r="I15" s="1"/>
  <c r="F104" i="14"/>
  <c r="F103"/>
  <c r="F100"/>
  <c r="D99"/>
  <c r="D97"/>
  <c r="E75"/>
  <c r="E99" s="1"/>
  <c r="E74"/>
  <c r="E98" s="1"/>
  <c r="E122" s="1"/>
  <c r="F146" s="1"/>
  <c r="F130" l="1"/>
  <c r="F131" s="1"/>
  <c r="K17" i="20" s="1"/>
  <c r="L17" s="1"/>
  <c r="F105" i="14"/>
  <c r="F106" s="1"/>
  <c r="K14" i="20" s="1"/>
  <c r="F124" i="14"/>
  <c r="F148"/>
  <c r="F99"/>
  <c r="E123"/>
  <c r="D122"/>
  <c r="F122" s="1"/>
  <c r="D98"/>
  <c r="F98" s="1"/>
  <c r="E73"/>
  <c r="E97" s="1"/>
  <c r="K18" i="20" l="1"/>
  <c r="L18" s="1"/>
  <c r="K15"/>
  <c r="L15" s="1"/>
  <c r="L14"/>
  <c r="F123" i="14"/>
  <c r="F147"/>
  <c r="F97"/>
  <c r="E121"/>
  <c r="E72"/>
  <c r="F88"/>
  <c r="F89" s="1"/>
  <c r="J12" i="20" s="1"/>
  <c r="E84" i="14"/>
  <c r="F84" s="1"/>
  <c r="F85" s="1"/>
  <c r="F86" s="1"/>
  <c r="I12" i="20" s="1"/>
  <c r="F80" i="14"/>
  <c r="F79"/>
  <c r="F76"/>
  <c r="D75"/>
  <c r="F75" s="1"/>
  <c r="D73"/>
  <c r="F73" s="1"/>
  <c r="E65"/>
  <c r="F65" s="1"/>
  <c r="E66"/>
  <c r="F66" s="1"/>
  <c r="E59"/>
  <c r="F59" s="1"/>
  <c r="E54"/>
  <c r="F54" s="1"/>
  <c r="E60"/>
  <c r="F60" s="1"/>
  <c r="D44"/>
  <c r="F44" s="1"/>
  <c r="D37"/>
  <c r="F47"/>
  <c r="E40"/>
  <c r="F40" s="1"/>
  <c r="E39"/>
  <c r="F39" s="1"/>
  <c r="D28"/>
  <c r="F28" s="1"/>
  <c r="E23"/>
  <c r="F23" s="1"/>
  <c r="D21"/>
  <c r="F31"/>
  <c r="E24"/>
  <c r="F24" s="1"/>
  <c r="F81" l="1"/>
  <c r="F82" s="1"/>
  <c r="K12" i="20" s="1"/>
  <c r="L12" s="1"/>
  <c r="F121" i="14"/>
  <c r="F145"/>
  <c r="F151" s="1"/>
  <c r="F67"/>
  <c r="K11" i="20" s="1"/>
  <c r="L11" s="1"/>
  <c r="F72" i="14"/>
  <c r="E96"/>
  <c r="D74"/>
  <c r="F74" s="1"/>
  <c r="F61"/>
  <c r="F55"/>
  <c r="K8" i="20" s="1"/>
  <c r="L8" s="1"/>
  <c r="F41" i="14"/>
  <c r="F42" s="1"/>
  <c r="I6" i="20" s="1"/>
  <c r="F32" i="14"/>
  <c r="L5" i="20" s="1"/>
  <c r="F48" i="14"/>
  <c r="L6" i="20" s="1"/>
  <c r="F45" i="14"/>
  <c r="J6" i="20" s="1"/>
  <c r="F29" i="14"/>
  <c r="J5" i="20" s="1"/>
  <c r="F25" i="14"/>
  <c r="F26" s="1"/>
  <c r="I5" i="20" s="1"/>
  <c r="D5" i="14"/>
  <c r="D12"/>
  <c r="F12" s="1"/>
  <c r="E8"/>
  <c r="F8" s="1"/>
  <c r="M8"/>
  <c r="N13"/>
  <c r="O13" s="1"/>
  <c r="F15"/>
  <c r="F7"/>
  <c r="M42" i="20"/>
  <c r="M41"/>
  <c r="M40"/>
  <c r="M39"/>
  <c r="M38"/>
  <c r="M37"/>
  <c r="M36"/>
  <c r="M35"/>
  <c r="M34"/>
  <c r="M33"/>
  <c r="M32"/>
  <c r="M31"/>
  <c r="M30"/>
  <c r="N30" s="1"/>
  <c r="M29"/>
  <c r="M28"/>
  <c r="N28" s="1"/>
  <c r="T29"/>
  <c r="S29"/>
  <c r="R29"/>
  <c r="Q29"/>
  <c r="P29"/>
  <c r="T28"/>
  <c r="S28"/>
  <c r="R28"/>
  <c r="Q28"/>
  <c r="P28"/>
  <c r="T30"/>
  <c r="S30"/>
  <c r="R30"/>
  <c r="Q30"/>
  <c r="P30"/>
  <c r="E19" i="21"/>
  <c r="F18"/>
  <c r="F19" s="1"/>
  <c r="F17"/>
  <c r="F15"/>
  <c r="F14"/>
  <c r="F12"/>
  <c r="H18"/>
  <c r="H19" s="1"/>
  <c r="H17"/>
  <c r="G18"/>
  <c r="G19" s="1"/>
  <c r="G17"/>
  <c r="H15"/>
  <c r="H14"/>
  <c r="G12"/>
  <c r="W28"/>
  <c r="X28"/>
  <c r="Y28"/>
  <c r="Z28"/>
  <c r="AF28"/>
  <c r="AG28"/>
  <c r="AH28"/>
  <c r="AI28"/>
  <c r="AK28"/>
  <c r="W29"/>
  <c r="X29"/>
  <c r="Y29"/>
  <c r="Z29"/>
  <c r="AF29"/>
  <c r="AG29"/>
  <c r="AH29"/>
  <c r="AI29"/>
  <c r="AK29"/>
  <c r="W30"/>
  <c r="X30"/>
  <c r="Y30"/>
  <c r="Z30"/>
  <c r="AF30"/>
  <c r="AG30"/>
  <c r="AH30"/>
  <c r="AI30"/>
  <c r="AK30"/>
  <c r="W31"/>
  <c r="X31"/>
  <c r="Y31"/>
  <c r="Z31"/>
  <c r="AF31"/>
  <c r="AG31"/>
  <c r="AH31"/>
  <c r="AI31"/>
  <c r="AK31"/>
  <c r="W32"/>
  <c r="X32"/>
  <c r="Y32"/>
  <c r="Z32"/>
  <c r="AF32"/>
  <c r="AG32"/>
  <c r="AH32"/>
  <c r="AI32"/>
  <c r="AK32"/>
  <c r="W33"/>
  <c r="X33"/>
  <c r="Y33"/>
  <c r="Z33"/>
  <c r="AF33"/>
  <c r="AG33"/>
  <c r="AH33"/>
  <c r="AI33"/>
  <c r="AK33"/>
  <c r="W34"/>
  <c r="X34"/>
  <c r="Y34"/>
  <c r="Z34"/>
  <c r="AF34"/>
  <c r="AG34"/>
  <c r="AH34"/>
  <c r="AI34"/>
  <c r="AK34"/>
  <c r="W35"/>
  <c r="X35"/>
  <c r="Y35"/>
  <c r="Z35"/>
  <c r="AF35"/>
  <c r="AG35"/>
  <c r="AH35"/>
  <c r="AI35"/>
  <c r="AK35"/>
  <c r="W36"/>
  <c r="X36"/>
  <c r="Y36"/>
  <c r="Z36"/>
  <c r="AF36"/>
  <c r="AG36"/>
  <c r="AH36"/>
  <c r="AI36"/>
  <c r="AK36"/>
  <c r="W37"/>
  <c r="X37"/>
  <c r="Y37"/>
  <c r="Z37"/>
  <c r="AF37"/>
  <c r="AG37"/>
  <c r="AH37"/>
  <c r="AI37"/>
  <c r="AK37"/>
  <c r="W38"/>
  <c r="X38"/>
  <c r="Y38"/>
  <c r="Z38"/>
  <c r="AF38"/>
  <c r="AG38"/>
  <c r="AH38"/>
  <c r="AI38"/>
  <c r="AK38"/>
  <c r="W39"/>
  <c r="X39"/>
  <c r="Y39"/>
  <c r="Z39"/>
  <c r="AF39"/>
  <c r="AG39"/>
  <c r="AH39"/>
  <c r="AI39"/>
  <c r="AK39"/>
  <c r="W40"/>
  <c r="X40"/>
  <c r="Y40"/>
  <c r="Z40"/>
  <c r="AF40"/>
  <c r="AG40"/>
  <c r="AH40"/>
  <c r="AI40"/>
  <c r="AK40"/>
  <c r="W41"/>
  <c r="X41"/>
  <c r="Y41"/>
  <c r="Z41"/>
  <c r="AF41"/>
  <c r="AG41"/>
  <c r="AH41"/>
  <c r="AI41"/>
  <c r="AK41"/>
  <c r="W42"/>
  <c r="X42"/>
  <c r="Y42"/>
  <c r="Z42"/>
  <c r="AF42"/>
  <c r="AG42"/>
  <c r="AH42"/>
  <c r="AI42"/>
  <c r="AK42"/>
  <c r="AK43" s="1"/>
  <c r="A1"/>
  <c r="G6" i="10"/>
  <c r="F42" i="20"/>
  <c r="F41"/>
  <c r="F40"/>
  <c r="F39"/>
  <c r="F38"/>
  <c r="F37"/>
  <c r="F36"/>
  <c r="F35"/>
  <c r="F34"/>
  <c r="F33"/>
  <c r="F32"/>
  <c r="F31"/>
  <c r="F30"/>
  <c r="O30" s="1"/>
  <c r="F29"/>
  <c r="F28"/>
  <c r="F27"/>
  <c r="F26"/>
  <c r="F25"/>
  <c r="F24"/>
  <c r="F23"/>
  <c r="F22"/>
  <c r="F21"/>
  <c r="F20"/>
  <c r="F19"/>
  <c r="F18"/>
  <c r="F17"/>
  <c r="F16"/>
  <c r="F15"/>
  <c r="F14"/>
  <c r="F13"/>
  <c r="F12"/>
  <c r="F11"/>
  <c r="F10"/>
  <c r="F9"/>
  <c r="F8"/>
  <c r="F7"/>
  <c r="F6"/>
  <c r="F5"/>
  <c r="F4"/>
  <c r="G5" i="22"/>
  <c r="G6"/>
  <c r="G7"/>
  <c r="G8"/>
  <c r="G9"/>
  <c r="G10"/>
  <c r="G11"/>
  <c r="G12"/>
  <c r="G13"/>
  <c r="G14"/>
  <c r="G15"/>
  <c r="G16"/>
  <c r="G17"/>
  <c r="G18"/>
  <c r="G19"/>
  <c r="G20"/>
  <c r="G21"/>
  <c r="G22"/>
  <c r="G23"/>
  <c r="G24"/>
  <c r="G25"/>
  <c r="G26"/>
  <c r="G27"/>
  <c r="G28"/>
  <c r="G29"/>
  <c r="G30"/>
  <c r="G31"/>
  <c r="G32"/>
  <c r="G33"/>
  <c r="G34"/>
  <c r="G35"/>
  <c r="G36"/>
  <c r="G37"/>
  <c r="G38"/>
  <c r="G39"/>
  <c r="G40"/>
  <c r="G41"/>
  <c r="G42"/>
  <c r="G43"/>
  <c r="G4"/>
  <c r="F42"/>
  <c r="F41"/>
  <c r="F40"/>
  <c r="F39"/>
  <c r="F38"/>
  <c r="F37"/>
  <c r="F36"/>
  <c r="F35"/>
  <c r="F34"/>
  <c r="F33"/>
  <c r="F32"/>
  <c r="F31"/>
  <c r="F30"/>
  <c r="F29"/>
  <c r="F28"/>
  <c r="F27"/>
  <c r="F26"/>
  <c r="F25"/>
  <c r="F24"/>
  <c r="F23"/>
  <c r="F22"/>
  <c r="F21"/>
  <c r="F20"/>
  <c r="F19"/>
  <c r="F18"/>
  <c r="F17"/>
  <c r="F16"/>
  <c r="F15"/>
  <c r="F14"/>
  <c r="F13"/>
  <c r="F12"/>
  <c r="F11"/>
  <c r="F10"/>
  <c r="F9"/>
  <c r="F8"/>
  <c r="F7"/>
  <c r="F6"/>
  <c r="F5"/>
  <c r="F4"/>
  <c r="F43" s="1"/>
  <c r="F42" i="18"/>
  <c r="F41"/>
  <c r="F40"/>
  <c r="F39"/>
  <c r="F38"/>
  <c r="F37"/>
  <c r="F36"/>
  <c r="F35"/>
  <c r="F34"/>
  <c r="F33"/>
  <c r="F32"/>
  <c r="F31"/>
  <c r="F30"/>
  <c r="F29"/>
  <c r="F28"/>
  <c r="F27"/>
  <c r="F26"/>
  <c r="F25"/>
  <c r="F24"/>
  <c r="F23"/>
  <c r="F22"/>
  <c r="F21"/>
  <c r="F20"/>
  <c r="F19"/>
  <c r="F18"/>
  <c r="F17"/>
  <c r="F16"/>
  <c r="F15"/>
  <c r="F14"/>
  <c r="F13"/>
  <c r="F12"/>
  <c r="F11"/>
  <c r="F10"/>
  <c r="F9"/>
  <c r="F8"/>
  <c r="F7"/>
  <c r="F6"/>
  <c r="F5"/>
  <c r="F4"/>
  <c r="F43" s="1"/>
  <c r="F165" i="14" l="1"/>
  <c r="H19" i="20"/>
  <c r="K9"/>
  <c r="L9" s="1"/>
  <c r="K10"/>
  <c r="L10" s="1"/>
  <c r="E120" i="14"/>
  <c r="F120" s="1"/>
  <c r="F126" s="1"/>
  <c r="F96"/>
  <c r="F101" s="1"/>
  <c r="F77"/>
  <c r="F91" s="1"/>
  <c r="F13"/>
  <c r="J4" i="20" s="1"/>
  <c r="F50" i="14"/>
  <c r="F34"/>
  <c r="F16"/>
  <c r="L4" i="20" s="1"/>
  <c r="F9" i="14"/>
  <c r="F10" s="1"/>
  <c r="I4" i="20" s="1"/>
  <c r="F43"/>
  <c r="F44" i="22"/>
  <c r="F45" s="1"/>
  <c r="F49" s="1"/>
  <c r="F50" s="1"/>
  <c r="F51" s="1"/>
  <c r="F45" i="18"/>
  <c r="F49" s="1"/>
  <c r="F50" s="1"/>
  <c r="F51" s="1"/>
  <c r="F44"/>
  <c r="F140" i="14" l="1"/>
  <c r="H17" i="20"/>
  <c r="H18" s="1"/>
  <c r="H12"/>
  <c r="F115" i="14"/>
  <c r="H14" i="20"/>
  <c r="H15" s="1"/>
  <c r="S20"/>
  <c r="S21"/>
  <c r="S22"/>
  <c r="S23"/>
  <c r="D641" i="14"/>
  <c r="F637"/>
  <c r="D633"/>
  <c r="E514"/>
  <c r="E508"/>
  <c r="E513"/>
  <c r="E507"/>
  <c r="E471"/>
  <c r="E653" l="1"/>
  <c r="E650"/>
  <c r="F644"/>
  <c r="F645" s="1"/>
  <c r="F641"/>
  <c r="F636"/>
  <c r="F635"/>
  <c r="D614"/>
  <c r="D616" s="1"/>
  <c r="D624"/>
  <c r="E616"/>
  <c r="F638" l="1"/>
  <c r="F639" s="1"/>
  <c r="F642"/>
  <c r="F627"/>
  <c r="F628" s="1"/>
  <c r="F624"/>
  <c r="F620"/>
  <c r="F621" s="1"/>
  <c r="F616"/>
  <c r="F617" l="1"/>
  <c r="F618" s="1"/>
  <c r="E609"/>
  <c r="F609" s="1"/>
  <c r="F611" s="1"/>
  <c r="E603"/>
  <c r="F603" s="1"/>
  <c r="F605" s="1"/>
  <c r="E596"/>
  <c r="F596" s="1"/>
  <c r="F597" s="1"/>
  <c r="F599" s="1"/>
  <c r="E589"/>
  <c r="F589" s="1"/>
  <c r="F590" s="1"/>
  <c r="F592" s="1"/>
  <c r="F581"/>
  <c r="D577"/>
  <c r="E568"/>
  <c r="D566"/>
  <c r="D555"/>
  <c r="D559" s="1"/>
  <c r="D542"/>
  <c r="D543" s="1"/>
  <c r="F543" s="1"/>
  <c r="D546" l="1"/>
  <c r="D547" s="1"/>
  <c r="F547" s="1"/>
  <c r="F622"/>
  <c r="F625"/>
  <c r="F583"/>
  <c r="F542"/>
  <c r="F544" s="1"/>
  <c r="D568"/>
  <c r="F559"/>
  <c r="D560"/>
  <c r="F560" s="1"/>
  <c r="D556"/>
  <c r="F556" s="1"/>
  <c r="F555"/>
  <c r="F546" l="1"/>
  <c r="F548" s="1"/>
  <c r="F550" s="1"/>
  <c r="F630"/>
  <c r="F557"/>
  <c r="F561"/>
  <c r="F563" l="1"/>
  <c r="D468" l="1"/>
  <c r="D487"/>
  <c r="F487" s="1"/>
  <c r="D534"/>
  <c r="F534" s="1"/>
  <c r="E520"/>
  <c r="F520" s="1"/>
  <c r="E523"/>
  <c r="D523"/>
  <c r="D518"/>
  <c r="E530"/>
  <c r="F530" s="1"/>
  <c r="F531" s="1"/>
  <c r="F527"/>
  <c r="F528" s="1"/>
  <c r="F524"/>
  <c r="D521"/>
  <c r="D522" s="1"/>
  <c r="F513"/>
  <c r="F514"/>
  <c r="F507"/>
  <c r="F508"/>
  <c r="D494"/>
  <c r="F494" s="1"/>
  <c r="F501"/>
  <c r="F500"/>
  <c r="F496"/>
  <c r="F495"/>
  <c r="E521"/>
  <c r="E474"/>
  <c r="D474"/>
  <c r="D473"/>
  <c r="E483"/>
  <c r="F483" s="1"/>
  <c r="F484" s="1"/>
  <c r="F479"/>
  <c r="F478"/>
  <c r="F475"/>
  <c r="D471"/>
  <c r="D472" s="1"/>
  <c r="E473"/>
  <c r="E470"/>
  <c r="F470" s="1"/>
  <c r="E472"/>
  <c r="E522" s="1"/>
  <c r="F488" l="1"/>
  <c r="F473"/>
  <c r="F480"/>
  <c r="F481" s="1"/>
  <c r="F474"/>
  <c r="F532"/>
  <c r="F485"/>
  <c r="F523"/>
  <c r="F535"/>
  <c r="F497"/>
  <c r="F498" s="1"/>
  <c r="F515"/>
  <c r="F502"/>
  <c r="F521"/>
  <c r="F522"/>
  <c r="F509"/>
  <c r="F471"/>
  <c r="F472"/>
  <c r="F18" l="1"/>
  <c r="F647"/>
  <c r="F476"/>
  <c r="F525"/>
  <c r="F503"/>
  <c r="F490" l="1"/>
  <c r="F537"/>
  <c r="W5" i="21"/>
  <c r="X5"/>
  <c r="Y5"/>
  <c r="Z5"/>
  <c r="AF5"/>
  <c r="AG5"/>
  <c r="AH5"/>
  <c r="AI5"/>
  <c r="AK5"/>
  <c r="W6"/>
  <c r="X6"/>
  <c r="Y6"/>
  <c r="Z6"/>
  <c r="AF6"/>
  <c r="AG6"/>
  <c r="AH6"/>
  <c r="AI6"/>
  <c r="AK6"/>
  <c r="W7"/>
  <c r="X7"/>
  <c r="Y7"/>
  <c r="Z7"/>
  <c r="AF7"/>
  <c r="AG7"/>
  <c r="AH7"/>
  <c r="AI7"/>
  <c r="AK7"/>
  <c r="W8"/>
  <c r="X8"/>
  <c r="Y8"/>
  <c r="Z8"/>
  <c r="AF8"/>
  <c r="AG8"/>
  <c r="AH8"/>
  <c r="AI8"/>
  <c r="AK8"/>
  <c r="W9"/>
  <c r="X9"/>
  <c r="Y9"/>
  <c r="Z9"/>
  <c r="AF9"/>
  <c r="AG9"/>
  <c r="AH9"/>
  <c r="AI9"/>
  <c r="AK9"/>
  <c r="W10"/>
  <c r="X10"/>
  <c r="Y10"/>
  <c r="Z10"/>
  <c r="AF10"/>
  <c r="AG10"/>
  <c r="AH10"/>
  <c r="AI10"/>
  <c r="AK10"/>
  <c r="W11"/>
  <c r="X11"/>
  <c r="Y11"/>
  <c r="Z11"/>
  <c r="AF11"/>
  <c r="AG11"/>
  <c r="AH11"/>
  <c r="AI11"/>
  <c r="AK11"/>
  <c r="W12"/>
  <c r="X12"/>
  <c r="Y12"/>
  <c r="Z12"/>
  <c r="AF12"/>
  <c r="AG12"/>
  <c r="AH12"/>
  <c r="AI12"/>
  <c r="AK12"/>
  <c r="W13"/>
  <c r="X13"/>
  <c r="Y13"/>
  <c r="Z13"/>
  <c r="AF13"/>
  <c r="AG13"/>
  <c r="AH13"/>
  <c r="AI13"/>
  <c r="AK13"/>
  <c r="W14"/>
  <c r="X14"/>
  <c r="Y14"/>
  <c r="Z14"/>
  <c r="AF14"/>
  <c r="AG14"/>
  <c r="AH14"/>
  <c r="AI14"/>
  <c r="AK14"/>
  <c r="W15"/>
  <c r="X15"/>
  <c r="Y15"/>
  <c r="Z15"/>
  <c r="AF15"/>
  <c r="AG15"/>
  <c r="AH15"/>
  <c r="AI15"/>
  <c r="AK15"/>
  <c r="W16"/>
  <c r="X16"/>
  <c r="Y16"/>
  <c r="Z16"/>
  <c r="AF16"/>
  <c r="AG16"/>
  <c r="AH16"/>
  <c r="AI16"/>
  <c r="AK16"/>
  <c r="W17"/>
  <c r="X17"/>
  <c r="Y17"/>
  <c r="Z17"/>
  <c r="AF17"/>
  <c r="AG17"/>
  <c r="AH17"/>
  <c r="AI17"/>
  <c r="AK17"/>
  <c r="W18"/>
  <c r="X18"/>
  <c r="Y18"/>
  <c r="Z18"/>
  <c r="AF18"/>
  <c r="AG18"/>
  <c r="AH18"/>
  <c r="AI18"/>
  <c r="AK18"/>
  <c r="W19"/>
  <c r="X19"/>
  <c r="Y19"/>
  <c r="Z19"/>
  <c r="AF19"/>
  <c r="AG19"/>
  <c r="AH19"/>
  <c r="AI19"/>
  <c r="AK19"/>
  <c r="W20"/>
  <c r="X20"/>
  <c r="Y20"/>
  <c r="Z20"/>
  <c r="AF20"/>
  <c r="AG20"/>
  <c r="AH20"/>
  <c r="AI20"/>
  <c r="AK20"/>
  <c r="W21"/>
  <c r="X21"/>
  <c r="Y21"/>
  <c r="Z21"/>
  <c r="AF21"/>
  <c r="AG21"/>
  <c r="AH21"/>
  <c r="AI21"/>
  <c r="AK21"/>
  <c r="W22"/>
  <c r="X22"/>
  <c r="Y22"/>
  <c r="Z22"/>
  <c r="AF22"/>
  <c r="AG22"/>
  <c r="AH22"/>
  <c r="AI22"/>
  <c r="AK22"/>
  <c r="W23"/>
  <c r="X23"/>
  <c r="Y23"/>
  <c r="Z23"/>
  <c r="AF23"/>
  <c r="AG23"/>
  <c r="AH23"/>
  <c r="AI23"/>
  <c r="AK23"/>
  <c r="W24"/>
  <c r="X24"/>
  <c r="Y24"/>
  <c r="Z24"/>
  <c r="AF24"/>
  <c r="AG24"/>
  <c r="AH24"/>
  <c r="AI24"/>
  <c r="AK24"/>
  <c r="W25"/>
  <c r="X25"/>
  <c r="Y25"/>
  <c r="Z25"/>
  <c r="AF25"/>
  <c r="AG25"/>
  <c r="AH25"/>
  <c r="AI25"/>
  <c r="AK25"/>
  <c r="W26"/>
  <c r="X26"/>
  <c r="Y26"/>
  <c r="Z26"/>
  <c r="AF26"/>
  <c r="AG26"/>
  <c r="AH26"/>
  <c r="AI26"/>
  <c r="AK26"/>
  <c r="W27"/>
  <c r="X27"/>
  <c r="Y27"/>
  <c r="Z27"/>
  <c r="AF27"/>
  <c r="AG27"/>
  <c r="AH27"/>
  <c r="AI27"/>
  <c r="AK27"/>
  <c r="AK4"/>
  <c r="AI4"/>
  <c r="AH4"/>
  <c r="AG4"/>
  <c r="AF4"/>
  <c r="Z4"/>
  <c r="Y4"/>
  <c r="X4"/>
  <c r="W4"/>
  <c r="F25" i="10"/>
  <c r="AH43" i="21" l="1"/>
  <c r="AG43"/>
  <c r="AF43"/>
  <c r="AI43"/>
  <c r="X43"/>
  <c r="Z43"/>
  <c r="Y43"/>
  <c r="W43"/>
  <c r="F19" i="10"/>
  <c r="G19" s="1"/>
  <c r="F18"/>
  <c r="G18" s="1"/>
  <c r="F17"/>
  <c r="F16"/>
  <c r="F15"/>
  <c r="G15" s="1"/>
  <c r="F14"/>
  <c r="F12"/>
  <c r="G12" s="1"/>
  <c r="F11"/>
  <c r="G11" s="1"/>
  <c r="F9"/>
  <c r="G10"/>
  <c r="B11"/>
  <c r="B9"/>
  <c r="F33" i="16"/>
  <c r="F32"/>
  <c r="F22"/>
  <c r="F23"/>
  <c r="C3" i="10"/>
  <c r="T42" i="20"/>
  <c r="S42"/>
  <c r="R42"/>
  <c r="Q42"/>
  <c r="P42"/>
  <c r="N42"/>
  <c r="O42" s="1"/>
  <c r="T41"/>
  <c r="S41"/>
  <c r="R41"/>
  <c r="Q41"/>
  <c r="P41"/>
  <c r="N41"/>
  <c r="O41" s="1"/>
  <c r="T40"/>
  <c r="S40"/>
  <c r="R40"/>
  <c r="Q40"/>
  <c r="P40"/>
  <c r="N40"/>
  <c r="O40" s="1"/>
  <c r="T39"/>
  <c r="S39"/>
  <c r="R39"/>
  <c r="Q39"/>
  <c r="P39"/>
  <c r="N39"/>
  <c r="O39" s="1"/>
  <c r="T38"/>
  <c r="S38"/>
  <c r="R38"/>
  <c r="Q38"/>
  <c r="P38"/>
  <c r="N38"/>
  <c r="O38" s="1"/>
  <c r="T37"/>
  <c r="S37"/>
  <c r="R37"/>
  <c r="Q37"/>
  <c r="P37"/>
  <c r="N37"/>
  <c r="O37" s="1"/>
  <c r="T36"/>
  <c r="S36"/>
  <c r="R36"/>
  <c r="Q36"/>
  <c r="P36"/>
  <c r="N36"/>
  <c r="O36" s="1"/>
  <c r="T35"/>
  <c r="S35"/>
  <c r="R35"/>
  <c r="Q35"/>
  <c r="P35"/>
  <c r="N35"/>
  <c r="O35" s="1"/>
  <c r="T34"/>
  <c r="S34"/>
  <c r="R34"/>
  <c r="Q34"/>
  <c r="P34"/>
  <c r="N34"/>
  <c r="O34" s="1"/>
  <c r="T33"/>
  <c r="S33"/>
  <c r="R33"/>
  <c r="Q33"/>
  <c r="P33"/>
  <c r="N33"/>
  <c r="O33" s="1"/>
  <c r="T32"/>
  <c r="S32"/>
  <c r="R32"/>
  <c r="Q32"/>
  <c r="P32"/>
  <c r="N32"/>
  <c r="O32" s="1"/>
  <c r="T31"/>
  <c r="S31"/>
  <c r="R31"/>
  <c r="Q31"/>
  <c r="P31"/>
  <c r="N31"/>
  <c r="O31" s="1"/>
  <c r="N29"/>
  <c r="O29" s="1"/>
  <c r="T27"/>
  <c r="R27"/>
  <c r="Q27"/>
  <c r="T26"/>
  <c r="S26"/>
  <c r="R26"/>
  <c r="Q26"/>
  <c r="P26"/>
  <c r="T25"/>
  <c r="S25"/>
  <c r="R25"/>
  <c r="Q25"/>
  <c r="P25"/>
  <c r="T24"/>
  <c r="S24"/>
  <c r="R24"/>
  <c r="Q24"/>
  <c r="P24"/>
  <c r="T23"/>
  <c r="R23"/>
  <c r="Q23"/>
  <c r="P23"/>
  <c r="T22"/>
  <c r="R22"/>
  <c r="Q22"/>
  <c r="P22"/>
  <c r="T21"/>
  <c r="R21"/>
  <c r="Q21"/>
  <c r="P21"/>
  <c r="T20"/>
  <c r="R20"/>
  <c r="Q20"/>
  <c r="P20"/>
  <c r="T19"/>
  <c r="S19"/>
  <c r="T18"/>
  <c r="S18"/>
  <c r="R18"/>
  <c r="Q18"/>
  <c r="P18"/>
  <c r="T17"/>
  <c r="S17"/>
  <c r="R17"/>
  <c r="Q17"/>
  <c r="P17"/>
  <c r="T16"/>
  <c r="S16"/>
  <c r="R16"/>
  <c r="Q16"/>
  <c r="P16"/>
  <c r="T15"/>
  <c r="S15"/>
  <c r="R15"/>
  <c r="Q15"/>
  <c r="P15"/>
  <c r="T14"/>
  <c r="S14"/>
  <c r="R14"/>
  <c r="Q14"/>
  <c r="P14"/>
  <c r="T13"/>
  <c r="S13"/>
  <c r="R13"/>
  <c r="Q13"/>
  <c r="P13"/>
  <c r="T12"/>
  <c r="S12"/>
  <c r="R12"/>
  <c r="Q12"/>
  <c r="P12"/>
  <c r="T11"/>
  <c r="S11"/>
  <c r="R11"/>
  <c r="Q11"/>
  <c r="P11"/>
  <c r="T10"/>
  <c r="S10"/>
  <c r="R10"/>
  <c r="Q10"/>
  <c r="P10"/>
  <c r="T9"/>
  <c r="S9"/>
  <c r="R9"/>
  <c r="Q9"/>
  <c r="P9"/>
  <c r="T8"/>
  <c r="T7"/>
  <c r="S7"/>
  <c r="R7"/>
  <c r="Q7"/>
  <c r="P7"/>
  <c r="S6"/>
  <c r="P6"/>
  <c r="S5"/>
  <c r="R5"/>
  <c r="P5"/>
  <c r="S4"/>
  <c r="R4"/>
  <c r="P4"/>
  <c r="M26"/>
  <c r="N26" s="1"/>
  <c r="M25"/>
  <c r="N25" s="1"/>
  <c r="M24"/>
  <c r="N24" s="1"/>
  <c r="M23"/>
  <c r="N23" s="1"/>
  <c r="M22"/>
  <c r="N22" s="1"/>
  <c r="M21"/>
  <c r="N21" s="1"/>
  <c r="O21" s="1"/>
  <c r="M20"/>
  <c r="N20" s="1"/>
  <c r="M18"/>
  <c r="N18" s="1"/>
  <c r="M17"/>
  <c r="N17" s="1"/>
  <c r="M16"/>
  <c r="N16" s="1"/>
  <c r="O16" s="1"/>
  <c r="M15"/>
  <c r="N15" s="1"/>
  <c r="O15" s="1"/>
  <c r="M14"/>
  <c r="N14" s="1"/>
  <c r="M13"/>
  <c r="N13" s="1"/>
  <c r="M12"/>
  <c r="N12" s="1"/>
  <c r="O12" s="1"/>
  <c r="M11"/>
  <c r="N11" s="1"/>
  <c r="O11" s="1"/>
  <c r="M10"/>
  <c r="N10" s="1"/>
  <c r="M9"/>
  <c r="N9" s="1"/>
  <c r="M7"/>
  <c r="N7" s="1"/>
  <c r="O7" s="1"/>
  <c r="D3" i="15"/>
  <c r="G16" i="10" l="1"/>
  <c r="G14"/>
  <c r="G17"/>
  <c r="G25"/>
  <c r="G9"/>
  <c r="O9" i="20"/>
  <c r="O13"/>
  <c r="O17"/>
  <c r="O22"/>
  <c r="O26"/>
  <c r="O24"/>
  <c r="O25"/>
  <c r="O20"/>
  <c r="O10"/>
  <c r="O14"/>
  <c r="O18"/>
  <c r="O23"/>
  <c r="G27" i="10" l="1"/>
  <c r="H69" i="16"/>
  <c r="G56"/>
  <c r="A47"/>
  <c r="A51" s="1"/>
  <c r="A57" s="1"/>
  <c r="A62" s="1"/>
  <c r="A65" s="1"/>
  <c r="F26"/>
  <c r="F25"/>
  <c r="F24"/>
  <c r="F19"/>
  <c r="F18"/>
  <c r="C13"/>
  <c r="A11"/>
  <c r="A14" s="1"/>
  <c r="A17" s="1"/>
  <c r="A28" s="1"/>
  <c r="A31" s="1"/>
  <c r="A39" s="1"/>
  <c r="D10"/>
  <c r="C10"/>
  <c r="H26" i="10" l="1"/>
  <c r="H13"/>
  <c r="H20"/>
  <c r="H21"/>
  <c r="H24"/>
  <c r="H23"/>
  <c r="H22"/>
  <c r="G46" i="16"/>
  <c r="H46" s="1"/>
  <c r="I69"/>
  <c r="G38"/>
  <c r="H38" s="1"/>
  <c r="G41"/>
  <c r="I41" s="1"/>
  <c r="G50"/>
  <c r="I50" s="1"/>
  <c r="I64"/>
  <c r="H64"/>
  <c r="I56"/>
  <c r="H56"/>
  <c r="C15"/>
  <c r="F15" s="1"/>
  <c r="G16" s="1"/>
  <c r="G13"/>
  <c r="H13" s="1"/>
  <c r="F27"/>
  <c r="G27" s="1"/>
  <c r="I27" s="1"/>
  <c r="G61"/>
  <c r="G70"/>
  <c r="G72" s="1"/>
  <c r="G10"/>
  <c r="I10" s="1"/>
  <c r="G77" l="1"/>
  <c r="I77" s="1"/>
  <c r="H72"/>
  <c r="I72"/>
  <c r="I46"/>
  <c r="H50"/>
  <c r="I38"/>
  <c r="H41"/>
  <c r="I13"/>
  <c r="F29"/>
  <c r="H27"/>
  <c r="H10"/>
  <c r="H61"/>
  <c r="I61"/>
  <c r="I16"/>
  <c r="H16"/>
  <c r="F30" l="1"/>
  <c r="G30" s="1"/>
  <c r="H30" l="1"/>
  <c r="I30"/>
  <c r="F13" i="15"/>
  <c r="F650" i="14" l="1"/>
  <c r="F651" s="1"/>
  <c r="P27" i="20" s="1"/>
  <c r="F653" i="14"/>
  <c r="F654" s="1"/>
  <c r="M27" i="20" l="1"/>
  <c r="N27" s="1"/>
  <c r="O27" s="1"/>
  <c r="S27"/>
  <c r="F655" i="14"/>
  <c r="Q8" i="20" l="1"/>
  <c r="R8"/>
  <c r="S8"/>
  <c r="S43" s="1"/>
  <c r="F577" i="14"/>
  <c r="F569"/>
  <c r="F580"/>
  <c r="F582" s="1"/>
  <c r="F573"/>
  <c r="F574" s="1"/>
  <c r="F578" l="1"/>
  <c r="R19" i="20" s="1"/>
  <c r="F575" i="14"/>
  <c r="Q19" i="20" s="1"/>
  <c r="F568" i="14"/>
  <c r="F570" s="1"/>
  <c r="F571" s="1"/>
  <c r="M19" i="20" l="1"/>
  <c r="N19" s="1"/>
  <c r="O19" s="1"/>
  <c r="P19"/>
  <c r="F585" i="14"/>
  <c r="P43" i="20" l="1"/>
  <c r="M8"/>
  <c r="N8" s="1"/>
  <c r="O8" s="1"/>
  <c r="P8"/>
  <c r="R6"/>
  <c r="R43" s="1"/>
  <c r="T6"/>
  <c r="T5" l="1"/>
  <c r="Q5" l="1"/>
  <c r="M5"/>
  <c r="N5" s="1"/>
  <c r="T4"/>
  <c r="T43" s="1"/>
  <c r="Q6" l="1"/>
  <c r="M6"/>
  <c r="N6" s="1"/>
  <c r="O6" s="1"/>
  <c r="O5"/>
  <c r="Q4" l="1"/>
  <c r="Q43" s="1"/>
  <c r="M4"/>
  <c r="N4" s="1"/>
  <c r="O28" l="1"/>
  <c r="F20" i="15"/>
  <c r="O4" i="20"/>
  <c r="O43" l="1"/>
  <c r="F14" i="15"/>
  <c r="F18" s="1"/>
  <c r="F22" s="1"/>
  <c r="F29" s="1"/>
  <c r="F33" s="1"/>
  <c r="K35" i="10"/>
  <c r="H25" l="1"/>
  <c r="H19" l="1"/>
  <c r="H18"/>
  <c r="H17"/>
  <c r="H27"/>
  <c r="H9"/>
  <c r="H15"/>
  <c r="H16"/>
  <c r="H10"/>
  <c r="H12"/>
  <c r="H11"/>
  <c r="H14"/>
</calcChain>
</file>

<file path=xl/sharedStrings.xml><?xml version="1.0" encoding="utf-8"?>
<sst xmlns="http://schemas.openxmlformats.org/spreadsheetml/2006/main" count="1221" uniqueCount="319">
  <si>
    <t>Item Description</t>
  </si>
  <si>
    <t>Units</t>
  </si>
  <si>
    <t>Qty</t>
  </si>
  <si>
    <t>S.no</t>
  </si>
  <si>
    <t>Grand Total =</t>
  </si>
  <si>
    <t>% from Total Value</t>
  </si>
  <si>
    <t>Gravel</t>
  </si>
  <si>
    <t>Cum</t>
  </si>
  <si>
    <t>Cement</t>
  </si>
  <si>
    <t>40mm</t>
  </si>
  <si>
    <t>Msand</t>
  </si>
  <si>
    <t>20mm</t>
  </si>
  <si>
    <t>Nos</t>
  </si>
  <si>
    <t>MT</t>
  </si>
  <si>
    <t>Lit</t>
  </si>
  <si>
    <t>Kg</t>
  </si>
  <si>
    <t>Sqm</t>
  </si>
  <si>
    <t>Rmt</t>
  </si>
  <si>
    <t>Structural Steel</t>
  </si>
  <si>
    <t>Co - Efficient</t>
  </si>
  <si>
    <t>Materials</t>
  </si>
  <si>
    <t>Unit</t>
  </si>
  <si>
    <t>Name of Work:</t>
  </si>
  <si>
    <t>Agreement Date :</t>
  </si>
  <si>
    <t>Project Duration:</t>
  </si>
  <si>
    <t>Value of Work</t>
  </si>
  <si>
    <t>Project Location:</t>
  </si>
  <si>
    <t>MATERIAL LIST</t>
  </si>
  <si>
    <t>S.No</t>
  </si>
  <si>
    <t>Description of Materials</t>
  </si>
  <si>
    <t>Quantity</t>
  </si>
  <si>
    <t>Rate / Unit</t>
  </si>
  <si>
    <t>Rate IncTax</t>
  </si>
  <si>
    <t>Total Amount</t>
  </si>
  <si>
    <t>% value in Total Material</t>
  </si>
  <si>
    <t>Bags</t>
  </si>
  <si>
    <t>Total Amount =</t>
  </si>
  <si>
    <t>Description</t>
  </si>
  <si>
    <t>Rate</t>
  </si>
  <si>
    <t>Amount</t>
  </si>
  <si>
    <t>Earthwork</t>
  </si>
  <si>
    <t>L.S</t>
  </si>
  <si>
    <t>Total =</t>
  </si>
  <si>
    <t>Machinery</t>
  </si>
  <si>
    <t>Fuel</t>
  </si>
  <si>
    <t>Labour</t>
  </si>
  <si>
    <t>Hire JCB</t>
  </si>
  <si>
    <t>Month</t>
  </si>
  <si>
    <t>Diesel</t>
  </si>
  <si>
    <t>S/C</t>
  </si>
  <si>
    <t>Machineries</t>
  </si>
  <si>
    <t>Man Power</t>
  </si>
  <si>
    <t xml:space="preserve">Output for </t>
  </si>
  <si>
    <t>Helpers</t>
  </si>
  <si>
    <t>BOQ</t>
  </si>
  <si>
    <t>Rate Analysis</t>
  </si>
  <si>
    <t>Water Load</t>
  </si>
  <si>
    <t>Load</t>
  </si>
  <si>
    <t>Water</t>
  </si>
  <si>
    <t>S/C - Laying</t>
  </si>
  <si>
    <t>Hire SLM</t>
  </si>
  <si>
    <t>Day</t>
  </si>
  <si>
    <t>S/C - Sectioning</t>
  </si>
  <si>
    <t>S/C - Shuttering</t>
  </si>
  <si>
    <t>TMT Steel</t>
  </si>
  <si>
    <t>Binding Wire</t>
  </si>
  <si>
    <t>S/C - Steel</t>
  </si>
  <si>
    <t>Qtl</t>
  </si>
  <si>
    <t>Cover Block</t>
  </si>
  <si>
    <t>Loading, Unloading</t>
  </si>
  <si>
    <t>For one Qtl Steel Total =</t>
  </si>
  <si>
    <t>For one Sqm Total =</t>
  </si>
  <si>
    <t>for one Cum RCC M20 Total =</t>
  </si>
  <si>
    <t>Material</t>
  </si>
  <si>
    <t>S/C - Fixing</t>
  </si>
  <si>
    <t>Total Rate</t>
  </si>
  <si>
    <t>Variance</t>
  </si>
  <si>
    <t>ZERO COST ESTIMATE - SUMMARY</t>
  </si>
  <si>
    <t>Project:</t>
  </si>
  <si>
    <t>Client:</t>
  </si>
  <si>
    <t>Location:</t>
  </si>
  <si>
    <t>Contractual Completion Duration:</t>
  </si>
  <si>
    <t>12 months</t>
  </si>
  <si>
    <t>Considered Completion Duration:</t>
  </si>
  <si>
    <t>Sl. No.</t>
  </si>
  <si>
    <t>Amount (in Rs)</t>
  </si>
  <si>
    <t>COSTS</t>
  </si>
  <si>
    <t>a)</t>
  </si>
  <si>
    <t>Direct Cost</t>
  </si>
  <si>
    <t>b)</t>
  </si>
  <si>
    <t xml:space="preserve">Indirect Cost </t>
  </si>
  <si>
    <t>OH</t>
  </si>
  <si>
    <t>TOTAL COST (DC+IDC)</t>
  </si>
  <si>
    <t xml:space="preserve">CONTRACT VALUE (SALES) </t>
  </si>
  <si>
    <t>(Excluding GST &amp; LC)</t>
  </si>
  <si>
    <t>GROSS MARGIN</t>
  </si>
  <si>
    <t>ESCALATION BENEFITS @  2%</t>
  </si>
  <si>
    <t>TOTAL MARGIN (4+5)</t>
  </si>
  <si>
    <t>Risk &amp; Contingency</t>
  </si>
  <si>
    <t>Interest Charges</t>
  </si>
  <si>
    <t>Insurance Charges</t>
  </si>
  <si>
    <t>Bank Guarantee</t>
  </si>
  <si>
    <t>GM %</t>
  </si>
  <si>
    <t>Others</t>
  </si>
  <si>
    <t>HO Overheads</t>
  </si>
  <si>
    <t>PBT</t>
  </si>
  <si>
    <t>Remarks:</t>
  </si>
  <si>
    <t>Prepared by:</t>
  </si>
  <si>
    <t>Reviewed by:</t>
  </si>
  <si>
    <t>Period (months)</t>
  </si>
  <si>
    <t>Job value</t>
  </si>
  <si>
    <t>DESCRIPTION</t>
  </si>
  <si>
    <t>Months</t>
  </si>
  <si>
    <t>Value (Rs)</t>
  </si>
  <si>
    <t>Amount Rs</t>
  </si>
  <si>
    <t>Rs in Lacs</t>
  </si>
  <si>
    <t>Staff Salaries</t>
  </si>
  <si>
    <t>Designation / Role</t>
  </si>
  <si>
    <t>Avg Salary</t>
  </si>
  <si>
    <t>Site Engineer</t>
  </si>
  <si>
    <t>Electrician</t>
  </si>
  <si>
    <t>TOTAL</t>
  </si>
  <si>
    <t>Departmental Staff</t>
  </si>
  <si>
    <t xml:space="preserve">PF / Pension / Super Annuation </t>
  </si>
  <si>
    <t>Bonus for Departmental workmen</t>
  </si>
  <si>
    <t>Welfare &amp; Other Expenses</t>
  </si>
  <si>
    <t>Guest houses</t>
  </si>
  <si>
    <t>Furniture for Staff &amp; GH</t>
  </si>
  <si>
    <t>Air conditioner</t>
  </si>
  <si>
    <t>GH Helpers</t>
  </si>
  <si>
    <t>Staff Mobile Expenses</t>
  </si>
  <si>
    <t>Tea / Coffee - Staff</t>
  </si>
  <si>
    <t>Tea / Coffee - Clients</t>
  </si>
  <si>
    <t>Snacks / Water</t>
  </si>
  <si>
    <t>Safety PPEs</t>
  </si>
  <si>
    <t>Water &amp; Sewage &amp; Power &amp; Fuel</t>
  </si>
  <si>
    <t>Curing Tank</t>
  </si>
  <si>
    <t>Sintex for Labour water &amp; office</t>
  </si>
  <si>
    <t xml:space="preserve">lights fixtures </t>
  </si>
  <si>
    <t>cable</t>
  </si>
  <si>
    <t>wire for lighting</t>
  </si>
  <si>
    <t>Power Accessories &amp; Maintenance</t>
  </si>
  <si>
    <t>Packing &amp; Forwarding</t>
  </si>
  <si>
    <t>Local transport expenses</t>
  </si>
  <si>
    <t xml:space="preserve">Postage &amp; Courier Charges </t>
  </si>
  <si>
    <t>Postage, paper expenses</t>
  </si>
  <si>
    <t>Desktops</t>
  </si>
  <si>
    <t>Printer</t>
  </si>
  <si>
    <t>Repairs &amp; Maintenanace including cleaning &amp; Sweeping &amp; Security service contracts</t>
  </si>
  <si>
    <t>Security Deployment</t>
  </si>
  <si>
    <t>Miscelleneous such as Testing Charges, etc.</t>
  </si>
  <si>
    <t>mix design</t>
  </si>
  <si>
    <t>lab equipment</t>
  </si>
  <si>
    <t>Temporary Structures</t>
  </si>
  <si>
    <t>Toilet blocks at site</t>
  </si>
  <si>
    <t>Yard Development</t>
  </si>
  <si>
    <t>Rentals &amp; Services Charges</t>
  </si>
  <si>
    <t>Water and Electricity expenses</t>
  </si>
  <si>
    <t>electricity bill - labour camp</t>
  </si>
  <si>
    <t>guest house</t>
  </si>
  <si>
    <t>Risk &amp; Contingencies</t>
  </si>
  <si>
    <t>dewatering</t>
  </si>
  <si>
    <t>NMR</t>
  </si>
  <si>
    <t>Unskilled</t>
  </si>
  <si>
    <t>GRAND TOTAL OVERHEADS</t>
  </si>
  <si>
    <t>BOQ Abstract - Major items</t>
  </si>
  <si>
    <t>WRO</t>
  </si>
  <si>
    <t>Pattukkottai Taluk</t>
  </si>
  <si>
    <t>Prime Coat</t>
  </si>
  <si>
    <t>Tack Coat</t>
  </si>
  <si>
    <t>Project Engineer</t>
  </si>
  <si>
    <t>River Sand</t>
  </si>
  <si>
    <t>Hire Excavator</t>
  </si>
  <si>
    <t>PCC M 10</t>
  </si>
  <si>
    <t>for one Cum PCC M10 Total =</t>
  </si>
  <si>
    <t>Earth Work Total =</t>
  </si>
  <si>
    <t>PCC M 15</t>
  </si>
  <si>
    <t>Shuttering</t>
  </si>
  <si>
    <t>for one Cum PCC M15 Total =</t>
  </si>
  <si>
    <t>RCC M 20</t>
  </si>
  <si>
    <t>Structural Steel - L Angle</t>
  </si>
  <si>
    <t>L/C</t>
  </si>
  <si>
    <t>L/C - Fabrication</t>
  </si>
  <si>
    <t>L/C - Fixing</t>
  </si>
  <si>
    <t>for one Rmt Total =</t>
  </si>
  <si>
    <t>WMM for Road</t>
  </si>
  <si>
    <t xml:space="preserve">WMM  </t>
  </si>
  <si>
    <t>Paver Operator</t>
  </si>
  <si>
    <t>WMM for One Cum Total =</t>
  </si>
  <si>
    <t>BM - 50mm</t>
  </si>
  <si>
    <t>S/C - BM supply and laying</t>
  </si>
  <si>
    <t>BM for One Cum Total =</t>
  </si>
  <si>
    <t>BC - 50mm</t>
  </si>
  <si>
    <t>S/C - BC supply and laying</t>
  </si>
  <si>
    <t>S/C - Primecoat supply and laying</t>
  </si>
  <si>
    <t>for One Sqm Total =</t>
  </si>
  <si>
    <t>Gravel Packing</t>
  </si>
  <si>
    <t xml:space="preserve">Gravel  </t>
  </si>
  <si>
    <t>for One Cum Total =</t>
  </si>
  <si>
    <t>Water Proofing Expansion Board</t>
  </si>
  <si>
    <t>S/C - Staging</t>
  </si>
  <si>
    <t>Tractor</t>
  </si>
  <si>
    <t>Construction of check dam across Marudhaiyar river at Varanavasi village in Ariyalur Taluk and District</t>
  </si>
  <si>
    <t>Sno</t>
  </si>
  <si>
    <t>Basic Rate</t>
  </si>
  <si>
    <t>Clearing   Scrub   jungle   and   destroying   them   effectively   etc. complete   complying   with   Standard   Specifications   and   as directed by the Departmental Engineers.</t>
  </si>
  <si>
    <t>sqm</t>
  </si>
  <si>
    <t>Earthwork excavation for foundation in all kind of soils and sub soils    to   full   depth   except   hardrock,medium   rock,requiring blasting   inclusive   of   shoring,strutting   and   bailing   out   water wherever   necessary,refilling   the   sides   of   foundation   with excavated  earth  in  layers  of  not  more  than  15cm  thick  well rammed  and  compacted  and  depositing  the  surplus  excavated earth  in  places  shown  by  the  departmental  officers  with  initial lead of 10 meters and initial lift of 2 meters clearing and levelling the site  complete complying with standard specifications and as directed by the Departmental Engineers. (Narrow excavation)</t>
  </si>
  <si>
    <t>cum</t>
  </si>
  <si>
    <t>Earth work excavating and depositing on bank with initial lead of 10 metres and lift of 2 metres  in sand silt or other loose soil, wet sand  or  silt  not  under  water  light  black  cotton  soil  sandy  loam and  ordinary  soil  including  excavated  earth  ordinary  soil  etc. complete   complying   with   Standard   Specifications   and   as directed   by   the   Departmental   Engineers.SS   20   A.   (Open Excavation.)</t>
  </si>
  <si>
    <t>Supplying  and  erection  of  steel  centering  for  sides  and  soffits with  strutting  up  to  3m  height   for  plain  surface  with  all  cross bracings   using   Mild   Steel   sheets   of   size   90cm.   X   60cm. thickness of and B.G.10 stiffened with welded Mild Steel angles of  size  25  X  25  X  3mm  for  boarding,  laid  over  country  wood joists  of  size  10cmX  6.5cm  spaced  at  90cm.  Centre  to  centre and supported by casuarina props of 10 to 13cm dia (spaced at 75cm) Centre  to  centre  etc. complete  complying  with  Standard Specifications and as directed by the Departmental Engineers.</t>
  </si>
  <si>
    <t>Centering without strutting Below ground level</t>
  </si>
  <si>
    <t>Centering with strutting upto 3m height</t>
  </si>
  <si>
    <t>Centering with strutting  3-4m height</t>
  </si>
  <si>
    <t>Centering with strutting  4-5m height</t>
  </si>
  <si>
    <t>Providing  and  placing  Plain  cement  concrete  M10  grade  using crushed broken hard granite course aggregate (well Graded) of Nominal  maximum  size  of  40mm  to  Ls  specified  grading  (to achieve the specified characteristicik strength of 10N /mm2 in 28 days)  and  mixing  the  ingredients  in  approved  mixer  including dewatering   of   the   placement   site   by   baling   (pumping   and dewatering wherever necess eng placing in layers and vibrating water  curing  finishing  hte  surface  with   all  leades  and  lifts  etc. complete   complying   with   Standard   Specifications   and   as directed by the Departmental Engineers.</t>
  </si>
  <si>
    <t>Providing and placing in position of plain cement concrete  M15 using  20  mm   size  hard  blue  granite  broken  stone  jelly  with M.Sand   mixing   with   mixer   machine    including   the   cost   of bailing/pumping   wherever   necessary   laying   the   concrete   in layers of not exceeding 15 cm thick, compacting, consolidation, vibratring,finishing,  watering,  curing  etc.   complete  complying with    Standard    Specifications    and    as    directed    by    the Departmental Engineers.</t>
  </si>
  <si>
    <t>Below ground level upto 1.50 m</t>
  </si>
  <si>
    <t>Below ground level-Foundation upto 1.50 m to 4.50 m</t>
  </si>
  <si>
    <t>Providing and placing in position of plain cement concrete M15 grade using 60% of 40mm  size  hard blue granite broken stone jelly and  40% of 20mm size  hard blue granite broken stone jelly with   M.Sand  mixing  with  mixer  machine   including  the  cost  of bailing/pumping   wherever   necessary   laying   the   concrete   in layers     of     not     exceeding     15     cm     thick,     compacting, consolidation,vibrating,finishing,  watering,  curing  etc.  complete complying  with  Standard  Specifications  and  as  directed  by  the Departmental Engineers.</t>
  </si>
  <si>
    <t>Below  ground level up to 1.50 m</t>
  </si>
  <si>
    <t>Above  ground level up to 4.50 m</t>
  </si>
  <si>
    <r>
      <rPr>
        <sz val="10"/>
        <rFont val="Cambria"/>
        <family val="1"/>
        <scheme val="major"/>
      </rPr>
      <t>Supplying and fabrication and  CC Block of size 1.50 X 1.50 X
0.90  m  with  Plain  Cement  Concrete  1:2:4  (one  cement  two m.sand  and  Four  aggregate)  using   40mm   and  down  graded metal hard broken stone jelly for foundation including dewatering if  found  necessary  and  placing  in  position  including  ramming watering  and  curing  etc.  complete  complying  with  Standard Specifications and as directed by the Departmental Engineers.</t>
    </r>
  </si>
  <si>
    <t>Providing and laying in position standardised concrete Mix M-20 Grade   in   accordance   with   IS   456-2000   using   20mm   and downgraded hard broken granite stone jelly for all RCC items of works  with  minium  cement  content  of  325  kg/m3  and  maxium water cement ratio of 0.55 including admixture (Plasticizer/Super plasticizer)   in   recommended   proportions   asper   IS   9103   to accelerate,   retard   setting   of   concrete,   improve   workability without imparing strength and durability with about (5 cu.m) 7730 kg of 20 mm machine crushed stone jelly and with about (4.79 cu.m) 7670 kg of m.sand, but excluding cost of reinforcemnt grill and   fabricating   charges,   centering   and   shuttering   and   also including   and   laying,   vibrating   with   mechanical   vibrators, finishing,    curing    etc.    complete    complying    with    Standard Specifications and as directed by the Departmental Engineers.</t>
  </si>
  <si>
    <t>Reinforced  cement  concrete  M25    using  20mm  hard  broken stone  jelly  and  downgreded  to  IS  specified  grading  mixed  in mixer  machine  including  dewatering  the  placement  site,  laying the  concrete  in  layers  and  in  bays.vibrating  compacting  and finishing  the  surface  with  all  lead  and  lifts,  watering  curing complete  to  attain  the  profile  and  strength  as  specified  in  the drawings and specification for various lengths and heights below and above ground level etc. complete complying with Standard Specifications and as directed by the Departmental Engineers.</t>
  </si>
  <si>
    <t>Providing  and  placing  plain  cement  concrete  M20  grade  using crusher  broken  hard  granite  course  agrregate  (well  graded)  of nominal maximum size of 20mm to specified grading to achieve the special characteristic strength of 20 N/mm2 in 28 days and mixing  the  ingredients in  approved mixed  placing in  layers and vibrating water curing finishing the surface with all leads and lifts etc. complete in all respects so as to attain the profile strength specified in the approved drawing and specified in the approved drawing  and  specifications  as  per the  direction  of  the  engineer incharge  of  works  and  etc.  complete  complying  with  Standard Specifications and as directed by the Departmental Engineers.</t>
  </si>
  <si>
    <t>Below  ground level 1.50m  to  upto 4.50 m</t>
  </si>
  <si>
    <t>Above  ground level upto 4.50m</t>
  </si>
  <si>
    <t>Supplying  fabricating and placing in position of Mild Steel (MS) or Ribbed Tor Steel (RTS)  of grills for  all R C C works  including cost  of  steel,  binding  wire  and  labour  charges  for  decoiling cutting, bending and tying the grills etc. complete complying with standard  specifications  and  as  directed  by  the  Departmental Engineers.</t>
  </si>
  <si>
    <t>qtl.</t>
  </si>
  <si>
    <t>Supplying and filling in clean M- sand in layers of not more than 15cm   thick   well   rammed   watered   and   consolidated    etc. complete   complying   with   Standard   Specifications   and   as directed by the Departmental Engineers.</t>
  </si>
  <si>
    <t>Supplying  and  filling  for  inverted  filter  arrangements  below  CC blocks with  40 cm thick graded inverted filter provided in two or more  layers  (ie  20  mm,  40  mm,  63  mm.)  size  metal  provided using   HBGS   jelly   conveyance   upto   100   m   etc.   complete complying  with  Standard  Specifications  and  as  directed  by  the Departmental Engineers.</t>
  </si>
  <si>
    <t>Supplying and Filling of Gravel in between the gap of CC Block with   75mm    thick,etc.   complete   complying   with   Standard Specifications and as directed by the Departmental Engineers.</t>
  </si>
  <si>
    <t>Supplying  and filling loose boulders of Size  more than 300mm and  weight   more  than  40kg  in  U/S   and  D/S  apron  using including conveyance,cost of materials etc. complete complying with standard specifications and as directed by the Departmental Engineers</t>
  </si>
  <si>
    <t>Rough  stone  dry  packing  using  new  stones  for  cone  wrapping aprons  and  revetment  including  labour  charges  etc.  complete complying  with  Standard  Specifications  and  as  directed  by  the Departmental Engineers. (.Cone Wrapping)</t>
  </si>
  <si>
    <t>Jeddy  stone   packing  using  new  stones  u/s   stone  pitching including labour charges etc. complete complying with Standard Specifications and as directed by the Departmental Engineers.</t>
  </si>
  <si>
    <t>Design, fabrication, supply, errection, testing and commissioning of  fixed  wheel  type  vertical  lift  gate(with  top  seal)  consisting  of skin  plate,  stiffeners,  horizontal  and  vertical  girders,  wheels, guide   rollers,  rubber  seals  etc.,  with  all  accessories  for  canal escape/regulator  vent  including  cost  of  materials,  machinery, labour,  cutting,  aligning,  welding,  finishing,  cleaning,  applying one  coat  of  zinc  rich  epoxy  primer  and  three  coats  of  cold applied  coal  tar  epoxy  paint,seal  fixing  etc.,  complete  as  per specifications  and  approved  drawings  with  lead  up  to  1km and all lifts for structural steel components and all leads and all lifts including packing/forwarding charges for other materials.</t>
  </si>
  <si>
    <t>tonne</t>
  </si>
  <si>
    <t>Design, fabrication, supply, errection, testing and commissioning of  supporting  structure,  platform,  railing,  ladder   etc.,  with  all accessories for operating canal escape/regulator gate including cost   of   all   materials,   machinery,   labour,   cutting,   aligning, welding, finishing, cleaning, greasing, applying two coats of zinc chromate red oxide primer and three coats of approved synthetic enamel paint etc., complete as per specifications and approved drawings  with  lead  up  to  1km  and  all  lifts  for  structural  steel components     and     all     leads     and     all     lifts     including packing/forwarding charges for other materials.</t>
  </si>
  <si>
    <t>Design, fabrication, supply, errection, testing and commissioning of embedded parts (with top seal) consisting of sill beam,wheel tracks,seal  seats,guide  rails,groove  lining  upto  top etc., with all accessories for vertical lift roller gate for canal escape/regulator including cost of materials, machinery, labour, cutting, aligning, aligning,  anchoring,  welding,  finishing,  cleaning,  applying  one coat of zinc rich epoxy primer and four coats of cold applied coal tar  epoxy  paint,seal  fixing  etc.,  complete  as  per  specifications and  approved  drawings  with  lead  up  to  1km  and  all  lifts  for structural  steel  components  and  all  leads  and  all  lifts  including packing/forwarding charges for other materials.</t>
  </si>
  <si>
    <t>Earth  work  in  all  soils  except  hard  rock  requiring  blasting  and conveying for formation of bund with lead of 0 to 100 metre with extra  lead  of  5  km  deploying  earth  moving  machinery   and tippers  including  benching, formation  of bunds,  breaking  clods, sectioning etc. complete complying with Standard Specifications and as directed by the Departmental Engineers.</t>
  </si>
  <si>
    <r>
      <rPr>
        <sz val="10"/>
        <rFont val="Cambria"/>
        <family val="1"/>
        <scheme val="major"/>
      </rPr>
      <t>Earthwork  Excavation  for  foundation   in  all   soils  and  sub  soils and  to  full  depth  as  may  be  directed   except   in  hard  rock requiring blasting inclusive of shoring, strutting  and baling out of water  wherever  necessary  refilling  the  sides  of  foundation  with excavated  sand  on  excavated  soil   other  than  sand  in  layer of
15   cm   thick   well   rammed   and   consolidated   depositing   the surplus  earth  within  the  compound  in  places  as  shown  by  the departmental   officers   with   initial   lead   and   lift,   clearing  and leveling   the   site   etc.   complete   complying   with   Standard Specifications and as directed by the Departmental Engineers.</t>
    </r>
  </si>
  <si>
    <r>
      <rPr>
        <sz val="10"/>
        <rFont val="Cambria"/>
        <family val="1"/>
        <scheme val="major"/>
      </rPr>
      <t>Providing   and   making   Gabion   structure   with   Mechanically Woven  Double  Twisted  Hexagonal  shaped  wire  Mesh  Gabion Boxes  as  per  IS  16014:2012,  Morth  Clause  2500,  of  required size, Mesh Type 10x12 (D=100mm with tolerance of ± 2%) Zinc
+ PVC Coated, Mesh Wire diameter 2.7 / 3.7mm, mechanically edged / selvedged with partitions at every 1m interval and shall have  minimum  10  numbers  of  openings  per  meter  of  mesh perpendicular  to  twist,  tying  with  lacing  wire  of  diameter  2.2  /
3.2mm (ID/OD), supplied @ 3% by weight of Gabion boxes, filled with boulders with least dimension of 200mm, as per drawing, all complete as per directions of Engineer-in-Charge.</t>
    </r>
  </si>
  <si>
    <t>Providing and laying needle punched and mechanically bonded Non-woven  Geotextiles  of  Type-I  indigenously  manufactured from high quality fibres on the prepared subgrade for separation as per MORTH Specification 702</t>
  </si>
  <si>
    <t>Refilling  with  excavated  soil  (other  than  sand)  complying  with standard specification for filling in foundation and basement etc. complete   complying   with   Standard   Specifications   and   as directed by the Departmental Engineers.</t>
  </si>
  <si>
    <t>Earth work excavation for desilting the existing rivers / canals / channels/odai/ nullas / drains/flood bowls/ tanks/ reservoirs etc., consisting of very loose soil, silt, oily silt, slushy, marshy, loany, organic  soil, sea  shell and  flat mica  particles with  zero present air void in unhygienic &amp; insanitary conditions in under water and not under water deploying earth moving machinery with suitable floats  buoys  barge/  hydraulic  excavator  &amp;  other  mechanical devices  including  the  cost  of  hire  charges  for  machinery,  with cost  of  skilled  operators  with  helper  &amp;  cleaners  for  the  entire operations to reach the banks in which the removed silt &amp; sludge has  to  be  dumped  over  either  one  of  the  rivers  /  canals  / channels/odai/  nullas  /  drains/floods  bowls  /  tanks  /  reservoirs etc,  bank  whichever  is  convenient  as  per  the  prevailing  site conditions  for  easy conveyance  and  including  jungle  clearance etc.. complete  (Rate  excluding  conveyance  to dumping  yard or low lying area)</t>
  </si>
  <si>
    <r>
      <rPr>
        <sz val="10"/>
        <rFont val="Cambria"/>
        <family val="1"/>
        <scheme val="major"/>
      </rPr>
      <t>Supplying Demarcation RCC Pre cast Post in Cement Concrete of  Grade  M15  with  well  graded  aggregates  and  the  nominal maximum size of  course aggregate of size 20 mm of size 0.20 x
0.20  x 1.45  M and  fixing  the  Post 40  Cm  depth  below Ground level, the Post includes using 4 Nos of 10mm RTS Main rod to a length of 1.325 M, using 8 mm MS 10 Nos as Strips with Steel Centring and Painting the Post with Enamel Paint to a Height of
0.80 m around the post etc., complete and Conveying the post to the  Site  of  Demarcation  Boundary  such  as  Tank  Bund  and foreshore including earthwork excavation for Foundation in HSC having  the  base  Plain  cement  Concrete  of  10  Cm  of   cement concrete  M7.5  using  Hard  blue  granite  broken  stone  of graded metal of 40 mm and the Post embeded using Cement Concrete of  Grade   Cement  Concrete  M10  with  well  graded  aggregates and the Nominal maximum size of course aggregate of 20 mm etc.,  complete  as  directed  by  the  Engineer  in  charge  of  works and as per the Technical Specfications</t>
    </r>
  </si>
  <si>
    <t>GST at 18% =</t>
  </si>
  <si>
    <t>BOQ Abstract</t>
  </si>
  <si>
    <t>Ariyalur Taluk</t>
  </si>
  <si>
    <t>24 Months</t>
  </si>
  <si>
    <r>
      <rPr>
        <sz val="12"/>
        <rFont val="Cambria"/>
        <family val="1"/>
        <scheme val="major"/>
      </rPr>
      <t>Earthwork  Excavation  for  foundation   in  all   soils  and  sub  soils and  to  full  depth  as  may  be  directed   except   in  hard  rock requiring blasting inclusive of shoring, strutting  and baling out of water  wherever  necessary  refilling  the  sides  of  foundation  with excavated  sand  on  excavated  soil   other  than  sand  in  layer of
15   cm   thick   well   rammed   and   consolidated   depositing   the surplus  earth  within  the  compound  in  places  as  shown  by  the departmental   officers   with   initial   lead   and   lift,   clearing  and leveling   the   site   etc.   complete   complying   with   Standard Specifications and as directed by the Departmental Engineers.</t>
    </r>
  </si>
  <si>
    <r>
      <rPr>
        <sz val="12"/>
        <rFont val="Cambria"/>
        <family val="1"/>
        <scheme val="major"/>
      </rPr>
      <t>Supplying Demarcation RCC Pre cast Post in Cement Concrete of  Grade  M15  with  well  graded  aggregates  and  the  nominal maximum size of  course aggregate of size 20 mm of size 0.20 x
0.20  x 1.45  M and  fixing  the  Post 40  Cm  depth  below Ground level, the Post includes using 4 Nos of 10mm RTS Main rod to a length of 1.325 M, using 8 mm MS 10 Nos as Strips with Steel Centring and Painting the Post with Enamel Paint to a Height of
0.80 m around the post etc., complete and Conveying the post to the  Site  of  Demarcation  Boundary  such  as  Tank  Bund  and foreshore including earthwork excavation for Foundation in HSC having  the  base  Plain  cement  Concrete  of  10  Cm  of   cement concrete  M7.5  using  Hard  blue  granite  broken  stone  of graded metal of 40 mm and the Post embeded using Cement Concrete of  Grade   Cement  Concrete  M10  with  well  graded  aggregates and the Nominal maximum size of course aggregate of 20 mm etc.,  complete  as  directed  by  the  Engineer  in  charge  of  works and as per the Technical Specfications</t>
    </r>
  </si>
  <si>
    <t>Supplying and fabrication and  CC Block of size 1.50 X 1.50 X 0.90  m  with  Plain  Cement  Concrete  1:2:4  (one  cement  two m.sand  and  Four  aggregate)  using   40mm   and  down  graded metal hard broken stone jelly for foundation including dewatering if  found  necessary  and  placing  in  position  including  ramming watering  and  curing  etc.  complete  complying  with  Standard Specifications and as directed by the Departmental Engineers.</t>
  </si>
  <si>
    <t>Providing and making Gabion structure   with   Mechanically Woven  Double  Twisted  Hexagonal  shaped  wire  Mesh  Gabion Boxes  as  per  IS  16014:2012,  Morth  Clause  2500,  of  required size, Mesh Type 10x12 (D=100mm with tolerance of ± 2%) Zinc
+ PVC Coated, Mesh Wire diameter 2.7 / 3.7mm, mechanically edged / selvedged with partitions at every 1m interval and shall have  minimum  10  numbers  of  openings  per  meter  of  mesh perpendicular  to  twist,  tying  with  lacing  wire  of  diameter  2.2  /
3.2mm (ID/OD), supplied @ 3% by weight of Gabion boxes, filled with boulders with least dimension of 200mm, as per drawing, all complete as per directions of Engineer-in-Charge.</t>
  </si>
  <si>
    <t>WRO - Varanasi - Ariyalur</t>
  </si>
  <si>
    <t>Supplying Demarcation RCC Pre cast Post in Cement Concrete of  Grade  M15  with  well  graded  aggregates  and  the  nominal maximum size of  course aggregate of size 20 mm of size 0.20 x
0.20  x 1.45  M and  fixing  the  Post 40  Cm  depth  below Ground level, the Post includes using 4 Nos of 10mm RTS Main rod to a length of 1.325 M, using 8 mm MS 10 Nos as Strips with Steel Centring and Painting the Post with Enamel Paint to a Height of
0.80 m around the post etc., complete and Conveying the post to the  Site  of  Demarcation  Boundary  such  as  Tank  Bund  and foreshore including earthwork excavation for Foundation in HSC having  the  base  Plain  cement  Concrete  of  10  Cm  of   cement concrete  M7.5  using  Hard  blue  granite  broken  stone  of graded metal of 40 mm and the Post embeded using Cement Concrete of  Grade   Cement  Concrete  M10  with  well  graded  aggregates and the Nominal maximum size of course aggregate of 20 mm etc.,  complete  as  directed  by  the  Engineer  in  charge  of  works and as per the Technical Specfications</t>
  </si>
  <si>
    <t>Driver</t>
  </si>
  <si>
    <t>Tyre</t>
  </si>
  <si>
    <t xml:space="preserve">Clearing Scrub jungle </t>
  </si>
  <si>
    <t>Hire JCB - Day</t>
  </si>
  <si>
    <t>Clearing Scrub jungle Total Per Sqm =</t>
  </si>
  <si>
    <t>Earthwork Total Per Cum =</t>
  </si>
  <si>
    <t>Shuttering Total Per Sqm =</t>
  </si>
  <si>
    <t>Shuttering Ground level</t>
  </si>
  <si>
    <t>Shuttering GL to 3m</t>
  </si>
  <si>
    <t>Shuttering 4 to 5m</t>
  </si>
  <si>
    <t>Shuttering Materials</t>
  </si>
  <si>
    <t>Dust</t>
  </si>
  <si>
    <t>Mixed - 20,40,60mm</t>
  </si>
  <si>
    <t>Bouldres - Below 300mm</t>
  </si>
  <si>
    <t>Rough Stone</t>
  </si>
  <si>
    <t>Jeddy Stone</t>
  </si>
  <si>
    <t>Vertical Lift Gate</t>
  </si>
  <si>
    <t>needle punched Non-woven  Geotextiles</t>
  </si>
  <si>
    <t>Precast CC Post - 0.2*0.2*1.45m</t>
  </si>
  <si>
    <t>Romaa Infraa Pvt Ltd</t>
  </si>
  <si>
    <t>Hexagonal  shaped  wire  Mesh  Gabion Boxes</t>
  </si>
  <si>
    <t>CC Block M15</t>
  </si>
  <si>
    <t>S/C - Concrete Pouring</t>
  </si>
  <si>
    <t>M Sand</t>
  </si>
  <si>
    <t>for one no CC Block M15 Total =</t>
  </si>
  <si>
    <t>PCC M 20</t>
  </si>
  <si>
    <t>for one Cum PCC M20 Total =</t>
  </si>
  <si>
    <t>RCC M 25</t>
  </si>
  <si>
    <t>for one Cum PCC M25 Total =</t>
  </si>
  <si>
    <t>M sand Filling</t>
  </si>
  <si>
    <t>Laying</t>
  </si>
  <si>
    <t>M Sand Filling Total Per Cum =</t>
  </si>
  <si>
    <t>Cement Bag</t>
  </si>
  <si>
    <t>RCC M30</t>
  </si>
  <si>
    <t>Ajax - Rate Analysis</t>
  </si>
  <si>
    <t>for one Cum RCC M30 Total =</t>
  </si>
  <si>
    <t xml:space="preserve">For M35 Concrete </t>
  </si>
  <si>
    <t xml:space="preserve">Using Ajax Mix - </t>
  </si>
  <si>
    <t>Using RMC Mix -</t>
  </si>
  <si>
    <t xml:space="preserve">For M30 Concrete  </t>
  </si>
  <si>
    <t>RA - Ajax - Concrete - Silver Beach - ECR</t>
  </si>
  <si>
    <t xml:space="preserve"> inverted  filter below CC Block </t>
  </si>
  <si>
    <t>GSB - Mixed - 20,40,60mm</t>
  </si>
  <si>
    <t>Baby Roller</t>
  </si>
  <si>
    <t>Boulders - 300mm and Above</t>
  </si>
  <si>
    <t>Earthwork  Excavation  for  foundation   in  all   soils  and  sub  soils and  to  full  depth  as  may  be  directed   except   in  hard  rock requiring blasting inclusive of shoring, strutting  and baling out of water  wherever  necessary  refilling  the  sides  of  foundation  with excavated  sand  on  excavated  soil   other  than  sand  in  layer of 15   cm   thick   well   rammed   and   consolidated   depositing   the surplus  earth  within  the  compound  in  places  as  shown  by  the departmental   officers   with   initial   lead   and   lift,   clearing  and leveling   the   site   etc.   complete   complying   with   Standard Specifications and as directed by the Departmental Engineers.</t>
  </si>
  <si>
    <t>Tipper</t>
  </si>
  <si>
    <t>Gabion Wall</t>
  </si>
  <si>
    <t>Gabion Wall Mesh</t>
  </si>
  <si>
    <t xml:space="preserve">Boulders 300mm </t>
  </si>
  <si>
    <t>Fixing</t>
  </si>
  <si>
    <t>Providing   and   making   Gabion   structure   with   Mechanically Woven  Double  Twisted  Hexagonal  shaped  wire  Mesh  Gabion Boxes  as  per  IS  16014:2012,  Morth  Clause  2500,  of  required size, Mesh Type 10x12 (D=100mm with tolerance of ± 2%) Zinc
+ PVC Coated, Mesh Wire diameter 2.7 / 3.7mm, mechanically edged / selvedged with partitions at every 1m interval and shall have  minimum  10  numbers  of  openings  per  meter  of  mesh perpendicular  to  twist,  tying  with  lacing  wire  of  diameter  2.2  / 3.2mm (ID/OD), supplied @ 3% by weight of Gabion boxes, filled with boulders with least dimension of 200mm, as per drawing, all complete as per directions of Engineer-in-Charge.</t>
  </si>
  <si>
    <t xml:space="preserve">Needle punched and mechanically bonded Non-woven  Geotextiles </t>
  </si>
  <si>
    <t>Dozer M50</t>
  </si>
  <si>
    <t>Dept</t>
  </si>
  <si>
    <t>Workmen travel Expenses</t>
  </si>
  <si>
    <t xml:space="preserve">Helmet, Shoe, Jacket, </t>
  </si>
  <si>
    <t>Pooja Expenses</t>
  </si>
  <si>
    <t>Sundries &amp; Other Expenses</t>
  </si>
  <si>
    <t>Project Office, Labour Shed, Store</t>
  </si>
  <si>
    <t>Tools</t>
  </si>
  <si>
    <t>Temporary electricity connection</t>
  </si>
</sst>
</file>

<file path=xl/styles.xml><?xml version="1.0" encoding="utf-8"?>
<styleSheet xmlns="http://schemas.openxmlformats.org/spreadsheetml/2006/main">
  <numFmts count="7">
    <numFmt numFmtId="43" formatCode="_(* #,##0.00_);_(* \(#,##0.00\);_(* &quot;-&quot;??_);_(@_)"/>
    <numFmt numFmtId="164" formatCode="_ * #,##0.00_ ;_ * \-#,##0.00_ ;_ * &quot;-&quot;??_ ;_ @_ "/>
    <numFmt numFmtId="165" formatCode="_-* #,##0.00_-;\-* #,##0.00_-;_-* &quot;-&quot;??_-;_-@_-"/>
    <numFmt numFmtId="166" formatCode="_(* #,##0_);_(* \(#,##0\);_(* &quot;-&quot;??_);_(@_)"/>
    <numFmt numFmtId="167" formatCode="0.0%"/>
    <numFmt numFmtId="168" formatCode="_-* #,##0_-;\-* #,##0_-;_-* &quot;-&quot;??_-;_-@_-"/>
    <numFmt numFmtId="169" formatCode="_ * #,##0_ ;_ * \-#,##0_ ;_ * &quot;-&quot;??_ ;_ @_ "/>
  </numFmts>
  <fonts count="41">
    <font>
      <sz val="10"/>
      <color rgb="FF000000"/>
      <name val="Times New Roman"/>
      <charset val="204"/>
    </font>
    <font>
      <sz val="11"/>
      <color theme="1"/>
      <name val="Calibri"/>
      <family val="2"/>
      <scheme val="minor"/>
    </font>
    <font>
      <sz val="11"/>
      <color theme="1"/>
      <name val="Calibri"/>
      <family val="2"/>
      <scheme val="minor"/>
    </font>
    <font>
      <sz val="10"/>
      <color rgb="FF000000"/>
      <name val="Times New Roman"/>
      <family val="1"/>
    </font>
    <font>
      <b/>
      <sz val="11"/>
      <name val="Cambria"/>
      <family val="1"/>
      <scheme val="major"/>
    </font>
    <font>
      <sz val="11"/>
      <name val="Cambria"/>
      <family val="1"/>
      <scheme val="major"/>
    </font>
    <font>
      <b/>
      <sz val="12"/>
      <name val="Cambria"/>
      <family val="1"/>
      <scheme val="major"/>
    </font>
    <font>
      <sz val="12"/>
      <name val="Cambria"/>
      <family val="1"/>
      <scheme val="major"/>
    </font>
    <font>
      <b/>
      <sz val="12"/>
      <color indexed="8"/>
      <name val="Cambria"/>
      <family val="1"/>
    </font>
    <font>
      <sz val="12"/>
      <color indexed="8"/>
      <name val="Cambria"/>
      <family val="1"/>
    </font>
    <font>
      <sz val="10"/>
      <name val="Arial"/>
      <family val="2"/>
    </font>
    <font>
      <b/>
      <i/>
      <sz val="12"/>
      <name val="Cambria"/>
      <family val="1"/>
    </font>
    <font>
      <b/>
      <sz val="12"/>
      <name val="Cambria"/>
      <family val="1"/>
    </font>
    <font>
      <sz val="12"/>
      <name val="Cambria"/>
      <family val="1"/>
    </font>
    <font>
      <sz val="11"/>
      <color indexed="8"/>
      <name val="Calibri"/>
      <family val="2"/>
    </font>
    <font>
      <b/>
      <i/>
      <sz val="12"/>
      <color indexed="8"/>
      <name val="Cambria"/>
      <family val="1"/>
    </font>
    <font>
      <sz val="12"/>
      <color rgb="FF000000"/>
      <name val="Cambria"/>
      <family val="1"/>
      <scheme val="major"/>
    </font>
    <font>
      <b/>
      <sz val="12"/>
      <color rgb="FF000000"/>
      <name val="Cambria"/>
      <family val="1"/>
      <scheme val="major"/>
    </font>
    <font>
      <sz val="11"/>
      <color rgb="FF000000"/>
      <name val="Cambria"/>
      <family val="1"/>
      <scheme val="major"/>
    </font>
    <font>
      <b/>
      <sz val="11"/>
      <color rgb="FF000000"/>
      <name val="Cambria"/>
      <family val="1"/>
      <scheme val="major"/>
    </font>
    <font>
      <b/>
      <sz val="11"/>
      <color rgb="FFC00000"/>
      <name val="Cambria"/>
      <family val="1"/>
      <scheme val="major"/>
    </font>
    <font>
      <sz val="11"/>
      <color indexed="8"/>
      <name val="Calibri"/>
      <family val="2"/>
      <scheme val="minor"/>
    </font>
    <font>
      <sz val="11"/>
      <color theme="1"/>
      <name val="Cambria"/>
      <family val="1"/>
    </font>
    <font>
      <sz val="18"/>
      <name val="Cambria"/>
      <family val="1"/>
    </font>
    <font>
      <b/>
      <sz val="16"/>
      <name val="Cambria"/>
      <family val="1"/>
    </font>
    <font>
      <sz val="16"/>
      <name val="Cambria"/>
      <family val="1"/>
    </font>
    <font>
      <sz val="14"/>
      <name val="Cambria"/>
      <family val="1"/>
    </font>
    <font>
      <i/>
      <sz val="12"/>
      <name val="Cambria"/>
      <family val="1"/>
    </font>
    <font>
      <b/>
      <sz val="11"/>
      <name val="Cambria"/>
      <family val="1"/>
    </font>
    <font>
      <b/>
      <i/>
      <sz val="11"/>
      <name val="Cambria"/>
      <family val="1"/>
    </font>
    <font>
      <sz val="10"/>
      <name val="Cambria"/>
      <family val="1"/>
    </font>
    <font>
      <sz val="11"/>
      <color theme="1"/>
      <name val="Cambria"/>
      <family val="1"/>
      <scheme val="major"/>
    </font>
    <font>
      <b/>
      <u/>
      <sz val="11"/>
      <name val="Cambria"/>
      <family val="1"/>
      <scheme val="major"/>
    </font>
    <font>
      <b/>
      <u/>
      <sz val="11"/>
      <color indexed="12"/>
      <name val="Cambria"/>
      <family val="1"/>
      <scheme val="major"/>
    </font>
    <font>
      <b/>
      <sz val="11"/>
      <color theme="1"/>
      <name val="Cambria"/>
      <family val="1"/>
      <scheme val="major"/>
    </font>
    <font>
      <b/>
      <sz val="10"/>
      <name val="Cambria"/>
      <family val="1"/>
      <scheme val="major"/>
    </font>
    <font>
      <sz val="10"/>
      <name val="Cambria"/>
      <family val="1"/>
      <scheme val="major"/>
    </font>
    <font>
      <sz val="10"/>
      <color rgb="FF000000"/>
      <name val="Cambria"/>
      <family val="1"/>
      <scheme val="major"/>
    </font>
    <font>
      <b/>
      <sz val="10"/>
      <color rgb="FF000000"/>
      <name val="Cambria"/>
      <family val="1"/>
      <scheme val="major"/>
    </font>
    <font>
      <b/>
      <sz val="10"/>
      <color rgb="FFFF0000"/>
      <name val="Cambria"/>
      <family val="1"/>
      <scheme val="major"/>
    </font>
    <font>
      <b/>
      <sz val="14"/>
      <color indexed="8"/>
      <name val="Cambria"/>
      <family val="1"/>
    </font>
  </fonts>
  <fills count="10">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FF00"/>
        <bgColor indexed="64"/>
      </patternFill>
    </fill>
  </fills>
  <borders count="56">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auto="1"/>
      </right>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hair">
        <color indexed="64"/>
      </left>
      <right style="medium">
        <color indexed="64"/>
      </right>
      <top style="hair">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3">
    <xf numFmtId="0" fontId="0"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9" fontId="10" fillId="0" borderId="0" applyFont="0" applyFill="0" applyBorder="0" applyAlignment="0" applyProtection="0"/>
    <xf numFmtId="43" fontId="10" fillId="0" borderId="0" applyFont="0" applyFill="0" applyBorder="0" applyAlignment="0" applyProtection="0"/>
    <xf numFmtId="0" fontId="10" fillId="0" borderId="0" applyNumberFormat="0" applyFont="0" applyFill="0" applyBorder="0" applyAlignment="0" applyProtection="0">
      <alignment vertical="top"/>
    </xf>
    <xf numFmtId="9" fontId="14" fillId="0" borderId="0" applyFont="0" applyFill="0" applyBorder="0" applyAlignment="0" applyProtection="0"/>
    <xf numFmtId="0" fontId="21" fillId="0" borderId="0"/>
    <xf numFmtId="9" fontId="21" fillId="0" borderId="0" applyFont="0" applyFill="0" applyBorder="0" applyAlignment="0" applyProtection="0"/>
    <xf numFmtId="43" fontId="10" fillId="0" borderId="0" applyFont="0" applyFill="0" applyBorder="0" applyAlignment="0" applyProtection="0"/>
    <xf numFmtId="164" fontId="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0" fontId="10" fillId="0" borderId="0"/>
    <xf numFmtId="0" fontId="10" fillId="0" borderId="0"/>
    <xf numFmtId="0" fontId="1" fillId="0" borderId="0"/>
    <xf numFmtId="0" fontId="10" fillId="0" borderId="0"/>
    <xf numFmtId="0" fontId="10" fillId="0" borderId="0"/>
    <xf numFmtId="9" fontId="10" fillId="0" borderId="0" applyFont="0" applyFill="0" applyBorder="0" applyAlignment="0" applyProtection="0"/>
    <xf numFmtId="9" fontId="1" fillId="0" borderId="0" applyFont="0" applyFill="0" applyBorder="0" applyAlignment="0" applyProtection="0"/>
  </cellStyleXfs>
  <cellXfs count="406">
    <xf numFmtId="0" fontId="0" fillId="0" borderId="0" xfId="0" applyFill="1" applyBorder="1" applyAlignment="1">
      <alignment horizontal="left" vertical="top"/>
    </xf>
    <xf numFmtId="43" fontId="4" fillId="0" borderId="1" xfId="1" applyFont="1" applyFill="1" applyBorder="1" applyAlignment="1">
      <alignment horizontal="center" vertical="center"/>
    </xf>
    <xf numFmtId="0" fontId="5" fillId="0" borderId="1" xfId="0" applyFont="1" applyFill="1" applyBorder="1" applyAlignment="1">
      <alignment horizontal="center" vertical="center"/>
    </xf>
    <xf numFmtId="43" fontId="5" fillId="0" borderId="1" xfId="1" applyFont="1" applyFill="1" applyBorder="1" applyAlignment="1">
      <alignment horizontal="center" vertical="center"/>
    </xf>
    <xf numFmtId="0" fontId="9" fillId="0" borderId="0" xfId="3" applyFont="1" applyFill="1" applyAlignment="1">
      <alignment vertical="center"/>
    </xf>
    <xf numFmtId="43" fontId="9" fillId="0" borderId="0" xfId="1" applyFont="1" applyFill="1" applyAlignment="1">
      <alignment vertical="center"/>
    </xf>
    <xf numFmtId="0" fontId="8" fillId="0" borderId="6" xfId="3" applyFont="1" applyFill="1" applyBorder="1" applyAlignment="1">
      <alignment horizontal="center" vertical="center"/>
    </xf>
    <xf numFmtId="0" fontId="8" fillId="0" borderId="1" xfId="3" applyFont="1" applyFill="1" applyBorder="1" applyAlignment="1">
      <alignment horizontal="center" vertical="center" wrapText="1"/>
    </xf>
    <xf numFmtId="0" fontId="8" fillId="0" borderId="1" xfId="3" applyFont="1" applyFill="1" applyBorder="1" applyAlignment="1">
      <alignment horizontal="center" vertical="center"/>
    </xf>
    <xf numFmtId="164" fontId="8" fillId="0" borderId="1" xfId="5" applyNumberFormat="1" applyFont="1" applyFill="1" applyBorder="1" applyAlignment="1">
      <alignment horizontal="center" vertical="center"/>
    </xf>
    <xf numFmtId="43" fontId="8" fillId="0" borderId="1" xfId="5" applyNumberFormat="1" applyFont="1" applyFill="1" applyBorder="1" applyAlignment="1">
      <alignment horizontal="center" vertical="center" wrapText="1"/>
    </xf>
    <xf numFmtId="43" fontId="12" fillId="0" borderId="1" xfId="5" applyNumberFormat="1" applyFont="1" applyFill="1" applyBorder="1" applyAlignment="1">
      <alignment horizontal="center" vertical="center" wrapText="1"/>
    </xf>
    <xf numFmtId="0" fontId="8" fillId="0" borderId="1" xfId="6" applyFont="1" applyFill="1" applyBorder="1" applyAlignment="1">
      <alignment horizontal="center" vertical="center" wrapText="1"/>
    </xf>
    <xf numFmtId="9" fontId="8" fillId="0" borderId="7" xfId="4" applyFont="1" applyFill="1" applyBorder="1" applyAlignment="1">
      <alignment horizontal="center" vertical="center" wrapText="1"/>
    </xf>
    <xf numFmtId="0" fontId="8" fillId="0" borderId="0" xfId="3" applyFont="1" applyFill="1" applyAlignment="1">
      <alignment horizontal="center" vertical="center"/>
    </xf>
    <xf numFmtId="43" fontId="8" fillId="0" borderId="0" xfId="1" applyFont="1" applyFill="1" applyAlignment="1">
      <alignment horizontal="center" vertical="center"/>
    </xf>
    <xf numFmtId="0" fontId="9" fillId="0" borderId="6" xfId="3" applyFont="1" applyFill="1" applyBorder="1" applyAlignment="1">
      <alignment horizontal="center" vertical="center"/>
    </xf>
    <xf numFmtId="43" fontId="9" fillId="0" borderId="1" xfId="3" applyNumberFormat="1" applyFont="1" applyFill="1" applyBorder="1" applyAlignment="1">
      <alignment horizontal="left" vertical="center" wrapText="1"/>
    </xf>
    <xf numFmtId="0" fontId="9" fillId="0" borderId="1" xfId="3" applyFont="1" applyFill="1" applyBorder="1" applyAlignment="1">
      <alignment horizontal="center" vertical="center"/>
    </xf>
    <xf numFmtId="164" fontId="9" fillId="0" borderId="1" xfId="5" applyNumberFormat="1" applyFont="1" applyFill="1" applyBorder="1" applyAlignment="1">
      <alignment vertical="center"/>
    </xf>
    <xf numFmtId="43" fontId="9" fillId="0" borderId="1" xfId="5" applyNumberFormat="1" applyFont="1" applyFill="1" applyBorder="1" applyAlignment="1">
      <alignment vertical="center" wrapText="1"/>
    </xf>
    <xf numFmtId="43" fontId="13" fillId="0" borderId="1" xfId="5" applyNumberFormat="1" applyFont="1" applyFill="1" applyBorder="1" applyAlignment="1">
      <alignment vertical="center"/>
    </xf>
    <xf numFmtId="43" fontId="9" fillId="0" borderId="1" xfId="5" applyFont="1" applyFill="1" applyBorder="1" applyAlignment="1">
      <alignment vertical="center"/>
    </xf>
    <xf numFmtId="10" fontId="15" fillId="0" borderId="7" xfId="2" applyNumberFormat="1" applyFont="1" applyFill="1" applyBorder="1" applyAlignment="1">
      <alignment vertical="center"/>
    </xf>
    <xf numFmtId="0" fontId="8" fillId="0" borderId="8" xfId="3" applyFont="1" applyFill="1" applyBorder="1" applyAlignment="1">
      <alignment horizontal="center" vertical="center"/>
    </xf>
    <xf numFmtId="0" fontId="8" fillId="0" borderId="9" xfId="3" applyFont="1" applyFill="1" applyBorder="1" applyAlignment="1">
      <alignment horizontal="right" vertical="center" wrapText="1"/>
    </xf>
    <xf numFmtId="0" fontId="8" fillId="0" borderId="9" xfId="3" applyFont="1" applyFill="1" applyBorder="1" applyAlignment="1">
      <alignment horizontal="center" vertical="center"/>
    </xf>
    <xf numFmtId="164" fontId="8" fillId="0" borderId="9" xfId="5" applyNumberFormat="1" applyFont="1" applyFill="1" applyBorder="1" applyAlignment="1">
      <alignment vertical="center"/>
    </xf>
    <xf numFmtId="43" fontId="8" fillId="0" borderId="9" xfId="5" applyNumberFormat="1" applyFont="1" applyFill="1" applyBorder="1" applyAlignment="1">
      <alignment vertical="center" wrapText="1"/>
    </xf>
    <xf numFmtId="43" fontId="12" fillId="0" borderId="9" xfId="5" applyNumberFormat="1" applyFont="1" applyFill="1" applyBorder="1" applyAlignment="1">
      <alignment vertical="center"/>
    </xf>
    <xf numFmtId="43" fontId="8" fillId="0" borderId="9" xfId="5" applyFont="1" applyFill="1" applyBorder="1" applyAlignment="1">
      <alignment vertical="center"/>
    </xf>
    <xf numFmtId="10" fontId="8" fillId="0" borderId="10" xfId="4" applyNumberFormat="1" applyFont="1" applyFill="1" applyBorder="1" applyAlignment="1">
      <alignment vertical="center"/>
    </xf>
    <xf numFmtId="0" fontId="8" fillId="0" borderId="0" xfId="3" applyFont="1" applyFill="1" applyAlignment="1">
      <alignment vertical="center"/>
    </xf>
    <xf numFmtId="43" fontId="8" fillId="0" borderId="0" xfId="1" applyFont="1" applyFill="1" applyAlignment="1">
      <alignment vertical="center"/>
    </xf>
    <xf numFmtId="0" fontId="9" fillId="0" borderId="19" xfId="3" applyFont="1" applyFill="1" applyBorder="1" applyAlignment="1">
      <alignment horizontal="center" vertical="center"/>
    </xf>
    <xf numFmtId="0" fontId="9" fillId="0" borderId="19" xfId="3" applyFont="1" applyFill="1" applyBorder="1" applyAlignment="1">
      <alignment vertical="center" wrapText="1"/>
    </xf>
    <xf numFmtId="164" fontId="9" fillId="0" borderId="19" xfId="5" applyNumberFormat="1" applyFont="1" applyFill="1" applyBorder="1" applyAlignment="1">
      <alignment vertical="center"/>
    </xf>
    <xf numFmtId="43" fontId="9" fillId="0" borderId="19" xfId="5" applyNumberFormat="1" applyFont="1" applyFill="1" applyBorder="1" applyAlignment="1">
      <alignment vertical="center" wrapText="1"/>
    </xf>
    <xf numFmtId="43" fontId="13" fillId="0" borderId="19" xfId="5" applyNumberFormat="1" applyFont="1" applyFill="1" applyBorder="1" applyAlignment="1">
      <alignment vertical="center"/>
    </xf>
    <xf numFmtId="43" fontId="9" fillId="0" borderId="19" xfId="5" applyFont="1" applyFill="1" applyBorder="1" applyAlignment="1">
      <alignment vertical="center"/>
    </xf>
    <xf numFmtId="9" fontId="9" fillId="0" borderId="19" xfId="4" applyFont="1" applyFill="1" applyBorder="1" applyAlignment="1">
      <alignment vertical="center"/>
    </xf>
    <xf numFmtId="0" fontId="9" fillId="0" borderId="1" xfId="3" applyFont="1" applyFill="1" applyBorder="1" applyAlignment="1">
      <alignment vertical="center" wrapText="1"/>
    </xf>
    <xf numFmtId="9" fontId="9" fillId="0" borderId="1" xfId="4" applyFont="1" applyFill="1" applyBorder="1" applyAlignment="1">
      <alignment vertical="center"/>
    </xf>
    <xf numFmtId="43" fontId="9" fillId="0" borderId="20" xfId="3" applyNumberFormat="1" applyFont="1" applyFill="1" applyBorder="1" applyAlignment="1">
      <alignment horizontal="left" vertical="center" wrapText="1"/>
    </xf>
    <xf numFmtId="0" fontId="9" fillId="0" borderId="20" xfId="3" applyFont="1" applyFill="1" applyBorder="1" applyAlignment="1">
      <alignment horizontal="center" vertical="center"/>
    </xf>
    <xf numFmtId="164" fontId="9" fillId="0" borderId="20" xfId="5" applyNumberFormat="1" applyFont="1" applyFill="1" applyBorder="1" applyAlignment="1">
      <alignment vertical="center"/>
    </xf>
    <xf numFmtId="43" fontId="9" fillId="0" borderId="20" xfId="5" applyNumberFormat="1" applyFont="1" applyFill="1" applyBorder="1" applyAlignment="1">
      <alignment vertical="center" wrapText="1"/>
    </xf>
    <xf numFmtId="0" fontId="16" fillId="0" borderId="0" xfId="0" applyFont="1" applyFill="1" applyBorder="1" applyAlignment="1">
      <alignment horizontal="center" vertical="center"/>
    </xf>
    <xf numFmtId="0" fontId="16" fillId="0" borderId="0" xfId="0" applyFont="1" applyFill="1" applyBorder="1" applyAlignment="1">
      <alignment horizontal="left" vertical="center"/>
    </xf>
    <xf numFmtId="43" fontId="6" fillId="4" borderId="1" xfId="1" applyFont="1" applyFill="1" applyBorder="1" applyAlignment="1">
      <alignment horizontal="center" vertical="center"/>
    </xf>
    <xf numFmtId="43" fontId="6" fillId="5" borderId="1" xfId="1" applyFont="1" applyFill="1" applyBorder="1" applyAlignment="1">
      <alignment horizontal="center" vertical="center"/>
    </xf>
    <xf numFmtId="43" fontId="6" fillId="6" borderId="1" xfId="1" applyFont="1" applyFill="1" applyBorder="1" applyAlignment="1">
      <alignment horizontal="center" vertical="center"/>
    </xf>
    <xf numFmtId="43" fontId="6" fillId="7" borderId="1" xfId="1" applyFont="1" applyFill="1" applyBorder="1" applyAlignment="1">
      <alignment horizontal="center" vertical="center"/>
    </xf>
    <xf numFmtId="43" fontId="6" fillId="8" borderId="1" xfId="1" applyFont="1" applyFill="1" applyBorder="1" applyAlignment="1">
      <alignment horizontal="center" vertical="center"/>
    </xf>
    <xf numFmtId="43" fontId="5" fillId="4" borderId="1" xfId="1" applyFont="1" applyFill="1" applyBorder="1" applyAlignment="1">
      <alignment horizontal="center" vertical="center"/>
    </xf>
    <xf numFmtId="43" fontId="5" fillId="5" borderId="1" xfId="1" applyFont="1" applyFill="1" applyBorder="1" applyAlignment="1">
      <alignment horizontal="center" vertical="center"/>
    </xf>
    <xf numFmtId="43" fontId="5" fillId="6" borderId="1" xfId="1" applyFont="1" applyFill="1" applyBorder="1" applyAlignment="1">
      <alignment horizontal="center" vertical="center"/>
    </xf>
    <xf numFmtId="43" fontId="5" fillId="7" borderId="1" xfId="1" applyFont="1" applyFill="1" applyBorder="1" applyAlignment="1">
      <alignment horizontal="center" vertical="center"/>
    </xf>
    <xf numFmtId="43" fontId="5" fillId="8" borderId="1" xfId="1" applyFont="1" applyFill="1" applyBorder="1" applyAlignment="1">
      <alignment horizontal="center" vertical="center"/>
    </xf>
    <xf numFmtId="0" fontId="18" fillId="0" borderId="0" xfId="0" applyFont="1" applyFill="1" applyBorder="1" applyAlignment="1">
      <alignment horizontal="center" vertical="center"/>
    </xf>
    <xf numFmtId="0" fontId="19" fillId="0" borderId="0" xfId="0" applyFont="1" applyFill="1" applyBorder="1" applyAlignment="1">
      <alignment horizontal="center" vertical="center"/>
    </xf>
    <xf numFmtId="0" fontId="18" fillId="0" borderId="0" xfId="0" applyFont="1" applyFill="1" applyBorder="1" applyAlignment="1">
      <alignment horizontal="left" vertical="center"/>
    </xf>
    <xf numFmtId="0" fontId="20" fillId="0" borderId="0" xfId="0" applyFont="1" applyFill="1" applyBorder="1" applyAlignment="1">
      <alignment horizontal="center" vertical="center"/>
    </xf>
    <xf numFmtId="43" fontId="18" fillId="0" borderId="0" xfId="1" applyFont="1" applyFill="1" applyBorder="1" applyAlignment="1">
      <alignment horizontal="center" vertical="center"/>
    </xf>
    <xf numFmtId="0" fontId="19" fillId="0" borderId="0" xfId="0" applyFont="1" applyFill="1" applyBorder="1" applyAlignment="1">
      <alignment horizontal="center" vertical="center"/>
    </xf>
    <xf numFmtId="0" fontId="13" fillId="0" borderId="0" xfId="8" applyFont="1" applyAlignment="1">
      <alignment vertical="center"/>
    </xf>
    <xf numFmtId="0" fontId="13" fillId="0" borderId="0" xfId="8" applyFont="1" applyAlignment="1">
      <alignment horizontal="center" vertical="center"/>
    </xf>
    <xf numFmtId="0" fontId="22" fillId="0" borderId="0" xfId="8" applyFont="1"/>
    <xf numFmtId="0" fontId="23" fillId="0" borderId="0" xfId="8" applyFont="1" applyAlignment="1">
      <alignment vertical="center"/>
    </xf>
    <xf numFmtId="0" fontId="25" fillId="0" borderId="0" xfId="8" applyFont="1" applyAlignment="1">
      <alignment vertical="center"/>
    </xf>
    <xf numFmtId="0" fontId="25" fillId="0" borderId="24" xfId="8" applyFont="1" applyBorder="1" applyAlignment="1">
      <alignment horizontal="center" vertical="center"/>
    </xf>
    <xf numFmtId="0" fontId="13" fillId="0" borderId="27" xfId="8" applyFont="1" applyBorder="1" applyAlignment="1">
      <alignment vertical="center"/>
    </xf>
    <xf numFmtId="0" fontId="13" fillId="0" borderId="24" xfId="8" applyFont="1" applyBorder="1" applyAlignment="1">
      <alignment horizontal="center" vertical="center"/>
    </xf>
    <xf numFmtId="0" fontId="26" fillId="0" borderId="0" xfId="8" applyFont="1" applyAlignment="1">
      <alignment vertical="center"/>
    </xf>
    <xf numFmtId="0" fontId="12" fillId="0" borderId="28" xfId="8" applyFont="1" applyBorder="1" applyAlignment="1">
      <alignment horizontal="center" vertical="center"/>
    </xf>
    <xf numFmtId="0" fontId="12" fillId="0" borderId="29" xfId="8" applyFont="1" applyBorder="1" applyAlignment="1">
      <alignment vertical="center"/>
    </xf>
    <xf numFmtId="0" fontId="12" fillId="0" borderId="30" xfId="8" applyFont="1" applyBorder="1" applyAlignment="1">
      <alignment vertical="center"/>
    </xf>
    <xf numFmtId="0" fontId="12" fillId="0" borderId="31" xfId="8" applyFont="1" applyBorder="1" applyAlignment="1">
      <alignment vertical="center"/>
    </xf>
    <xf numFmtId="0" fontId="12" fillId="0" borderId="32" xfId="8" applyFont="1" applyBorder="1" applyAlignment="1">
      <alignment horizontal="center" vertical="center"/>
    </xf>
    <xf numFmtId="0" fontId="12" fillId="0" borderId="24" xfId="8" applyFont="1" applyBorder="1" applyAlignment="1">
      <alignment horizontal="center" vertical="center"/>
    </xf>
    <xf numFmtId="3" fontId="13" fillId="0" borderId="27" xfId="8" applyNumberFormat="1" applyFont="1" applyBorder="1" applyAlignment="1">
      <alignment vertical="center"/>
    </xf>
    <xf numFmtId="9" fontId="22" fillId="0" borderId="0" xfId="8" applyNumberFormat="1" applyFont="1"/>
    <xf numFmtId="3" fontId="12" fillId="0" borderId="32" xfId="8" applyNumberFormat="1" applyFont="1" applyBorder="1" applyAlignment="1">
      <alignment horizontal="right" vertical="center"/>
    </xf>
    <xf numFmtId="0" fontId="13" fillId="6" borderId="24" xfId="8" applyFont="1" applyFill="1" applyBorder="1" applyAlignment="1">
      <alignment horizontal="center" vertical="center"/>
    </xf>
    <xf numFmtId="4" fontId="13" fillId="6" borderId="27" xfId="8" applyNumberFormat="1" applyFont="1" applyFill="1" applyBorder="1" applyAlignment="1">
      <alignment horizontal="right" vertical="center"/>
    </xf>
    <xf numFmtId="0" fontId="27" fillId="0" borderId="30" xfId="8" applyFont="1" applyBorder="1" applyAlignment="1">
      <alignment vertical="center"/>
    </xf>
    <xf numFmtId="0" fontId="12" fillId="6" borderId="24" xfId="8" applyFont="1" applyFill="1" applyBorder="1" applyAlignment="1">
      <alignment horizontal="center" vertical="center"/>
    </xf>
    <xf numFmtId="3" fontId="12" fillId="6" borderId="27" xfId="8" applyNumberFormat="1" applyFont="1" applyFill="1" applyBorder="1" applyAlignment="1">
      <alignment horizontal="right" vertical="center"/>
    </xf>
    <xf numFmtId="0" fontId="12" fillId="0" borderId="2" xfId="8" applyFont="1" applyBorder="1" applyAlignment="1">
      <alignment vertical="center"/>
    </xf>
    <xf numFmtId="0" fontId="12" fillId="6" borderId="2" xfId="8" applyFont="1" applyFill="1" applyBorder="1" applyAlignment="1">
      <alignment vertical="center"/>
    </xf>
    <xf numFmtId="0" fontId="28" fillId="0" borderId="2" xfId="8" applyFont="1" applyBorder="1" applyAlignment="1">
      <alignment horizontal="left" vertical="center" indent="2"/>
    </xf>
    <xf numFmtId="10" fontId="12" fillId="0" borderId="27" xfId="9" applyNumberFormat="1" applyFont="1" applyBorder="1" applyAlignment="1">
      <alignment vertical="center"/>
    </xf>
    <xf numFmtId="10" fontId="13" fillId="0" borderId="27" xfId="9" applyNumberFormat="1" applyFont="1" applyBorder="1" applyAlignment="1">
      <alignment vertical="center"/>
    </xf>
    <xf numFmtId="0" fontId="4" fillId="0" borderId="1" xfId="0" applyFont="1" applyFill="1" applyBorder="1" applyAlignment="1">
      <alignment horizontal="center" vertical="center"/>
    </xf>
    <xf numFmtId="43" fontId="5" fillId="0" borderId="1" xfId="0" applyNumberFormat="1" applyFont="1" applyFill="1" applyBorder="1" applyAlignment="1">
      <alignment horizontal="center" vertical="center"/>
    </xf>
    <xf numFmtId="0" fontId="28" fillId="0" borderId="2" xfId="8" applyFont="1" applyBorder="1" applyAlignment="1">
      <alignment vertical="center"/>
    </xf>
    <xf numFmtId="43" fontId="22" fillId="0" borderId="0" xfId="1" applyFont="1"/>
    <xf numFmtId="0" fontId="19" fillId="0" borderId="1" xfId="0" applyFont="1" applyFill="1" applyBorder="1" applyAlignment="1">
      <alignment horizontal="center" vertical="center"/>
    </xf>
    <xf numFmtId="43" fontId="19" fillId="0" borderId="1" xfId="1" applyFont="1" applyFill="1" applyBorder="1" applyAlignment="1">
      <alignment horizontal="center" vertical="center"/>
    </xf>
    <xf numFmtId="0" fontId="20" fillId="0" borderId="1" xfId="0" applyFont="1" applyFill="1" applyBorder="1" applyAlignment="1">
      <alignment horizontal="center" vertical="center"/>
    </xf>
    <xf numFmtId="0" fontId="20" fillId="0" borderId="1" xfId="0" applyFont="1" applyFill="1" applyBorder="1" applyAlignment="1">
      <alignment horizontal="left" vertical="center"/>
    </xf>
    <xf numFmtId="43" fontId="20" fillId="0" borderId="1" xfId="1" applyFont="1" applyFill="1" applyBorder="1" applyAlignment="1">
      <alignment horizontal="center" vertical="center"/>
    </xf>
    <xf numFmtId="0" fontId="18" fillId="0" borderId="1" xfId="0" applyFont="1" applyFill="1" applyBorder="1" applyAlignment="1">
      <alignment horizontal="center" vertical="center"/>
    </xf>
    <xf numFmtId="0" fontId="19" fillId="0" borderId="1" xfId="0" applyFont="1" applyFill="1" applyBorder="1" applyAlignment="1">
      <alignment horizontal="left" vertical="center"/>
    </xf>
    <xf numFmtId="43" fontId="18" fillId="0" borderId="1" xfId="1" applyFont="1" applyFill="1" applyBorder="1" applyAlignment="1">
      <alignment horizontal="center" vertical="center"/>
    </xf>
    <xf numFmtId="0" fontId="18" fillId="0" borderId="1" xfId="0" applyFont="1" applyFill="1" applyBorder="1" applyAlignment="1">
      <alignment horizontal="left" vertical="center"/>
    </xf>
    <xf numFmtId="0" fontId="19" fillId="0" borderId="1" xfId="0" applyFont="1" applyFill="1" applyBorder="1" applyAlignment="1">
      <alignment horizontal="right" vertical="center"/>
    </xf>
    <xf numFmtId="43" fontId="19" fillId="0" borderId="7" xfId="1" applyFont="1" applyFill="1" applyBorder="1" applyAlignment="1">
      <alignment horizontal="center" vertical="center"/>
    </xf>
    <xf numFmtId="43" fontId="20" fillId="0" borderId="7" xfId="1" applyFont="1" applyFill="1" applyBorder="1" applyAlignment="1">
      <alignment horizontal="center" vertical="center"/>
    </xf>
    <xf numFmtId="43" fontId="18" fillId="0" borderId="7" xfId="1" applyFont="1" applyFill="1" applyBorder="1" applyAlignment="1">
      <alignment horizontal="center" vertical="center"/>
    </xf>
    <xf numFmtId="43" fontId="19" fillId="9" borderId="7" xfId="1" applyFont="1" applyFill="1" applyBorder="1" applyAlignment="1">
      <alignment horizontal="center" vertical="center"/>
    </xf>
    <xf numFmtId="0" fontId="4" fillId="0" borderId="0" xfId="20" applyFont="1" applyAlignment="1">
      <alignment horizontal="center" vertical="center"/>
    </xf>
    <xf numFmtId="0" fontId="5" fillId="0" borderId="3" xfId="19" applyFont="1" applyBorder="1" applyAlignment="1">
      <alignment horizontal="left" vertical="center"/>
    </xf>
    <xf numFmtId="0" fontId="5" fillId="0" borderId="5" xfId="19" applyFont="1" applyBorder="1" applyAlignment="1">
      <alignment horizontal="center" vertical="center"/>
    </xf>
    <xf numFmtId="0" fontId="5" fillId="0" borderId="0" xfId="20" applyFont="1" applyAlignment="1">
      <alignment horizontal="center" vertical="center"/>
    </xf>
    <xf numFmtId="166" fontId="5" fillId="0" borderId="0" xfId="1" applyNumberFormat="1" applyFont="1" applyAlignment="1">
      <alignment horizontal="center" vertical="center"/>
    </xf>
    <xf numFmtId="0" fontId="4" fillId="0" borderId="8" xfId="20" applyFont="1" applyBorder="1" applyAlignment="1">
      <alignment horizontal="center" vertical="center"/>
    </xf>
    <xf numFmtId="166" fontId="5" fillId="0" borderId="10" xfId="10" applyNumberFormat="1" applyFont="1" applyBorder="1" applyAlignment="1">
      <alignment horizontal="center" vertical="center"/>
    </xf>
    <xf numFmtId="0" fontId="5" fillId="0" borderId="2" xfId="20" applyFont="1" applyBorder="1" applyAlignment="1">
      <alignment horizontal="center" vertical="center" wrapText="1"/>
    </xf>
    <xf numFmtId="166" fontId="5" fillId="0" borderId="2" xfId="1" applyNumberFormat="1" applyFont="1" applyBorder="1" applyAlignment="1">
      <alignment horizontal="right" vertical="center" wrapText="1"/>
    </xf>
    <xf numFmtId="0" fontId="4" fillId="0" borderId="2" xfId="20" applyFont="1" applyBorder="1" applyAlignment="1">
      <alignment horizontal="right" vertical="center" wrapText="1"/>
    </xf>
    <xf numFmtId="0" fontId="4" fillId="0" borderId="2" xfId="20" applyFont="1" applyBorder="1" applyAlignment="1">
      <alignment horizontal="center" vertical="center" wrapText="1"/>
    </xf>
    <xf numFmtId="166" fontId="5" fillId="0" borderId="2" xfId="1" applyNumberFormat="1" applyFont="1" applyBorder="1" applyAlignment="1">
      <alignment horizontal="right" vertical="center"/>
    </xf>
    <xf numFmtId="0" fontId="4" fillId="0" borderId="2" xfId="20" applyFont="1" applyBorder="1" applyAlignment="1">
      <alignment horizontal="left" vertical="center" wrapText="1"/>
    </xf>
    <xf numFmtId="0" fontId="5" fillId="0" borderId="2" xfId="19" applyFont="1" applyBorder="1" applyAlignment="1">
      <alignment horizontal="left" vertical="center"/>
    </xf>
    <xf numFmtId="166" fontId="5" fillId="0" borderId="2" xfId="12" applyNumberFormat="1" applyFont="1" applyBorder="1" applyAlignment="1">
      <alignment horizontal="right" vertical="center" wrapText="1"/>
    </xf>
    <xf numFmtId="0" fontId="5" fillId="0" borderId="2" xfId="20" applyFont="1" applyBorder="1" applyAlignment="1">
      <alignment horizontal="center" vertical="center"/>
    </xf>
    <xf numFmtId="0" fontId="4" fillId="0" borderId="28" xfId="20" applyFont="1" applyBorder="1" applyAlignment="1">
      <alignment horizontal="center" vertical="center"/>
    </xf>
    <xf numFmtId="166" fontId="5" fillId="0" borderId="2" xfId="12" applyNumberFormat="1" applyFont="1" applyFill="1" applyBorder="1" applyAlignment="1">
      <alignment horizontal="right" vertical="center" wrapText="1"/>
    </xf>
    <xf numFmtId="0" fontId="4" fillId="0" borderId="2" xfId="20" applyFont="1" applyBorder="1" applyAlignment="1">
      <alignment horizontal="center" vertical="center"/>
    </xf>
    <xf numFmtId="0" fontId="4" fillId="2" borderId="28" xfId="20" applyFont="1" applyFill="1" applyBorder="1" applyAlignment="1">
      <alignment horizontal="center" vertical="center"/>
    </xf>
    <xf numFmtId="0" fontId="4" fillId="2" borderId="2" xfId="19" applyFont="1" applyFill="1" applyBorder="1" applyAlignment="1">
      <alignment horizontal="right" vertical="center"/>
    </xf>
    <xf numFmtId="3" fontId="5" fillId="2" borderId="2" xfId="20" applyNumberFormat="1" applyFont="1" applyFill="1" applyBorder="1" applyAlignment="1">
      <alignment horizontal="center" vertical="center" wrapText="1"/>
    </xf>
    <xf numFmtId="0" fontId="5" fillId="2" borderId="2" xfId="20" applyFont="1" applyFill="1" applyBorder="1" applyAlignment="1">
      <alignment horizontal="right" vertical="center" wrapText="1"/>
    </xf>
    <xf numFmtId="0" fontId="5" fillId="2" borderId="2" xfId="20" applyFont="1" applyFill="1" applyBorder="1" applyAlignment="1">
      <alignment horizontal="center" vertical="center" wrapText="1"/>
    </xf>
    <xf numFmtId="166" fontId="5" fillId="2" borderId="2" xfId="1" applyNumberFormat="1" applyFont="1" applyFill="1" applyBorder="1" applyAlignment="1">
      <alignment horizontal="right" vertical="center" wrapText="1"/>
    </xf>
    <xf numFmtId="3" fontId="4" fillId="2" borderId="2" xfId="20" applyNumberFormat="1" applyFont="1" applyFill="1" applyBorder="1" applyAlignment="1">
      <alignment horizontal="center" vertical="center" wrapText="1"/>
    </xf>
    <xf numFmtId="4" fontId="4" fillId="2" borderId="2" xfId="20" applyNumberFormat="1" applyFont="1" applyFill="1" applyBorder="1" applyAlignment="1">
      <alignment horizontal="right" vertical="center" wrapText="1"/>
    </xf>
    <xf numFmtId="167" fontId="4" fillId="2" borderId="32" xfId="21" applyNumberFormat="1" applyFont="1" applyFill="1" applyBorder="1" applyAlignment="1">
      <alignment vertical="center"/>
    </xf>
    <xf numFmtId="0" fontId="4" fillId="0" borderId="32" xfId="20" applyFont="1" applyBorder="1" applyAlignment="1">
      <alignment vertical="center"/>
    </xf>
    <xf numFmtId="0" fontId="4" fillId="0" borderId="2" xfId="20" applyFont="1" applyBorder="1" applyAlignment="1">
      <alignment horizontal="right" vertical="center"/>
    </xf>
    <xf numFmtId="4" fontId="4" fillId="0" borderId="2" xfId="20" applyNumberFormat="1" applyFont="1" applyBorder="1" applyAlignment="1">
      <alignment horizontal="center" vertical="center"/>
    </xf>
    <xf numFmtId="0" fontId="4" fillId="2" borderId="2" xfId="20" applyFont="1" applyFill="1" applyBorder="1" applyAlignment="1">
      <alignment horizontal="right" vertical="center"/>
    </xf>
    <xf numFmtId="0" fontId="5" fillId="2" borderId="2" xfId="20" applyFont="1" applyFill="1" applyBorder="1" applyAlignment="1">
      <alignment horizontal="center" vertical="center"/>
    </xf>
    <xf numFmtId="0" fontId="5" fillId="2" borderId="2" xfId="20" applyFont="1" applyFill="1" applyBorder="1" applyAlignment="1">
      <alignment horizontal="right" vertical="center"/>
    </xf>
    <xf numFmtId="166" fontId="5" fillId="2" borderId="2" xfId="1" applyNumberFormat="1" applyFont="1" applyFill="1" applyBorder="1" applyAlignment="1">
      <alignment horizontal="right" vertical="center"/>
    </xf>
    <xf numFmtId="168" fontId="4" fillId="2" borderId="2" xfId="15" applyNumberFormat="1" applyFont="1" applyFill="1" applyBorder="1" applyAlignment="1">
      <alignment horizontal="right" vertical="center"/>
    </xf>
    <xf numFmtId="4" fontId="4" fillId="2" borderId="2" xfId="15" applyNumberFormat="1" applyFont="1" applyFill="1" applyBorder="1" applyAlignment="1">
      <alignment horizontal="right" vertical="center"/>
    </xf>
    <xf numFmtId="167" fontId="4" fillId="0" borderId="32" xfId="21" applyNumberFormat="1" applyFont="1" applyBorder="1" applyAlignment="1">
      <alignment vertical="center"/>
    </xf>
    <xf numFmtId="0" fontId="5" fillId="0" borderId="2" xfId="17" applyFont="1" applyBorder="1" applyAlignment="1">
      <alignment vertical="center"/>
    </xf>
    <xf numFmtId="0" fontId="5" fillId="0" borderId="2" xfId="16" applyFont="1" applyBorder="1" applyAlignment="1">
      <alignment horizontal="right" vertical="center"/>
    </xf>
    <xf numFmtId="0" fontId="33" fillId="0" borderId="2" xfId="16" applyFont="1" applyBorder="1" applyAlignment="1">
      <alignment horizontal="left" vertical="center"/>
    </xf>
    <xf numFmtId="0" fontId="32" fillId="0" borderId="2" xfId="20" applyFont="1" applyBorder="1" applyAlignment="1">
      <alignment horizontal="left" vertical="center"/>
    </xf>
    <xf numFmtId="0" fontId="5" fillId="0" borderId="2" xfId="20" applyFont="1" applyBorder="1" applyAlignment="1">
      <alignment vertical="center"/>
    </xf>
    <xf numFmtId="3" fontId="5" fillId="0" borderId="2" xfId="20" applyNumberFormat="1" applyFont="1" applyBorder="1" applyAlignment="1">
      <alignment horizontal="center" vertical="center"/>
    </xf>
    <xf numFmtId="9" fontId="5" fillId="0" borderId="2" xfId="20" applyNumberFormat="1" applyFont="1" applyBorder="1" applyAlignment="1">
      <alignment horizontal="center" vertical="center"/>
    </xf>
    <xf numFmtId="0" fontId="5" fillId="0" borderId="2" xfId="16" applyFont="1" applyBorder="1" applyAlignment="1">
      <alignment horizontal="center" vertical="center"/>
    </xf>
    <xf numFmtId="0" fontId="5" fillId="0" borderId="2" xfId="16" applyFont="1" applyBorder="1" applyAlignment="1">
      <alignment horizontal="center" vertical="center" wrapText="1"/>
    </xf>
    <xf numFmtId="0" fontId="5" fillId="0" borderId="2" xfId="16" applyFont="1" applyBorder="1" applyAlignment="1">
      <alignment vertical="center"/>
    </xf>
    <xf numFmtId="3" fontId="5" fillId="0" borderId="2" xfId="16" applyNumberFormat="1" applyFont="1" applyBorder="1" applyAlignment="1">
      <alignment horizontal="center" vertical="center"/>
    </xf>
    <xf numFmtId="0" fontId="32" fillId="0" borderId="2" xfId="20" applyFont="1" applyBorder="1" applyAlignment="1">
      <alignment vertical="center"/>
    </xf>
    <xf numFmtId="168" fontId="4" fillId="0" borderId="2" xfId="15" applyNumberFormat="1" applyFont="1" applyBorder="1" applyAlignment="1">
      <alignment horizontal="right" vertical="center"/>
    </xf>
    <xf numFmtId="0" fontId="5" fillId="0" borderId="2" xfId="20" applyFont="1" applyBorder="1" applyAlignment="1">
      <alignment vertical="center" wrapText="1"/>
    </xf>
    <xf numFmtId="0" fontId="5" fillId="0" borderId="2" xfId="16" applyFont="1" applyBorder="1" applyAlignment="1">
      <alignment vertical="center" wrapText="1"/>
    </xf>
    <xf numFmtId="0" fontId="5" fillId="2" borderId="2" xfId="16" applyFont="1" applyFill="1" applyBorder="1" applyAlignment="1">
      <alignment horizontal="center" vertical="center"/>
    </xf>
    <xf numFmtId="0" fontId="5" fillId="2" borderId="2" xfId="16" applyFont="1" applyFill="1" applyBorder="1" applyAlignment="1">
      <alignment horizontal="right" vertical="center"/>
    </xf>
    <xf numFmtId="0" fontId="32" fillId="0" borderId="2" xfId="20" applyFont="1" applyBorder="1" applyAlignment="1">
      <alignment horizontal="left" vertical="center" wrapText="1"/>
    </xf>
    <xf numFmtId="0" fontId="5" fillId="0" borderId="28" xfId="20" applyFont="1" applyBorder="1" applyAlignment="1">
      <alignment horizontal="center" vertical="center"/>
    </xf>
    <xf numFmtId="1" fontId="5" fillId="0" borderId="2" xfId="20" applyNumberFormat="1" applyFont="1" applyBorder="1" applyAlignment="1">
      <alignment horizontal="center" vertical="center" wrapText="1"/>
    </xf>
    <xf numFmtId="0" fontId="5" fillId="0" borderId="2" xfId="20" applyFont="1" applyBorder="1" applyAlignment="1">
      <alignment horizontal="right" vertical="center"/>
    </xf>
    <xf numFmtId="3" fontId="4" fillId="0" borderId="32" xfId="20" applyNumberFormat="1" applyFont="1" applyBorder="1" applyAlignment="1">
      <alignment vertical="center"/>
    </xf>
    <xf numFmtId="4" fontId="4" fillId="0" borderId="2" xfId="15" applyNumberFormat="1" applyFont="1" applyBorder="1" applyAlignment="1">
      <alignment horizontal="right" vertical="center"/>
    </xf>
    <xf numFmtId="43" fontId="4" fillId="0" borderId="32" xfId="13" applyFont="1" applyBorder="1" applyAlignment="1">
      <alignment vertical="center"/>
    </xf>
    <xf numFmtId="0" fontId="5" fillId="0" borderId="2" xfId="20" applyFont="1" applyBorder="1" applyAlignment="1">
      <alignment horizontal="left" vertical="center" wrapText="1"/>
    </xf>
    <xf numFmtId="10" fontId="5" fillId="0" borderId="2" xfId="20" applyNumberFormat="1" applyFont="1" applyBorder="1" applyAlignment="1">
      <alignment horizontal="center" vertical="center"/>
    </xf>
    <xf numFmtId="0" fontId="4" fillId="0" borderId="2" xfId="20" applyFont="1" applyBorder="1" applyAlignment="1">
      <alignment horizontal="left" vertical="center"/>
    </xf>
    <xf numFmtId="1" fontId="5" fillId="0" borderId="2" xfId="20" applyNumberFormat="1" applyFont="1" applyBorder="1" applyAlignment="1">
      <alignment horizontal="center" vertical="center"/>
    </xf>
    <xf numFmtId="0" fontId="5" fillId="2" borderId="41" xfId="20" applyFont="1" applyFill="1" applyBorder="1" applyAlignment="1">
      <alignment horizontal="center" vertical="center"/>
    </xf>
    <xf numFmtId="167" fontId="4" fillId="0" borderId="39" xfId="21" applyNumberFormat="1" applyFont="1" applyBorder="1" applyAlignment="1">
      <alignment vertical="center"/>
    </xf>
    <xf numFmtId="0" fontId="5" fillId="0" borderId="0" xfId="18" applyFont="1" applyAlignment="1">
      <alignment horizontal="center" vertical="center"/>
    </xf>
    <xf numFmtId="0" fontId="4" fillId="0" borderId="0" xfId="20" applyFont="1" applyAlignment="1">
      <alignment vertical="center"/>
    </xf>
    <xf numFmtId="0" fontId="31" fillId="0" borderId="0" xfId="18" applyFont="1" applyAlignment="1">
      <alignment vertical="center"/>
    </xf>
    <xf numFmtId="0" fontId="4" fillId="0" borderId="0" xfId="20" applyFont="1" applyAlignment="1">
      <alignment horizontal="right" vertical="center"/>
    </xf>
    <xf numFmtId="0" fontId="4" fillId="0" borderId="2" xfId="20" applyFont="1" applyBorder="1" applyAlignment="1">
      <alignment vertical="center"/>
    </xf>
    <xf numFmtId="4" fontId="5" fillId="0" borderId="2" xfId="20" applyNumberFormat="1" applyFont="1" applyBorder="1" applyAlignment="1">
      <alignment horizontal="center" vertical="center"/>
    </xf>
    <xf numFmtId="0" fontId="4" fillId="0" borderId="2" xfId="14" applyNumberFormat="1" applyFont="1" applyBorder="1" applyAlignment="1">
      <alignment horizontal="right" vertical="center"/>
    </xf>
    <xf numFmtId="0" fontId="5" fillId="0" borderId="2" xfId="20" applyFont="1" applyBorder="1" applyAlignment="1">
      <alignment horizontal="left" vertical="center"/>
    </xf>
    <xf numFmtId="0" fontId="5" fillId="2" borderId="2" xfId="20" applyFont="1" applyFill="1" applyBorder="1" applyAlignment="1">
      <alignment vertical="center"/>
    </xf>
    <xf numFmtId="3" fontId="4" fillId="2" borderId="2" xfId="20" applyNumberFormat="1" applyFont="1" applyFill="1" applyBorder="1" applyAlignment="1">
      <alignment horizontal="right" vertical="center"/>
    </xf>
    <xf numFmtId="0" fontId="5" fillId="0" borderId="2" xfId="14" applyNumberFormat="1" applyFont="1" applyBorder="1" applyAlignment="1">
      <alignment horizontal="right" vertical="center"/>
    </xf>
    <xf numFmtId="3" fontId="4" fillId="2" borderId="2" xfId="14" applyNumberFormat="1" applyFont="1" applyFill="1" applyBorder="1" applyAlignment="1">
      <alignment horizontal="right" vertical="center"/>
    </xf>
    <xf numFmtId="166" fontId="4" fillId="0" borderId="2" xfId="13" applyNumberFormat="1" applyFont="1" applyBorder="1" applyAlignment="1">
      <alignment horizontal="right" vertical="center"/>
    </xf>
    <xf numFmtId="169" fontId="4" fillId="9" borderId="2" xfId="11" applyNumberFormat="1" applyFont="1" applyFill="1" applyBorder="1" applyAlignment="1">
      <alignment horizontal="left" vertical="center"/>
    </xf>
    <xf numFmtId="0" fontId="31" fillId="0" borderId="2" xfId="18" applyFont="1" applyBorder="1" applyAlignment="1">
      <alignment vertical="center"/>
    </xf>
    <xf numFmtId="0" fontId="4" fillId="2" borderId="40" xfId="20" applyFont="1" applyFill="1" applyBorder="1" applyAlignment="1">
      <alignment horizontal="center" vertical="center"/>
    </xf>
    <xf numFmtId="0" fontId="4" fillId="2" borderId="41" xfId="20" applyFont="1" applyFill="1" applyBorder="1" applyAlignment="1">
      <alignment horizontal="center" vertical="center"/>
    </xf>
    <xf numFmtId="166" fontId="5" fillId="2" borderId="41" xfId="1" applyNumberFormat="1" applyFont="1" applyFill="1" applyBorder="1" applyAlignment="1">
      <alignment horizontal="right" vertical="center"/>
    </xf>
    <xf numFmtId="3" fontId="4" fillId="2" borderId="41" xfId="20" applyNumberFormat="1" applyFont="1" applyFill="1" applyBorder="1" applyAlignment="1">
      <alignment horizontal="right" vertical="center"/>
    </xf>
    <xf numFmtId="0" fontId="5" fillId="0" borderId="0" xfId="18" applyFont="1" applyAlignment="1">
      <alignment vertical="center"/>
    </xf>
    <xf numFmtId="166" fontId="5" fillId="0" borderId="0" xfId="1" applyNumberFormat="1" applyFont="1" applyAlignment="1">
      <alignment vertical="center"/>
    </xf>
    <xf numFmtId="166" fontId="31" fillId="0" borderId="0" xfId="1" applyNumberFormat="1" applyFont="1" applyAlignment="1">
      <alignment vertical="center"/>
    </xf>
    <xf numFmtId="0" fontId="34" fillId="0" borderId="0" xfId="18" applyFont="1" applyAlignment="1">
      <alignment vertical="center"/>
    </xf>
    <xf numFmtId="0" fontId="4" fillId="5" borderId="36" xfId="20" applyFont="1" applyFill="1" applyBorder="1" applyAlignment="1">
      <alignment horizontal="center" vertical="center" wrapText="1"/>
    </xf>
    <xf numFmtId="0" fontId="4" fillId="5" borderId="37" xfId="20" applyFont="1" applyFill="1" applyBorder="1" applyAlignment="1">
      <alignment horizontal="center" vertical="center"/>
    </xf>
    <xf numFmtId="0" fontId="4" fillId="5" borderId="37" xfId="20" applyFont="1" applyFill="1" applyBorder="1" applyAlignment="1">
      <alignment horizontal="center" vertical="center" wrapText="1"/>
    </xf>
    <xf numFmtId="166" fontId="4" fillId="5" borderId="37" xfId="1" applyNumberFormat="1" applyFont="1" applyFill="1" applyBorder="1" applyAlignment="1">
      <alignment horizontal="center" vertical="center"/>
    </xf>
    <xf numFmtId="0" fontId="4" fillId="5" borderId="38" xfId="20" applyFont="1" applyFill="1" applyBorder="1" applyAlignment="1">
      <alignment vertical="center"/>
    </xf>
    <xf numFmtId="0" fontId="12" fillId="0" borderId="0" xfId="8" applyFont="1" applyBorder="1" applyAlignment="1">
      <alignment vertical="center"/>
    </xf>
    <xf numFmtId="0" fontId="13" fillId="0" borderId="0" xfId="8" applyFont="1" applyBorder="1" applyAlignment="1">
      <alignment vertical="center"/>
    </xf>
    <xf numFmtId="0" fontId="13" fillId="6" borderId="0" xfId="8" applyFont="1" applyFill="1" applyBorder="1" applyAlignment="1">
      <alignment vertical="center"/>
    </xf>
    <xf numFmtId="0" fontId="12" fillId="6" borderId="0" xfId="8" applyFont="1" applyFill="1" applyBorder="1" applyAlignment="1">
      <alignment vertical="center"/>
    </xf>
    <xf numFmtId="0" fontId="12" fillId="6" borderId="28" xfId="8" applyFont="1" applyFill="1" applyBorder="1" applyAlignment="1">
      <alignment horizontal="center" vertical="center"/>
    </xf>
    <xf numFmtId="3" fontId="12" fillId="6" borderId="32" xfId="8" applyNumberFormat="1" applyFont="1" applyFill="1" applyBorder="1" applyAlignment="1">
      <alignment horizontal="right" vertical="center"/>
    </xf>
    <xf numFmtId="10" fontId="12" fillId="0" borderId="32" xfId="9" applyNumberFormat="1" applyFont="1" applyFill="1" applyBorder="1" applyAlignment="1">
      <alignment horizontal="right" vertical="center"/>
    </xf>
    <xf numFmtId="10" fontId="12" fillId="3" borderId="32" xfId="9" applyNumberFormat="1" applyFont="1" applyFill="1" applyBorder="1" applyAlignment="1">
      <alignment horizontal="right" vertical="center"/>
    </xf>
    <xf numFmtId="10" fontId="12" fillId="0" borderId="32" xfId="9" applyNumberFormat="1" applyFont="1" applyBorder="1" applyAlignment="1">
      <alignment vertical="center"/>
    </xf>
    <xf numFmtId="10" fontId="12" fillId="0" borderId="32" xfId="9" applyNumberFormat="1" applyFont="1" applyBorder="1" applyAlignment="1">
      <alignment horizontal="right" vertical="center"/>
    </xf>
    <xf numFmtId="0" fontId="12" fillId="0" borderId="0" xfId="8" applyFont="1" applyBorder="1" applyAlignment="1">
      <alignment horizontal="right" vertical="center"/>
    </xf>
    <xf numFmtId="0" fontId="17" fillId="0" borderId="0" xfId="0" applyFont="1" applyFill="1" applyBorder="1" applyAlignment="1">
      <alignment horizontal="center" vertical="center"/>
    </xf>
    <xf numFmtId="0" fontId="7" fillId="0" borderId="2" xfId="0" applyFont="1" applyFill="1" applyBorder="1" applyAlignment="1">
      <alignment horizontal="left" vertical="center" wrapText="1"/>
    </xf>
    <xf numFmtId="43" fontId="16" fillId="0" borderId="2" xfId="1" applyFont="1" applyFill="1" applyBorder="1" applyAlignment="1">
      <alignment horizontal="center" vertical="center" shrinkToFit="1"/>
    </xf>
    <xf numFmtId="0" fontId="16" fillId="0" borderId="2" xfId="0" applyFont="1" applyFill="1" applyBorder="1" applyAlignment="1">
      <alignment horizontal="left" vertical="center" wrapText="1"/>
    </xf>
    <xf numFmtId="43" fontId="17" fillId="0" borderId="2" xfId="1" applyFont="1" applyFill="1" applyBorder="1" applyAlignment="1">
      <alignment horizontal="center" vertical="center"/>
    </xf>
    <xf numFmtId="43" fontId="16" fillId="0" borderId="2" xfId="1" applyFont="1" applyFill="1" applyBorder="1" applyAlignment="1">
      <alignment horizontal="center" vertical="center"/>
    </xf>
    <xf numFmtId="43" fontId="13" fillId="0" borderId="20" xfId="5" applyNumberFormat="1" applyFont="1" applyFill="1" applyBorder="1" applyAlignment="1">
      <alignment vertical="center"/>
    </xf>
    <xf numFmtId="43" fontId="9" fillId="0" borderId="20" xfId="5" applyFont="1" applyFill="1" applyBorder="1" applyAlignment="1">
      <alignment vertical="center"/>
    </xf>
    <xf numFmtId="10" fontId="15" fillId="0" borderId="42" xfId="2" applyNumberFormat="1" applyFont="1" applyFill="1" applyBorder="1" applyAlignment="1">
      <alignment vertical="center"/>
    </xf>
    <xf numFmtId="0" fontId="19" fillId="0" borderId="1" xfId="0" applyFont="1" applyFill="1" applyBorder="1" applyAlignment="1">
      <alignment horizontal="center" vertical="center"/>
    </xf>
    <xf numFmtId="43" fontId="16" fillId="0" borderId="0" xfId="0" applyNumberFormat="1" applyFont="1" applyFill="1" applyBorder="1" applyAlignment="1">
      <alignment horizontal="center" vertical="center"/>
    </xf>
    <xf numFmtId="0" fontId="35" fillId="0" borderId="43" xfId="0" applyFont="1" applyFill="1" applyBorder="1" applyAlignment="1">
      <alignment horizontal="center" vertical="center" wrapText="1"/>
    </xf>
    <xf numFmtId="43" fontId="35" fillId="0" borderId="43" xfId="1" applyFont="1" applyFill="1" applyBorder="1" applyAlignment="1">
      <alignment horizontal="center" vertical="center" wrapText="1"/>
    </xf>
    <xf numFmtId="1" fontId="37" fillId="0" borderId="43" xfId="0" applyNumberFormat="1" applyFont="1" applyFill="1" applyBorder="1" applyAlignment="1">
      <alignment horizontal="center" vertical="center" shrinkToFit="1"/>
    </xf>
    <xf numFmtId="0" fontId="36" fillId="0" borderId="43" xfId="0" applyFont="1" applyFill="1" applyBorder="1" applyAlignment="1">
      <alignment horizontal="left" vertical="top" wrapText="1"/>
    </xf>
    <xf numFmtId="43" fontId="37" fillId="0" borderId="43" xfId="1" applyFont="1" applyFill="1" applyBorder="1" applyAlignment="1">
      <alignment horizontal="center" vertical="center" shrinkToFit="1"/>
    </xf>
    <xf numFmtId="0" fontId="36" fillId="0" borderId="43" xfId="0" applyFont="1" applyFill="1" applyBorder="1" applyAlignment="1">
      <alignment horizontal="center" vertical="center" wrapText="1"/>
    </xf>
    <xf numFmtId="43" fontId="37" fillId="0" borderId="43" xfId="1" applyFont="1" applyFill="1" applyBorder="1" applyAlignment="1">
      <alignment horizontal="center" vertical="center" wrapText="1"/>
    </xf>
    <xf numFmtId="0" fontId="37" fillId="0" borderId="43" xfId="0" applyFont="1" applyFill="1" applyBorder="1" applyAlignment="1">
      <alignment horizontal="center" vertical="center" wrapText="1"/>
    </xf>
    <xf numFmtId="2" fontId="37" fillId="0" borderId="43" xfId="0" applyNumberFormat="1" applyFont="1" applyFill="1" applyBorder="1" applyAlignment="1">
      <alignment horizontal="center" vertical="center" shrinkToFit="1"/>
    </xf>
    <xf numFmtId="0" fontId="37" fillId="0" borderId="43" xfId="0" applyFont="1" applyFill="1" applyBorder="1" applyAlignment="1">
      <alignment horizontal="left" vertical="top" wrapText="1"/>
    </xf>
    <xf numFmtId="1" fontId="37" fillId="0" borderId="44" xfId="0" applyNumberFormat="1" applyFont="1" applyFill="1" applyBorder="1" applyAlignment="1">
      <alignment horizontal="center" vertical="center" shrinkToFit="1"/>
    </xf>
    <xf numFmtId="0" fontId="36" fillId="0" borderId="44" xfId="0" applyFont="1" applyFill="1" applyBorder="1" applyAlignment="1">
      <alignment horizontal="left" vertical="top" wrapText="1"/>
    </xf>
    <xf numFmtId="43" fontId="37" fillId="0" borderId="44" xfId="1" applyFont="1" applyFill="1" applyBorder="1" applyAlignment="1">
      <alignment horizontal="center" vertical="center" shrinkToFit="1"/>
    </xf>
    <xf numFmtId="0" fontId="36" fillId="0" borderId="44" xfId="0" applyFont="1" applyFill="1" applyBorder="1" applyAlignment="1">
      <alignment horizontal="center" vertical="center" wrapText="1"/>
    </xf>
    <xf numFmtId="43" fontId="37" fillId="0" borderId="44" xfId="1" applyFont="1" applyFill="1" applyBorder="1" applyAlignment="1">
      <alignment horizontal="center" vertical="center" wrapText="1"/>
    </xf>
    <xf numFmtId="1" fontId="37" fillId="0" borderId="2" xfId="0" applyNumberFormat="1" applyFont="1" applyFill="1" applyBorder="1" applyAlignment="1">
      <alignment horizontal="center" vertical="center" shrinkToFit="1"/>
    </xf>
    <xf numFmtId="0" fontId="36" fillId="0" borderId="2" xfId="0" applyFont="1" applyFill="1" applyBorder="1" applyAlignment="1">
      <alignment horizontal="left" vertical="top" wrapText="1"/>
    </xf>
    <xf numFmtId="43" fontId="37" fillId="0" borderId="2" xfId="1" applyFont="1" applyFill="1" applyBorder="1" applyAlignment="1">
      <alignment horizontal="center" vertical="center" shrinkToFit="1"/>
    </xf>
    <xf numFmtId="0" fontId="36" fillId="0" borderId="2" xfId="0" applyFont="1" applyFill="1" applyBorder="1" applyAlignment="1">
      <alignment horizontal="center" vertical="center" wrapText="1"/>
    </xf>
    <xf numFmtId="43" fontId="37" fillId="0" borderId="2" xfId="1" applyFont="1" applyFill="1" applyBorder="1" applyAlignment="1">
      <alignment horizontal="center" vertical="center" wrapText="1"/>
    </xf>
    <xf numFmtId="0" fontId="37" fillId="0" borderId="2" xfId="0" applyFont="1" applyFill="1" applyBorder="1" applyAlignment="1">
      <alignment horizontal="left" vertical="top" wrapText="1"/>
    </xf>
    <xf numFmtId="1" fontId="38" fillId="0" borderId="2" xfId="0" applyNumberFormat="1" applyFont="1" applyFill="1" applyBorder="1" applyAlignment="1">
      <alignment horizontal="center" vertical="center" shrinkToFit="1"/>
    </xf>
    <xf numFmtId="43" fontId="38" fillId="0" borderId="2" xfId="1" applyFont="1" applyFill="1" applyBorder="1" applyAlignment="1">
      <alignment horizontal="center" vertical="center" shrinkToFit="1"/>
    </xf>
    <xf numFmtId="0" fontId="35" fillId="0" borderId="2" xfId="0" applyFont="1" applyFill="1" applyBorder="1" applyAlignment="1">
      <alignment horizontal="center" vertical="center" wrapText="1"/>
    </xf>
    <xf numFmtId="43" fontId="38" fillId="0" borderId="2" xfId="1" applyFont="1" applyFill="1" applyBorder="1" applyAlignment="1">
      <alignment horizontal="center" vertical="center" wrapText="1"/>
    </xf>
    <xf numFmtId="0" fontId="38" fillId="0" borderId="2" xfId="0" applyFont="1" applyFill="1" applyBorder="1" applyAlignment="1">
      <alignment horizontal="center" vertical="center" wrapText="1"/>
    </xf>
    <xf numFmtId="43" fontId="39" fillId="0" borderId="2" xfId="1" applyFont="1" applyFill="1" applyBorder="1" applyAlignment="1">
      <alignment horizontal="center" vertical="center" shrinkToFit="1"/>
    </xf>
    <xf numFmtId="0" fontId="38" fillId="0" borderId="2" xfId="0" applyFont="1" applyFill="1" applyBorder="1" applyAlignment="1">
      <alignment horizontal="center" vertical="center"/>
    </xf>
    <xf numFmtId="43" fontId="38" fillId="0" borderId="2" xfId="1" applyFont="1" applyFill="1" applyBorder="1" applyAlignment="1">
      <alignment horizontal="center" vertical="center"/>
    </xf>
    <xf numFmtId="0" fontId="37" fillId="0" borderId="0" xfId="0" applyFont="1" applyFill="1" applyBorder="1" applyAlignment="1">
      <alignment horizontal="center" vertical="center"/>
    </xf>
    <xf numFmtId="0" fontId="37" fillId="0" borderId="0" xfId="0" applyFont="1" applyFill="1" applyBorder="1" applyAlignment="1">
      <alignment horizontal="left" vertical="top"/>
    </xf>
    <xf numFmtId="43" fontId="37" fillId="0" borderId="0" xfId="1" applyFont="1" applyFill="1" applyBorder="1" applyAlignment="1">
      <alignment horizontal="center" vertical="center"/>
    </xf>
    <xf numFmtId="43" fontId="37" fillId="0" borderId="0" xfId="2" applyNumberFormat="1" applyFont="1" applyFill="1" applyBorder="1" applyAlignment="1">
      <alignment horizontal="center" vertical="center"/>
    </xf>
    <xf numFmtId="10" fontId="37" fillId="0" borderId="0" xfId="2" applyNumberFormat="1" applyFont="1" applyFill="1" applyBorder="1" applyAlignment="1">
      <alignment horizontal="center" vertical="center"/>
    </xf>
    <xf numFmtId="0" fontId="38" fillId="0" borderId="2" xfId="0" applyFont="1" applyFill="1" applyBorder="1" applyAlignment="1">
      <alignment horizontal="left" vertical="top" wrapText="1"/>
    </xf>
    <xf numFmtId="0" fontId="35" fillId="0" borderId="2" xfId="0" applyFont="1" applyFill="1" applyBorder="1" applyAlignment="1">
      <alignment horizontal="left" vertical="top" wrapText="1"/>
    </xf>
    <xf numFmtId="0" fontId="38" fillId="0" borderId="2" xfId="0" applyFont="1" applyFill="1" applyBorder="1" applyAlignment="1">
      <alignment horizontal="left" vertical="top"/>
    </xf>
    <xf numFmtId="0" fontId="38" fillId="0" borderId="0" xfId="0" applyFont="1" applyFill="1" applyBorder="1" applyAlignment="1">
      <alignment horizontal="center" vertical="center"/>
    </xf>
    <xf numFmtId="43" fontId="38" fillId="0" borderId="0" xfId="1" applyFont="1" applyFill="1" applyBorder="1" applyAlignment="1">
      <alignment horizontal="center" vertical="center"/>
    </xf>
    <xf numFmtId="0" fontId="37" fillId="0" borderId="2" xfId="0" applyFont="1" applyFill="1" applyBorder="1" applyAlignment="1">
      <alignment horizontal="center" vertical="center" wrapText="1"/>
    </xf>
    <xf numFmtId="43" fontId="16" fillId="0" borderId="0" xfId="1" applyFont="1" applyFill="1" applyBorder="1" applyAlignment="1">
      <alignment horizontal="center" vertical="center"/>
    </xf>
    <xf numFmtId="43" fontId="35" fillId="0" borderId="2" xfId="1" applyFont="1" applyFill="1" applyBorder="1" applyAlignment="1">
      <alignment horizontal="center" vertical="center" wrapText="1"/>
    </xf>
    <xf numFmtId="2" fontId="37" fillId="0" borderId="2" xfId="0" applyNumberFormat="1" applyFont="1" applyFill="1" applyBorder="1" applyAlignment="1">
      <alignment horizontal="center" vertical="center" shrinkToFit="1"/>
    </xf>
    <xf numFmtId="10" fontId="37" fillId="0" borderId="2" xfId="2" applyNumberFormat="1" applyFont="1" applyFill="1" applyBorder="1" applyAlignment="1">
      <alignment horizontal="center" vertical="center"/>
    </xf>
    <xf numFmtId="10" fontId="37" fillId="2" borderId="2" xfId="2" applyNumberFormat="1" applyFont="1" applyFill="1" applyBorder="1" applyAlignment="1">
      <alignment horizontal="center" vertical="center"/>
    </xf>
    <xf numFmtId="0" fontId="37" fillId="0" borderId="2" xfId="0" applyFont="1" applyFill="1" applyBorder="1" applyAlignment="1">
      <alignment horizontal="center" vertical="center"/>
    </xf>
    <xf numFmtId="43" fontId="37" fillId="0" borderId="2" xfId="1" applyFont="1" applyFill="1" applyBorder="1" applyAlignment="1">
      <alignment horizontal="center" vertical="center"/>
    </xf>
    <xf numFmtId="0" fontId="6" fillId="0" borderId="43" xfId="0" applyFont="1" applyFill="1" applyBorder="1" applyAlignment="1">
      <alignment horizontal="center" vertical="center" wrapText="1"/>
    </xf>
    <xf numFmtId="43" fontId="6" fillId="0" borderId="43" xfId="1" applyFont="1" applyFill="1" applyBorder="1" applyAlignment="1">
      <alignment horizontal="center" vertical="center" wrapText="1"/>
    </xf>
    <xf numFmtId="1" fontId="16" fillId="0" borderId="43" xfId="0" applyNumberFormat="1" applyFont="1" applyFill="1" applyBorder="1" applyAlignment="1">
      <alignment horizontal="center" vertical="center" shrinkToFit="1"/>
    </xf>
    <xf numFmtId="43" fontId="16" fillId="0" borderId="43" xfId="1" applyFont="1" applyFill="1" applyBorder="1" applyAlignment="1">
      <alignment horizontal="center" vertical="center" shrinkToFit="1"/>
    </xf>
    <xf numFmtId="0" fontId="7" fillId="0" borderId="43" xfId="0" applyFont="1" applyFill="1" applyBorder="1" applyAlignment="1">
      <alignment horizontal="center" vertical="center" wrapText="1"/>
    </xf>
    <xf numFmtId="43" fontId="16" fillId="0" borderId="43" xfId="1" applyFont="1" applyFill="1" applyBorder="1" applyAlignment="1">
      <alignment horizontal="center" vertical="center" wrapText="1"/>
    </xf>
    <xf numFmtId="0" fontId="16" fillId="0" borderId="43" xfId="0" applyFont="1" applyFill="1" applyBorder="1" applyAlignment="1">
      <alignment horizontal="center" vertical="center" wrapText="1"/>
    </xf>
    <xf numFmtId="2" fontId="16" fillId="0" borderId="43" xfId="0" applyNumberFormat="1" applyFont="1" applyFill="1" applyBorder="1" applyAlignment="1">
      <alignment horizontal="center" vertical="center" shrinkToFit="1"/>
    </xf>
    <xf numFmtId="1" fontId="16" fillId="0" borderId="44" xfId="0" applyNumberFormat="1" applyFont="1" applyFill="1" applyBorder="1" applyAlignment="1">
      <alignment horizontal="center" vertical="center" shrinkToFit="1"/>
    </xf>
    <xf numFmtId="43" fontId="16" fillId="0" borderId="44" xfId="1" applyFont="1" applyFill="1" applyBorder="1" applyAlignment="1">
      <alignment horizontal="center" vertical="center" shrinkToFit="1"/>
    </xf>
    <xf numFmtId="1" fontId="16" fillId="0" borderId="2" xfId="0" applyNumberFormat="1" applyFont="1" applyFill="1" applyBorder="1" applyAlignment="1">
      <alignment horizontal="center" vertical="center" shrinkToFit="1"/>
    </xf>
    <xf numFmtId="0" fontId="7" fillId="0" borderId="49" xfId="0" applyFont="1" applyFill="1" applyBorder="1" applyAlignment="1">
      <alignment horizontal="center" vertical="center" wrapText="1"/>
    </xf>
    <xf numFmtId="0" fontId="7" fillId="0" borderId="50" xfId="0" applyFont="1" applyFill="1" applyBorder="1" applyAlignment="1">
      <alignment horizontal="center" vertical="center" wrapText="1"/>
    </xf>
    <xf numFmtId="0" fontId="7" fillId="0" borderId="29" xfId="0" applyFont="1" applyFill="1" applyBorder="1" applyAlignment="1">
      <alignment horizontal="center" vertical="center" wrapText="1"/>
    </xf>
    <xf numFmtId="0" fontId="7" fillId="0" borderId="43" xfId="0" applyFont="1" applyFill="1" applyBorder="1" applyAlignment="1">
      <alignment horizontal="left" vertical="center" wrapText="1"/>
    </xf>
    <xf numFmtId="0" fontId="16" fillId="0" borderId="43" xfId="0" applyFont="1" applyFill="1" applyBorder="1" applyAlignment="1">
      <alignment horizontal="left" vertical="center" wrapText="1"/>
    </xf>
    <xf numFmtId="0" fontId="7" fillId="0" borderId="44" xfId="0" applyFont="1" applyFill="1" applyBorder="1" applyAlignment="1">
      <alignment horizontal="left" vertical="center" wrapText="1"/>
    </xf>
    <xf numFmtId="0" fontId="38" fillId="0" borderId="2" xfId="0" applyFont="1" applyFill="1" applyBorder="1" applyAlignment="1">
      <alignment horizontal="right" vertical="top" wrapText="1"/>
    </xf>
    <xf numFmtId="0" fontId="19" fillId="0" borderId="1" xfId="0" applyFont="1" applyFill="1" applyBorder="1" applyAlignment="1">
      <alignment horizontal="center" vertical="center"/>
    </xf>
    <xf numFmtId="0" fontId="19" fillId="0" borderId="1" xfId="0" applyFont="1" applyFill="1" applyBorder="1" applyAlignment="1">
      <alignment horizontal="center" vertical="center"/>
    </xf>
    <xf numFmtId="43" fontId="19" fillId="0" borderId="0" xfId="1" applyFont="1" applyFill="1" applyBorder="1" applyAlignment="1">
      <alignment horizontal="center" vertical="center"/>
    </xf>
    <xf numFmtId="43" fontId="20" fillId="0" borderId="0" xfId="1" applyFont="1" applyFill="1" applyBorder="1" applyAlignment="1">
      <alignment horizontal="center" vertical="center"/>
    </xf>
    <xf numFmtId="43" fontId="16" fillId="0" borderId="0" xfId="1" applyFont="1" applyFill="1" applyBorder="1" applyAlignment="1">
      <alignment horizontal="center" vertical="center"/>
    </xf>
    <xf numFmtId="43" fontId="20" fillId="0" borderId="0" xfId="0" applyNumberFormat="1" applyFont="1" applyFill="1" applyBorder="1" applyAlignment="1">
      <alignment horizontal="center" vertical="center"/>
    </xf>
    <xf numFmtId="43" fontId="19" fillId="0" borderId="6" xfId="1" applyNumberFormat="1" applyFont="1" applyFill="1" applyBorder="1" applyAlignment="1">
      <alignment horizontal="center" vertical="center"/>
    </xf>
    <xf numFmtId="43" fontId="20" fillId="0" borderId="6" xfId="1" applyNumberFormat="1" applyFont="1" applyFill="1" applyBorder="1" applyAlignment="1">
      <alignment horizontal="center" vertical="center"/>
    </xf>
    <xf numFmtId="43" fontId="18" fillId="0" borderId="6" xfId="1" applyNumberFormat="1" applyFont="1" applyFill="1" applyBorder="1" applyAlignment="1">
      <alignment horizontal="center" vertical="center"/>
    </xf>
    <xf numFmtId="43" fontId="18" fillId="0" borderId="0" xfId="1" applyNumberFormat="1" applyFont="1" applyFill="1" applyBorder="1" applyAlignment="1">
      <alignment horizontal="center" vertical="center"/>
    </xf>
    <xf numFmtId="43" fontId="16" fillId="0" borderId="0" xfId="1" applyFont="1" applyFill="1" applyBorder="1" applyAlignment="1">
      <alignment horizontal="center" vertical="center"/>
    </xf>
    <xf numFmtId="43" fontId="17" fillId="0" borderId="2" xfId="1" applyFont="1" applyFill="1" applyBorder="1" applyAlignment="1">
      <alignment horizontal="center" vertical="center"/>
    </xf>
    <xf numFmtId="43" fontId="17" fillId="0" borderId="0" xfId="1" applyFont="1" applyFill="1" applyBorder="1" applyAlignment="1">
      <alignment horizontal="center" vertical="center"/>
    </xf>
    <xf numFmtId="0" fontId="19" fillId="0" borderId="1" xfId="0" applyFont="1" applyFill="1" applyBorder="1" applyAlignment="1">
      <alignment horizontal="center" vertical="center"/>
    </xf>
    <xf numFmtId="0" fontId="19" fillId="0" borderId="2" xfId="0" applyFont="1" applyFill="1" applyBorder="1" applyAlignment="1">
      <alignment horizontal="center" vertical="center"/>
    </xf>
    <xf numFmtId="43" fontId="19" fillId="0" borderId="2" xfId="1" applyFont="1" applyFill="1" applyBorder="1" applyAlignment="1">
      <alignment horizontal="center" vertical="center"/>
    </xf>
    <xf numFmtId="0" fontId="20" fillId="0" borderId="2" xfId="0" applyFont="1" applyFill="1" applyBorder="1" applyAlignment="1">
      <alignment horizontal="left" vertical="center"/>
    </xf>
    <xf numFmtId="0" fontId="20" fillId="0" borderId="2" xfId="0" applyFont="1" applyFill="1" applyBorder="1" applyAlignment="1">
      <alignment horizontal="center" vertical="center"/>
    </xf>
    <xf numFmtId="43" fontId="20" fillId="0" borderId="2" xfId="1" applyFont="1" applyFill="1" applyBorder="1" applyAlignment="1">
      <alignment horizontal="center" vertical="center"/>
    </xf>
    <xf numFmtId="0" fontId="19" fillId="0" borderId="2" xfId="0" applyFont="1" applyFill="1" applyBorder="1" applyAlignment="1">
      <alignment horizontal="left" vertical="center"/>
    </xf>
    <xf numFmtId="0" fontId="18" fillId="0" borderId="2" xfId="0" applyFont="1" applyFill="1" applyBorder="1" applyAlignment="1">
      <alignment horizontal="center" vertical="center"/>
    </xf>
    <xf numFmtId="43" fontId="18" fillId="0" borderId="2" xfId="1" applyFont="1" applyFill="1" applyBorder="1" applyAlignment="1">
      <alignment horizontal="center" vertical="center"/>
    </xf>
    <xf numFmtId="0" fontId="18" fillId="0" borderId="2" xfId="0" applyFont="1" applyFill="1" applyBorder="1" applyAlignment="1">
      <alignment horizontal="left" vertical="center"/>
    </xf>
    <xf numFmtId="43" fontId="19" fillId="0" borderId="28" xfId="1" applyNumberFormat="1" applyFont="1" applyFill="1" applyBorder="1" applyAlignment="1">
      <alignment horizontal="center" vertical="center"/>
    </xf>
    <xf numFmtId="43" fontId="19" fillId="0" borderId="32" xfId="1" applyFont="1" applyFill="1" applyBorder="1" applyAlignment="1">
      <alignment horizontal="center" vertical="center"/>
    </xf>
    <xf numFmtId="43" fontId="20" fillId="0" borderId="28" xfId="1" applyNumberFormat="1" applyFont="1" applyFill="1" applyBorder="1" applyAlignment="1">
      <alignment horizontal="center" vertical="center"/>
    </xf>
    <xf numFmtId="43" fontId="20" fillId="0" borderId="32" xfId="1" applyFont="1" applyFill="1" applyBorder="1" applyAlignment="1">
      <alignment horizontal="center" vertical="center"/>
    </xf>
    <xf numFmtId="43" fontId="18" fillId="0" borderId="28" xfId="1" applyNumberFormat="1" applyFont="1" applyFill="1" applyBorder="1" applyAlignment="1">
      <alignment horizontal="center" vertical="center"/>
    </xf>
    <xf numFmtId="43" fontId="18" fillId="0" borderId="32" xfId="1" applyFont="1" applyFill="1" applyBorder="1" applyAlignment="1">
      <alignment horizontal="center" vertical="center"/>
    </xf>
    <xf numFmtId="43" fontId="19" fillId="9" borderId="32" xfId="1" applyFont="1" applyFill="1" applyBorder="1" applyAlignment="1">
      <alignment horizontal="center" vertical="center"/>
    </xf>
    <xf numFmtId="43" fontId="18" fillId="0" borderId="40" xfId="1" applyNumberFormat="1" applyFont="1" applyFill="1" applyBorder="1" applyAlignment="1">
      <alignment horizontal="center" vertical="center"/>
    </xf>
    <xf numFmtId="0" fontId="19" fillId="0" borderId="41" xfId="0" applyFont="1" applyFill="1" applyBorder="1" applyAlignment="1">
      <alignment horizontal="right" vertical="center"/>
    </xf>
    <xf numFmtId="0" fontId="18" fillId="0" borderId="41" xfId="0" applyFont="1" applyFill="1" applyBorder="1" applyAlignment="1">
      <alignment horizontal="center" vertical="center"/>
    </xf>
    <xf numFmtId="43" fontId="18" fillId="0" borderId="41" xfId="1" applyFont="1" applyFill="1" applyBorder="1" applyAlignment="1">
      <alignment horizontal="center" vertical="center"/>
    </xf>
    <xf numFmtId="43" fontId="19" fillId="9" borderId="39" xfId="1" applyFont="1" applyFill="1" applyBorder="1" applyAlignment="1">
      <alignment horizontal="center" vertical="center"/>
    </xf>
    <xf numFmtId="0" fontId="18" fillId="0" borderId="0" xfId="0" applyFont="1" applyFill="1" applyBorder="1" applyAlignment="1">
      <alignment horizontal="left" vertical="top"/>
    </xf>
    <xf numFmtId="43" fontId="18" fillId="0" borderId="0" xfId="1" applyFont="1" applyFill="1" applyBorder="1" applyAlignment="1">
      <alignment horizontal="left" vertical="top"/>
    </xf>
    <xf numFmtId="0" fontId="19" fillId="0" borderId="0" xfId="0" applyFont="1" applyFill="1" applyBorder="1" applyAlignment="1">
      <alignment horizontal="left" vertical="top"/>
    </xf>
    <xf numFmtId="43" fontId="19" fillId="0" borderId="0" xfId="1" applyFont="1" applyFill="1" applyBorder="1" applyAlignment="1">
      <alignment horizontal="left" vertical="top"/>
    </xf>
    <xf numFmtId="0" fontId="19" fillId="0" borderId="1" xfId="0" applyFont="1" applyFill="1" applyBorder="1" applyAlignment="1">
      <alignment horizontal="center" vertical="center"/>
    </xf>
    <xf numFmtId="166" fontId="5" fillId="0" borderId="1" xfId="1" applyNumberFormat="1" applyFont="1" applyFill="1" applyBorder="1" applyAlignment="1">
      <alignment horizontal="center" vertical="center"/>
    </xf>
    <xf numFmtId="166" fontId="4" fillId="0" borderId="1" xfId="1" applyNumberFormat="1" applyFont="1" applyFill="1" applyBorder="1" applyAlignment="1">
      <alignment horizontal="center" vertical="center"/>
    </xf>
    <xf numFmtId="43" fontId="18" fillId="0" borderId="0" xfId="0" applyNumberFormat="1" applyFont="1" applyFill="1" applyBorder="1" applyAlignment="1">
      <alignment horizontal="center" vertical="center"/>
    </xf>
    <xf numFmtId="0" fontId="5" fillId="0" borderId="2" xfId="20" applyFont="1" applyFill="1" applyBorder="1" applyAlignment="1">
      <alignment horizontal="center" vertical="center"/>
    </xf>
    <xf numFmtId="0" fontId="4" fillId="0" borderId="53" xfId="20" applyFont="1" applyFill="1" applyBorder="1" applyAlignment="1">
      <alignment horizontal="center" vertical="center"/>
    </xf>
    <xf numFmtId="0" fontId="4" fillId="0" borderId="54" xfId="20" applyFont="1" applyFill="1" applyBorder="1" applyAlignment="1">
      <alignment horizontal="right" vertical="center"/>
    </xf>
    <xf numFmtId="0" fontId="5" fillId="0" borderId="54" xfId="20" applyFont="1" applyFill="1" applyBorder="1" applyAlignment="1">
      <alignment horizontal="center" vertical="center" wrapText="1"/>
    </xf>
    <xf numFmtId="0" fontId="5" fillId="0" borderId="54" xfId="20" applyFont="1" applyFill="1" applyBorder="1" applyAlignment="1">
      <alignment horizontal="center" vertical="center"/>
    </xf>
    <xf numFmtId="166" fontId="5" fillId="0" borderId="54" xfId="1" applyNumberFormat="1" applyFont="1" applyFill="1" applyBorder="1" applyAlignment="1">
      <alignment horizontal="right" vertical="center"/>
    </xf>
    <xf numFmtId="168" fontId="4" fillId="0" borderId="54" xfId="15" applyNumberFormat="1" applyFont="1" applyFill="1" applyBorder="1" applyAlignment="1">
      <alignment horizontal="right" vertical="center"/>
    </xf>
    <xf numFmtId="4" fontId="4" fillId="0" borderId="54" xfId="15" applyNumberFormat="1" applyFont="1" applyFill="1" applyBorder="1" applyAlignment="1">
      <alignment horizontal="right" vertical="center"/>
    </xf>
    <xf numFmtId="167" fontId="4" fillId="0" borderId="55" xfId="21" applyNumberFormat="1" applyFont="1" applyFill="1" applyBorder="1" applyAlignment="1">
      <alignment vertical="center"/>
    </xf>
    <xf numFmtId="0" fontId="31" fillId="0" borderId="0" xfId="18" applyFont="1" applyFill="1" applyAlignment="1">
      <alignment vertical="center"/>
    </xf>
    <xf numFmtId="0" fontId="35" fillId="0" borderId="0" xfId="0" applyFont="1" applyFill="1" applyBorder="1" applyAlignment="1">
      <alignment horizontal="center" vertical="center" wrapText="1"/>
    </xf>
    <xf numFmtId="0" fontId="35" fillId="0" borderId="28" xfId="0" applyFont="1" applyFill="1" applyBorder="1" applyAlignment="1">
      <alignment horizontal="center" vertical="center" wrapText="1"/>
    </xf>
    <xf numFmtId="0" fontId="37" fillId="0" borderId="2" xfId="0" applyFont="1" applyFill="1" applyBorder="1" applyAlignment="1">
      <alignment horizontal="center" vertical="center" wrapText="1"/>
    </xf>
    <xf numFmtId="0" fontId="35" fillId="0" borderId="2" xfId="0" applyFont="1" applyFill="1" applyBorder="1" applyAlignment="1">
      <alignment horizontal="center" vertical="center" wrapText="1"/>
    </xf>
    <xf numFmtId="10" fontId="35" fillId="0" borderId="2" xfId="2" applyNumberFormat="1" applyFont="1" applyFill="1" applyBorder="1" applyAlignment="1">
      <alignment horizontal="center" vertical="center" wrapText="1"/>
    </xf>
    <xf numFmtId="0" fontId="24" fillId="5" borderId="21" xfId="8" applyFont="1" applyFill="1" applyBorder="1" applyAlignment="1">
      <alignment horizontal="center" vertical="center"/>
    </xf>
    <xf numFmtId="0" fontId="24" fillId="5" borderId="22" xfId="8" applyFont="1" applyFill="1" applyBorder="1" applyAlignment="1">
      <alignment horizontal="center" vertical="center"/>
    </xf>
    <xf numFmtId="0" fontId="24" fillId="5" borderId="23" xfId="8" applyFont="1" applyFill="1" applyBorder="1" applyAlignment="1">
      <alignment horizontal="center" vertical="center"/>
    </xf>
    <xf numFmtId="0" fontId="12" fillId="0" borderId="25" xfId="8" applyFont="1" applyBorder="1" applyAlignment="1">
      <alignment horizontal="left" vertical="top" wrapText="1"/>
    </xf>
    <xf numFmtId="0" fontId="12" fillId="0" borderId="26" xfId="8" applyFont="1" applyBorder="1" applyAlignment="1">
      <alignment horizontal="left" vertical="top" wrapText="1"/>
    </xf>
    <xf numFmtId="0" fontId="29" fillId="0" borderId="33" xfId="8" applyFont="1" applyBorder="1" applyAlignment="1">
      <alignment horizontal="left" vertical="center"/>
    </xf>
    <xf numFmtId="0" fontId="29" fillId="0" borderId="34" xfId="8" applyFont="1" applyBorder="1" applyAlignment="1">
      <alignment horizontal="left" vertical="center"/>
    </xf>
    <xf numFmtId="0" fontId="29" fillId="0" borderId="35" xfId="8" applyFont="1" applyBorder="1" applyAlignment="1">
      <alignment horizontal="left" vertical="center"/>
    </xf>
    <xf numFmtId="0" fontId="30" fillId="0" borderId="0" xfId="8" applyFont="1" applyAlignment="1">
      <alignment horizontal="left" vertical="center"/>
    </xf>
    <xf numFmtId="0" fontId="19" fillId="0" borderId="3" xfId="0" applyFont="1" applyFill="1" applyBorder="1" applyAlignment="1">
      <alignment horizontal="center" vertical="center"/>
    </xf>
    <xf numFmtId="0" fontId="19" fillId="0" borderId="4" xfId="0"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19" fillId="0" borderId="1" xfId="0" applyFont="1" applyFill="1" applyBorder="1" applyAlignment="1">
      <alignment horizontal="center" vertical="center"/>
    </xf>
    <xf numFmtId="0" fontId="19" fillId="0" borderId="7" xfId="0" applyFont="1" applyFill="1" applyBorder="1" applyAlignment="1">
      <alignment horizontal="center" vertical="center"/>
    </xf>
    <xf numFmtId="0" fontId="8" fillId="3" borderId="18" xfId="3" applyFont="1" applyFill="1" applyBorder="1" applyAlignment="1">
      <alignment horizontal="center" vertical="center"/>
    </xf>
    <xf numFmtId="0" fontId="8" fillId="3" borderId="16" xfId="3" applyFont="1" applyFill="1" applyBorder="1" applyAlignment="1">
      <alignment horizontal="center" vertical="center"/>
    </xf>
    <xf numFmtId="0" fontId="8" fillId="3" borderId="17" xfId="3" applyFont="1" applyFill="1" applyBorder="1" applyAlignment="1">
      <alignment horizontal="center" vertical="center"/>
    </xf>
    <xf numFmtId="0" fontId="8" fillId="0" borderId="3" xfId="3" applyFont="1" applyFill="1" applyBorder="1" applyAlignment="1">
      <alignment horizontal="left" vertical="center"/>
    </xf>
    <xf numFmtId="0" fontId="8" fillId="0" borderId="4" xfId="3" applyFont="1" applyFill="1" applyBorder="1" applyAlignment="1">
      <alignment horizontal="left" vertical="center"/>
    </xf>
    <xf numFmtId="43" fontId="8" fillId="0" borderId="13" xfId="3" applyNumberFormat="1" applyFont="1" applyFill="1" applyBorder="1" applyAlignment="1">
      <alignment horizontal="left" vertical="center" wrapText="1"/>
    </xf>
    <xf numFmtId="0" fontId="8" fillId="0" borderId="14" xfId="3" applyFont="1" applyFill="1" applyBorder="1" applyAlignment="1">
      <alignment horizontal="left" vertical="center" wrapText="1"/>
    </xf>
    <xf numFmtId="0" fontId="8" fillId="0" borderId="15" xfId="3" applyFont="1" applyFill="1" applyBorder="1" applyAlignment="1">
      <alignment horizontal="left" vertical="center" wrapText="1"/>
    </xf>
    <xf numFmtId="0" fontId="8" fillId="0" borderId="6" xfId="3" applyFont="1" applyFill="1" applyBorder="1" applyAlignment="1">
      <alignment horizontal="left" vertical="center"/>
    </xf>
    <xf numFmtId="0" fontId="8" fillId="0" borderId="1" xfId="3" applyFont="1" applyFill="1" applyBorder="1" applyAlignment="1">
      <alignment horizontal="left" vertical="center"/>
    </xf>
    <xf numFmtId="14" fontId="8" fillId="0" borderId="11" xfId="3" applyNumberFormat="1" applyFont="1" applyFill="1" applyBorder="1" applyAlignment="1">
      <alignment horizontal="left" vertical="center"/>
    </xf>
    <xf numFmtId="0" fontId="8" fillId="0" borderId="16" xfId="3" applyFont="1" applyFill="1" applyBorder="1" applyAlignment="1">
      <alignment horizontal="left" vertical="center"/>
    </xf>
    <xf numFmtId="0" fontId="8" fillId="0" borderId="12" xfId="3" applyFont="1" applyFill="1" applyBorder="1" applyAlignment="1">
      <alignment horizontal="left" vertical="center"/>
    </xf>
    <xf numFmtId="43" fontId="11" fillId="0" borderId="11" xfId="5" applyFont="1" applyFill="1" applyBorder="1" applyAlignment="1">
      <alignment horizontal="right" vertical="center"/>
    </xf>
    <xf numFmtId="43" fontId="11" fillId="0" borderId="17" xfId="5" applyFont="1" applyFill="1" applyBorder="1" applyAlignment="1">
      <alignment horizontal="right" vertical="center"/>
    </xf>
    <xf numFmtId="0" fontId="8" fillId="0" borderId="11" xfId="3" applyFont="1" applyFill="1" applyBorder="1" applyAlignment="1">
      <alignment horizontal="center" vertical="center"/>
    </xf>
    <xf numFmtId="0" fontId="8" fillId="0" borderId="16" xfId="3" applyFont="1" applyFill="1" applyBorder="1" applyAlignment="1">
      <alignment horizontal="center" vertical="center"/>
    </xf>
    <xf numFmtId="0" fontId="8" fillId="0" borderId="17" xfId="3" applyFont="1" applyFill="1" applyBorder="1" applyAlignment="1">
      <alignment horizontal="center" vertical="center"/>
    </xf>
    <xf numFmtId="0" fontId="8" fillId="0" borderId="34" xfId="3" applyFont="1" applyFill="1" applyBorder="1" applyAlignment="1">
      <alignment horizontal="center" vertical="center"/>
    </xf>
    <xf numFmtId="0" fontId="40" fillId="0" borderId="0" xfId="3" applyFont="1" applyFill="1" applyBorder="1" applyAlignment="1">
      <alignment horizontal="center" vertical="center"/>
    </xf>
    <xf numFmtId="0" fontId="8" fillId="0" borderId="1" xfId="3" applyFont="1" applyFill="1" applyBorder="1" applyAlignment="1">
      <alignment horizontal="left" vertical="center" wrapText="1"/>
    </xf>
    <xf numFmtId="43" fontId="8" fillId="0" borderId="11" xfId="1" applyFont="1" applyFill="1" applyBorder="1" applyAlignment="1">
      <alignment horizontal="center" vertical="center"/>
    </xf>
    <xf numFmtId="43" fontId="8" fillId="0" borderId="17" xfId="1" applyFont="1" applyFill="1" applyBorder="1" applyAlignment="1">
      <alignment horizontal="center" vertical="center"/>
    </xf>
    <xf numFmtId="0" fontId="6" fillId="0" borderId="45" xfId="0" applyFont="1" applyFill="1" applyBorder="1" applyAlignment="1">
      <alignment horizontal="center" vertical="center" wrapText="1"/>
    </xf>
    <xf numFmtId="0" fontId="6" fillId="0" borderId="30" xfId="0" applyFont="1" applyFill="1" applyBorder="1" applyAlignment="1">
      <alignment horizontal="center" vertical="center" wrapText="1"/>
    </xf>
    <xf numFmtId="0" fontId="6" fillId="0" borderId="31" xfId="0" applyFont="1" applyFill="1" applyBorder="1" applyAlignment="1">
      <alignment horizontal="center" vertical="center" wrapText="1"/>
    </xf>
    <xf numFmtId="0" fontId="6" fillId="0" borderId="46" xfId="0" applyFont="1" applyFill="1" applyBorder="1" applyAlignment="1">
      <alignment horizontal="center" vertical="center" wrapText="1"/>
    </xf>
    <xf numFmtId="0" fontId="6" fillId="0" borderId="47" xfId="0" applyFont="1" applyFill="1" applyBorder="1" applyAlignment="1">
      <alignment horizontal="center" vertical="center" wrapText="1"/>
    </xf>
    <xf numFmtId="0" fontId="6" fillId="0" borderId="48" xfId="0" applyFont="1" applyFill="1" applyBorder="1" applyAlignment="1">
      <alignment horizontal="center" vertical="center" wrapText="1"/>
    </xf>
    <xf numFmtId="43" fontId="16" fillId="0" borderId="0" xfId="1" applyFont="1" applyFill="1" applyBorder="1" applyAlignment="1">
      <alignment horizontal="center" vertical="center"/>
    </xf>
    <xf numFmtId="43" fontId="17" fillId="0" borderId="2" xfId="1" applyFont="1" applyFill="1" applyBorder="1" applyAlignment="1">
      <alignment horizontal="center" vertical="center"/>
    </xf>
    <xf numFmtId="43" fontId="17" fillId="0" borderId="51" xfId="1" applyFont="1" applyFill="1" applyBorder="1" applyAlignment="1">
      <alignment horizontal="center" vertical="center"/>
    </xf>
    <xf numFmtId="43" fontId="17" fillId="0" borderId="52" xfId="1" applyFont="1" applyFill="1" applyBorder="1" applyAlignment="1">
      <alignment horizontal="center" vertical="center"/>
    </xf>
    <xf numFmtId="0" fontId="19" fillId="0" borderId="0" xfId="0" applyFont="1" applyFill="1" applyBorder="1" applyAlignment="1">
      <alignment horizontal="right" vertical="top"/>
    </xf>
    <xf numFmtId="0" fontId="19" fillId="0" borderId="0" xfId="0" applyFont="1" applyFill="1" applyBorder="1" applyAlignment="1">
      <alignment horizontal="center" vertical="top"/>
    </xf>
    <xf numFmtId="0" fontId="19" fillId="0" borderId="36" xfId="0" applyFont="1" applyFill="1" applyBorder="1" applyAlignment="1">
      <alignment horizontal="center" vertical="center"/>
    </xf>
    <xf numFmtId="0" fontId="19" fillId="0" borderId="37" xfId="0" applyFont="1" applyFill="1" applyBorder="1" applyAlignment="1">
      <alignment horizontal="center" vertical="center"/>
    </xf>
    <xf numFmtId="0" fontId="19" fillId="0" borderId="38" xfId="0" applyFont="1" applyFill="1" applyBorder="1" applyAlignment="1">
      <alignment horizontal="center" vertical="center"/>
    </xf>
    <xf numFmtId="0" fontId="19" fillId="7" borderId="0" xfId="0" applyFont="1" applyFill="1" applyBorder="1" applyAlignment="1">
      <alignment horizontal="center" vertical="top"/>
    </xf>
  </cellXfs>
  <cellStyles count="23">
    <cellStyle name="Comma" xfId="1" builtinId="3"/>
    <cellStyle name="Comma 13" xfId="10"/>
    <cellStyle name="Comma 17 2" xfId="11"/>
    <cellStyle name="Comma 2" xfId="5"/>
    <cellStyle name="Comma 2 2 14" xfId="12"/>
    <cellStyle name="Comma 4 3" xfId="13"/>
    <cellStyle name="Comma_Book2" xfId="14"/>
    <cellStyle name="Comma_HSBC-ACE-OB-3433_R1" xfId="15"/>
    <cellStyle name="Normal" xfId="0" builtinId="0"/>
    <cellStyle name="Normal 2 2 2 12" xfId="16"/>
    <cellStyle name="Normal 3" xfId="3"/>
    <cellStyle name="Normal 4" xfId="6"/>
    <cellStyle name="Normal 4 2 3" xfId="17"/>
    <cellStyle name="Normal 5" xfId="8"/>
    <cellStyle name="Normal 9" xfId="18"/>
    <cellStyle name="Normal_S4(mpcs)" xfId="19"/>
    <cellStyle name="Normal_workings for ACE" xfId="20"/>
    <cellStyle name="Percent" xfId="2" builtinId="5"/>
    <cellStyle name="Percent 2" xfId="4"/>
    <cellStyle name="Percent 2 2" xfId="7"/>
    <cellStyle name="Percent 2 2 2" xfId="21"/>
    <cellStyle name="Percent 3" xfId="9"/>
    <cellStyle name="Percent 5" xfId="2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pageSetUpPr fitToPage="1"/>
  </sheetPr>
  <dimension ref="A1:J51"/>
  <sheetViews>
    <sheetView zoomScale="110" zoomScaleNormal="110" workbookViewId="0">
      <pane ySplit="3" topLeftCell="A25" activePane="bottomLeft" state="frozen"/>
      <selection pane="bottomLeft" activeCell="F31" sqref="F31"/>
    </sheetView>
  </sheetViews>
  <sheetFormatPr defaultRowHeight="14.25" customHeight="1"/>
  <cols>
    <col min="1" max="1" width="6.33203125" style="258" bestFit="1" customWidth="1"/>
    <col min="2" max="2" width="61" style="259" customWidth="1"/>
    <col min="3" max="3" width="12" style="260" bestFit="1" customWidth="1"/>
    <col min="4" max="4" width="7.83203125" style="258" customWidth="1"/>
    <col min="5" max="5" width="13" style="260" bestFit="1" customWidth="1"/>
    <col min="6" max="6" width="19.83203125" style="260" bestFit="1" customWidth="1"/>
    <col min="7" max="9" width="9.33203125" style="258"/>
    <col min="10" max="10" width="9.83203125" style="260" customWidth="1"/>
    <col min="11" max="16384" width="9.33203125" style="258"/>
  </cols>
  <sheetData>
    <row r="1" spans="1:6" ht="14.25" customHeight="1">
      <c r="A1" s="347" t="s">
        <v>202</v>
      </c>
      <c r="B1" s="347"/>
      <c r="C1" s="347"/>
      <c r="D1" s="347"/>
      <c r="E1" s="347"/>
      <c r="F1" s="347"/>
    </row>
    <row r="2" spans="1:6" ht="12.75">
      <c r="A2" s="348" t="s">
        <v>248</v>
      </c>
      <c r="B2" s="349"/>
      <c r="C2" s="349"/>
      <c r="D2" s="349"/>
      <c r="E2" s="349"/>
      <c r="F2" s="349"/>
    </row>
    <row r="3" spans="1:6" ht="14.25" customHeight="1">
      <c r="A3" s="229" t="s">
        <v>203</v>
      </c>
      <c r="B3" s="229" t="s">
        <v>0</v>
      </c>
      <c r="C3" s="230" t="s">
        <v>30</v>
      </c>
      <c r="D3" s="229" t="s">
        <v>1</v>
      </c>
      <c r="E3" s="230" t="s">
        <v>204</v>
      </c>
      <c r="F3" s="230" t="s">
        <v>39</v>
      </c>
    </row>
    <row r="4" spans="1:6" ht="14.25" customHeight="1">
      <c r="A4" s="231">
        <v>1</v>
      </c>
      <c r="B4" s="232" t="s">
        <v>205</v>
      </c>
      <c r="C4" s="233">
        <v>25849.599999999999</v>
      </c>
      <c r="D4" s="234" t="s">
        <v>206</v>
      </c>
      <c r="E4" s="235">
        <v>6</v>
      </c>
      <c r="F4" s="233">
        <f>C4*E4</f>
        <v>155097.59999999998</v>
      </c>
    </row>
    <row r="5" spans="1:6" ht="14.25" customHeight="1">
      <c r="A5" s="231">
        <v>2</v>
      </c>
      <c r="B5" s="232" t="s">
        <v>207</v>
      </c>
      <c r="C5" s="233">
        <v>5254</v>
      </c>
      <c r="D5" s="234" t="s">
        <v>208</v>
      </c>
      <c r="E5" s="235">
        <v>226</v>
      </c>
      <c r="F5" s="233">
        <f t="shared" ref="F5:F42" si="0">C5*E5</f>
        <v>1187404</v>
      </c>
    </row>
    <row r="6" spans="1:6" ht="14.25" customHeight="1">
      <c r="A6" s="231">
        <v>3</v>
      </c>
      <c r="B6" s="232" t="s">
        <v>209</v>
      </c>
      <c r="C6" s="233">
        <v>29381</v>
      </c>
      <c r="D6" s="234" t="s">
        <v>208</v>
      </c>
      <c r="E6" s="235">
        <v>85</v>
      </c>
      <c r="F6" s="233">
        <f t="shared" si="0"/>
        <v>2497385</v>
      </c>
    </row>
    <row r="7" spans="1:6" ht="14.25" customHeight="1">
      <c r="A7" s="231">
        <v>4</v>
      </c>
      <c r="B7" s="232" t="s">
        <v>210</v>
      </c>
      <c r="C7" s="235"/>
      <c r="D7" s="236"/>
      <c r="E7" s="235"/>
      <c r="F7" s="233">
        <f t="shared" si="0"/>
        <v>0</v>
      </c>
    </row>
    <row r="8" spans="1:6" ht="14.25" customHeight="1">
      <c r="A8" s="237">
        <v>4.01</v>
      </c>
      <c r="B8" s="232" t="s">
        <v>211</v>
      </c>
      <c r="C8" s="233">
        <v>6346</v>
      </c>
      <c r="D8" s="234" t="s">
        <v>206</v>
      </c>
      <c r="E8" s="235">
        <v>955</v>
      </c>
      <c r="F8" s="233">
        <f t="shared" si="0"/>
        <v>6060430</v>
      </c>
    </row>
    <row r="9" spans="1:6" ht="14.25" customHeight="1">
      <c r="A9" s="237">
        <v>4.0199999999999996</v>
      </c>
      <c r="B9" s="232" t="s">
        <v>212</v>
      </c>
      <c r="C9" s="233">
        <v>6536</v>
      </c>
      <c r="D9" s="234" t="s">
        <v>206</v>
      </c>
      <c r="E9" s="235">
        <v>1060</v>
      </c>
      <c r="F9" s="233">
        <f t="shared" si="0"/>
        <v>6928160</v>
      </c>
    </row>
    <row r="10" spans="1:6" ht="14.25" customHeight="1">
      <c r="A10" s="237">
        <v>4.03</v>
      </c>
      <c r="B10" s="232" t="s">
        <v>213</v>
      </c>
      <c r="C10" s="233">
        <v>739</v>
      </c>
      <c r="D10" s="234" t="s">
        <v>206</v>
      </c>
      <c r="E10" s="235">
        <v>1095</v>
      </c>
      <c r="F10" s="233">
        <f t="shared" si="0"/>
        <v>809205</v>
      </c>
    </row>
    <row r="11" spans="1:6" ht="14.25" customHeight="1">
      <c r="A11" s="237">
        <v>4.04</v>
      </c>
      <c r="B11" s="232" t="s">
        <v>214</v>
      </c>
      <c r="C11" s="233">
        <v>303</v>
      </c>
      <c r="D11" s="234" t="s">
        <v>206</v>
      </c>
      <c r="E11" s="235">
        <v>1130</v>
      </c>
      <c r="F11" s="233">
        <f t="shared" si="0"/>
        <v>342390</v>
      </c>
    </row>
    <row r="12" spans="1:6" ht="14.25" customHeight="1">
      <c r="A12" s="231">
        <v>5</v>
      </c>
      <c r="B12" s="232" t="s">
        <v>215</v>
      </c>
      <c r="C12" s="233">
        <v>379</v>
      </c>
      <c r="D12" s="234" t="s">
        <v>208</v>
      </c>
      <c r="E12" s="235">
        <v>5885</v>
      </c>
      <c r="F12" s="233">
        <f t="shared" si="0"/>
        <v>2230415</v>
      </c>
    </row>
    <row r="13" spans="1:6" ht="14.25" customHeight="1">
      <c r="A13" s="231">
        <v>6</v>
      </c>
      <c r="B13" s="232" t="s">
        <v>216</v>
      </c>
      <c r="C13" s="235"/>
      <c r="D13" s="236"/>
      <c r="E13" s="235"/>
      <c r="F13" s="233">
        <f t="shared" si="0"/>
        <v>0</v>
      </c>
    </row>
    <row r="14" spans="1:6" ht="14.25" customHeight="1">
      <c r="A14" s="237">
        <v>6.01</v>
      </c>
      <c r="B14" s="232" t="s">
        <v>217</v>
      </c>
      <c r="C14" s="233">
        <v>739</v>
      </c>
      <c r="D14" s="234" t="s">
        <v>208</v>
      </c>
      <c r="E14" s="235">
        <v>6850</v>
      </c>
      <c r="F14" s="233">
        <f t="shared" si="0"/>
        <v>5062150</v>
      </c>
    </row>
    <row r="15" spans="1:6" ht="14.25" customHeight="1">
      <c r="A15" s="237">
        <v>6.02</v>
      </c>
      <c r="B15" s="232" t="s">
        <v>218</v>
      </c>
      <c r="C15" s="233">
        <v>220</v>
      </c>
      <c r="D15" s="234" t="s">
        <v>208</v>
      </c>
      <c r="E15" s="235">
        <v>6984</v>
      </c>
      <c r="F15" s="233">
        <f t="shared" si="0"/>
        <v>1536480</v>
      </c>
    </row>
    <row r="16" spans="1:6" ht="14.25" customHeight="1">
      <c r="A16" s="231">
        <v>7</v>
      </c>
      <c r="B16" s="232" t="s">
        <v>219</v>
      </c>
      <c r="C16" s="235"/>
      <c r="D16" s="236"/>
      <c r="E16" s="235"/>
      <c r="F16" s="233">
        <f t="shared" si="0"/>
        <v>0</v>
      </c>
    </row>
    <row r="17" spans="1:10" ht="14.25" customHeight="1">
      <c r="A17" s="237">
        <v>7.01</v>
      </c>
      <c r="B17" s="232" t="s">
        <v>220</v>
      </c>
      <c r="C17" s="233">
        <v>4986</v>
      </c>
      <c r="D17" s="234" t="s">
        <v>208</v>
      </c>
      <c r="E17" s="235">
        <v>6510</v>
      </c>
      <c r="F17" s="233">
        <f t="shared" si="0"/>
        <v>32458860</v>
      </c>
    </row>
    <row r="18" spans="1:10" ht="14.25" customHeight="1">
      <c r="A18" s="237">
        <v>7.02</v>
      </c>
      <c r="B18" s="232" t="s">
        <v>221</v>
      </c>
      <c r="C18" s="233">
        <v>1579</v>
      </c>
      <c r="D18" s="234" t="s">
        <v>208</v>
      </c>
      <c r="E18" s="235">
        <v>6645</v>
      </c>
      <c r="F18" s="233">
        <f t="shared" si="0"/>
        <v>10492455</v>
      </c>
    </row>
    <row r="19" spans="1:10" ht="14.25" customHeight="1">
      <c r="A19" s="231">
        <v>8</v>
      </c>
      <c r="B19" s="238" t="s">
        <v>222</v>
      </c>
      <c r="C19" s="233">
        <v>800</v>
      </c>
      <c r="D19" s="234" t="s">
        <v>12</v>
      </c>
      <c r="E19" s="235">
        <v>14577</v>
      </c>
      <c r="F19" s="233">
        <f t="shared" si="0"/>
        <v>11661600</v>
      </c>
    </row>
    <row r="20" spans="1:10" ht="14.25" customHeight="1">
      <c r="A20" s="231">
        <v>9</v>
      </c>
      <c r="B20" s="232" t="s">
        <v>223</v>
      </c>
      <c r="C20" s="233">
        <v>906</v>
      </c>
      <c r="D20" s="234" t="s">
        <v>208</v>
      </c>
      <c r="E20" s="235">
        <v>8709</v>
      </c>
      <c r="F20" s="233">
        <f t="shared" si="0"/>
        <v>7890354</v>
      </c>
    </row>
    <row r="21" spans="1:10" ht="14.25" customHeight="1">
      <c r="A21" s="231">
        <v>10</v>
      </c>
      <c r="B21" s="232" t="s">
        <v>224</v>
      </c>
      <c r="C21" s="233">
        <v>32</v>
      </c>
      <c r="D21" s="234" t="s">
        <v>208</v>
      </c>
      <c r="E21" s="235">
        <v>8857</v>
      </c>
      <c r="F21" s="233">
        <f t="shared" si="0"/>
        <v>283424</v>
      </c>
    </row>
    <row r="22" spans="1:10" ht="14.25" customHeight="1">
      <c r="A22" s="231">
        <v>11</v>
      </c>
      <c r="B22" s="232" t="s">
        <v>225</v>
      </c>
      <c r="C22" s="235"/>
      <c r="D22" s="236"/>
      <c r="E22" s="235"/>
      <c r="F22" s="233">
        <f t="shared" si="0"/>
        <v>0</v>
      </c>
    </row>
    <row r="23" spans="1:10" ht="14.25" customHeight="1">
      <c r="A23" s="237">
        <v>11.01</v>
      </c>
      <c r="B23" s="232" t="s">
        <v>220</v>
      </c>
      <c r="C23" s="233">
        <v>225</v>
      </c>
      <c r="D23" s="234" t="s">
        <v>208</v>
      </c>
      <c r="E23" s="235">
        <v>7280</v>
      </c>
      <c r="F23" s="233">
        <f t="shared" si="0"/>
        <v>1638000</v>
      </c>
    </row>
    <row r="24" spans="1:10" ht="14.25" customHeight="1">
      <c r="A24" s="237">
        <v>11.02</v>
      </c>
      <c r="B24" s="232" t="s">
        <v>226</v>
      </c>
      <c r="C24" s="233">
        <v>525</v>
      </c>
      <c r="D24" s="234" t="s">
        <v>208</v>
      </c>
      <c r="E24" s="235">
        <v>7414</v>
      </c>
      <c r="F24" s="233">
        <f t="shared" si="0"/>
        <v>3892350</v>
      </c>
    </row>
    <row r="25" spans="1:10" ht="14.25" customHeight="1">
      <c r="A25" s="237">
        <v>11.03</v>
      </c>
      <c r="B25" s="232" t="s">
        <v>227</v>
      </c>
      <c r="C25" s="233">
        <v>2.9</v>
      </c>
      <c r="D25" s="234" t="s">
        <v>208</v>
      </c>
      <c r="E25" s="235">
        <v>7416</v>
      </c>
      <c r="F25" s="233">
        <f t="shared" si="0"/>
        <v>21506.399999999998</v>
      </c>
    </row>
    <row r="26" spans="1:10" ht="14.25" customHeight="1">
      <c r="A26" s="231">
        <v>12</v>
      </c>
      <c r="B26" s="232" t="s">
        <v>228</v>
      </c>
      <c r="C26" s="233">
        <v>1752</v>
      </c>
      <c r="D26" s="234" t="s">
        <v>229</v>
      </c>
      <c r="E26" s="235">
        <v>9258</v>
      </c>
      <c r="F26" s="233">
        <f t="shared" si="0"/>
        <v>16220016</v>
      </c>
    </row>
    <row r="27" spans="1:10" ht="14.25" customHeight="1">
      <c r="A27" s="231">
        <v>13</v>
      </c>
      <c r="B27" s="232" t="s">
        <v>230</v>
      </c>
      <c r="C27" s="233">
        <v>398</v>
      </c>
      <c r="D27" s="234" t="s">
        <v>208</v>
      </c>
      <c r="E27" s="235">
        <v>1785</v>
      </c>
      <c r="F27" s="233">
        <f t="shared" si="0"/>
        <v>710430</v>
      </c>
    </row>
    <row r="28" spans="1:10" ht="14.25" customHeight="1">
      <c r="A28" s="231">
        <v>14</v>
      </c>
      <c r="B28" s="232" t="s">
        <v>231</v>
      </c>
      <c r="C28" s="233">
        <v>795</v>
      </c>
      <c r="D28" s="234" t="s">
        <v>208</v>
      </c>
      <c r="E28" s="235">
        <v>1580</v>
      </c>
      <c r="F28" s="233">
        <f t="shared" si="0"/>
        <v>1256100</v>
      </c>
    </row>
    <row r="29" spans="1:10" s="266" customFormat="1" ht="14.25" customHeight="1">
      <c r="A29" s="231">
        <v>15</v>
      </c>
      <c r="B29" s="232" t="s">
        <v>232</v>
      </c>
      <c r="C29" s="233">
        <v>345</v>
      </c>
      <c r="D29" s="234" t="s">
        <v>208</v>
      </c>
      <c r="E29" s="235">
        <v>447</v>
      </c>
      <c r="F29" s="233">
        <f t="shared" si="0"/>
        <v>154215</v>
      </c>
      <c r="J29" s="267"/>
    </row>
    <row r="30" spans="1:10" s="266" customFormat="1" ht="14.25" customHeight="1">
      <c r="A30" s="231">
        <v>16</v>
      </c>
      <c r="B30" s="232" t="s">
        <v>233</v>
      </c>
      <c r="C30" s="233">
        <v>4440</v>
      </c>
      <c r="D30" s="234" t="s">
        <v>208</v>
      </c>
      <c r="E30" s="235">
        <v>2614</v>
      </c>
      <c r="F30" s="233">
        <f t="shared" si="0"/>
        <v>11606160</v>
      </c>
      <c r="J30" s="267"/>
    </row>
    <row r="31" spans="1:10" s="266" customFormat="1" ht="14.25" customHeight="1">
      <c r="A31" s="231">
        <v>17</v>
      </c>
      <c r="B31" s="232" t="s">
        <v>234</v>
      </c>
      <c r="C31" s="233">
        <v>1099</v>
      </c>
      <c r="D31" s="234" t="s">
        <v>208</v>
      </c>
      <c r="E31" s="235">
        <v>2315</v>
      </c>
      <c r="F31" s="233">
        <f t="shared" si="0"/>
        <v>2544185</v>
      </c>
      <c r="J31" s="267"/>
    </row>
    <row r="32" spans="1:10" ht="14.25" customHeight="1">
      <c r="A32" s="231">
        <v>18</v>
      </c>
      <c r="B32" s="232" t="s">
        <v>235</v>
      </c>
      <c r="C32" s="233">
        <v>450</v>
      </c>
      <c r="D32" s="234" t="s">
        <v>208</v>
      </c>
      <c r="E32" s="235">
        <v>2614</v>
      </c>
      <c r="F32" s="233">
        <f t="shared" si="0"/>
        <v>1176300</v>
      </c>
    </row>
    <row r="33" spans="1:6" ht="14.25" customHeight="1">
      <c r="A33" s="231">
        <v>19</v>
      </c>
      <c r="B33" s="232" t="s">
        <v>236</v>
      </c>
      <c r="C33" s="233">
        <v>4.4400000000000004</v>
      </c>
      <c r="D33" s="234" t="s">
        <v>237</v>
      </c>
      <c r="E33" s="235">
        <v>233491</v>
      </c>
      <c r="F33" s="233">
        <f t="shared" si="0"/>
        <v>1036700.04</v>
      </c>
    </row>
    <row r="34" spans="1:6" ht="14.25" customHeight="1">
      <c r="A34" s="231">
        <v>20</v>
      </c>
      <c r="B34" s="232" t="s">
        <v>238</v>
      </c>
      <c r="C34" s="233">
        <v>3.6</v>
      </c>
      <c r="D34" s="234" t="s">
        <v>237</v>
      </c>
      <c r="E34" s="235">
        <v>59143</v>
      </c>
      <c r="F34" s="233">
        <f t="shared" si="0"/>
        <v>212914.80000000002</v>
      </c>
    </row>
    <row r="35" spans="1:6" ht="14.25" customHeight="1">
      <c r="A35" s="231">
        <v>21</v>
      </c>
      <c r="B35" s="232" t="s">
        <v>239</v>
      </c>
      <c r="C35" s="233">
        <v>6.6</v>
      </c>
      <c r="D35" s="234" t="s">
        <v>237</v>
      </c>
      <c r="E35" s="235">
        <v>243750</v>
      </c>
      <c r="F35" s="233">
        <f t="shared" si="0"/>
        <v>1608750</v>
      </c>
    </row>
    <row r="36" spans="1:6" ht="14.25" customHeight="1">
      <c r="A36" s="231">
        <v>22</v>
      </c>
      <c r="B36" s="232" t="s">
        <v>240</v>
      </c>
      <c r="C36" s="233">
        <v>60000</v>
      </c>
      <c r="D36" s="234" t="s">
        <v>208</v>
      </c>
      <c r="E36" s="235">
        <v>336</v>
      </c>
      <c r="F36" s="233">
        <f t="shared" si="0"/>
        <v>20160000</v>
      </c>
    </row>
    <row r="37" spans="1:6" ht="14.25" customHeight="1">
      <c r="A37" s="231">
        <v>23</v>
      </c>
      <c r="B37" s="238" t="s">
        <v>241</v>
      </c>
      <c r="C37" s="233">
        <v>5012</v>
      </c>
      <c r="D37" s="234" t="s">
        <v>208</v>
      </c>
      <c r="E37" s="235">
        <v>106</v>
      </c>
      <c r="F37" s="233">
        <f t="shared" si="0"/>
        <v>531272</v>
      </c>
    </row>
    <row r="38" spans="1:6" ht="14.25" customHeight="1">
      <c r="A38" s="231">
        <v>24</v>
      </c>
      <c r="B38" s="238" t="s">
        <v>242</v>
      </c>
      <c r="C38" s="233">
        <v>10038</v>
      </c>
      <c r="D38" s="234" t="s">
        <v>208</v>
      </c>
      <c r="E38" s="235">
        <v>3783</v>
      </c>
      <c r="F38" s="233">
        <f t="shared" si="0"/>
        <v>37973754</v>
      </c>
    </row>
    <row r="39" spans="1:6" ht="14.25" customHeight="1">
      <c r="A39" s="231">
        <v>25</v>
      </c>
      <c r="B39" s="232" t="s">
        <v>243</v>
      </c>
      <c r="C39" s="233">
        <v>4950</v>
      </c>
      <c r="D39" s="234" t="s">
        <v>206</v>
      </c>
      <c r="E39" s="235">
        <v>161</v>
      </c>
      <c r="F39" s="233">
        <f t="shared" si="0"/>
        <v>796950</v>
      </c>
    </row>
    <row r="40" spans="1:6" ht="14.25" customHeight="1">
      <c r="A40" s="239">
        <v>26</v>
      </c>
      <c r="B40" s="240" t="s">
        <v>244</v>
      </c>
      <c r="C40" s="241">
        <v>4950</v>
      </c>
      <c r="D40" s="242" t="s">
        <v>208</v>
      </c>
      <c r="E40" s="243">
        <v>44</v>
      </c>
      <c r="F40" s="241">
        <f t="shared" si="0"/>
        <v>217800</v>
      </c>
    </row>
    <row r="41" spans="1:6" ht="14.25" customHeight="1">
      <c r="A41" s="244">
        <v>27</v>
      </c>
      <c r="B41" s="245" t="s">
        <v>245</v>
      </c>
      <c r="C41" s="246">
        <v>62994.57</v>
      </c>
      <c r="D41" s="247" t="s">
        <v>208</v>
      </c>
      <c r="E41" s="248">
        <v>109</v>
      </c>
      <c r="F41" s="246">
        <f t="shared" si="0"/>
        <v>6866408.1299999999</v>
      </c>
    </row>
    <row r="42" spans="1:6" ht="14.25" customHeight="1">
      <c r="A42" s="244">
        <v>28</v>
      </c>
      <c r="B42" s="249" t="s">
        <v>246</v>
      </c>
      <c r="C42" s="246">
        <v>150</v>
      </c>
      <c r="D42" s="247" t="s">
        <v>12</v>
      </c>
      <c r="E42" s="248">
        <v>1697</v>
      </c>
      <c r="F42" s="246">
        <f t="shared" si="0"/>
        <v>254550</v>
      </c>
    </row>
    <row r="43" spans="1:6" ht="14.25" customHeight="1">
      <c r="A43" s="250"/>
      <c r="B43" s="263" t="s">
        <v>42</v>
      </c>
      <c r="C43" s="251"/>
      <c r="D43" s="252"/>
      <c r="E43" s="253"/>
      <c r="F43" s="251">
        <f>SUM(F4:F42)</f>
        <v>198474170.97</v>
      </c>
    </row>
    <row r="44" spans="1:6" ht="14.25" customHeight="1">
      <c r="A44" s="254"/>
      <c r="B44" s="264" t="s">
        <v>247</v>
      </c>
      <c r="C44" s="253"/>
      <c r="D44" s="254"/>
      <c r="E44" s="255">
        <v>0</v>
      </c>
      <c r="F44" s="251">
        <f>F43*0.18</f>
        <v>35725350.774599999</v>
      </c>
    </row>
    <row r="45" spans="1:6" ht="14.25" customHeight="1">
      <c r="A45" s="256"/>
      <c r="B45" s="265" t="s">
        <v>4</v>
      </c>
      <c r="C45" s="257"/>
      <c r="D45" s="256"/>
      <c r="E45" s="257"/>
      <c r="F45" s="257">
        <f>SUM(F43:F44)</f>
        <v>234199521.7446</v>
      </c>
    </row>
    <row r="49" spans="6:6" ht="14.25" customHeight="1">
      <c r="F49" s="260">
        <f>F45+6807707</f>
        <v>241007228.7446</v>
      </c>
    </row>
    <row r="50" spans="6:6" ht="14.25" customHeight="1">
      <c r="F50" s="261">
        <f>F49-F45</f>
        <v>6807707</v>
      </c>
    </row>
    <row r="51" spans="6:6" ht="14.25" customHeight="1">
      <c r="F51" s="262">
        <f>F50/F45</f>
        <v>2.9067979939873499E-2</v>
      </c>
    </row>
  </sheetData>
  <mergeCells count="2">
    <mergeCell ref="A1:F1"/>
    <mergeCell ref="A2:F2"/>
  </mergeCells>
  <pageMargins left="0.7" right="0.7" top="0.75" bottom="0.75" header="0.3" footer="0.3"/>
  <pageSetup scale="84" fitToHeight="0" orientation="portrait" r:id="rId1"/>
</worksheet>
</file>

<file path=xl/worksheets/sheet2.xml><?xml version="1.0" encoding="utf-8"?>
<worksheet xmlns="http://schemas.openxmlformats.org/spreadsheetml/2006/main" xmlns:r="http://schemas.openxmlformats.org/officeDocument/2006/relationships">
  <sheetPr>
    <pageSetUpPr fitToPage="1"/>
  </sheetPr>
  <dimension ref="A1:J51"/>
  <sheetViews>
    <sheetView workbookViewId="0">
      <pane ySplit="3" topLeftCell="A7" activePane="bottomLeft" state="frozen"/>
      <selection pane="bottomLeft" activeCell="C24" sqref="C24"/>
    </sheetView>
  </sheetViews>
  <sheetFormatPr defaultRowHeight="14.25" customHeight="1"/>
  <cols>
    <col min="1" max="1" width="6.33203125" style="258" bestFit="1" customWidth="1"/>
    <col min="2" max="2" width="61" style="259" customWidth="1"/>
    <col min="3" max="3" width="12" style="260" bestFit="1" customWidth="1"/>
    <col min="4" max="4" width="7.83203125" style="258" customWidth="1"/>
    <col min="5" max="5" width="13" style="260" bestFit="1" customWidth="1"/>
    <col min="6" max="6" width="20.33203125" style="260" bestFit="1" customWidth="1"/>
    <col min="7" max="7" width="13.5" style="258" customWidth="1"/>
    <col min="8" max="9" width="9.33203125" style="258"/>
    <col min="10" max="10" width="17.1640625" style="260" bestFit="1" customWidth="1"/>
    <col min="11" max="16384" width="9.33203125" style="258"/>
  </cols>
  <sheetData>
    <row r="1" spans="1:7" ht="14.25" customHeight="1">
      <c r="A1" s="350" t="s">
        <v>202</v>
      </c>
      <c r="B1" s="350"/>
      <c r="C1" s="350"/>
      <c r="D1" s="350"/>
      <c r="E1" s="350"/>
      <c r="F1" s="350"/>
      <c r="G1" s="351" t="s">
        <v>5</v>
      </c>
    </row>
    <row r="2" spans="1:7" ht="12.75">
      <c r="A2" s="350" t="s">
        <v>165</v>
      </c>
      <c r="B2" s="350"/>
      <c r="C2" s="350"/>
      <c r="D2" s="350"/>
      <c r="E2" s="350"/>
      <c r="F2" s="350"/>
      <c r="G2" s="351"/>
    </row>
    <row r="3" spans="1:7" ht="14.25" customHeight="1">
      <c r="A3" s="252" t="s">
        <v>203</v>
      </c>
      <c r="B3" s="252" t="s">
        <v>0</v>
      </c>
      <c r="C3" s="270" t="s">
        <v>30</v>
      </c>
      <c r="D3" s="252" t="s">
        <v>1</v>
      </c>
      <c r="E3" s="270" t="s">
        <v>204</v>
      </c>
      <c r="F3" s="270" t="s">
        <v>39</v>
      </c>
      <c r="G3" s="351"/>
    </row>
    <row r="4" spans="1:7" ht="14.25" customHeight="1">
      <c r="A4" s="244">
        <v>1</v>
      </c>
      <c r="B4" s="245" t="s">
        <v>205</v>
      </c>
      <c r="C4" s="246">
        <v>25849.599999999999</v>
      </c>
      <c r="D4" s="247" t="s">
        <v>206</v>
      </c>
      <c r="E4" s="248">
        <v>6</v>
      </c>
      <c r="F4" s="246">
        <f>C4*E4</f>
        <v>155097.59999999998</v>
      </c>
      <c r="G4" s="272">
        <f>F4/$F$43</f>
        <v>7.8144979390513979E-4</v>
      </c>
    </row>
    <row r="5" spans="1:7" ht="14.25" customHeight="1">
      <c r="A5" s="244">
        <v>2</v>
      </c>
      <c r="B5" s="245" t="s">
        <v>207</v>
      </c>
      <c r="C5" s="246">
        <v>5254</v>
      </c>
      <c r="D5" s="247" t="s">
        <v>208</v>
      </c>
      <c r="E5" s="248">
        <v>226</v>
      </c>
      <c r="F5" s="246">
        <f t="shared" ref="F5:F42" si="0">C5*E5</f>
        <v>1187404</v>
      </c>
      <c r="G5" s="272">
        <f t="shared" ref="G5:G43" si="1">F5/$F$43</f>
        <v>5.982662601369323E-3</v>
      </c>
    </row>
    <row r="6" spans="1:7" ht="14.25" customHeight="1">
      <c r="A6" s="244">
        <v>3</v>
      </c>
      <c r="B6" s="245" t="s">
        <v>209</v>
      </c>
      <c r="C6" s="246">
        <v>29381</v>
      </c>
      <c r="D6" s="247" t="s">
        <v>208</v>
      </c>
      <c r="E6" s="248">
        <v>85</v>
      </c>
      <c r="F6" s="246">
        <f t="shared" si="0"/>
        <v>2497385</v>
      </c>
      <c r="G6" s="272">
        <f t="shared" si="1"/>
        <v>1.2582921937875169E-2</v>
      </c>
    </row>
    <row r="7" spans="1:7" ht="14.25" customHeight="1">
      <c r="A7" s="244">
        <v>4</v>
      </c>
      <c r="B7" s="245" t="s">
        <v>210</v>
      </c>
      <c r="C7" s="248"/>
      <c r="D7" s="268"/>
      <c r="E7" s="248"/>
      <c r="F7" s="246">
        <f t="shared" si="0"/>
        <v>0</v>
      </c>
      <c r="G7" s="272">
        <f t="shared" si="1"/>
        <v>0</v>
      </c>
    </row>
    <row r="8" spans="1:7" ht="14.25" customHeight="1">
      <c r="A8" s="271">
        <v>4.01</v>
      </c>
      <c r="B8" s="245" t="s">
        <v>211</v>
      </c>
      <c r="C8" s="246">
        <v>6346</v>
      </c>
      <c r="D8" s="247" t="s">
        <v>206</v>
      </c>
      <c r="E8" s="248">
        <v>955</v>
      </c>
      <c r="F8" s="246">
        <f t="shared" si="0"/>
        <v>6060430</v>
      </c>
      <c r="G8" s="272">
        <f t="shared" si="1"/>
        <v>3.0535106761655415E-2</v>
      </c>
    </row>
    <row r="9" spans="1:7" ht="14.25" customHeight="1">
      <c r="A9" s="271">
        <v>4.0199999999999996</v>
      </c>
      <c r="B9" s="245" t="s">
        <v>212</v>
      </c>
      <c r="C9" s="246">
        <v>6536</v>
      </c>
      <c r="D9" s="247" t="s">
        <v>206</v>
      </c>
      <c r="E9" s="248">
        <v>1060</v>
      </c>
      <c r="F9" s="246">
        <f t="shared" si="0"/>
        <v>6928160</v>
      </c>
      <c r="G9" s="272">
        <f t="shared" si="1"/>
        <v>3.4907111419788792E-2</v>
      </c>
    </row>
    <row r="10" spans="1:7" ht="14.25" customHeight="1">
      <c r="A10" s="271">
        <v>4.03</v>
      </c>
      <c r="B10" s="245" t="s">
        <v>213</v>
      </c>
      <c r="C10" s="246">
        <v>739</v>
      </c>
      <c r="D10" s="247" t="s">
        <v>206</v>
      </c>
      <c r="E10" s="248">
        <v>1095</v>
      </c>
      <c r="F10" s="246">
        <f t="shared" si="0"/>
        <v>809205</v>
      </c>
      <c r="G10" s="272">
        <f t="shared" si="1"/>
        <v>4.0771300166927713E-3</v>
      </c>
    </row>
    <row r="11" spans="1:7" ht="14.25" customHeight="1">
      <c r="A11" s="271">
        <v>4.04</v>
      </c>
      <c r="B11" s="245" t="s">
        <v>214</v>
      </c>
      <c r="C11" s="246">
        <v>303</v>
      </c>
      <c r="D11" s="247" t="s">
        <v>206</v>
      </c>
      <c r="E11" s="248">
        <v>1130</v>
      </c>
      <c r="F11" s="246">
        <f t="shared" si="0"/>
        <v>342390</v>
      </c>
      <c r="G11" s="272">
        <f t="shared" si="1"/>
        <v>1.7251111231584553E-3</v>
      </c>
    </row>
    <row r="12" spans="1:7" ht="14.25" customHeight="1">
      <c r="A12" s="244">
        <v>5</v>
      </c>
      <c r="B12" s="245" t="s">
        <v>215</v>
      </c>
      <c r="C12" s="246">
        <v>379</v>
      </c>
      <c r="D12" s="247" t="s">
        <v>208</v>
      </c>
      <c r="E12" s="248">
        <v>5885</v>
      </c>
      <c r="F12" s="246">
        <f t="shared" si="0"/>
        <v>2230415</v>
      </c>
      <c r="G12" s="272">
        <f t="shared" si="1"/>
        <v>1.1237809882763709E-2</v>
      </c>
    </row>
    <row r="13" spans="1:7" ht="14.25" customHeight="1">
      <c r="A13" s="244">
        <v>6</v>
      </c>
      <c r="B13" s="245" t="s">
        <v>216</v>
      </c>
      <c r="C13" s="248"/>
      <c r="D13" s="268"/>
      <c r="E13" s="248"/>
      <c r="F13" s="246">
        <f t="shared" si="0"/>
        <v>0</v>
      </c>
      <c r="G13" s="272">
        <f t="shared" si="1"/>
        <v>0</v>
      </c>
    </row>
    <row r="14" spans="1:7" ht="14.25" customHeight="1">
      <c r="A14" s="271">
        <v>6.01</v>
      </c>
      <c r="B14" s="245" t="s">
        <v>217</v>
      </c>
      <c r="C14" s="246">
        <v>739</v>
      </c>
      <c r="D14" s="247" t="s">
        <v>208</v>
      </c>
      <c r="E14" s="248">
        <v>6850</v>
      </c>
      <c r="F14" s="246">
        <f t="shared" si="0"/>
        <v>5062150</v>
      </c>
      <c r="G14" s="272">
        <f t="shared" si="1"/>
        <v>2.5505333894379437E-2</v>
      </c>
    </row>
    <row r="15" spans="1:7" ht="14.25" customHeight="1">
      <c r="A15" s="271">
        <v>6.02</v>
      </c>
      <c r="B15" s="245" t="s">
        <v>218</v>
      </c>
      <c r="C15" s="246">
        <v>220</v>
      </c>
      <c r="D15" s="247" t="s">
        <v>208</v>
      </c>
      <c r="E15" s="248">
        <v>6984</v>
      </c>
      <c r="F15" s="246">
        <f t="shared" si="0"/>
        <v>1536480</v>
      </c>
      <c r="G15" s="272">
        <f t="shared" si="1"/>
        <v>7.7414607275636078E-3</v>
      </c>
    </row>
    <row r="16" spans="1:7" ht="14.25" customHeight="1">
      <c r="A16" s="244">
        <v>7</v>
      </c>
      <c r="B16" s="245" t="s">
        <v>219</v>
      </c>
      <c r="C16" s="248"/>
      <c r="D16" s="268"/>
      <c r="E16" s="248"/>
      <c r="F16" s="246">
        <f t="shared" si="0"/>
        <v>0</v>
      </c>
      <c r="G16" s="272">
        <f t="shared" si="1"/>
        <v>0</v>
      </c>
    </row>
    <row r="17" spans="1:10" ht="14.25" customHeight="1">
      <c r="A17" s="271">
        <v>7.01</v>
      </c>
      <c r="B17" s="245" t="s">
        <v>220</v>
      </c>
      <c r="C17" s="246">
        <v>4986</v>
      </c>
      <c r="D17" s="247" t="s">
        <v>208</v>
      </c>
      <c r="E17" s="248">
        <v>6510</v>
      </c>
      <c r="F17" s="246">
        <f t="shared" si="0"/>
        <v>32458860</v>
      </c>
      <c r="G17" s="273">
        <f t="shared" si="1"/>
        <v>0.16354198554584848</v>
      </c>
    </row>
    <row r="18" spans="1:10" ht="14.25" customHeight="1">
      <c r="A18" s="271">
        <v>7.02</v>
      </c>
      <c r="B18" s="245" t="s">
        <v>221</v>
      </c>
      <c r="C18" s="246">
        <v>1579</v>
      </c>
      <c r="D18" s="247" t="s">
        <v>208</v>
      </c>
      <c r="E18" s="248">
        <v>6645</v>
      </c>
      <c r="F18" s="246">
        <f t="shared" si="0"/>
        <v>10492455</v>
      </c>
      <c r="G18" s="273">
        <f t="shared" si="1"/>
        <v>5.2865594292296945E-2</v>
      </c>
    </row>
    <row r="19" spans="1:10" ht="14.25" customHeight="1">
      <c r="A19" s="244">
        <v>8</v>
      </c>
      <c r="B19" s="249" t="s">
        <v>222</v>
      </c>
      <c r="C19" s="246">
        <v>800</v>
      </c>
      <c r="D19" s="247" t="s">
        <v>12</v>
      </c>
      <c r="E19" s="248">
        <v>14577</v>
      </c>
      <c r="F19" s="246">
        <f t="shared" si="0"/>
        <v>11661600</v>
      </c>
      <c r="G19" s="273">
        <f t="shared" si="1"/>
        <v>5.8756260036287984E-2</v>
      </c>
    </row>
    <row r="20" spans="1:10" ht="14.25" customHeight="1">
      <c r="A20" s="244">
        <v>9</v>
      </c>
      <c r="B20" s="245" t="s">
        <v>223</v>
      </c>
      <c r="C20" s="246">
        <v>906</v>
      </c>
      <c r="D20" s="247" t="s">
        <v>208</v>
      </c>
      <c r="E20" s="248">
        <v>8709</v>
      </c>
      <c r="F20" s="246">
        <f t="shared" si="0"/>
        <v>7890354</v>
      </c>
      <c r="G20" s="272">
        <f t="shared" si="1"/>
        <v>3.9755067177948571E-2</v>
      </c>
    </row>
    <row r="21" spans="1:10" ht="14.25" customHeight="1">
      <c r="A21" s="244">
        <v>10</v>
      </c>
      <c r="B21" s="245" t="s">
        <v>224</v>
      </c>
      <c r="C21" s="246">
        <v>32</v>
      </c>
      <c r="D21" s="247" t="s">
        <v>208</v>
      </c>
      <c r="E21" s="248">
        <v>8857</v>
      </c>
      <c r="F21" s="246">
        <f t="shared" si="0"/>
        <v>283424</v>
      </c>
      <c r="G21" s="272">
        <f t="shared" si="1"/>
        <v>1.4280145301266453E-3</v>
      </c>
    </row>
    <row r="22" spans="1:10" ht="14.25" customHeight="1">
      <c r="A22" s="244">
        <v>11</v>
      </c>
      <c r="B22" s="245" t="s">
        <v>225</v>
      </c>
      <c r="C22" s="248"/>
      <c r="D22" s="268"/>
      <c r="E22" s="248"/>
      <c r="F22" s="246">
        <f t="shared" si="0"/>
        <v>0</v>
      </c>
      <c r="G22" s="272">
        <f t="shared" si="1"/>
        <v>0</v>
      </c>
    </row>
    <row r="23" spans="1:10" ht="14.25" customHeight="1">
      <c r="A23" s="271">
        <v>11.01</v>
      </c>
      <c r="B23" s="245" t="s">
        <v>220</v>
      </c>
      <c r="C23" s="246">
        <v>225</v>
      </c>
      <c r="D23" s="247" t="s">
        <v>208</v>
      </c>
      <c r="E23" s="248">
        <v>7280</v>
      </c>
      <c r="F23" s="246">
        <f t="shared" si="0"/>
        <v>1638000</v>
      </c>
      <c r="G23" s="272">
        <f t="shared" si="1"/>
        <v>8.2529630530492996E-3</v>
      </c>
    </row>
    <row r="24" spans="1:10" ht="14.25" customHeight="1">
      <c r="A24" s="271">
        <v>11.02</v>
      </c>
      <c r="B24" s="245" t="s">
        <v>226</v>
      </c>
      <c r="C24" s="246">
        <v>525</v>
      </c>
      <c r="D24" s="247" t="s">
        <v>208</v>
      </c>
      <c r="E24" s="248">
        <v>7414</v>
      </c>
      <c r="F24" s="246">
        <f t="shared" si="0"/>
        <v>3892350</v>
      </c>
      <c r="G24" s="272">
        <f t="shared" si="1"/>
        <v>1.9611367972854971E-2</v>
      </c>
    </row>
    <row r="25" spans="1:10" ht="14.25" customHeight="1">
      <c r="A25" s="271">
        <v>11.03</v>
      </c>
      <c r="B25" s="245" t="s">
        <v>227</v>
      </c>
      <c r="C25" s="246">
        <v>2.9</v>
      </c>
      <c r="D25" s="247" t="s">
        <v>208</v>
      </c>
      <c r="E25" s="248">
        <v>7416</v>
      </c>
      <c r="F25" s="246">
        <f t="shared" si="0"/>
        <v>21506.399999999998</v>
      </c>
      <c r="G25" s="272">
        <f t="shared" si="1"/>
        <v>1.0835868412948685E-4</v>
      </c>
    </row>
    <row r="26" spans="1:10" ht="14.25" customHeight="1">
      <c r="A26" s="244">
        <v>12</v>
      </c>
      <c r="B26" s="245" t="s">
        <v>228</v>
      </c>
      <c r="C26" s="246">
        <v>1752</v>
      </c>
      <c r="D26" s="247" t="s">
        <v>229</v>
      </c>
      <c r="E26" s="248">
        <v>9258</v>
      </c>
      <c r="F26" s="246">
        <f t="shared" si="0"/>
        <v>16220016</v>
      </c>
      <c r="G26" s="273">
        <f t="shared" si="1"/>
        <v>8.1723560908344622E-2</v>
      </c>
    </row>
    <row r="27" spans="1:10" ht="14.25" customHeight="1">
      <c r="A27" s="244">
        <v>13</v>
      </c>
      <c r="B27" s="245" t="s">
        <v>230</v>
      </c>
      <c r="C27" s="246">
        <v>398</v>
      </c>
      <c r="D27" s="247" t="s">
        <v>208</v>
      </c>
      <c r="E27" s="248">
        <v>1785</v>
      </c>
      <c r="F27" s="246">
        <f t="shared" si="0"/>
        <v>710430</v>
      </c>
      <c r="G27" s="272">
        <f t="shared" si="1"/>
        <v>3.5794582062135621E-3</v>
      </c>
    </row>
    <row r="28" spans="1:10" ht="14.25" customHeight="1">
      <c r="A28" s="244">
        <v>14</v>
      </c>
      <c r="B28" s="245" t="s">
        <v>231</v>
      </c>
      <c r="C28" s="246">
        <v>795</v>
      </c>
      <c r="D28" s="247" t="s">
        <v>208</v>
      </c>
      <c r="E28" s="248">
        <v>1580</v>
      </c>
      <c r="F28" s="246">
        <f t="shared" si="0"/>
        <v>1256100</v>
      </c>
      <c r="G28" s="272">
        <f t="shared" si="1"/>
        <v>6.328783205699161E-3</v>
      </c>
    </row>
    <row r="29" spans="1:10" s="266" customFormat="1" ht="14.25" customHeight="1">
      <c r="A29" s="244">
        <v>15</v>
      </c>
      <c r="B29" s="245" t="s">
        <v>232</v>
      </c>
      <c r="C29" s="246">
        <v>345</v>
      </c>
      <c r="D29" s="247" t="s">
        <v>208</v>
      </c>
      <c r="E29" s="248">
        <v>447</v>
      </c>
      <c r="F29" s="246">
        <f t="shared" si="0"/>
        <v>154215</v>
      </c>
      <c r="G29" s="272">
        <f t="shared" si="1"/>
        <v>7.7700286765933939E-4</v>
      </c>
      <c r="J29" s="267"/>
    </row>
    <row r="30" spans="1:10" s="266" customFormat="1" ht="14.25" customHeight="1">
      <c r="A30" s="244">
        <v>16</v>
      </c>
      <c r="B30" s="245" t="s">
        <v>233</v>
      </c>
      <c r="C30" s="246">
        <v>4440</v>
      </c>
      <c r="D30" s="247" t="s">
        <v>208</v>
      </c>
      <c r="E30" s="248">
        <v>2614</v>
      </c>
      <c r="F30" s="246">
        <f t="shared" si="0"/>
        <v>11606160</v>
      </c>
      <c r="G30" s="273">
        <f t="shared" si="1"/>
        <v>5.8476928979107855E-2</v>
      </c>
      <c r="J30" s="267"/>
    </row>
    <row r="31" spans="1:10" s="266" customFormat="1" ht="14.25" customHeight="1">
      <c r="A31" s="244">
        <v>17</v>
      </c>
      <c r="B31" s="245" t="s">
        <v>234</v>
      </c>
      <c r="C31" s="246">
        <v>1099</v>
      </c>
      <c r="D31" s="247" t="s">
        <v>208</v>
      </c>
      <c r="E31" s="248">
        <v>2315</v>
      </c>
      <c r="F31" s="246">
        <f t="shared" si="0"/>
        <v>2544185</v>
      </c>
      <c r="G31" s="272">
        <f t="shared" si="1"/>
        <v>1.2818720882248006E-2</v>
      </c>
      <c r="J31" s="267"/>
    </row>
    <row r="32" spans="1:10" ht="14.25" customHeight="1">
      <c r="A32" s="244">
        <v>18</v>
      </c>
      <c r="B32" s="245" t="s">
        <v>235</v>
      </c>
      <c r="C32" s="246">
        <v>450</v>
      </c>
      <c r="D32" s="247" t="s">
        <v>208</v>
      </c>
      <c r="E32" s="248">
        <v>2614</v>
      </c>
      <c r="F32" s="246">
        <f t="shared" si="0"/>
        <v>1176300</v>
      </c>
      <c r="G32" s="272">
        <f t="shared" si="1"/>
        <v>5.92671577490958E-3</v>
      </c>
    </row>
    <row r="33" spans="1:7" ht="14.25" customHeight="1">
      <c r="A33" s="244">
        <v>19</v>
      </c>
      <c r="B33" s="245" t="s">
        <v>236</v>
      </c>
      <c r="C33" s="246">
        <v>4.4400000000000004</v>
      </c>
      <c r="D33" s="247" t="s">
        <v>237</v>
      </c>
      <c r="E33" s="248">
        <v>233491</v>
      </c>
      <c r="F33" s="246">
        <f t="shared" si="0"/>
        <v>1036700.04</v>
      </c>
      <c r="G33" s="272">
        <f t="shared" si="1"/>
        <v>5.223349894514488E-3</v>
      </c>
    </row>
    <row r="34" spans="1:7" ht="14.25" customHeight="1">
      <c r="A34" s="244">
        <v>20</v>
      </c>
      <c r="B34" s="245" t="s">
        <v>238</v>
      </c>
      <c r="C34" s="246">
        <v>3.6</v>
      </c>
      <c r="D34" s="247" t="s">
        <v>237</v>
      </c>
      <c r="E34" s="248">
        <v>59143</v>
      </c>
      <c r="F34" s="246">
        <f t="shared" si="0"/>
        <v>212914.80000000002</v>
      </c>
      <c r="G34" s="272">
        <f t="shared" si="1"/>
        <v>1.0727582282340545E-3</v>
      </c>
    </row>
    <row r="35" spans="1:7" ht="14.25" customHeight="1">
      <c r="A35" s="244">
        <v>21</v>
      </c>
      <c r="B35" s="245" t="s">
        <v>239</v>
      </c>
      <c r="C35" s="246">
        <v>6.6</v>
      </c>
      <c r="D35" s="247" t="s">
        <v>237</v>
      </c>
      <c r="E35" s="248">
        <v>243750</v>
      </c>
      <c r="F35" s="246">
        <f t="shared" si="0"/>
        <v>1608750</v>
      </c>
      <c r="G35" s="272">
        <f t="shared" si="1"/>
        <v>8.1055887128162769E-3</v>
      </c>
    </row>
    <row r="36" spans="1:7" ht="14.25" customHeight="1">
      <c r="A36" s="244">
        <v>22</v>
      </c>
      <c r="B36" s="245" t="s">
        <v>240</v>
      </c>
      <c r="C36" s="246">
        <v>60000</v>
      </c>
      <c r="D36" s="247" t="s">
        <v>208</v>
      </c>
      <c r="E36" s="248">
        <v>336</v>
      </c>
      <c r="F36" s="246">
        <f t="shared" si="0"/>
        <v>20160000</v>
      </c>
      <c r="G36" s="273">
        <f t="shared" si="1"/>
        <v>0.10157492988368369</v>
      </c>
    </row>
    <row r="37" spans="1:7" ht="14.25" customHeight="1">
      <c r="A37" s="244">
        <v>23</v>
      </c>
      <c r="B37" s="249" t="s">
        <v>241</v>
      </c>
      <c r="C37" s="246">
        <v>5012</v>
      </c>
      <c r="D37" s="247" t="s">
        <v>208</v>
      </c>
      <c r="E37" s="248">
        <v>106</v>
      </c>
      <c r="F37" s="246">
        <f t="shared" si="0"/>
        <v>531272</v>
      </c>
      <c r="G37" s="272">
        <f t="shared" si="1"/>
        <v>2.6767815550180758E-3</v>
      </c>
    </row>
    <row r="38" spans="1:7" ht="14.25" customHeight="1">
      <c r="A38" s="244">
        <v>24</v>
      </c>
      <c r="B38" s="249" t="s">
        <v>242</v>
      </c>
      <c r="C38" s="246">
        <v>10038</v>
      </c>
      <c r="D38" s="247" t="s">
        <v>208</v>
      </c>
      <c r="E38" s="248">
        <v>3783</v>
      </c>
      <c r="F38" s="246">
        <f t="shared" si="0"/>
        <v>37973754</v>
      </c>
      <c r="G38" s="273">
        <f t="shared" si="1"/>
        <v>0.19132844245884192</v>
      </c>
    </row>
    <row r="39" spans="1:7" ht="14.25" customHeight="1">
      <c r="A39" s="244">
        <v>25</v>
      </c>
      <c r="B39" s="245" t="s">
        <v>243</v>
      </c>
      <c r="C39" s="246">
        <v>4950</v>
      </c>
      <c r="D39" s="247" t="s">
        <v>206</v>
      </c>
      <c r="E39" s="248">
        <v>161</v>
      </c>
      <c r="F39" s="246">
        <f t="shared" si="0"/>
        <v>796950</v>
      </c>
      <c r="G39" s="272">
        <f t="shared" si="1"/>
        <v>4.0153839469643715E-3</v>
      </c>
    </row>
    <row r="40" spans="1:7" ht="14.25" customHeight="1">
      <c r="A40" s="244">
        <v>26</v>
      </c>
      <c r="B40" s="245" t="s">
        <v>244</v>
      </c>
      <c r="C40" s="246">
        <v>4950</v>
      </c>
      <c r="D40" s="247" t="s">
        <v>208</v>
      </c>
      <c r="E40" s="248">
        <v>44</v>
      </c>
      <c r="F40" s="246">
        <f t="shared" si="0"/>
        <v>217800</v>
      </c>
      <c r="G40" s="272">
        <f t="shared" si="1"/>
        <v>1.0973720103505114E-3</v>
      </c>
    </row>
    <row r="41" spans="1:7" ht="14.25" customHeight="1">
      <c r="A41" s="244">
        <v>27</v>
      </c>
      <c r="B41" s="245" t="s">
        <v>245</v>
      </c>
      <c r="C41" s="246">
        <v>62994.57</v>
      </c>
      <c r="D41" s="247" t="s">
        <v>208</v>
      </c>
      <c r="E41" s="248">
        <v>109</v>
      </c>
      <c r="F41" s="246">
        <f t="shared" si="0"/>
        <v>6866408.1299999999</v>
      </c>
      <c r="G41" s="272">
        <f t="shared" si="1"/>
        <v>3.4595978390749287E-2</v>
      </c>
    </row>
    <row r="42" spans="1:7" ht="14.25" customHeight="1">
      <c r="A42" s="244">
        <v>28</v>
      </c>
      <c r="B42" s="245" t="s">
        <v>256</v>
      </c>
      <c r="C42" s="246">
        <v>150</v>
      </c>
      <c r="D42" s="247" t="s">
        <v>12</v>
      </c>
      <c r="E42" s="248">
        <v>1697</v>
      </c>
      <c r="F42" s="246">
        <f t="shared" si="0"/>
        <v>254550</v>
      </c>
      <c r="G42" s="272">
        <f t="shared" si="1"/>
        <v>1.2825346429509764E-3</v>
      </c>
    </row>
    <row r="43" spans="1:7" ht="14.25" customHeight="1">
      <c r="A43" s="250"/>
      <c r="B43" s="263" t="s">
        <v>42</v>
      </c>
      <c r="C43" s="251"/>
      <c r="D43" s="252"/>
      <c r="E43" s="253"/>
      <c r="F43" s="251">
        <f>SUM(F4:F42)</f>
        <v>198474170.97</v>
      </c>
      <c r="G43" s="272">
        <f t="shared" si="1"/>
        <v>1</v>
      </c>
    </row>
    <row r="44" spans="1:7" ht="14.25" customHeight="1">
      <c r="A44" s="254"/>
      <c r="B44" s="264" t="s">
        <v>247</v>
      </c>
      <c r="C44" s="253"/>
      <c r="D44" s="254"/>
      <c r="E44" s="255">
        <v>0</v>
      </c>
      <c r="F44" s="251">
        <f>F43*0.18</f>
        <v>35725350.774599999</v>
      </c>
      <c r="G44" s="274"/>
    </row>
    <row r="45" spans="1:7" ht="14.25" customHeight="1">
      <c r="A45" s="256"/>
      <c r="B45" s="265" t="s">
        <v>4</v>
      </c>
      <c r="C45" s="257"/>
      <c r="D45" s="256"/>
      <c r="E45" s="257"/>
      <c r="F45" s="257">
        <f>SUM(F43:F44)</f>
        <v>234199521.7446</v>
      </c>
      <c r="G45" s="274"/>
    </row>
    <row r="49" spans="6:6" ht="14.25" customHeight="1">
      <c r="F49" s="260">
        <f>F45+6807707</f>
        <v>241007228.7446</v>
      </c>
    </row>
    <row r="50" spans="6:6" ht="14.25" customHeight="1">
      <c r="F50" s="261">
        <f>F49-F45</f>
        <v>6807707</v>
      </c>
    </row>
    <row r="51" spans="6:6" ht="14.25" customHeight="1">
      <c r="F51" s="262">
        <f>F50/F45</f>
        <v>2.9067979939873499E-2</v>
      </c>
    </row>
  </sheetData>
  <mergeCells count="3">
    <mergeCell ref="A1:F1"/>
    <mergeCell ref="A2:F2"/>
    <mergeCell ref="G1:G3"/>
  </mergeCells>
  <pageMargins left="0.7" right="0.7" top="0.75" bottom="0.75" header="0.3" footer="0.3"/>
  <pageSetup scale="74" fitToHeight="0" orientation="portrait" r:id="rId1"/>
</worksheet>
</file>

<file path=xl/worksheets/sheet3.xml><?xml version="1.0" encoding="utf-8"?>
<worksheet xmlns="http://schemas.openxmlformats.org/spreadsheetml/2006/main" xmlns:r="http://schemas.openxmlformats.org/officeDocument/2006/relationships">
  <sheetPr>
    <pageSetUpPr fitToPage="1"/>
  </sheetPr>
  <dimension ref="A1:J45"/>
  <sheetViews>
    <sheetView zoomScaleSheetLayoutView="70" workbookViewId="0">
      <selection activeCell="H19" sqref="H19"/>
    </sheetView>
  </sheetViews>
  <sheetFormatPr defaultColWidth="10.6640625" defaultRowHeight="14.25"/>
  <cols>
    <col min="1" max="1" width="4.33203125" style="67" customWidth="1"/>
    <col min="2" max="2" width="13.6640625" style="67" bestFit="1" customWidth="1"/>
    <col min="3" max="3" width="40.5" style="67" customWidth="1"/>
    <col min="4" max="4" width="30.6640625" style="67" bestFit="1" customWidth="1"/>
    <col min="5" max="5" width="12.83203125" style="67" bestFit="1" customWidth="1"/>
    <col min="6" max="6" width="25" style="67" customWidth="1"/>
    <col min="7" max="7" width="10.6640625" style="67"/>
    <col min="8" max="8" width="15.5" style="67" bestFit="1" customWidth="1"/>
    <col min="9" max="10" width="10.6640625" style="67"/>
    <col min="11" max="11" width="16.1640625" style="67" bestFit="1" customWidth="1"/>
    <col min="12" max="16384" width="10.6640625" style="67"/>
  </cols>
  <sheetData>
    <row r="1" spans="1:10" ht="42.75" customHeight="1" thickBot="1">
      <c r="A1" s="65"/>
      <c r="B1" s="66"/>
      <c r="C1" s="65"/>
      <c r="D1" s="65"/>
      <c r="E1" s="65"/>
      <c r="F1" s="65"/>
    </row>
    <row r="2" spans="1:10" ht="18" customHeight="1">
      <c r="A2" s="68"/>
      <c r="B2" s="352" t="s">
        <v>77</v>
      </c>
      <c r="C2" s="353"/>
      <c r="D2" s="353"/>
      <c r="E2" s="353"/>
      <c r="F2" s="354"/>
    </row>
    <row r="3" spans="1:10" ht="48" customHeight="1">
      <c r="A3" s="69"/>
      <c r="B3" s="70"/>
      <c r="C3" s="207" t="s">
        <v>78</v>
      </c>
      <c r="D3" s="355" t="str">
        <f>BOQ!A1</f>
        <v>Construction of check dam across Marudhaiyar river at Varanavasi village in Ariyalur Taluk and District</v>
      </c>
      <c r="E3" s="355"/>
      <c r="F3" s="356"/>
    </row>
    <row r="4" spans="1:10" ht="15" customHeight="1">
      <c r="A4" s="69"/>
      <c r="B4" s="70"/>
      <c r="C4" s="207" t="s">
        <v>79</v>
      </c>
      <c r="D4" s="207" t="s">
        <v>166</v>
      </c>
      <c r="E4" s="208"/>
      <c r="F4" s="71"/>
    </row>
    <row r="5" spans="1:10" ht="15.75">
      <c r="A5" s="65"/>
      <c r="B5" s="72"/>
      <c r="C5" s="208" t="s">
        <v>80</v>
      </c>
      <c r="D5" s="208" t="s">
        <v>167</v>
      </c>
      <c r="E5" s="208"/>
      <c r="F5" s="71"/>
    </row>
    <row r="6" spans="1:10" ht="15.75">
      <c r="A6" s="65"/>
      <c r="B6" s="72"/>
      <c r="C6" s="208" t="s">
        <v>81</v>
      </c>
      <c r="D6" s="208" t="s">
        <v>82</v>
      </c>
      <c r="E6" s="208"/>
      <c r="F6" s="71"/>
    </row>
    <row r="7" spans="1:10" ht="15.75">
      <c r="A7" s="65"/>
      <c r="B7" s="72"/>
      <c r="C7" s="208" t="s">
        <v>83</v>
      </c>
      <c r="D7" s="208" t="s">
        <v>82</v>
      </c>
      <c r="E7" s="208"/>
      <c r="F7" s="71"/>
    </row>
    <row r="8" spans="1:10" ht="15.75">
      <c r="A8" s="65"/>
      <c r="B8" s="72"/>
      <c r="C8" s="208"/>
      <c r="D8" s="208"/>
      <c r="E8" s="208"/>
      <c r="F8" s="71"/>
    </row>
    <row r="9" spans="1:10" ht="18">
      <c r="A9" s="73"/>
      <c r="B9" s="74" t="s">
        <v>84</v>
      </c>
      <c r="C9" s="75" t="s">
        <v>37</v>
      </c>
      <c r="D9" s="76"/>
      <c r="E9" s="77"/>
      <c r="F9" s="78" t="s">
        <v>85</v>
      </c>
    </row>
    <row r="10" spans="1:10" ht="15.75">
      <c r="A10" s="65"/>
      <c r="B10" s="72"/>
      <c r="C10" s="208"/>
      <c r="D10" s="208"/>
      <c r="E10" s="208"/>
      <c r="F10" s="71"/>
    </row>
    <row r="11" spans="1:10" ht="15.75">
      <c r="A11" s="65"/>
      <c r="B11" s="79">
        <v>1</v>
      </c>
      <c r="C11" s="207" t="s">
        <v>86</v>
      </c>
      <c r="D11" s="208"/>
      <c r="E11" s="208"/>
      <c r="F11" s="71"/>
    </row>
    <row r="12" spans="1:10" ht="15.75">
      <c r="A12" s="65"/>
      <c r="B12" s="72" t="s">
        <v>87</v>
      </c>
      <c r="C12" s="208" t="s">
        <v>88</v>
      </c>
      <c r="D12" s="208"/>
      <c r="E12" s="208"/>
      <c r="F12" s="80">
        <f>'BOQ Split'!N43</f>
        <v>129756785.9200765</v>
      </c>
    </row>
    <row r="13" spans="1:10" ht="15.75">
      <c r="A13" s="65"/>
      <c r="B13" s="72" t="s">
        <v>89</v>
      </c>
      <c r="C13" s="208" t="s">
        <v>90</v>
      </c>
      <c r="D13" s="208" t="s">
        <v>91</v>
      </c>
      <c r="E13" s="208">
        <v>10476</v>
      </c>
      <c r="F13" s="80">
        <f>IDC!G77</f>
        <v>8768170.8548499998</v>
      </c>
      <c r="G13" s="81"/>
      <c r="J13" s="67">
        <f>13750*11</f>
        <v>151250</v>
      </c>
    </row>
    <row r="14" spans="1:10" ht="12" customHeight="1">
      <c r="A14" s="65"/>
      <c r="B14" s="74">
        <v>2</v>
      </c>
      <c r="C14" s="75" t="s">
        <v>92</v>
      </c>
      <c r="D14" s="76"/>
      <c r="E14" s="77"/>
      <c r="F14" s="82">
        <f>SUM(F12:F13)</f>
        <v>138524956.77492651</v>
      </c>
    </row>
    <row r="15" spans="1:10" ht="6.75" customHeight="1">
      <c r="A15" s="69"/>
      <c r="B15" s="83"/>
      <c r="C15" s="209"/>
      <c r="D15" s="209"/>
      <c r="E15" s="209"/>
      <c r="F15" s="84"/>
    </row>
    <row r="16" spans="1:10" ht="12" customHeight="1">
      <c r="A16" s="65"/>
      <c r="B16" s="74">
        <v>3</v>
      </c>
      <c r="C16" s="75" t="s">
        <v>93</v>
      </c>
      <c r="D16" s="85" t="s">
        <v>94</v>
      </c>
      <c r="E16" s="77"/>
      <c r="F16" s="82">
        <f>'BOQ Split'!F43</f>
        <v>198474170.97</v>
      </c>
    </row>
    <row r="17" spans="1:8" ht="6.75" customHeight="1">
      <c r="A17" s="69"/>
      <c r="B17" s="83"/>
      <c r="C17" s="209"/>
      <c r="D17" s="209"/>
      <c r="E17" s="209"/>
      <c r="F17" s="84"/>
    </row>
    <row r="18" spans="1:8" ht="12" customHeight="1">
      <c r="A18" s="69"/>
      <c r="B18" s="74">
        <v>4</v>
      </c>
      <c r="C18" s="75" t="s">
        <v>95</v>
      </c>
      <c r="D18" s="76"/>
      <c r="E18" s="77"/>
      <c r="F18" s="82">
        <f>+F16-F14</f>
        <v>59949214.195073485</v>
      </c>
    </row>
    <row r="19" spans="1:8" ht="6.75" customHeight="1">
      <c r="A19" s="69"/>
      <c r="B19" s="86"/>
      <c r="C19" s="210"/>
      <c r="D19" s="210"/>
      <c r="E19" s="210"/>
      <c r="F19" s="87"/>
    </row>
    <row r="20" spans="1:8" ht="12" customHeight="1">
      <c r="A20" s="69"/>
      <c r="B20" s="74">
        <v>5</v>
      </c>
      <c r="C20" s="75" t="s">
        <v>96</v>
      </c>
      <c r="D20" s="76"/>
      <c r="E20" s="77"/>
      <c r="F20" s="82">
        <f>F12*0%</f>
        <v>0</v>
      </c>
    </row>
    <row r="21" spans="1:8" ht="6.75" customHeight="1">
      <c r="A21" s="69"/>
      <c r="B21" s="86"/>
      <c r="C21" s="210"/>
      <c r="D21" s="210"/>
      <c r="E21" s="210"/>
      <c r="F21" s="87"/>
    </row>
    <row r="22" spans="1:8" ht="20.25">
      <c r="A22" s="69"/>
      <c r="B22" s="74">
        <v>6</v>
      </c>
      <c r="C22" s="88" t="s">
        <v>97</v>
      </c>
      <c r="D22" s="88"/>
      <c r="E22" s="88"/>
      <c r="F22" s="82">
        <f>SUM(F18:F20)</f>
        <v>59949214.195073485</v>
      </c>
    </row>
    <row r="23" spans="1:8" ht="6.75" customHeight="1">
      <c r="A23" s="69"/>
      <c r="B23" s="211"/>
      <c r="C23" s="89"/>
      <c r="D23" s="89"/>
      <c r="E23" s="89"/>
      <c r="F23" s="212"/>
    </row>
    <row r="24" spans="1:8" ht="20.25">
      <c r="A24" s="69"/>
      <c r="B24" s="74">
        <v>7</v>
      </c>
      <c r="C24" s="90" t="s">
        <v>98</v>
      </c>
      <c r="D24" s="88"/>
      <c r="E24" s="88"/>
      <c r="F24" s="213">
        <v>0.01</v>
      </c>
    </row>
    <row r="25" spans="1:8" ht="20.25">
      <c r="A25" s="69"/>
      <c r="B25" s="74">
        <v>8</v>
      </c>
      <c r="C25" s="90" t="s">
        <v>99</v>
      </c>
      <c r="D25" s="88"/>
      <c r="E25" s="88"/>
      <c r="F25" s="213">
        <v>0</v>
      </c>
    </row>
    <row r="26" spans="1:8" ht="20.25">
      <c r="A26" s="69"/>
      <c r="B26" s="74">
        <v>9</v>
      </c>
      <c r="C26" s="90" t="s">
        <v>100</v>
      </c>
      <c r="D26" s="88"/>
      <c r="E26" s="88"/>
      <c r="F26" s="213">
        <v>0</v>
      </c>
    </row>
    <row r="27" spans="1:8" ht="20.25">
      <c r="A27" s="69"/>
      <c r="B27" s="74">
        <v>10</v>
      </c>
      <c r="C27" s="90" t="s">
        <v>101</v>
      </c>
      <c r="D27" s="88"/>
      <c r="E27" s="88"/>
      <c r="F27" s="213">
        <v>0</v>
      </c>
    </row>
    <row r="28" spans="1:8" ht="6.75" customHeight="1">
      <c r="A28" s="69"/>
      <c r="B28" s="211"/>
      <c r="C28" s="89"/>
      <c r="D28" s="89"/>
      <c r="E28" s="89"/>
      <c r="F28" s="212"/>
    </row>
    <row r="29" spans="1:8" ht="11.25" customHeight="1">
      <c r="A29" s="65"/>
      <c r="B29" s="74">
        <v>11</v>
      </c>
      <c r="C29" s="88" t="s">
        <v>102</v>
      </c>
      <c r="D29" s="88"/>
      <c r="E29" s="88"/>
      <c r="F29" s="214">
        <f>+F22/F16-F24-F25-F26-F27</f>
        <v>0.29205045776024424</v>
      </c>
    </row>
    <row r="30" spans="1:8" ht="13.5" customHeight="1">
      <c r="A30" s="69"/>
      <c r="B30" s="74">
        <v>12</v>
      </c>
      <c r="C30" s="88" t="s">
        <v>103</v>
      </c>
      <c r="D30" s="88"/>
      <c r="E30" s="88"/>
      <c r="F30" s="215"/>
    </row>
    <row r="31" spans="1:8" ht="12.75" customHeight="1">
      <c r="A31" s="69"/>
      <c r="B31" s="74"/>
      <c r="C31" s="95" t="s">
        <v>104</v>
      </c>
      <c r="D31" s="88"/>
      <c r="E31" s="88"/>
      <c r="F31" s="216">
        <v>0.02</v>
      </c>
      <c r="H31" s="96"/>
    </row>
    <row r="32" spans="1:8" ht="6.75" customHeight="1">
      <c r="A32" s="69"/>
      <c r="B32" s="211"/>
      <c r="C32" s="89"/>
      <c r="D32" s="89"/>
      <c r="E32" s="89"/>
      <c r="F32" s="212"/>
    </row>
    <row r="33" spans="1:6" ht="12" customHeight="1">
      <c r="A33" s="65"/>
      <c r="B33" s="74">
        <v>13</v>
      </c>
      <c r="C33" s="88" t="s">
        <v>105</v>
      </c>
      <c r="D33" s="88"/>
      <c r="E33" s="88"/>
      <c r="F33" s="214">
        <f>F29-SUM(F31:F31)</f>
        <v>0.27205045776024422</v>
      </c>
    </row>
    <row r="34" spans="1:6" ht="15.75">
      <c r="A34" s="65"/>
      <c r="B34" s="72"/>
      <c r="C34" s="217"/>
      <c r="D34" s="208"/>
      <c r="E34" s="208"/>
      <c r="F34" s="91"/>
    </row>
    <row r="35" spans="1:6" ht="15.75">
      <c r="A35" s="65"/>
      <c r="B35" s="72"/>
      <c r="C35" s="217"/>
      <c r="D35" s="208"/>
      <c r="E35" s="208"/>
      <c r="F35" s="91"/>
    </row>
    <row r="36" spans="1:6" ht="15.75">
      <c r="A36" s="65"/>
      <c r="B36" s="72"/>
      <c r="C36" s="217"/>
      <c r="D36" s="208"/>
      <c r="E36" s="208"/>
      <c r="F36" s="91"/>
    </row>
    <row r="37" spans="1:6" ht="15.75">
      <c r="A37" s="65"/>
      <c r="B37" s="72"/>
      <c r="C37" s="217"/>
      <c r="D37" s="208"/>
      <c r="E37" s="208"/>
      <c r="F37" s="92"/>
    </row>
    <row r="38" spans="1:6" ht="16.5" thickBot="1">
      <c r="A38" s="65"/>
      <c r="B38" s="357" t="s">
        <v>106</v>
      </c>
      <c r="C38" s="358"/>
      <c r="D38" s="358"/>
      <c r="E38" s="358"/>
      <c r="F38" s="359"/>
    </row>
    <row r="39" spans="1:6" ht="15.75">
      <c r="A39" s="65"/>
      <c r="B39" s="66"/>
      <c r="C39" s="65"/>
      <c r="D39" s="65"/>
      <c r="E39" s="65"/>
      <c r="F39" s="65"/>
    </row>
    <row r="40" spans="1:6" ht="15.75">
      <c r="A40" s="65"/>
      <c r="B40" s="360" t="s">
        <v>107</v>
      </c>
      <c r="C40" s="360"/>
      <c r="D40" s="65"/>
      <c r="E40" s="360" t="s">
        <v>108</v>
      </c>
      <c r="F40" s="360"/>
    </row>
    <row r="41" spans="1:6" ht="15.75">
      <c r="A41" s="65"/>
      <c r="B41" s="66"/>
      <c r="C41" s="65"/>
      <c r="D41" s="65"/>
      <c r="E41" s="65"/>
      <c r="F41" s="65"/>
    </row>
    <row r="42" spans="1:6" ht="15.75">
      <c r="A42" s="65"/>
      <c r="B42" s="66"/>
      <c r="C42" s="65"/>
      <c r="D42" s="65"/>
      <c r="E42" s="65"/>
      <c r="F42" s="65"/>
    </row>
    <row r="43" spans="1:6" ht="15.75">
      <c r="A43" s="65"/>
      <c r="B43" s="66"/>
      <c r="C43" s="65"/>
      <c r="D43" s="65"/>
      <c r="E43" s="65"/>
      <c r="F43" s="65"/>
    </row>
    <row r="44" spans="1:6" ht="15.75">
      <c r="A44" s="65"/>
      <c r="B44" s="66"/>
      <c r="C44" s="65"/>
      <c r="D44" s="65"/>
      <c r="E44" s="65"/>
      <c r="F44" s="65"/>
    </row>
    <row r="45" spans="1:6" ht="15.75">
      <c r="B45" s="66"/>
      <c r="C45" s="65"/>
      <c r="D45" s="65"/>
      <c r="E45" s="65"/>
      <c r="F45" s="65"/>
    </row>
  </sheetData>
  <mergeCells count="5">
    <mergeCell ref="B2:F2"/>
    <mergeCell ref="D3:F3"/>
    <mergeCell ref="B38:F38"/>
    <mergeCell ref="B40:C40"/>
    <mergeCell ref="E40:F40"/>
  </mergeCells>
  <pageMargins left="0.7" right="0.7" top="0.75" bottom="0.75" header="0.3" footer="0.3"/>
  <pageSetup paperSize="9" scale="79" fitToHeight="0" orientation="portrait" r:id="rId1"/>
  <headerFooter>
    <oddFooter>Page &amp;P of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T43"/>
  <sheetViews>
    <sheetView topLeftCell="I1" workbookViewId="0">
      <pane ySplit="3" topLeftCell="A28" activePane="bottomLeft" state="frozen"/>
      <selection activeCell="E18" sqref="E18"/>
      <selection pane="bottomLeft" activeCell="O48" sqref="O48"/>
    </sheetView>
  </sheetViews>
  <sheetFormatPr defaultRowHeight="14.25" customHeight="1"/>
  <cols>
    <col min="1" max="1" width="6.33203125" style="258" bestFit="1" customWidth="1"/>
    <col min="2" max="2" width="61" style="259" customWidth="1"/>
    <col min="3" max="3" width="12" style="260" bestFit="1" customWidth="1"/>
    <col min="4" max="4" width="7.83203125" style="258" customWidth="1"/>
    <col min="5" max="5" width="13" style="260" bestFit="1" customWidth="1"/>
    <col min="6" max="6" width="19.83203125" style="260" bestFit="1" customWidth="1"/>
    <col min="7" max="7" width="13.6640625" style="47" bestFit="1" customWidth="1"/>
    <col min="8" max="8" width="15.83203125" style="54" bestFit="1" customWidth="1"/>
    <col min="9" max="9" width="17.33203125" style="55" bestFit="1" customWidth="1"/>
    <col min="10" max="10" width="12.33203125" style="56" bestFit="1" customWidth="1"/>
    <col min="11" max="11" width="15.5" style="57" bestFit="1" customWidth="1"/>
    <col min="12" max="12" width="12.83203125" style="58" bestFit="1" customWidth="1"/>
    <col min="13" max="13" width="15.5" style="2" bestFit="1" customWidth="1"/>
    <col min="14" max="14" width="20.83203125" style="3" bestFit="1" customWidth="1"/>
    <col min="15" max="15" width="18.83203125" style="334" bestFit="1" customWidth="1"/>
    <col min="16" max="16" width="20.83203125" style="54" bestFit="1" customWidth="1"/>
    <col min="17" max="17" width="18.83203125" style="55" bestFit="1" customWidth="1"/>
    <col min="18" max="18" width="18.83203125" style="56" bestFit="1" customWidth="1"/>
    <col min="19" max="19" width="20.83203125" style="57" bestFit="1" customWidth="1"/>
    <col min="20" max="20" width="18.83203125" style="58" bestFit="1" customWidth="1"/>
    <col min="21" max="16384" width="9.33203125" style="47"/>
  </cols>
  <sheetData>
    <row r="1" spans="1:20" ht="14.25" customHeight="1">
      <c r="A1" s="347" t="s">
        <v>202</v>
      </c>
      <c r="B1" s="347"/>
      <c r="C1" s="347"/>
      <c r="D1" s="347"/>
      <c r="E1" s="347"/>
      <c r="F1" s="347"/>
    </row>
    <row r="2" spans="1:20" ht="14.25" customHeight="1">
      <c r="A2" s="348" t="s">
        <v>248</v>
      </c>
      <c r="B2" s="349"/>
      <c r="C2" s="349"/>
      <c r="D2" s="349"/>
      <c r="E2" s="349"/>
      <c r="F2" s="349"/>
    </row>
    <row r="3" spans="1:20" ht="14.25" customHeight="1">
      <c r="A3" s="229" t="s">
        <v>203</v>
      </c>
      <c r="B3" s="229" t="s">
        <v>0</v>
      </c>
      <c r="C3" s="230" t="s">
        <v>30</v>
      </c>
      <c r="D3" s="229" t="s">
        <v>1</v>
      </c>
      <c r="E3" s="230" t="s">
        <v>204</v>
      </c>
      <c r="F3" s="230" t="s">
        <v>39</v>
      </c>
      <c r="H3" s="49" t="s">
        <v>20</v>
      </c>
      <c r="I3" s="50" t="s">
        <v>43</v>
      </c>
      <c r="J3" s="51" t="s">
        <v>44</v>
      </c>
      <c r="K3" s="52" t="s">
        <v>49</v>
      </c>
      <c r="L3" s="53" t="s">
        <v>45</v>
      </c>
      <c r="M3" s="93" t="s">
        <v>75</v>
      </c>
      <c r="N3" s="1" t="s">
        <v>39</v>
      </c>
      <c r="O3" s="335" t="s">
        <v>76</v>
      </c>
      <c r="P3" s="49" t="s">
        <v>20</v>
      </c>
      <c r="Q3" s="50" t="s">
        <v>43</v>
      </c>
      <c r="R3" s="51" t="s">
        <v>44</v>
      </c>
      <c r="S3" s="52" t="s">
        <v>49</v>
      </c>
      <c r="T3" s="53" t="s">
        <v>45</v>
      </c>
    </row>
    <row r="4" spans="1:20" ht="14.25" customHeight="1">
      <c r="A4" s="231">
        <v>1</v>
      </c>
      <c r="B4" s="232" t="s">
        <v>205</v>
      </c>
      <c r="C4" s="233">
        <v>25849.599999999999</v>
      </c>
      <c r="D4" s="234" t="s">
        <v>206</v>
      </c>
      <c r="E4" s="235">
        <v>6</v>
      </c>
      <c r="F4" s="233">
        <f>C4*E4</f>
        <v>155097.59999999998</v>
      </c>
      <c r="I4" s="55">
        <f>RA!F10</f>
        <v>7.8159221627592519</v>
      </c>
      <c r="J4" s="56">
        <f>RA!F13</f>
        <v>3.4092597177519188</v>
      </c>
      <c r="L4" s="58">
        <f>RA!F16</f>
        <v>0.46035528596187175</v>
      </c>
      <c r="M4" s="94">
        <f t="shared" ref="M4:M42" si="0">SUM(H4:L4)</f>
        <v>11.685537166473042</v>
      </c>
      <c r="N4" s="3">
        <f t="shared" ref="N4:N42" si="1">M4*C4</f>
        <v>302066.4615384615</v>
      </c>
      <c r="O4" s="334">
        <f t="shared" ref="O4:O42" si="2">F4-N4</f>
        <v>-146968.86153846153</v>
      </c>
      <c r="P4" s="54">
        <f>H4*C4</f>
        <v>0</v>
      </c>
      <c r="Q4" s="55">
        <f>I4*C4</f>
        <v>202038.46153846153</v>
      </c>
      <c r="R4" s="56">
        <f>J4*C4</f>
        <v>88128</v>
      </c>
      <c r="S4" s="57">
        <f>K4*C4</f>
        <v>0</v>
      </c>
      <c r="T4" s="58">
        <f>L4*C4</f>
        <v>11900</v>
      </c>
    </row>
    <row r="5" spans="1:20" ht="14.25" customHeight="1">
      <c r="A5" s="231">
        <v>2</v>
      </c>
      <c r="B5" s="232" t="s">
        <v>207</v>
      </c>
      <c r="C5" s="233">
        <v>5254</v>
      </c>
      <c r="D5" s="234" t="s">
        <v>208</v>
      </c>
      <c r="E5" s="235">
        <v>226</v>
      </c>
      <c r="F5" s="233">
        <f t="shared" ref="F5:F42" si="3">C5*E5</f>
        <v>1187404</v>
      </c>
      <c r="I5" s="55">
        <f>RA!F26</f>
        <v>122.98322157477088</v>
      </c>
      <c r="J5" s="56">
        <f>RA!F29</f>
        <v>105.2455272173582</v>
      </c>
      <c r="L5" s="58">
        <f>RA!F32</f>
        <v>15.987818804720213</v>
      </c>
      <c r="M5" s="94">
        <f t="shared" si="0"/>
        <v>244.21656759684927</v>
      </c>
      <c r="N5" s="3">
        <f t="shared" si="1"/>
        <v>1283113.846153846</v>
      </c>
      <c r="O5" s="334">
        <f t="shared" si="2"/>
        <v>-95709.846153846011</v>
      </c>
      <c r="P5" s="54">
        <f t="shared" ref="P5:P42" si="4">H5*C5</f>
        <v>0</v>
      </c>
      <c r="Q5" s="55">
        <f t="shared" ref="Q5:Q42" si="5">I5*C5</f>
        <v>646153.84615384624</v>
      </c>
      <c r="R5" s="56">
        <f t="shared" ref="R5:R42" si="6">J5*C5</f>
        <v>552960</v>
      </c>
      <c r="S5" s="57">
        <f t="shared" ref="S5:S42" si="7">K5*C5</f>
        <v>0</v>
      </c>
      <c r="T5" s="58">
        <f t="shared" ref="T5:T42" si="8">L5*C5</f>
        <v>84000</v>
      </c>
    </row>
    <row r="6" spans="1:20" ht="14.25" customHeight="1">
      <c r="A6" s="231">
        <v>3</v>
      </c>
      <c r="B6" s="232" t="s">
        <v>209</v>
      </c>
      <c r="C6" s="233">
        <v>29381</v>
      </c>
      <c r="D6" s="234" t="s">
        <v>208</v>
      </c>
      <c r="E6" s="235">
        <v>85</v>
      </c>
      <c r="F6" s="233">
        <f t="shared" si="3"/>
        <v>2497385</v>
      </c>
      <c r="I6" s="55">
        <f>RA!F42</f>
        <v>21.992234646671189</v>
      </c>
      <c r="J6" s="56">
        <f>RA!F45</f>
        <v>21.957047071236513</v>
      </c>
      <c r="L6" s="58">
        <f>RA!F48</f>
        <v>2.8589905040672545</v>
      </c>
      <c r="M6" s="94">
        <f t="shared" si="0"/>
        <v>46.80827222197496</v>
      </c>
      <c r="N6" s="3">
        <f t="shared" si="1"/>
        <v>1375273.8461538462</v>
      </c>
      <c r="O6" s="334">
        <f t="shared" si="2"/>
        <v>1122111.1538461538</v>
      </c>
      <c r="P6" s="54">
        <f t="shared" si="4"/>
        <v>0</v>
      </c>
      <c r="Q6" s="55">
        <f t="shared" si="5"/>
        <v>646153.84615384624</v>
      </c>
      <c r="R6" s="56">
        <f t="shared" si="6"/>
        <v>645120</v>
      </c>
      <c r="S6" s="57">
        <f t="shared" si="7"/>
        <v>0</v>
      </c>
      <c r="T6" s="58">
        <f t="shared" si="8"/>
        <v>84000</v>
      </c>
    </row>
    <row r="7" spans="1:20" ht="14.25" customHeight="1">
      <c r="A7" s="231">
        <v>4</v>
      </c>
      <c r="B7" s="232" t="s">
        <v>210</v>
      </c>
      <c r="C7" s="235"/>
      <c r="D7" s="236"/>
      <c r="E7" s="235"/>
      <c r="F7" s="233">
        <f t="shared" si="3"/>
        <v>0</v>
      </c>
      <c r="M7" s="94">
        <f t="shared" si="0"/>
        <v>0</v>
      </c>
      <c r="N7" s="3">
        <f t="shared" si="1"/>
        <v>0</v>
      </c>
      <c r="O7" s="334">
        <f t="shared" si="2"/>
        <v>0</v>
      </c>
      <c r="P7" s="54">
        <f t="shared" si="4"/>
        <v>0</v>
      </c>
      <c r="Q7" s="55">
        <f t="shared" si="5"/>
        <v>0</v>
      </c>
      <c r="R7" s="56">
        <f t="shared" si="6"/>
        <v>0</v>
      </c>
      <c r="S7" s="57">
        <f t="shared" si="7"/>
        <v>0</v>
      </c>
      <c r="T7" s="58">
        <f t="shared" si="8"/>
        <v>0</v>
      </c>
    </row>
    <row r="8" spans="1:20" ht="14.25" customHeight="1">
      <c r="A8" s="237">
        <v>4.01</v>
      </c>
      <c r="B8" s="232" t="s">
        <v>211</v>
      </c>
      <c r="C8" s="233">
        <v>6346</v>
      </c>
      <c r="D8" s="234" t="s">
        <v>206</v>
      </c>
      <c r="E8" s="235">
        <v>955</v>
      </c>
      <c r="F8" s="233">
        <f t="shared" si="3"/>
        <v>6060430</v>
      </c>
      <c r="K8" s="57">
        <f>RA!F55</f>
        <v>494.96</v>
      </c>
      <c r="L8" s="58">
        <f>K8*0.05</f>
        <v>24.748000000000001</v>
      </c>
      <c r="M8" s="94">
        <f t="shared" si="0"/>
        <v>519.70799999999997</v>
      </c>
      <c r="N8" s="3">
        <f t="shared" si="1"/>
        <v>3298066.9679999999</v>
      </c>
      <c r="O8" s="334">
        <f t="shared" si="2"/>
        <v>2762363.0320000001</v>
      </c>
      <c r="P8" s="54">
        <f t="shared" si="4"/>
        <v>0</v>
      </c>
      <c r="Q8" s="55">
        <f t="shared" si="5"/>
        <v>0</v>
      </c>
      <c r="R8" s="56">
        <f t="shared" si="6"/>
        <v>0</v>
      </c>
      <c r="S8" s="57">
        <f t="shared" si="7"/>
        <v>3141016.1599999997</v>
      </c>
      <c r="T8" s="58">
        <f t="shared" si="8"/>
        <v>157050.80800000002</v>
      </c>
    </row>
    <row r="9" spans="1:20" ht="14.25" customHeight="1">
      <c r="A9" s="237">
        <v>4.0199999999999996</v>
      </c>
      <c r="B9" s="232" t="s">
        <v>212</v>
      </c>
      <c r="C9" s="233">
        <v>6536</v>
      </c>
      <c r="D9" s="234" t="s">
        <v>206</v>
      </c>
      <c r="E9" s="235">
        <v>1060</v>
      </c>
      <c r="F9" s="233">
        <f t="shared" si="3"/>
        <v>6928160</v>
      </c>
      <c r="K9" s="57">
        <f>RA!F61</f>
        <v>602.55999999999995</v>
      </c>
      <c r="L9" s="58">
        <f t="shared" ref="L9:L26" si="9">K9*0.05</f>
        <v>30.128</v>
      </c>
      <c r="M9" s="94">
        <f t="shared" si="0"/>
        <v>632.68799999999999</v>
      </c>
      <c r="N9" s="3">
        <f t="shared" si="1"/>
        <v>4135248.7679999997</v>
      </c>
      <c r="O9" s="334">
        <f t="shared" si="2"/>
        <v>2792911.2320000003</v>
      </c>
      <c r="P9" s="54">
        <f t="shared" si="4"/>
        <v>0</v>
      </c>
      <c r="Q9" s="55">
        <f t="shared" si="5"/>
        <v>0</v>
      </c>
      <c r="R9" s="56">
        <f t="shared" si="6"/>
        <v>0</v>
      </c>
      <c r="S9" s="57">
        <f t="shared" si="7"/>
        <v>3938332.1599999997</v>
      </c>
      <c r="T9" s="58">
        <f t="shared" si="8"/>
        <v>196916.60800000001</v>
      </c>
    </row>
    <row r="10" spans="1:20" ht="14.25" customHeight="1">
      <c r="A10" s="237">
        <v>4.03</v>
      </c>
      <c r="B10" s="232" t="s">
        <v>213</v>
      </c>
      <c r="C10" s="233">
        <v>739</v>
      </c>
      <c r="D10" s="234" t="s">
        <v>206</v>
      </c>
      <c r="E10" s="235">
        <v>1095</v>
      </c>
      <c r="F10" s="233">
        <f t="shared" si="3"/>
        <v>809205</v>
      </c>
      <c r="K10" s="57">
        <f>RA!F61</f>
        <v>602.55999999999995</v>
      </c>
      <c r="L10" s="58">
        <f t="shared" si="9"/>
        <v>30.128</v>
      </c>
      <c r="M10" s="94">
        <f t="shared" si="0"/>
        <v>632.68799999999999</v>
      </c>
      <c r="N10" s="3">
        <f t="shared" si="1"/>
        <v>467556.43199999997</v>
      </c>
      <c r="O10" s="334">
        <f t="shared" si="2"/>
        <v>341648.56800000003</v>
      </c>
      <c r="P10" s="54">
        <f t="shared" si="4"/>
        <v>0</v>
      </c>
      <c r="Q10" s="55">
        <f t="shared" si="5"/>
        <v>0</v>
      </c>
      <c r="R10" s="56">
        <f t="shared" si="6"/>
        <v>0</v>
      </c>
      <c r="S10" s="57">
        <f t="shared" si="7"/>
        <v>445291.83999999997</v>
      </c>
      <c r="T10" s="58">
        <f t="shared" si="8"/>
        <v>22264.592000000001</v>
      </c>
    </row>
    <row r="11" spans="1:20" ht="14.25" customHeight="1">
      <c r="A11" s="237">
        <v>4.04</v>
      </c>
      <c r="B11" s="232" t="s">
        <v>214</v>
      </c>
      <c r="C11" s="233">
        <v>303</v>
      </c>
      <c r="D11" s="234" t="s">
        <v>206</v>
      </c>
      <c r="E11" s="235">
        <v>1130</v>
      </c>
      <c r="F11" s="233">
        <f t="shared" si="3"/>
        <v>342390</v>
      </c>
      <c r="K11" s="57">
        <f>RA!F67</f>
        <v>656.3599999999999</v>
      </c>
      <c r="L11" s="58">
        <f t="shared" si="9"/>
        <v>32.817999999999998</v>
      </c>
      <c r="M11" s="94">
        <f t="shared" si="0"/>
        <v>689.17799999999988</v>
      </c>
      <c r="N11" s="3">
        <f t="shared" si="1"/>
        <v>208820.93399999995</v>
      </c>
      <c r="O11" s="334">
        <f t="shared" si="2"/>
        <v>133569.06600000005</v>
      </c>
      <c r="P11" s="54">
        <f t="shared" si="4"/>
        <v>0</v>
      </c>
      <c r="Q11" s="55">
        <f t="shared" si="5"/>
        <v>0</v>
      </c>
      <c r="R11" s="56">
        <f t="shared" si="6"/>
        <v>0</v>
      </c>
      <c r="S11" s="57">
        <f t="shared" si="7"/>
        <v>198877.07999999996</v>
      </c>
      <c r="T11" s="58">
        <f t="shared" si="8"/>
        <v>9943.8539999999994</v>
      </c>
    </row>
    <row r="12" spans="1:20" ht="14.25" customHeight="1">
      <c r="A12" s="231">
        <v>5</v>
      </c>
      <c r="B12" s="232" t="s">
        <v>215</v>
      </c>
      <c r="C12" s="233">
        <v>379</v>
      </c>
      <c r="D12" s="234" t="s">
        <v>208</v>
      </c>
      <c r="E12" s="235">
        <v>5885</v>
      </c>
      <c r="F12" s="233">
        <f t="shared" si="3"/>
        <v>2230415</v>
      </c>
      <c r="H12" s="54">
        <f>RA!F77</f>
        <v>2037.4381625441695</v>
      </c>
      <c r="I12" s="55">
        <f>RA!F86</f>
        <v>711.53846153846155</v>
      </c>
      <c r="J12" s="56">
        <f>RA!F89</f>
        <v>268.8</v>
      </c>
      <c r="K12" s="57">
        <f>RA!F82</f>
        <v>550</v>
      </c>
      <c r="L12" s="58">
        <f t="shared" si="9"/>
        <v>27.5</v>
      </c>
      <c r="M12" s="94">
        <f t="shared" si="0"/>
        <v>3595.2766240826313</v>
      </c>
      <c r="N12" s="3">
        <f t="shared" si="1"/>
        <v>1362609.8405273173</v>
      </c>
      <c r="O12" s="334">
        <f t="shared" si="2"/>
        <v>867805.15947268275</v>
      </c>
      <c r="P12" s="54">
        <f t="shared" si="4"/>
        <v>772189.06360424019</v>
      </c>
      <c r="Q12" s="55">
        <f t="shared" si="5"/>
        <v>269673.07692307694</v>
      </c>
      <c r="R12" s="56">
        <f t="shared" si="6"/>
        <v>101875.2</v>
      </c>
      <c r="S12" s="57">
        <f t="shared" si="7"/>
        <v>208450</v>
      </c>
      <c r="T12" s="58">
        <f t="shared" si="8"/>
        <v>10422.5</v>
      </c>
    </row>
    <row r="13" spans="1:20" ht="14.25" customHeight="1">
      <c r="A13" s="231">
        <v>6</v>
      </c>
      <c r="B13" s="232" t="s">
        <v>216</v>
      </c>
      <c r="C13" s="235"/>
      <c r="D13" s="236"/>
      <c r="E13" s="235"/>
      <c r="F13" s="233">
        <f t="shared" si="3"/>
        <v>0</v>
      </c>
      <c r="M13" s="94">
        <f t="shared" si="0"/>
        <v>0</v>
      </c>
      <c r="N13" s="3">
        <f t="shared" si="1"/>
        <v>0</v>
      </c>
      <c r="O13" s="334">
        <f t="shared" si="2"/>
        <v>0</v>
      </c>
      <c r="P13" s="54">
        <f t="shared" si="4"/>
        <v>0</v>
      </c>
      <c r="Q13" s="55">
        <f t="shared" si="5"/>
        <v>0</v>
      </c>
      <c r="R13" s="56">
        <f t="shared" si="6"/>
        <v>0</v>
      </c>
      <c r="S13" s="57">
        <f t="shared" si="7"/>
        <v>0</v>
      </c>
      <c r="T13" s="58">
        <f t="shared" si="8"/>
        <v>0</v>
      </c>
    </row>
    <row r="14" spans="1:20" ht="14.25" customHeight="1">
      <c r="A14" s="237">
        <v>6.01</v>
      </c>
      <c r="B14" s="232" t="s">
        <v>217</v>
      </c>
      <c r="C14" s="233">
        <v>739</v>
      </c>
      <c r="D14" s="234" t="s">
        <v>208</v>
      </c>
      <c r="E14" s="235">
        <v>6850</v>
      </c>
      <c r="F14" s="233">
        <f t="shared" si="3"/>
        <v>5062150</v>
      </c>
      <c r="H14" s="54">
        <f>RA!F101</f>
        <v>2287.4381625441692</v>
      </c>
      <c r="I14" s="55">
        <f>RA!F110</f>
        <v>592.9487179487179</v>
      </c>
      <c r="J14" s="56">
        <f>RA!F113</f>
        <v>224</v>
      </c>
      <c r="K14" s="57">
        <f>RA!F106</f>
        <v>550</v>
      </c>
      <c r="L14" s="58">
        <f t="shared" si="9"/>
        <v>27.5</v>
      </c>
      <c r="M14" s="94">
        <f t="shared" si="0"/>
        <v>3681.886880492887</v>
      </c>
      <c r="N14" s="3">
        <f t="shared" si="1"/>
        <v>2720914.4046842437</v>
      </c>
      <c r="O14" s="334">
        <f t="shared" si="2"/>
        <v>2341235.5953157563</v>
      </c>
      <c r="P14" s="54">
        <f t="shared" si="4"/>
        <v>1690416.802120141</v>
      </c>
      <c r="Q14" s="55">
        <f t="shared" si="5"/>
        <v>438189.1025641025</v>
      </c>
      <c r="R14" s="56">
        <f t="shared" si="6"/>
        <v>165536</v>
      </c>
      <c r="S14" s="57">
        <f t="shared" si="7"/>
        <v>406450</v>
      </c>
      <c r="T14" s="58">
        <f t="shared" si="8"/>
        <v>20322.5</v>
      </c>
    </row>
    <row r="15" spans="1:20" ht="14.25" customHeight="1">
      <c r="A15" s="237">
        <v>6.02</v>
      </c>
      <c r="B15" s="232" t="s">
        <v>218</v>
      </c>
      <c r="C15" s="233">
        <v>220</v>
      </c>
      <c r="D15" s="234" t="s">
        <v>208</v>
      </c>
      <c r="E15" s="235">
        <v>6984</v>
      </c>
      <c r="F15" s="233">
        <f t="shared" si="3"/>
        <v>1536480</v>
      </c>
      <c r="H15" s="54">
        <f>H14</f>
        <v>2287.4381625441692</v>
      </c>
      <c r="I15" s="55">
        <f>I14</f>
        <v>592.9487179487179</v>
      </c>
      <c r="J15" s="56">
        <f>J14</f>
        <v>224</v>
      </c>
      <c r="K15" s="57">
        <f>K14</f>
        <v>550</v>
      </c>
      <c r="L15" s="58">
        <f t="shared" si="9"/>
        <v>27.5</v>
      </c>
      <c r="M15" s="94">
        <f t="shared" si="0"/>
        <v>3681.886880492887</v>
      </c>
      <c r="N15" s="3">
        <f t="shared" si="1"/>
        <v>810015.11370843509</v>
      </c>
      <c r="O15" s="334">
        <f t="shared" si="2"/>
        <v>726464.88629156491</v>
      </c>
      <c r="P15" s="54">
        <f t="shared" si="4"/>
        <v>503236.39575971721</v>
      </c>
      <c r="Q15" s="55">
        <f t="shared" si="5"/>
        <v>130448.71794871794</v>
      </c>
      <c r="R15" s="56">
        <f t="shared" si="6"/>
        <v>49280</v>
      </c>
      <c r="S15" s="57">
        <f t="shared" si="7"/>
        <v>121000</v>
      </c>
      <c r="T15" s="58">
        <f t="shared" si="8"/>
        <v>6050</v>
      </c>
    </row>
    <row r="16" spans="1:20" ht="14.25" customHeight="1">
      <c r="A16" s="231">
        <v>7</v>
      </c>
      <c r="B16" s="232" t="s">
        <v>219</v>
      </c>
      <c r="C16" s="235"/>
      <c r="D16" s="236"/>
      <c r="E16" s="235"/>
      <c r="F16" s="233">
        <f t="shared" si="3"/>
        <v>0</v>
      </c>
      <c r="M16" s="94">
        <f t="shared" si="0"/>
        <v>0</v>
      </c>
      <c r="N16" s="3">
        <f t="shared" si="1"/>
        <v>0</v>
      </c>
      <c r="O16" s="334">
        <f t="shared" si="2"/>
        <v>0</v>
      </c>
      <c r="P16" s="54">
        <f t="shared" si="4"/>
        <v>0</v>
      </c>
      <c r="Q16" s="55">
        <f t="shared" si="5"/>
        <v>0</v>
      </c>
      <c r="R16" s="56">
        <f t="shared" si="6"/>
        <v>0</v>
      </c>
      <c r="S16" s="57">
        <f t="shared" si="7"/>
        <v>0</v>
      </c>
      <c r="T16" s="58">
        <f t="shared" si="8"/>
        <v>0</v>
      </c>
    </row>
    <row r="17" spans="1:20" ht="14.25" customHeight="1">
      <c r="A17" s="237">
        <v>7.01</v>
      </c>
      <c r="B17" s="232" t="s">
        <v>220</v>
      </c>
      <c r="C17" s="233">
        <v>4986</v>
      </c>
      <c r="D17" s="234" t="s">
        <v>208</v>
      </c>
      <c r="E17" s="235">
        <v>6510</v>
      </c>
      <c r="F17" s="233">
        <f t="shared" si="3"/>
        <v>32458860</v>
      </c>
      <c r="H17" s="54">
        <f>RA!F126</f>
        <v>2345.388692579505</v>
      </c>
      <c r="I17" s="55">
        <f>RA!F135</f>
        <v>711.53846153846155</v>
      </c>
      <c r="J17" s="56">
        <f>RA!F138</f>
        <v>403.2</v>
      </c>
      <c r="K17" s="57">
        <f>RA!F131</f>
        <v>550</v>
      </c>
      <c r="L17" s="58">
        <f t="shared" si="9"/>
        <v>27.5</v>
      </c>
      <c r="M17" s="94">
        <f t="shared" si="0"/>
        <v>4037.6271541179663</v>
      </c>
      <c r="N17" s="3">
        <f t="shared" si="1"/>
        <v>20131608.99043218</v>
      </c>
      <c r="O17" s="334">
        <f t="shared" si="2"/>
        <v>12327251.00956782</v>
      </c>
      <c r="P17" s="54">
        <f t="shared" si="4"/>
        <v>11694108.021201411</v>
      </c>
      <c r="Q17" s="55">
        <f t="shared" si="5"/>
        <v>3547730.7692307695</v>
      </c>
      <c r="R17" s="56">
        <f t="shared" si="6"/>
        <v>2010355.2</v>
      </c>
      <c r="S17" s="57">
        <f t="shared" si="7"/>
        <v>2742300</v>
      </c>
      <c r="T17" s="58">
        <f t="shared" si="8"/>
        <v>137115</v>
      </c>
    </row>
    <row r="18" spans="1:20" ht="14.25" customHeight="1">
      <c r="A18" s="237">
        <v>7.02</v>
      </c>
      <c r="B18" s="232" t="s">
        <v>221</v>
      </c>
      <c r="C18" s="233">
        <v>1579</v>
      </c>
      <c r="D18" s="234" t="s">
        <v>208</v>
      </c>
      <c r="E18" s="235">
        <v>6645</v>
      </c>
      <c r="F18" s="233">
        <f t="shared" si="3"/>
        <v>10492455</v>
      </c>
      <c r="H18" s="54">
        <f>H17</f>
        <v>2345.388692579505</v>
      </c>
      <c r="I18" s="55">
        <f>I17</f>
        <v>711.53846153846155</v>
      </c>
      <c r="J18" s="56">
        <f>J17</f>
        <v>403.2</v>
      </c>
      <c r="K18" s="57">
        <f>K17</f>
        <v>550</v>
      </c>
      <c r="L18" s="58">
        <f t="shared" si="9"/>
        <v>27.5</v>
      </c>
      <c r="M18" s="94">
        <f t="shared" si="0"/>
        <v>4037.6271541179663</v>
      </c>
      <c r="N18" s="3">
        <f t="shared" si="1"/>
        <v>6375413.2763522686</v>
      </c>
      <c r="O18" s="334">
        <f t="shared" si="2"/>
        <v>4117041.7236477314</v>
      </c>
      <c r="P18" s="54">
        <f t="shared" si="4"/>
        <v>3703368.7455830383</v>
      </c>
      <c r="Q18" s="55">
        <f t="shared" si="5"/>
        <v>1123519.2307692308</v>
      </c>
      <c r="R18" s="56">
        <f t="shared" si="6"/>
        <v>636652.79999999993</v>
      </c>
      <c r="S18" s="57">
        <f t="shared" si="7"/>
        <v>868450</v>
      </c>
      <c r="T18" s="58">
        <f t="shared" si="8"/>
        <v>43422.5</v>
      </c>
    </row>
    <row r="19" spans="1:20" ht="14.25" customHeight="1">
      <c r="A19" s="231">
        <v>8</v>
      </c>
      <c r="B19" s="238" t="s">
        <v>222</v>
      </c>
      <c r="C19" s="233">
        <v>800</v>
      </c>
      <c r="D19" s="234" t="s">
        <v>12</v>
      </c>
      <c r="E19" s="235">
        <v>14577</v>
      </c>
      <c r="F19" s="233">
        <f t="shared" si="3"/>
        <v>11661600</v>
      </c>
      <c r="H19" s="54">
        <f>RA!F151</f>
        <v>4918.2464664310955</v>
      </c>
      <c r="I19" s="55">
        <f>RA!F160</f>
        <v>351.3770180436847</v>
      </c>
      <c r="J19" s="56">
        <f>RA!F163</f>
        <v>199.11111111111111</v>
      </c>
      <c r="K19" s="57">
        <f>RA!F156</f>
        <v>1300</v>
      </c>
      <c r="L19" s="58">
        <f t="shared" si="9"/>
        <v>65</v>
      </c>
      <c r="M19" s="94">
        <f t="shared" si="0"/>
        <v>6833.7345955858918</v>
      </c>
      <c r="N19" s="3">
        <f t="shared" si="1"/>
        <v>5466987.6764687132</v>
      </c>
      <c r="O19" s="334">
        <f t="shared" si="2"/>
        <v>6194612.3235312868</v>
      </c>
      <c r="P19" s="54">
        <f t="shared" si="4"/>
        <v>3934597.1731448765</v>
      </c>
      <c r="Q19" s="55">
        <f t="shared" si="5"/>
        <v>281101.61443494778</v>
      </c>
      <c r="R19" s="56">
        <f t="shared" si="6"/>
        <v>159288.88888888891</v>
      </c>
      <c r="S19" s="57">
        <f t="shared" si="7"/>
        <v>1040000</v>
      </c>
      <c r="T19" s="58">
        <f t="shared" si="8"/>
        <v>52000</v>
      </c>
    </row>
    <row r="20" spans="1:20" ht="14.25" customHeight="1">
      <c r="A20" s="231">
        <v>9</v>
      </c>
      <c r="B20" s="232" t="s">
        <v>223</v>
      </c>
      <c r="C20" s="233">
        <v>906</v>
      </c>
      <c r="D20" s="234" t="s">
        <v>208</v>
      </c>
      <c r="E20" s="235">
        <v>8709</v>
      </c>
      <c r="F20" s="233">
        <f t="shared" si="3"/>
        <v>7890354</v>
      </c>
      <c r="G20" s="228"/>
      <c r="H20" s="54">
        <f>RA!F176</f>
        <v>2665.9187279151943</v>
      </c>
      <c r="I20" s="55">
        <f>RA!F184</f>
        <v>711.53846153846155</v>
      </c>
      <c r="J20" s="56">
        <f>RA!F187</f>
        <v>336</v>
      </c>
      <c r="K20" s="57">
        <f>RA!F180</f>
        <v>350</v>
      </c>
      <c r="L20" s="58">
        <f t="shared" si="9"/>
        <v>17.5</v>
      </c>
      <c r="M20" s="94">
        <f t="shared" si="0"/>
        <v>4080.9571894536557</v>
      </c>
      <c r="N20" s="3">
        <f t="shared" si="1"/>
        <v>3697347.2136450121</v>
      </c>
      <c r="O20" s="334">
        <f t="shared" si="2"/>
        <v>4193006.7863549879</v>
      </c>
      <c r="P20" s="54">
        <f t="shared" si="4"/>
        <v>2415322.3674911661</v>
      </c>
      <c r="Q20" s="55">
        <f t="shared" si="5"/>
        <v>644653.84615384613</v>
      </c>
      <c r="R20" s="56">
        <f t="shared" si="6"/>
        <v>304416</v>
      </c>
      <c r="S20" s="57">
        <f t="shared" si="7"/>
        <v>317100</v>
      </c>
      <c r="T20" s="58">
        <f t="shared" si="8"/>
        <v>15855</v>
      </c>
    </row>
    <row r="21" spans="1:20" ht="14.25" customHeight="1">
      <c r="A21" s="231">
        <v>10</v>
      </c>
      <c r="B21" s="232" t="s">
        <v>224</v>
      </c>
      <c r="C21" s="233">
        <v>32</v>
      </c>
      <c r="D21" s="234" t="s">
        <v>208</v>
      </c>
      <c r="E21" s="235">
        <v>8857</v>
      </c>
      <c r="F21" s="233">
        <f t="shared" si="3"/>
        <v>283424</v>
      </c>
      <c r="G21" s="228"/>
      <c r="H21" s="54">
        <f>RA!F200</f>
        <v>2770.9187279151943</v>
      </c>
      <c r="I21" s="55">
        <f>RA!F208</f>
        <v>711.53846153846155</v>
      </c>
      <c r="J21" s="56">
        <f>RA!F211</f>
        <v>336</v>
      </c>
      <c r="K21" s="57">
        <f>RA!F204</f>
        <v>350</v>
      </c>
      <c r="L21" s="58">
        <f t="shared" si="9"/>
        <v>17.5</v>
      </c>
      <c r="M21" s="94">
        <f t="shared" si="0"/>
        <v>4185.9571894536557</v>
      </c>
      <c r="N21" s="3">
        <f t="shared" si="1"/>
        <v>133950.63006251698</v>
      </c>
      <c r="O21" s="334">
        <f t="shared" si="2"/>
        <v>149473.36993748302</v>
      </c>
      <c r="P21" s="54">
        <f t="shared" si="4"/>
        <v>88669.399293286217</v>
      </c>
      <c r="Q21" s="55">
        <f t="shared" si="5"/>
        <v>22769.23076923077</v>
      </c>
      <c r="R21" s="56">
        <f t="shared" si="6"/>
        <v>10752</v>
      </c>
      <c r="S21" s="57">
        <f t="shared" si="7"/>
        <v>11200</v>
      </c>
      <c r="T21" s="58">
        <f t="shared" si="8"/>
        <v>560</v>
      </c>
    </row>
    <row r="22" spans="1:20" ht="14.25" customHeight="1">
      <c r="A22" s="231">
        <v>11</v>
      </c>
      <c r="B22" s="232" t="s">
        <v>225</v>
      </c>
      <c r="C22" s="235"/>
      <c r="D22" s="236"/>
      <c r="E22" s="235"/>
      <c r="F22" s="233">
        <f t="shared" si="3"/>
        <v>0</v>
      </c>
      <c r="M22" s="94">
        <f t="shared" si="0"/>
        <v>0</v>
      </c>
      <c r="N22" s="3">
        <f t="shared" si="1"/>
        <v>0</v>
      </c>
      <c r="O22" s="334">
        <f t="shared" si="2"/>
        <v>0</v>
      </c>
      <c r="P22" s="54">
        <f t="shared" si="4"/>
        <v>0</v>
      </c>
      <c r="Q22" s="55">
        <f t="shared" si="5"/>
        <v>0</v>
      </c>
      <c r="R22" s="56">
        <f t="shared" si="6"/>
        <v>0</v>
      </c>
      <c r="S22" s="57">
        <f t="shared" si="7"/>
        <v>0</v>
      </c>
      <c r="T22" s="58">
        <f t="shared" si="8"/>
        <v>0</v>
      </c>
    </row>
    <row r="23" spans="1:20" ht="14.25" customHeight="1">
      <c r="A23" s="237">
        <v>11.01</v>
      </c>
      <c r="B23" s="232" t="s">
        <v>220</v>
      </c>
      <c r="C23" s="233">
        <v>225</v>
      </c>
      <c r="D23" s="234" t="s">
        <v>208</v>
      </c>
      <c r="E23" s="235">
        <v>7280</v>
      </c>
      <c r="F23" s="233">
        <f t="shared" si="3"/>
        <v>1638000</v>
      </c>
      <c r="H23" s="54">
        <f>RA!F224</f>
        <v>2665.9187279151943</v>
      </c>
      <c r="I23" s="55">
        <f>RA!F232</f>
        <v>711.53846153846155</v>
      </c>
      <c r="J23" s="56">
        <f>RA!F235</f>
        <v>336</v>
      </c>
      <c r="K23" s="57">
        <f>RA!F228</f>
        <v>350</v>
      </c>
      <c r="L23" s="58">
        <f t="shared" si="9"/>
        <v>17.5</v>
      </c>
      <c r="M23" s="94">
        <f t="shared" si="0"/>
        <v>4080.9571894536557</v>
      </c>
      <c r="N23" s="3">
        <f t="shared" si="1"/>
        <v>918215.3676270725</v>
      </c>
      <c r="O23" s="334">
        <f t="shared" si="2"/>
        <v>719784.6323729275</v>
      </c>
      <c r="P23" s="54">
        <f t="shared" si="4"/>
        <v>599831.71378091874</v>
      </c>
      <c r="Q23" s="55">
        <f t="shared" si="5"/>
        <v>160096.15384615384</v>
      </c>
      <c r="R23" s="56">
        <f t="shared" si="6"/>
        <v>75600</v>
      </c>
      <c r="S23" s="57">
        <f t="shared" si="7"/>
        <v>78750</v>
      </c>
      <c r="T23" s="58">
        <f t="shared" si="8"/>
        <v>3937.5</v>
      </c>
    </row>
    <row r="24" spans="1:20" ht="14.25" customHeight="1">
      <c r="A24" s="237">
        <v>11.02</v>
      </c>
      <c r="B24" s="232" t="s">
        <v>226</v>
      </c>
      <c r="C24" s="233">
        <v>525</v>
      </c>
      <c r="D24" s="234" t="s">
        <v>208</v>
      </c>
      <c r="E24" s="235">
        <v>7414</v>
      </c>
      <c r="F24" s="233">
        <f t="shared" si="3"/>
        <v>3892350</v>
      </c>
      <c r="H24" s="54">
        <f t="shared" ref="H24:J25" si="10">H23</f>
        <v>2665.9187279151943</v>
      </c>
      <c r="I24" s="55">
        <f t="shared" si="10"/>
        <v>711.53846153846155</v>
      </c>
      <c r="J24" s="56">
        <f t="shared" si="10"/>
        <v>336</v>
      </c>
      <c r="K24" s="57">
        <f>K23*1.1</f>
        <v>385.00000000000006</v>
      </c>
      <c r="L24" s="58">
        <f t="shared" si="9"/>
        <v>19.250000000000004</v>
      </c>
      <c r="M24" s="94">
        <f t="shared" si="0"/>
        <v>4117.7071894536557</v>
      </c>
      <c r="N24" s="3">
        <f t="shared" si="1"/>
        <v>2161796.2744631693</v>
      </c>
      <c r="O24" s="334">
        <f t="shared" si="2"/>
        <v>1730553.7255368307</v>
      </c>
      <c r="P24" s="54">
        <f t="shared" si="4"/>
        <v>1399607.332155477</v>
      </c>
      <c r="Q24" s="55">
        <f t="shared" si="5"/>
        <v>373557.69230769231</v>
      </c>
      <c r="R24" s="56">
        <f t="shared" si="6"/>
        <v>176400</v>
      </c>
      <c r="S24" s="57">
        <f t="shared" si="7"/>
        <v>202125.00000000003</v>
      </c>
      <c r="T24" s="58">
        <f t="shared" si="8"/>
        <v>10106.250000000002</v>
      </c>
    </row>
    <row r="25" spans="1:20" ht="14.25" customHeight="1">
      <c r="A25" s="237">
        <v>11.03</v>
      </c>
      <c r="B25" s="232" t="s">
        <v>227</v>
      </c>
      <c r="C25" s="233">
        <v>2.9</v>
      </c>
      <c r="D25" s="234" t="s">
        <v>208</v>
      </c>
      <c r="E25" s="235">
        <v>7416</v>
      </c>
      <c r="F25" s="233">
        <f t="shared" si="3"/>
        <v>21506.399999999998</v>
      </c>
      <c r="H25" s="54">
        <f t="shared" si="10"/>
        <v>2665.9187279151943</v>
      </c>
      <c r="I25" s="55">
        <f t="shared" si="10"/>
        <v>711.53846153846155</v>
      </c>
      <c r="J25" s="56">
        <f t="shared" si="10"/>
        <v>336</v>
      </c>
      <c r="K25" s="57">
        <f>K23*1.2</f>
        <v>420</v>
      </c>
      <c r="L25" s="58">
        <f t="shared" si="9"/>
        <v>21</v>
      </c>
      <c r="M25" s="94">
        <f t="shared" si="0"/>
        <v>4154.4571894536557</v>
      </c>
      <c r="N25" s="3">
        <f t="shared" si="1"/>
        <v>12047.925849415602</v>
      </c>
      <c r="O25" s="334">
        <f t="shared" si="2"/>
        <v>9458.4741505843958</v>
      </c>
      <c r="P25" s="54">
        <f t="shared" si="4"/>
        <v>7731.1643109540628</v>
      </c>
      <c r="Q25" s="55">
        <f t="shared" si="5"/>
        <v>2063.4615384615386</v>
      </c>
      <c r="R25" s="56">
        <f t="shared" si="6"/>
        <v>974.4</v>
      </c>
      <c r="S25" s="57">
        <f t="shared" si="7"/>
        <v>1218</v>
      </c>
      <c r="T25" s="58">
        <f t="shared" si="8"/>
        <v>60.9</v>
      </c>
    </row>
    <row r="26" spans="1:20" ht="14.25" customHeight="1">
      <c r="A26" s="231">
        <v>12</v>
      </c>
      <c r="B26" s="232" t="s">
        <v>228</v>
      </c>
      <c r="C26" s="233">
        <v>1752</v>
      </c>
      <c r="D26" s="234" t="s">
        <v>229</v>
      </c>
      <c r="E26" s="235">
        <v>9258</v>
      </c>
      <c r="F26" s="233">
        <f t="shared" si="3"/>
        <v>16220016</v>
      </c>
      <c r="H26" s="54">
        <f>RA!F244</f>
        <v>5376</v>
      </c>
      <c r="K26" s="57">
        <f>RA!F248</f>
        <v>1350</v>
      </c>
      <c r="L26" s="58">
        <f t="shared" si="9"/>
        <v>67.5</v>
      </c>
      <c r="M26" s="94">
        <f t="shared" si="0"/>
        <v>6793.5</v>
      </c>
      <c r="N26" s="3">
        <f t="shared" si="1"/>
        <v>11902212</v>
      </c>
      <c r="O26" s="334">
        <f t="shared" si="2"/>
        <v>4317804</v>
      </c>
      <c r="P26" s="54">
        <f t="shared" si="4"/>
        <v>9418752</v>
      </c>
      <c r="Q26" s="55">
        <f t="shared" si="5"/>
        <v>0</v>
      </c>
      <c r="R26" s="56">
        <f t="shared" si="6"/>
        <v>0</v>
      </c>
      <c r="S26" s="57">
        <f t="shared" si="7"/>
        <v>2365200</v>
      </c>
      <c r="T26" s="58">
        <f t="shared" si="8"/>
        <v>118260</v>
      </c>
    </row>
    <row r="27" spans="1:20" ht="14.25" customHeight="1">
      <c r="A27" s="231">
        <v>13</v>
      </c>
      <c r="B27" s="232" t="s">
        <v>230</v>
      </c>
      <c r="C27" s="233">
        <v>398</v>
      </c>
      <c r="D27" s="234" t="s">
        <v>208</v>
      </c>
      <c r="E27" s="235">
        <v>1785</v>
      </c>
      <c r="F27" s="233">
        <f t="shared" si="3"/>
        <v>710430</v>
      </c>
      <c r="H27" s="54">
        <f>RA!F255</f>
        <v>742.04946996466435</v>
      </c>
      <c r="I27" s="55">
        <f>RA!F259</f>
        <v>202.93776575183608</v>
      </c>
      <c r="J27" s="56">
        <f>RA!F262</f>
        <v>72.361809045226124</v>
      </c>
      <c r="K27" s="57">
        <f>RA!F265</f>
        <v>200</v>
      </c>
      <c r="M27" s="94">
        <f t="shared" si="0"/>
        <v>1217.3490447617264</v>
      </c>
      <c r="N27" s="3">
        <f t="shared" si="1"/>
        <v>484504.91981516709</v>
      </c>
      <c r="O27" s="334">
        <f t="shared" si="2"/>
        <v>225925.08018483291</v>
      </c>
      <c r="P27" s="54">
        <f t="shared" si="4"/>
        <v>295335.68904593639</v>
      </c>
      <c r="Q27" s="55">
        <f t="shared" si="5"/>
        <v>80769.230769230766</v>
      </c>
      <c r="R27" s="56">
        <f t="shared" si="6"/>
        <v>28799.999999999996</v>
      </c>
      <c r="S27" s="57">
        <f t="shared" si="7"/>
        <v>79600</v>
      </c>
      <c r="T27" s="58">
        <f t="shared" si="8"/>
        <v>0</v>
      </c>
    </row>
    <row r="28" spans="1:20" s="218" customFormat="1" ht="14.25" customHeight="1">
      <c r="A28" s="231">
        <v>14</v>
      </c>
      <c r="B28" s="232" t="s">
        <v>231</v>
      </c>
      <c r="C28" s="233">
        <v>795</v>
      </c>
      <c r="D28" s="234" t="s">
        <v>208</v>
      </c>
      <c r="E28" s="235">
        <v>1580</v>
      </c>
      <c r="F28" s="233">
        <f t="shared" si="3"/>
        <v>1256100</v>
      </c>
      <c r="H28" s="54">
        <f>RA!F273</f>
        <v>1413.4275618374559</v>
      </c>
      <c r="I28" s="55">
        <f>RA!F278</f>
        <v>232.22060957910014</v>
      </c>
      <c r="J28" s="56">
        <f>RA!F281</f>
        <v>207.69811320754718</v>
      </c>
      <c r="K28" s="57">
        <f>RA!F284</f>
        <v>200</v>
      </c>
      <c r="L28" s="58"/>
      <c r="M28" s="94">
        <f t="shared" si="0"/>
        <v>2053.3462846241032</v>
      </c>
      <c r="N28" s="3">
        <f t="shared" si="1"/>
        <v>1632410.2962761621</v>
      </c>
      <c r="O28" s="334">
        <f t="shared" si="2"/>
        <v>-376310.29627616215</v>
      </c>
      <c r="P28" s="54">
        <f t="shared" ref="P28:P29" si="11">H28*C28</f>
        <v>1123674.9116607774</v>
      </c>
      <c r="Q28" s="55">
        <f t="shared" ref="Q28:Q29" si="12">I28*C28</f>
        <v>184615.38461538462</v>
      </c>
      <c r="R28" s="56">
        <f t="shared" ref="R28:R29" si="13">J28*C28</f>
        <v>165120</v>
      </c>
      <c r="S28" s="57">
        <f t="shared" ref="S28:S29" si="14">K28*C28</f>
        <v>159000</v>
      </c>
      <c r="T28" s="58">
        <f t="shared" ref="T28:T29" si="15">L28*C28</f>
        <v>0</v>
      </c>
    </row>
    <row r="29" spans="1:20" ht="14.25" customHeight="1">
      <c r="A29" s="231">
        <v>15</v>
      </c>
      <c r="B29" s="232" t="s">
        <v>232</v>
      </c>
      <c r="C29" s="233">
        <v>345</v>
      </c>
      <c r="D29" s="234" t="s">
        <v>208</v>
      </c>
      <c r="E29" s="235">
        <v>447</v>
      </c>
      <c r="F29" s="233">
        <f t="shared" si="3"/>
        <v>154215</v>
      </c>
      <c r="H29" s="54">
        <f>RA!F293</f>
        <v>989.39929328621895</v>
      </c>
      <c r="I29" s="55">
        <f>RA!F297</f>
        <v>75.250836120401331</v>
      </c>
      <c r="J29" s="56">
        <f>RA!F300</f>
        <v>75.130434782608702</v>
      </c>
      <c r="L29" s="58">
        <f>RA!F303</f>
        <v>60.869565217391305</v>
      </c>
      <c r="M29" s="94">
        <f t="shared" si="0"/>
        <v>1200.6501294066202</v>
      </c>
      <c r="N29" s="3">
        <f t="shared" si="1"/>
        <v>414224.29464528395</v>
      </c>
      <c r="O29" s="334">
        <f t="shared" si="2"/>
        <v>-260009.29464528395</v>
      </c>
      <c r="P29" s="54">
        <f t="shared" si="11"/>
        <v>341342.75618374551</v>
      </c>
      <c r="Q29" s="55">
        <f t="shared" si="12"/>
        <v>25961.538461538461</v>
      </c>
      <c r="R29" s="56">
        <f t="shared" si="13"/>
        <v>25920.000000000004</v>
      </c>
      <c r="S29" s="57">
        <f t="shared" si="14"/>
        <v>0</v>
      </c>
      <c r="T29" s="58">
        <f t="shared" si="15"/>
        <v>21000</v>
      </c>
    </row>
    <row r="30" spans="1:20" ht="14.25" customHeight="1">
      <c r="A30" s="231">
        <v>16</v>
      </c>
      <c r="B30" s="232" t="s">
        <v>233</v>
      </c>
      <c r="C30" s="233">
        <v>4440</v>
      </c>
      <c r="D30" s="234" t="s">
        <v>208</v>
      </c>
      <c r="E30" s="235">
        <v>2614</v>
      </c>
      <c r="F30" s="233">
        <f t="shared" si="3"/>
        <v>11606160</v>
      </c>
      <c r="H30" s="54">
        <f>RA!F311</f>
        <v>1611.3074204946997</v>
      </c>
      <c r="I30" s="55">
        <f>RA!F315</f>
        <v>72.765072765072773</v>
      </c>
      <c r="J30" s="56">
        <f>RA!F318</f>
        <v>99.891891891891888</v>
      </c>
      <c r="L30" s="58">
        <f>RA!F321</f>
        <v>9.4594594594594597</v>
      </c>
      <c r="M30" s="94">
        <f t="shared" si="0"/>
        <v>1793.4238446111237</v>
      </c>
      <c r="N30" s="3">
        <f t="shared" si="1"/>
        <v>7962801.8700733893</v>
      </c>
      <c r="O30" s="334">
        <f t="shared" si="2"/>
        <v>3643358.1299266107</v>
      </c>
      <c r="P30" s="54">
        <f t="shared" ref="P30" si="16">H30*C30</f>
        <v>7154204.9469964672</v>
      </c>
      <c r="Q30" s="55">
        <f t="shared" ref="Q30" si="17">I30*C30</f>
        <v>323076.92307692312</v>
      </c>
      <c r="R30" s="56">
        <f t="shared" ref="R30" si="18">J30*C30</f>
        <v>443520</v>
      </c>
      <c r="S30" s="57">
        <f t="shared" ref="S30" si="19">K30*C30</f>
        <v>0</v>
      </c>
      <c r="T30" s="58">
        <f t="shared" ref="T30" si="20">L30*C30</f>
        <v>42000</v>
      </c>
    </row>
    <row r="31" spans="1:20" ht="14.25" customHeight="1">
      <c r="A31" s="231">
        <v>17</v>
      </c>
      <c r="B31" s="232" t="s">
        <v>234</v>
      </c>
      <c r="C31" s="233">
        <v>1099</v>
      </c>
      <c r="D31" s="234" t="s">
        <v>208</v>
      </c>
      <c r="E31" s="235">
        <v>2315</v>
      </c>
      <c r="F31" s="233">
        <f t="shared" si="3"/>
        <v>2544185</v>
      </c>
      <c r="H31" s="54">
        <f t="shared" ref="H31:J32" si="21">H30</f>
        <v>1611.3074204946997</v>
      </c>
      <c r="I31" s="55">
        <f t="shared" si="21"/>
        <v>72.765072765072773</v>
      </c>
      <c r="J31" s="56">
        <f t="shared" si="21"/>
        <v>99.891891891891888</v>
      </c>
      <c r="L31" s="58">
        <f>L30</f>
        <v>9.4594594594594597</v>
      </c>
      <c r="M31" s="94">
        <f t="shared" si="0"/>
        <v>1793.4238446111237</v>
      </c>
      <c r="N31" s="3">
        <f t="shared" si="1"/>
        <v>1970972.805227625</v>
      </c>
      <c r="O31" s="334">
        <f t="shared" si="2"/>
        <v>573212.19477237505</v>
      </c>
      <c r="P31" s="54">
        <f t="shared" si="4"/>
        <v>1770826.855123675</v>
      </c>
      <c r="Q31" s="55">
        <f t="shared" si="5"/>
        <v>79968.814968814972</v>
      </c>
      <c r="R31" s="56">
        <f t="shared" si="6"/>
        <v>109781.18918918919</v>
      </c>
      <c r="S31" s="57">
        <f t="shared" si="7"/>
        <v>0</v>
      </c>
      <c r="T31" s="58">
        <f t="shared" si="8"/>
        <v>10395.945945945947</v>
      </c>
    </row>
    <row r="32" spans="1:20" ht="14.25" customHeight="1">
      <c r="A32" s="231">
        <v>18</v>
      </c>
      <c r="B32" s="232" t="s">
        <v>235</v>
      </c>
      <c r="C32" s="233">
        <v>450</v>
      </c>
      <c r="D32" s="234" t="s">
        <v>208</v>
      </c>
      <c r="E32" s="235">
        <v>2614</v>
      </c>
      <c r="F32" s="233">
        <f t="shared" si="3"/>
        <v>1176300</v>
      </c>
      <c r="H32" s="54">
        <f t="shared" si="21"/>
        <v>1611.3074204946997</v>
      </c>
      <c r="I32" s="55">
        <f t="shared" si="21"/>
        <v>72.765072765072773</v>
      </c>
      <c r="J32" s="56">
        <f t="shared" si="21"/>
        <v>99.891891891891888</v>
      </c>
      <c r="L32" s="58">
        <f>L31</f>
        <v>9.4594594594594597</v>
      </c>
      <c r="M32" s="94">
        <f t="shared" si="0"/>
        <v>1793.4238446111237</v>
      </c>
      <c r="N32" s="3">
        <f t="shared" si="1"/>
        <v>807040.73007500567</v>
      </c>
      <c r="O32" s="334">
        <f t="shared" si="2"/>
        <v>369259.26992499433</v>
      </c>
      <c r="P32" s="54">
        <f t="shared" si="4"/>
        <v>725088.33922261489</v>
      </c>
      <c r="Q32" s="55">
        <f t="shared" si="5"/>
        <v>32744.282744282747</v>
      </c>
      <c r="R32" s="56">
        <f t="shared" si="6"/>
        <v>44951.351351351346</v>
      </c>
      <c r="S32" s="57">
        <f t="shared" si="7"/>
        <v>0</v>
      </c>
      <c r="T32" s="58">
        <f t="shared" si="8"/>
        <v>4256.7567567567567</v>
      </c>
    </row>
    <row r="33" spans="1:20" ht="14.25" customHeight="1">
      <c r="A33" s="231">
        <v>19</v>
      </c>
      <c r="B33" s="232" t="s">
        <v>236</v>
      </c>
      <c r="C33" s="233">
        <v>4.4400000000000004</v>
      </c>
      <c r="D33" s="234" t="s">
        <v>237</v>
      </c>
      <c r="E33" s="235">
        <v>233491</v>
      </c>
      <c r="F33" s="233">
        <f t="shared" si="3"/>
        <v>1036700.04</v>
      </c>
      <c r="K33" s="57">
        <f>E33*0.5</f>
        <v>116745.5</v>
      </c>
      <c r="M33" s="94">
        <f t="shared" si="0"/>
        <v>116745.5</v>
      </c>
      <c r="N33" s="3">
        <f t="shared" si="1"/>
        <v>518350.02</v>
      </c>
      <c r="O33" s="334">
        <f t="shared" si="2"/>
        <v>518350.02</v>
      </c>
      <c r="P33" s="54">
        <f t="shared" si="4"/>
        <v>0</v>
      </c>
      <c r="Q33" s="55">
        <f t="shared" si="5"/>
        <v>0</v>
      </c>
      <c r="R33" s="56">
        <f t="shared" si="6"/>
        <v>0</v>
      </c>
      <c r="S33" s="57">
        <f t="shared" si="7"/>
        <v>518350.02</v>
      </c>
      <c r="T33" s="58">
        <f t="shared" si="8"/>
        <v>0</v>
      </c>
    </row>
    <row r="34" spans="1:20" ht="14.25" customHeight="1">
      <c r="A34" s="231">
        <v>20</v>
      </c>
      <c r="B34" s="232" t="s">
        <v>238</v>
      </c>
      <c r="C34" s="233">
        <v>3.6</v>
      </c>
      <c r="D34" s="234" t="s">
        <v>237</v>
      </c>
      <c r="E34" s="235">
        <v>59143</v>
      </c>
      <c r="F34" s="233">
        <f t="shared" si="3"/>
        <v>212914.80000000002</v>
      </c>
      <c r="K34" s="57">
        <f t="shared" ref="K34:K35" si="22">E34*0.5</f>
        <v>29571.5</v>
      </c>
      <c r="M34" s="94">
        <f t="shared" si="0"/>
        <v>29571.5</v>
      </c>
      <c r="N34" s="3">
        <f t="shared" si="1"/>
        <v>106457.40000000001</v>
      </c>
      <c r="O34" s="334">
        <f t="shared" si="2"/>
        <v>106457.40000000001</v>
      </c>
      <c r="P34" s="54">
        <f t="shared" si="4"/>
        <v>0</v>
      </c>
      <c r="Q34" s="55">
        <f t="shared" si="5"/>
        <v>0</v>
      </c>
      <c r="R34" s="56">
        <f t="shared" si="6"/>
        <v>0</v>
      </c>
      <c r="S34" s="57">
        <f t="shared" si="7"/>
        <v>106457.40000000001</v>
      </c>
      <c r="T34" s="58">
        <f t="shared" si="8"/>
        <v>0</v>
      </c>
    </row>
    <row r="35" spans="1:20" ht="14.25" customHeight="1">
      <c r="A35" s="231">
        <v>21</v>
      </c>
      <c r="B35" s="232" t="s">
        <v>239</v>
      </c>
      <c r="C35" s="233">
        <v>6.6</v>
      </c>
      <c r="D35" s="234" t="s">
        <v>237</v>
      </c>
      <c r="E35" s="235">
        <v>243750</v>
      </c>
      <c r="F35" s="233">
        <f t="shared" si="3"/>
        <v>1608750</v>
      </c>
      <c r="K35" s="57">
        <f t="shared" si="22"/>
        <v>121875</v>
      </c>
      <c r="M35" s="94">
        <f t="shared" si="0"/>
        <v>121875</v>
      </c>
      <c r="N35" s="3">
        <f t="shared" si="1"/>
        <v>804375</v>
      </c>
      <c r="O35" s="334">
        <f t="shared" si="2"/>
        <v>804375</v>
      </c>
      <c r="P35" s="54">
        <f t="shared" si="4"/>
        <v>0</v>
      </c>
      <c r="Q35" s="55">
        <f t="shared" si="5"/>
        <v>0</v>
      </c>
      <c r="R35" s="56">
        <f t="shared" si="6"/>
        <v>0</v>
      </c>
      <c r="S35" s="57">
        <f t="shared" si="7"/>
        <v>804375</v>
      </c>
      <c r="T35" s="58">
        <f t="shared" si="8"/>
        <v>0</v>
      </c>
    </row>
    <row r="36" spans="1:20" ht="14.25" customHeight="1">
      <c r="A36" s="231">
        <v>22</v>
      </c>
      <c r="B36" s="232" t="s">
        <v>240</v>
      </c>
      <c r="C36" s="233">
        <v>60000</v>
      </c>
      <c r="D36" s="234" t="s">
        <v>208</v>
      </c>
      <c r="E36" s="235">
        <v>336</v>
      </c>
      <c r="F36" s="233">
        <f t="shared" si="3"/>
        <v>20160000</v>
      </c>
      <c r="I36" s="55">
        <f>RA!F332</f>
        <v>99.230769230769241</v>
      </c>
      <c r="J36" s="56">
        <f>RA!F335</f>
        <v>20.16</v>
      </c>
      <c r="L36" s="58">
        <f>RA!F338</f>
        <v>4.2</v>
      </c>
      <c r="M36" s="94">
        <f t="shared" si="0"/>
        <v>123.59076923076924</v>
      </c>
      <c r="N36" s="3">
        <f t="shared" si="1"/>
        <v>7415446.153846154</v>
      </c>
      <c r="O36" s="334">
        <f t="shared" si="2"/>
        <v>12744553.846153846</v>
      </c>
      <c r="P36" s="54">
        <f t="shared" si="4"/>
        <v>0</v>
      </c>
      <c r="Q36" s="55">
        <f t="shared" si="5"/>
        <v>5953846.153846154</v>
      </c>
      <c r="R36" s="56">
        <f t="shared" si="6"/>
        <v>1209600</v>
      </c>
      <c r="S36" s="57">
        <f t="shared" si="7"/>
        <v>0</v>
      </c>
      <c r="T36" s="58">
        <f t="shared" si="8"/>
        <v>252000</v>
      </c>
    </row>
    <row r="37" spans="1:20" ht="14.25" customHeight="1">
      <c r="A37" s="231">
        <v>23</v>
      </c>
      <c r="B37" s="232" t="s">
        <v>302</v>
      </c>
      <c r="C37" s="233">
        <v>5012</v>
      </c>
      <c r="D37" s="234" t="s">
        <v>208</v>
      </c>
      <c r="E37" s="235">
        <v>106</v>
      </c>
      <c r="F37" s="233">
        <f t="shared" si="3"/>
        <v>531272</v>
      </c>
      <c r="I37" s="55">
        <f>RA!F348</f>
        <v>48.345509239363992</v>
      </c>
      <c r="J37" s="56">
        <f>RA!F351</f>
        <v>40.22346368715084</v>
      </c>
      <c r="L37" s="58">
        <f>RA!F354</f>
        <v>8.3798882681564244</v>
      </c>
      <c r="M37" s="94">
        <f t="shared" si="0"/>
        <v>96.948861194671252</v>
      </c>
      <c r="N37" s="3">
        <f t="shared" si="1"/>
        <v>485907.69230769231</v>
      </c>
      <c r="O37" s="334">
        <f t="shared" si="2"/>
        <v>45364.307692307688</v>
      </c>
      <c r="P37" s="54">
        <f t="shared" si="4"/>
        <v>0</v>
      </c>
      <c r="Q37" s="55">
        <f t="shared" si="5"/>
        <v>242307.69230769231</v>
      </c>
      <c r="R37" s="56">
        <f t="shared" si="6"/>
        <v>201600</v>
      </c>
      <c r="S37" s="57">
        <f t="shared" si="7"/>
        <v>0</v>
      </c>
      <c r="T37" s="58">
        <f t="shared" si="8"/>
        <v>42000</v>
      </c>
    </row>
    <row r="38" spans="1:20" ht="14.25" customHeight="1">
      <c r="A38" s="231">
        <v>24</v>
      </c>
      <c r="B38" s="232" t="s">
        <v>308</v>
      </c>
      <c r="C38" s="233">
        <v>10038</v>
      </c>
      <c r="D38" s="234" t="s">
        <v>208</v>
      </c>
      <c r="E38" s="235">
        <v>3783</v>
      </c>
      <c r="F38" s="233">
        <f t="shared" si="3"/>
        <v>37973754</v>
      </c>
      <c r="H38" s="54">
        <f>RA!F363</f>
        <v>2927.0318021201415</v>
      </c>
      <c r="I38" s="55">
        <f>RA!F367</f>
        <v>48.2780817508851</v>
      </c>
      <c r="J38" s="56">
        <f>RA!F370</f>
        <v>66.276150627615067</v>
      </c>
      <c r="K38" s="57">
        <f>RA!F373</f>
        <v>500</v>
      </c>
      <c r="M38" s="94">
        <f t="shared" si="0"/>
        <v>3541.5860344986418</v>
      </c>
      <c r="N38" s="3">
        <f t="shared" si="1"/>
        <v>35550440.614297368</v>
      </c>
      <c r="O38" s="334">
        <f t="shared" si="2"/>
        <v>2423313.3857026324</v>
      </c>
      <c r="P38" s="54">
        <f t="shared" si="4"/>
        <v>29381545.22968198</v>
      </c>
      <c r="Q38" s="55">
        <f t="shared" si="5"/>
        <v>484615.38461538462</v>
      </c>
      <c r="R38" s="56">
        <f t="shared" si="6"/>
        <v>665280</v>
      </c>
      <c r="S38" s="57">
        <f t="shared" si="7"/>
        <v>5019000</v>
      </c>
      <c r="T38" s="58">
        <f t="shared" si="8"/>
        <v>0</v>
      </c>
    </row>
    <row r="39" spans="1:20" ht="14.25" customHeight="1">
      <c r="A39" s="231">
        <v>25</v>
      </c>
      <c r="B39" s="232" t="s">
        <v>243</v>
      </c>
      <c r="C39" s="233">
        <v>4950</v>
      </c>
      <c r="D39" s="234" t="s">
        <v>206</v>
      </c>
      <c r="E39" s="235">
        <v>161</v>
      </c>
      <c r="F39" s="233">
        <f t="shared" si="3"/>
        <v>796950</v>
      </c>
      <c r="H39" s="54">
        <f>RA!F381</f>
        <v>64.56</v>
      </c>
      <c r="K39" s="57">
        <f>RA!F384</f>
        <v>53.8</v>
      </c>
      <c r="M39" s="94">
        <f t="shared" si="0"/>
        <v>118.36</v>
      </c>
      <c r="N39" s="3">
        <f t="shared" si="1"/>
        <v>585882</v>
      </c>
      <c r="O39" s="334">
        <f t="shared" si="2"/>
        <v>211068</v>
      </c>
      <c r="P39" s="54">
        <f t="shared" si="4"/>
        <v>319572</v>
      </c>
      <c r="Q39" s="55">
        <f t="shared" si="5"/>
        <v>0</v>
      </c>
      <c r="R39" s="56">
        <f t="shared" si="6"/>
        <v>0</v>
      </c>
      <c r="S39" s="57">
        <f t="shared" si="7"/>
        <v>266310</v>
      </c>
      <c r="T39" s="58">
        <f t="shared" si="8"/>
        <v>0</v>
      </c>
    </row>
    <row r="40" spans="1:20" ht="14.25" customHeight="1">
      <c r="A40" s="239">
        <v>26</v>
      </c>
      <c r="B40" s="240" t="s">
        <v>244</v>
      </c>
      <c r="C40" s="241">
        <v>4950</v>
      </c>
      <c r="D40" s="242" t="s">
        <v>208</v>
      </c>
      <c r="E40" s="243">
        <v>44</v>
      </c>
      <c r="F40" s="241">
        <f t="shared" si="3"/>
        <v>217800</v>
      </c>
      <c r="I40" s="55">
        <f>RA!F393</f>
        <v>32.634032634032636</v>
      </c>
      <c r="J40" s="56">
        <f>RA!F396</f>
        <v>34.909090909090907</v>
      </c>
      <c r="L40" s="58">
        <f>RA!F399</f>
        <v>4.2424242424242422</v>
      </c>
      <c r="M40" s="94">
        <f t="shared" si="0"/>
        <v>71.785547785547777</v>
      </c>
      <c r="N40" s="3">
        <f t="shared" si="1"/>
        <v>355338.4615384615</v>
      </c>
      <c r="O40" s="334">
        <f t="shared" si="2"/>
        <v>-137538.4615384615</v>
      </c>
      <c r="P40" s="54">
        <f t="shared" si="4"/>
        <v>0</v>
      </c>
      <c r="Q40" s="55">
        <f t="shared" si="5"/>
        <v>161538.46153846156</v>
      </c>
      <c r="R40" s="56">
        <f t="shared" si="6"/>
        <v>172800</v>
      </c>
      <c r="S40" s="57">
        <f t="shared" si="7"/>
        <v>0</v>
      </c>
      <c r="T40" s="58">
        <f t="shared" si="8"/>
        <v>21000</v>
      </c>
    </row>
    <row r="41" spans="1:20" ht="14.25" customHeight="1">
      <c r="A41" s="244">
        <v>27</v>
      </c>
      <c r="B41" s="245" t="s">
        <v>245</v>
      </c>
      <c r="C41" s="246">
        <v>62994.57</v>
      </c>
      <c r="D41" s="247" t="s">
        <v>208</v>
      </c>
      <c r="E41" s="248">
        <v>109</v>
      </c>
      <c r="F41" s="246">
        <f t="shared" si="3"/>
        <v>6866408.1299999999</v>
      </c>
      <c r="I41" s="55">
        <f>RA!F409</f>
        <v>25.276903903109307</v>
      </c>
      <c r="J41" s="56">
        <f>RA!F412</f>
        <v>27.979554428262627</v>
      </c>
      <c r="L41" s="58">
        <f>RA!F415</f>
        <v>4.0003447916225161</v>
      </c>
      <c r="M41" s="94">
        <f t="shared" si="0"/>
        <v>57.256803122994448</v>
      </c>
      <c r="N41" s="3">
        <f t="shared" si="1"/>
        <v>3606867.6923076925</v>
      </c>
      <c r="O41" s="334">
        <f t="shared" si="2"/>
        <v>3259540.4376923074</v>
      </c>
      <c r="P41" s="54">
        <f t="shared" si="4"/>
        <v>0</v>
      </c>
      <c r="Q41" s="55">
        <f t="shared" si="5"/>
        <v>1592307.6923076925</v>
      </c>
      <c r="R41" s="56">
        <f t="shared" si="6"/>
        <v>1762560</v>
      </c>
      <c r="S41" s="57">
        <f t="shared" si="7"/>
        <v>0</v>
      </c>
      <c r="T41" s="58">
        <f t="shared" si="8"/>
        <v>252000</v>
      </c>
    </row>
    <row r="42" spans="1:20" ht="14.25" customHeight="1">
      <c r="A42" s="244">
        <v>28</v>
      </c>
      <c r="B42" s="249" t="s">
        <v>246</v>
      </c>
      <c r="C42" s="246">
        <v>150</v>
      </c>
      <c r="D42" s="247" t="s">
        <v>12</v>
      </c>
      <c r="E42" s="248">
        <v>1697</v>
      </c>
      <c r="F42" s="246">
        <f t="shared" si="3"/>
        <v>254550</v>
      </c>
      <c r="H42" s="54">
        <f>Materials!E24</f>
        <v>1700</v>
      </c>
      <c r="K42" s="57">
        <v>250</v>
      </c>
      <c r="M42" s="94">
        <f t="shared" si="0"/>
        <v>1950</v>
      </c>
      <c r="N42" s="3">
        <f t="shared" si="1"/>
        <v>292500</v>
      </c>
      <c r="O42" s="334">
        <f t="shared" si="2"/>
        <v>-37950</v>
      </c>
      <c r="P42" s="54">
        <f t="shared" si="4"/>
        <v>255000</v>
      </c>
      <c r="Q42" s="55">
        <f t="shared" si="5"/>
        <v>0</v>
      </c>
      <c r="R42" s="56">
        <f t="shared" si="6"/>
        <v>0</v>
      </c>
      <c r="S42" s="57">
        <f t="shared" si="7"/>
        <v>37500</v>
      </c>
      <c r="T42" s="58">
        <f t="shared" si="8"/>
        <v>0</v>
      </c>
    </row>
    <row r="43" spans="1:20" ht="14.25" customHeight="1">
      <c r="A43" s="250"/>
      <c r="B43" s="293" t="s">
        <v>42</v>
      </c>
      <c r="C43" s="251"/>
      <c r="D43" s="252"/>
      <c r="E43" s="253"/>
      <c r="F43" s="251">
        <f>SUM(F4:F42)</f>
        <v>198474170.97</v>
      </c>
      <c r="M43" s="94"/>
      <c r="N43" s="335">
        <f t="shared" ref="N43:T43" si="23">SUM(N4:N42)</f>
        <v>129756785.9200765</v>
      </c>
      <c r="O43" s="335">
        <f t="shared" si="23"/>
        <v>68717385.049923494</v>
      </c>
      <c r="P43" s="54">
        <f t="shared" si="23"/>
        <v>77594420.906360418</v>
      </c>
      <c r="Q43" s="55">
        <f t="shared" si="23"/>
        <v>17649900.609583944</v>
      </c>
      <c r="R43" s="56">
        <f t="shared" si="23"/>
        <v>9807271.0294294301</v>
      </c>
      <c r="S43" s="57">
        <f t="shared" si="23"/>
        <v>23076352.659999996</v>
      </c>
      <c r="T43" s="58">
        <f t="shared" si="23"/>
        <v>1628840.7147027026</v>
      </c>
    </row>
  </sheetData>
  <mergeCells count="2">
    <mergeCell ref="A1:F1"/>
    <mergeCell ref="A2:F2"/>
  </mergeCells>
  <pageMargins left="0.7" right="0.7" top="0.75" bottom="0.75" header="0.3" footer="0.3"/>
  <pageSetup scale="50" fitToHeight="0" orientation="landscape" r:id="rId1"/>
</worksheet>
</file>

<file path=xl/worksheets/sheet5.xml><?xml version="1.0" encoding="utf-8"?>
<worksheet xmlns="http://schemas.openxmlformats.org/spreadsheetml/2006/main" xmlns:r="http://schemas.openxmlformats.org/officeDocument/2006/relationships">
  <sheetPr codeName="Sheet4">
    <pageSetUpPr fitToPage="1"/>
  </sheetPr>
  <dimension ref="A1:O656"/>
  <sheetViews>
    <sheetView tabSelected="1" view="pageBreakPreview" zoomScaleSheetLayoutView="100" workbookViewId="0">
      <pane ySplit="3" topLeftCell="A10" activePane="bottomLeft" state="frozen"/>
      <selection activeCell="H25" sqref="H25"/>
      <selection pane="bottomLeft" activeCell="D20" sqref="D20"/>
    </sheetView>
  </sheetViews>
  <sheetFormatPr defaultRowHeight="14.25"/>
  <cols>
    <col min="1" max="1" width="10" style="303" bestFit="1" customWidth="1"/>
    <col min="2" max="2" width="48.33203125" style="61" bestFit="1" customWidth="1"/>
    <col min="3" max="3" width="9.33203125" style="59"/>
    <col min="4" max="4" width="15.1640625" style="63" bestFit="1" customWidth="1"/>
    <col min="5" max="5" width="16.33203125" style="63" bestFit="1" customWidth="1"/>
    <col min="6" max="6" width="18.1640625" style="63" customWidth="1"/>
    <col min="7" max="8" width="9.33203125" style="59"/>
    <col min="9" max="9" width="10" style="59" bestFit="1" customWidth="1"/>
    <col min="10" max="11" width="9.33203125" style="59"/>
    <col min="12" max="12" width="8.1640625" style="63" customWidth="1"/>
    <col min="13" max="13" width="13.6640625" style="63" bestFit="1" customWidth="1"/>
    <col min="14" max="14" width="9" style="63" bestFit="1" customWidth="1"/>
    <col min="15" max="15" width="12.1640625" style="63" bestFit="1" customWidth="1"/>
    <col min="16" max="16384" width="9.33203125" style="59"/>
  </cols>
  <sheetData>
    <row r="1" spans="1:15">
      <c r="A1" s="361" t="s">
        <v>255</v>
      </c>
      <c r="B1" s="362"/>
      <c r="C1" s="362"/>
      <c r="D1" s="362"/>
      <c r="E1" s="362"/>
      <c r="F1" s="363"/>
    </row>
    <row r="2" spans="1:15">
      <c r="A2" s="364" t="s">
        <v>55</v>
      </c>
      <c r="B2" s="365"/>
      <c r="C2" s="365"/>
      <c r="D2" s="365"/>
      <c r="E2" s="365"/>
      <c r="F2" s="366"/>
    </row>
    <row r="3" spans="1:15" s="60" customFormat="1">
      <c r="A3" s="300" t="s">
        <v>3</v>
      </c>
      <c r="B3" s="97" t="s">
        <v>37</v>
      </c>
      <c r="C3" s="97" t="s">
        <v>21</v>
      </c>
      <c r="D3" s="98" t="s">
        <v>2</v>
      </c>
      <c r="E3" s="98" t="s">
        <v>38</v>
      </c>
      <c r="F3" s="107" t="s">
        <v>39</v>
      </c>
      <c r="L3" s="296"/>
      <c r="M3" s="296"/>
      <c r="N3" s="296"/>
      <c r="O3" s="296"/>
    </row>
    <row r="4" spans="1:15" s="62" customFormat="1">
      <c r="A4" s="301">
        <v>1</v>
      </c>
      <c r="B4" s="100" t="s">
        <v>259</v>
      </c>
      <c r="C4" s="99"/>
      <c r="D4" s="101"/>
      <c r="E4" s="101"/>
      <c r="F4" s="108"/>
      <c r="L4" s="297"/>
      <c r="M4" s="297"/>
      <c r="N4" s="297"/>
      <c r="O4" s="297"/>
    </row>
    <row r="5" spans="1:15" s="62" customFormat="1">
      <c r="A5" s="301"/>
      <c r="B5" s="100" t="s">
        <v>52</v>
      </c>
      <c r="C5" s="99" t="s">
        <v>16</v>
      </c>
      <c r="D5" s="101">
        <f>'BOQ Major'!C4/17</f>
        <v>1520.5647058823529</v>
      </c>
      <c r="E5" s="101"/>
      <c r="F5" s="108"/>
      <c r="L5" s="297"/>
      <c r="M5" s="297"/>
      <c r="N5" s="297"/>
      <c r="O5" s="297"/>
    </row>
    <row r="6" spans="1:15">
      <c r="A6" s="302"/>
      <c r="B6" s="103" t="s">
        <v>50</v>
      </c>
      <c r="C6" s="102"/>
      <c r="D6" s="104"/>
      <c r="E6" s="104"/>
      <c r="F6" s="109"/>
    </row>
    <row r="7" spans="1:15">
      <c r="A7" s="302"/>
      <c r="B7" s="105" t="s">
        <v>260</v>
      </c>
      <c r="C7" s="102" t="s">
        <v>61</v>
      </c>
      <c r="D7" s="104">
        <v>1</v>
      </c>
      <c r="E7" s="104">
        <v>6500</v>
      </c>
      <c r="F7" s="109">
        <f>PRODUCT(D7:E7)</f>
        <v>6500</v>
      </c>
    </row>
    <row r="8" spans="1:15">
      <c r="A8" s="302"/>
      <c r="B8" s="105" t="s">
        <v>172</v>
      </c>
      <c r="C8" s="102" t="s">
        <v>61</v>
      </c>
      <c r="D8" s="104">
        <v>1</v>
      </c>
      <c r="E8" s="104">
        <f>140000/26</f>
        <v>5384.6153846153848</v>
      </c>
      <c r="F8" s="109">
        <f>PRODUCT(D8:E8)</f>
        <v>5384.6153846153848</v>
      </c>
      <c r="M8" s="63">
        <f>40*250</f>
        <v>10000</v>
      </c>
    </row>
    <row r="9" spans="1:15">
      <c r="A9" s="302"/>
      <c r="B9" s="105"/>
      <c r="C9" s="102"/>
      <c r="D9" s="104"/>
      <c r="E9" s="104"/>
      <c r="F9" s="109">
        <f>SUM(F7:F8)</f>
        <v>11884.615384615385</v>
      </c>
    </row>
    <row r="10" spans="1:15">
      <c r="A10" s="302"/>
      <c r="B10" s="105"/>
      <c r="C10" s="102"/>
      <c r="D10" s="104"/>
      <c r="E10" s="104"/>
      <c r="F10" s="110">
        <f>F9/$D$5</f>
        <v>7.8159221627592519</v>
      </c>
    </row>
    <row r="11" spans="1:15">
      <c r="A11" s="302"/>
      <c r="B11" s="103" t="s">
        <v>44</v>
      </c>
      <c r="C11" s="102"/>
      <c r="D11" s="104"/>
      <c r="E11" s="104"/>
      <c r="F11" s="109"/>
    </row>
    <row r="12" spans="1:15">
      <c r="A12" s="302"/>
      <c r="B12" s="105" t="s">
        <v>48</v>
      </c>
      <c r="C12" s="102" t="s">
        <v>14</v>
      </c>
      <c r="D12" s="104">
        <f>+(D8*6*9)</f>
        <v>54</v>
      </c>
      <c r="E12" s="104">
        <v>96</v>
      </c>
      <c r="F12" s="109">
        <f>PRODUCT(D12:E12)</f>
        <v>5184</v>
      </c>
    </row>
    <row r="13" spans="1:15">
      <c r="A13" s="302"/>
      <c r="B13" s="105"/>
      <c r="C13" s="102"/>
      <c r="D13" s="104"/>
      <c r="E13" s="104"/>
      <c r="F13" s="110">
        <f>F12/D5</f>
        <v>3.4092597177519188</v>
      </c>
      <c r="M13" s="63" t="s">
        <v>48</v>
      </c>
      <c r="N13" s="63">
        <f>L179/2.5</f>
        <v>0</v>
      </c>
      <c r="O13" s="63">
        <f>N13*96</f>
        <v>0</v>
      </c>
    </row>
    <row r="14" spans="1:15">
      <c r="A14" s="302"/>
      <c r="B14" s="103" t="s">
        <v>51</v>
      </c>
      <c r="C14" s="102"/>
      <c r="D14" s="104"/>
      <c r="E14" s="104"/>
      <c r="F14" s="109"/>
      <c r="M14" s="63" t="s">
        <v>257</v>
      </c>
      <c r="O14" s="63">
        <v>1000</v>
      </c>
    </row>
    <row r="15" spans="1:15">
      <c r="A15" s="302"/>
      <c r="B15" s="105" t="s">
        <v>53</v>
      </c>
      <c r="C15" s="102" t="s">
        <v>12</v>
      </c>
      <c r="D15" s="104">
        <v>1</v>
      </c>
      <c r="E15" s="104">
        <v>700</v>
      </c>
      <c r="F15" s="109">
        <f>PRODUCT(D15:E15)</f>
        <v>700</v>
      </c>
      <c r="M15" s="63" t="s">
        <v>258</v>
      </c>
    </row>
    <row r="16" spans="1:15">
      <c r="A16" s="302"/>
      <c r="B16" s="105"/>
      <c r="C16" s="102"/>
      <c r="D16" s="104"/>
      <c r="E16" s="104"/>
      <c r="F16" s="110">
        <f>F15/D5</f>
        <v>0.46035528596187175</v>
      </c>
    </row>
    <row r="17" spans="1:15">
      <c r="A17" s="302"/>
      <c r="B17" s="105"/>
      <c r="C17" s="102"/>
      <c r="D17" s="104"/>
      <c r="E17" s="104"/>
      <c r="F17" s="109"/>
    </row>
    <row r="18" spans="1:15" s="64" customFormat="1">
      <c r="A18" s="300"/>
      <c r="B18" s="106" t="s">
        <v>261</v>
      </c>
      <c r="C18" s="294"/>
      <c r="D18" s="98"/>
      <c r="E18" s="98"/>
      <c r="F18" s="110">
        <f>F10+F13+F16</f>
        <v>11.685537166473042</v>
      </c>
      <c r="K18" s="59"/>
      <c r="L18" s="296"/>
      <c r="M18" s="296"/>
      <c r="N18" s="296"/>
      <c r="O18" s="296"/>
    </row>
    <row r="19" spans="1:15" s="64" customFormat="1">
      <c r="A19" s="300"/>
      <c r="B19" s="106"/>
      <c r="C19" s="295"/>
      <c r="D19" s="98"/>
      <c r="E19" s="98"/>
      <c r="F19" s="107"/>
      <c r="K19" s="59"/>
      <c r="L19" s="296"/>
      <c r="M19" s="296"/>
      <c r="N19" s="296"/>
      <c r="O19" s="296"/>
    </row>
    <row r="20" spans="1:15" s="62" customFormat="1">
      <c r="A20" s="301">
        <v>2</v>
      </c>
      <c r="B20" s="100" t="s">
        <v>40</v>
      </c>
      <c r="C20" s="99"/>
      <c r="D20" s="101"/>
      <c r="E20" s="101"/>
      <c r="F20" s="108"/>
      <c r="K20" s="59"/>
      <c r="L20" s="297"/>
      <c r="M20" s="297"/>
      <c r="N20" s="297"/>
      <c r="O20" s="297"/>
    </row>
    <row r="21" spans="1:15" s="62" customFormat="1">
      <c r="A21" s="301"/>
      <c r="B21" s="100" t="s">
        <v>52</v>
      </c>
      <c r="C21" s="99" t="s">
        <v>7</v>
      </c>
      <c r="D21" s="101">
        <f>'BOQ Split'!C5/60</f>
        <v>87.566666666666663</v>
      </c>
      <c r="E21" s="101"/>
      <c r="F21" s="108"/>
      <c r="I21" s="299"/>
      <c r="K21" s="59"/>
      <c r="L21" s="297"/>
      <c r="M21" s="297"/>
      <c r="N21" s="297"/>
      <c r="O21" s="297"/>
    </row>
    <row r="22" spans="1:15">
      <c r="A22" s="302"/>
      <c r="B22" s="103" t="s">
        <v>50</v>
      </c>
      <c r="C22" s="102"/>
      <c r="D22" s="104"/>
      <c r="E22" s="104"/>
      <c r="F22" s="109"/>
    </row>
    <row r="23" spans="1:15">
      <c r="A23" s="302"/>
      <c r="B23" s="105" t="s">
        <v>172</v>
      </c>
      <c r="C23" s="102" t="s">
        <v>61</v>
      </c>
      <c r="D23" s="104">
        <v>1</v>
      </c>
      <c r="E23" s="104">
        <f>140000/26</f>
        <v>5384.6153846153848</v>
      </c>
      <c r="F23" s="109">
        <f>PRODUCT(D23:E23)</f>
        <v>5384.6153846153848</v>
      </c>
    </row>
    <row r="24" spans="1:15">
      <c r="A24" s="302"/>
      <c r="B24" s="105" t="s">
        <v>172</v>
      </c>
      <c r="C24" s="102" t="s">
        <v>61</v>
      </c>
      <c r="D24" s="104">
        <v>1</v>
      </c>
      <c r="E24" s="104">
        <f>140000/26</f>
        <v>5384.6153846153848</v>
      </c>
      <c r="F24" s="109">
        <f>PRODUCT(D24:E24)</f>
        <v>5384.6153846153848</v>
      </c>
    </row>
    <row r="25" spans="1:15">
      <c r="A25" s="302"/>
      <c r="B25" s="105"/>
      <c r="C25" s="102"/>
      <c r="D25" s="104"/>
      <c r="E25" s="104"/>
      <c r="F25" s="109">
        <f>SUM(F23:F24)</f>
        <v>10769.23076923077</v>
      </c>
    </row>
    <row r="26" spans="1:15">
      <c r="A26" s="302"/>
      <c r="B26" s="105"/>
      <c r="C26" s="102"/>
      <c r="D26" s="104"/>
      <c r="E26" s="104"/>
      <c r="F26" s="110">
        <f>F25/D21</f>
        <v>122.98322157477088</v>
      </c>
    </row>
    <row r="27" spans="1:15">
      <c r="A27" s="302"/>
      <c r="B27" s="103" t="s">
        <v>44</v>
      </c>
      <c r="C27" s="102"/>
      <c r="D27" s="104"/>
      <c r="E27" s="104"/>
      <c r="F27" s="109"/>
    </row>
    <row r="28" spans="1:15">
      <c r="A28" s="302"/>
      <c r="B28" s="105" t="s">
        <v>48</v>
      </c>
      <c r="C28" s="102" t="s">
        <v>14</v>
      </c>
      <c r="D28" s="104">
        <f>+(D24*6*8)*2</f>
        <v>96</v>
      </c>
      <c r="E28" s="104">
        <v>96</v>
      </c>
      <c r="F28" s="109">
        <f>PRODUCT(D28:E28)</f>
        <v>9216</v>
      </c>
    </row>
    <row r="29" spans="1:15">
      <c r="A29" s="302"/>
      <c r="B29" s="105"/>
      <c r="C29" s="102"/>
      <c r="D29" s="104"/>
      <c r="E29" s="104"/>
      <c r="F29" s="110">
        <f>F28/D21</f>
        <v>105.2455272173582</v>
      </c>
    </row>
    <row r="30" spans="1:15">
      <c r="A30" s="302"/>
      <c r="B30" s="103" t="s">
        <v>51</v>
      </c>
      <c r="C30" s="102"/>
      <c r="D30" s="104"/>
      <c r="E30" s="104"/>
      <c r="F30" s="109"/>
    </row>
    <row r="31" spans="1:15">
      <c r="A31" s="302"/>
      <c r="B31" s="105" t="s">
        <v>53</v>
      </c>
      <c r="C31" s="102" t="s">
        <v>12</v>
      </c>
      <c r="D31" s="104">
        <v>2</v>
      </c>
      <c r="E31" s="104">
        <v>700</v>
      </c>
      <c r="F31" s="109">
        <f>PRODUCT(D31:E31)</f>
        <v>1400</v>
      </c>
    </row>
    <row r="32" spans="1:15">
      <c r="A32" s="302"/>
      <c r="B32" s="105"/>
      <c r="C32" s="102"/>
      <c r="D32" s="104"/>
      <c r="E32" s="104"/>
      <c r="F32" s="110">
        <f>F31/D21</f>
        <v>15.987818804720213</v>
      </c>
    </row>
    <row r="33" spans="1:15">
      <c r="A33" s="302"/>
      <c r="B33" s="105"/>
      <c r="C33" s="102"/>
      <c r="D33" s="104"/>
      <c r="E33" s="104"/>
      <c r="F33" s="109"/>
    </row>
    <row r="34" spans="1:15" s="64" customFormat="1">
      <c r="A34" s="300"/>
      <c r="B34" s="106" t="s">
        <v>262</v>
      </c>
      <c r="C34" s="295"/>
      <c r="D34" s="98"/>
      <c r="E34" s="98"/>
      <c r="F34" s="110">
        <f>F26+F29+F32</f>
        <v>244.21656759684927</v>
      </c>
      <c r="L34" s="296"/>
      <c r="M34" s="296"/>
      <c r="N34" s="296"/>
      <c r="O34" s="296"/>
    </row>
    <row r="35" spans="1:15" s="64" customFormat="1">
      <c r="A35" s="300"/>
      <c r="B35" s="106"/>
      <c r="C35" s="295"/>
      <c r="D35" s="98"/>
      <c r="E35" s="98"/>
      <c r="F35" s="107"/>
      <c r="L35" s="296"/>
      <c r="M35" s="296"/>
      <c r="N35" s="296"/>
      <c r="O35" s="296"/>
    </row>
    <row r="36" spans="1:15" s="62" customFormat="1">
      <c r="A36" s="301">
        <v>3</v>
      </c>
      <c r="B36" s="100" t="s">
        <v>40</v>
      </c>
      <c r="C36" s="99"/>
      <c r="D36" s="101"/>
      <c r="E36" s="101"/>
      <c r="F36" s="108"/>
      <c r="L36" s="297"/>
      <c r="M36" s="297"/>
      <c r="N36" s="297"/>
      <c r="O36" s="297"/>
    </row>
    <row r="37" spans="1:15" s="62" customFormat="1">
      <c r="A37" s="301"/>
      <c r="B37" s="100" t="s">
        <v>52</v>
      </c>
      <c r="C37" s="99" t="s">
        <v>7</v>
      </c>
      <c r="D37" s="101">
        <f>'BOQ Split'!C6/60</f>
        <v>489.68333333333334</v>
      </c>
      <c r="E37" s="101"/>
      <c r="F37" s="108"/>
      <c r="I37" s="299"/>
      <c r="L37" s="297"/>
      <c r="M37" s="297"/>
      <c r="N37" s="297"/>
      <c r="O37" s="297"/>
    </row>
    <row r="38" spans="1:15">
      <c r="A38" s="302"/>
      <c r="B38" s="103" t="s">
        <v>50</v>
      </c>
      <c r="C38" s="102"/>
      <c r="D38" s="104"/>
      <c r="E38" s="104"/>
      <c r="F38" s="109"/>
    </row>
    <row r="39" spans="1:15">
      <c r="A39" s="302"/>
      <c r="B39" s="105" t="s">
        <v>172</v>
      </c>
      <c r="C39" s="102" t="s">
        <v>61</v>
      </c>
      <c r="D39" s="104">
        <v>1</v>
      </c>
      <c r="E39" s="104">
        <f>140000/26</f>
        <v>5384.6153846153848</v>
      </c>
      <c r="F39" s="109">
        <f>PRODUCT(D39:E39)</f>
        <v>5384.6153846153848</v>
      </c>
    </row>
    <row r="40" spans="1:15">
      <c r="A40" s="302"/>
      <c r="B40" s="105" t="s">
        <v>172</v>
      </c>
      <c r="C40" s="102" t="s">
        <v>61</v>
      </c>
      <c r="D40" s="104">
        <v>1</v>
      </c>
      <c r="E40" s="104">
        <f>140000/26</f>
        <v>5384.6153846153848</v>
      </c>
      <c r="F40" s="109">
        <f>PRODUCT(D40:E40)</f>
        <v>5384.6153846153848</v>
      </c>
    </row>
    <row r="41" spans="1:15">
      <c r="A41" s="302"/>
      <c r="B41" s="105"/>
      <c r="C41" s="102"/>
      <c r="D41" s="104"/>
      <c r="E41" s="104"/>
      <c r="F41" s="109">
        <f>SUM(F39:F40)</f>
        <v>10769.23076923077</v>
      </c>
    </row>
    <row r="42" spans="1:15">
      <c r="A42" s="302"/>
      <c r="B42" s="105"/>
      <c r="C42" s="102"/>
      <c r="D42" s="104"/>
      <c r="E42" s="104"/>
      <c r="F42" s="110">
        <f>F41/D37</f>
        <v>21.992234646671189</v>
      </c>
    </row>
    <row r="43" spans="1:15">
      <c r="A43" s="302"/>
      <c r="B43" s="103" t="s">
        <v>44</v>
      </c>
      <c r="C43" s="102"/>
      <c r="D43" s="104"/>
      <c r="E43" s="104"/>
      <c r="F43" s="109"/>
    </row>
    <row r="44" spans="1:15">
      <c r="A44" s="302"/>
      <c r="B44" s="105" t="s">
        <v>48</v>
      </c>
      <c r="C44" s="102" t="s">
        <v>14</v>
      </c>
      <c r="D44" s="104">
        <f>+(D40*7*8)*2</f>
        <v>112</v>
      </c>
      <c r="E44" s="104">
        <v>96</v>
      </c>
      <c r="F44" s="109">
        <f>PRODUCT(D44:E44)</f>
        <v>10752</v>
      </c>
    </row>
    <row r="45" spans="1:15">
      <c r="A45" s="302"/>
      <c r="B45" s="105"/>
      <c r="C45" s="102"/>
      <c r="D45" s="104"/>
      <c r="E45" s="104"/>
      <c r="F45" s="110">
        <f>F44/D37</f>
        <v>21.957047071236513</v>
      </c>
    </row>
    <row r="46" spans="1:15">
      <c r="A46" s="302"/>
      <c r="B46" s="103" t="s">
        <v>51</v>
      </c>
      <c r="C46" s="102"/>
      <c r="D46" s="104"/>
      <c r="E46" s="104"/>
      <c r="F46" s="109"/>
    </row>
    <row r="47" spans="1:15">
      <c r="A47" s="302"/>
      <c r="B47" s="105" t="s">
        <v>53</v>
      </c>
      <c r="C47" s="102" t="s">
        <v>12</v>
      </c>
      <c r="D47" s="104">
        <v>2</v>
      </c>
      <c r="E47" s="104">
        <v>700</v>
      </c>
      <c r="F47" s="109">
        <f>PRODUCT(D47:E47)</f>
        <v>1400</v>
      </c>
    </row>
    <row r="48" spans="1:15">
      <c r="A48" s="302"/>
      <c r="B48" s="105"/>
      <c r="C48" s="102"/>
      <c r="D48" s="104"/>
      <c r="E48" s="104"/>
      <c r="F48" s="110">
        <f>F47/D37</f>
        <v>2.8589905040672545</v>
      </c>
    </row>
    <row r="49" spans="1:15">
      <c r="A49" s="302"/>
      <c r="B49" s="105"/>
      <c r="C49" s="102"/>
      <c r="D49" s="104"/>
      <c r="E49" s="104"/>
      <c r="F49" s="109"/>
    </row>
    <row r="50" spans="1:15" s="64" customFormat="1">
      <c r="A50" s="300"/>
      <c r="B50" s="106" t="s">
        <v>262</v>
      </c>
      <c r="C50" s="295"/>
      <c r="D50" s="98"/>
      <c r="E50" s="98"/>
      <c r="F50" s="110">
        <f>F42+F45+F48</f>
        <v>46.80827222197496</v>
      </c>
      <c r="L50" s="296"/>
      <c r="M50" s="296"/>
      <c r="N50" s="296"/>
      <c r="O50" s="296"/>
    </row>
    <row r="51" spans="1:15" s="64" customFormat="1">
      <c r="A51" s="300"/>
      <c r="B51" s="106"/>
      <c r="C51" s="295"/>
      <c r="D51" s="98"/>
      <c r="E51" s="98"/>
      <c r="F51" s="107"/>
      <c r="L51" s="296"/>
      <c r="M51" s="296"/>
      <c r="N51" s="296"/>
      <c r="O51" s="296"/>
    </row>
    <row r="52" spans="1:15" s="62" customFormat="1">
      <c r="A52" s="301">
        <v>4.01</v>
      </c>
      <c r="B52" s="100" t="s">
        <v>264</v>
      </c>
      <c r="C52" s="99"/>
      <c r="D52" s="101"/>
      <c r="E52" s="101"/>
      <c r="F52" s="108"/>
      <c r="L52" s="297"/>
      <c r="M52" s="297"/>
      <c r="N52" s="297"/>
      <c r="O52" s="297"/>
    </row>
    <row r="53" spans="1:15">
      <c r="A53" s="302"/>
      <c r="B53" s="103" t="s">
        <v>49</v>
      </c>
      <c r="C53" s="102"/>
      <c r="D53" s="104"/>
      <c r="E53" s="104"/>
      <c r="F53" s="109"/>
    </row>
    <row r="54" spans="1:15">
      <c r="A54" s="302"/>
      <c r="B54" s="105" t="s">
        <v>63</v>
      </c>
      <c r="C54" s="102" t="s">
        <v>16</v>
      </c>
      <c r="D54" s="104">
        <v>1</v>
      </c>
      <c r="E54" s="104">
        <f>46*10.76</f>
        <v>494.96</v>
      </c>
      <c r="F54" s="109">
        <f>PRODUCT(D54:E54)</f>
        <v>494.96</v>
      </c>
    </row>
    <row r="55" spans="1:15">
      <c r="A55" s="302"/>
      <c r="B55" s="106" t="s">
        <v>263</v>
      </c>
      <c r="C55" s="102"/>
      <c r="D55" s="104"/>
      <c r="E55" s="104"/>
      <c r="F55" s="110">
        <f>SUM(F54:F54)</f>
        <v>494.96</v>
      </c>
    </row>
    <row r="56" spans="1:15" s="64" customFormat="1">
      <c r="A56" s="300"/>
      <c r="B56" s="106"/>
      <c r="C56" s="295"/>
      <c r="D56" s="98"/>
      <c r="E56" s="98"/>
      <c r="F56" s="107"/>
      <c r="L56" s="296"/>
      <c r="M56" s="296"/>
      <c r="N56" s="296"/>
      <c r="O56" s="296"/>
    </row>
    <row r="57" spans="1:15" s="62" customFormat="1">
      <c r="A57" s="301">
        <v>4.0199999999999996</v>
      </c>
      <c r="B57" s="100" t="s">
        <v>265</v>
      </c>
      <c r="C57" s="99"/>
      <c r="D57" s="101"/>
      <c r="E57" s="101"/>
      <c r="F57" s="108"/>
      <c r="L57" s="297"/>
      <c r="M57" s="297"/>
      <c r="N57" s="297"/>
      <c r="O57" s="297"/>
    </row>
    <row r="58" spans="1:15">
      <c r="A58" s="302"/>
      <c r="B58" s="103" t="s">
        <v>49</v>
      </c>
      <c r="C58" s="102"/>
      <c r="D58" s="104"/>
      <c r="E58" s="104"/>
      <c r="F58" s="109"/>
    </row>
    <row r="59" spans="1:15">
      <c r="A59" s="302"/>
      <c r="B59" s="105" t="s">
        <v>63</v>
      </c>
      <c r="C59" s="102" t="s">
        <v>16</v>
      </c>
      <c r="D59" s="104">
        <v>1</v>
      </c>
      <c r="E59" s="104">
        <f>50*10.76</f>
        <v>538</v>
      </c>
      <c r="F59" s="109">
        <f>PRODUCT(D59:E59)</f>
        <v>538</v>
      </c>
    </row>
    <row r="60" spans="1:15">
      <c r="A60" s="302"/>
      <c r="B60" s="105" t="s">
        <v>200</v>
      </c>
      <c r="C60" s="102" t="s">
        <v>16</v>
      </c>
      <c r="D60" s="104">
        <v>1</v>
      </c>
      <c r="E60" s="104">
        <f>6*10.76</f>
        <v>64.56</v>
      </c>
      <c r="F60" s="109">
        <f>PRODUCT(D60:E60)</f>
        <v>64.56</v>
      </c>
    </row>
    <row r="61" spans="1:15">
      <c r="A61" s="302"/>
      <c r="B61" s="106" t="s">
        <v>263</v>
      </c>
      <c r="C61" s="102"/>
      <c r="D61" s="104"/>
      <c r="E61" s="104"/>
      <c r="F61" s="110">
        <f>SUM(F59:F60)</f>
        <v>602.55999999999995</v>
      </c>
    </row>
    <row r="62" spans="1:15" s="64" customFormat="1">
      <c r="A62" s="300"/>
      <c r="B62" s="106"/>
      <c r="C62" s="295"/>
      <c r="D62" s="98"/>
      <c r="E62" s="98"/>
      <c r="F62" s="107"/>
      <c r="L62" s="296"/>
      <c r="M62" s="296"/>
      <c r="N62" s="296"/>
      <c r="O62" s="296"/>
    </row>
    <row r="63" spans="1:15" s="62" customFormat="1">
      <c r="A63" s="301">
        <v>4.04</v>
      </c>
      <c r="B63" s="100" t="s">
        <v>266</v>
      </c>
      <c r="C63" s="99"/>
      <c r="D63" s="101"/>
      <c r="E63" s="101"/>
      <c r="F63" s="108"/>
      <c r="L63" s="297"/>
      <c r="M63" s="297"/>
      <c r="N63" s="297"/>
      <c r="O63" s="297"/>
    </row>
    <row r="64" spans="1:15">
      <c r="A64" s="302"/>
      <c r="B64" s="103" t="s">
        <v>49</v>
      </c>
      <c r="C64" s="102"/>
      <c r="D64" s="104"/>
      <c r="E64" s="104"/>
      <c r="F64" s="109"/>
    </row>
    <row r="65" spans="1:15">
      <c r="A65" s="302"/>
      <c r="B65" s="105" t="s">
        <v>63</v>
      </c>
      <c r="C65" s="102" t="s">
        <v>16</v>
      </c>
      <c r="D65" s="104">
        <v>1</v>
      </c>
      <c r="E65" s="104">
        <f>55*10.76</f>
        <v>591.79999999999995</v>
      </c>
      <c r="F65" s="109">
        <f>PRODUCT(D65:E65)</f>
        <v>591.79999999999995</v>
      </c>
    </row>
    <row r="66" spans="1:15">
      <c r="A66" s="302"/>
      <c r="B66" s="105" t="s">
        <v>200</v>
      </c>
      <c r="C66" s="102" t="s">
        <v>16</v>
      </c>
      <c r="D66" s="104">
        <v>1</v>
      </c>
      <c r="E66" s="104">
        <f>6*10.76</f>
        <v>64.56</v>
      </c>
      <c r="F66" s="109">
        <f>PRODUCT(D66:E66)</f>
        <v>64.56</v>
      </c>
    </row>
    <row r="67" spans="1:15">
      <c r="A67" s="302"/>
      <c r="B67" s="106" t="s">
        <v>263</v>
      </c>
      <c r="C67" s="102"/>
      <c r="D67" s="104"/>
      <c r="E67" s="104"/>
      <c r="F67" s="110">
        <f>SUM(F65:F66)</f>
        <v>656.3599999999999</v>
      </c>
    </row>
    <row r="68" spans="1:15" s="64" customFormat="1">
      <c r="A68" s="300"/>
      <c r="B68" s="106"/>
      <c r="C68" s="295"/>
      <c r="D68" s="98"/>
      <c r="E68" s="98"/>
      <c r="F68" s="107"/>
      <c r="L68" s="296"/>
      <c r="M68" s="296"/>
      <c r="N68" s="296"/>
      <c r="O68" s="296"/>
    </row>
    <row r="69" spans="1:15" s="62" customFormat="1">
      <c r="A69" s="301">
        <v>5</v>
      </c>
      <c r="B69" s="100" t="s">
        <v>173</v>
      </c>
      <c r="C69" s="99"/>
      <c r="D69" s="101"/>
      <c r="E69" s="101"/>
      <c r="F69" s="108"/>
      <c r="L69" s="297"/>
      <c r="M69" s="297"/>
      <c r="N69" s="297"/>
      <c r="O69" s="297"/>
    </row>
    <row r="70" spans="1:15" s="62" customFormat="1">
      <c r="A70" s="301"/>
      <c r="B70" s="100" t="s">
        <v>52</v>
      </c>
      <c r="C70" s="99" t="s">
        <v>7</v>
      </c>
      <c r="D70" s="101">
        <v>10</v>
      </c>
      <c r="E70" s="101"/>
      <c r="F70" s="108"/>
      <c r="L70" s="297"/>
      <c r="M70" s="297"/>
      <c r="N70" s="297"/>
      <c r="O70" s="297"/>
    </row>
    <row r="71" spans="1:15">
      <c r="A71" s="302"/>
      <c r="B71" s="103" t="s">
        <v>20</v>
      </c>
      <c r="C71" s="102"/>
      <c r="D71" s="104"/>
      <c r="E71" s="104"/>
      <c r="F71" s="109"/>
    </row>
    <row r="72" spans="1:15">
      <c r="A72" s="302"/>
      <c r="B72" s="105" t="s">
        <v>8</v>
      </c>
      <c r="C72" s="102" t="s">
        <v>35</v>
      </c>
      <c r="D72" s="104">
        <v>2.5</v>
      </c>
      <c r="E72" s="104">
        <f>Materials!E9</f>
        <v>250</v>
      </c>
      <c r="F72" s="109">
        <f t="shared" ref="F72:F76" si="0">PRODUCT(D72:E72)</f>
        <v>625</v>
      </c>
    </row>
    <row r="73" spans="1:15">
      <c r="A73" s="302"/>
      <c r="B73" s="105" t="s">
        <v>171</v>
      </c>
      <c r="C73" s="102" t="s">
        <v>21</v>
      </c>
      <c r="D73" s="104">
        <f>0.55/2.83</f>
        <v>0.1943462897526502</v>
      </c>
      <c r="E73" s="104">
        <f>Materials!E10</f>
        <v>800</v>
      </c>
      <c r="F73" s="109">
        <f t="shared" si="0"/>
        <v>155.47703180212017</v>
      </c>
    </row>
    <row r="74" spans="1:15">
      <c r="A74" s="302"/>
      <c r="B74" s="105" t="s">
        <v>10</v>
      </c>
      <c r="C74" s="102" t="s">
        <v>21</v>
      </c>
      <c r="D74" s="104">
        <f>D73*0.05</f>
        <v>9.7173144876325102E-3</v>
      </c>
      <c r="E74" s="104">
        <f>Materials!E25</f>
        <v>6400</v>
      </c>
      <c r="F74" s="109">
        <f t="shared" si="0"/>
        <v>62.190812720848065</v>
      </c>
    </row>
    <row r="75" spans="1:15">
      <c r="A75" s="302"/>
      <c r="B75" s="105" t="s">
        <v>9</v>
      </c>
      <c r="C75" s="102" t="s">
        <v>21</v>
      </c>
      <c r="D75" s="104">
        <f>0.86/2.83</f>
        <v>0.303886925795053</v>
      </c>
      <c r="E75" s="104">
        <f>Materials!E11</f>
        <v>3800</v>
      </c>
      <c r="F75" s="109">
        <f t="shared" si="0"/>
        <v>1154.7703180212013</v>
      </c>
    </row>
    <row r="76" spans="1:15">
      <c r="A76" s="302"/>
      <c r="B76" s="105" t="s">
        <v>58</v>
      </c>
      <c r="C76" s="102" t="s">
        <v>14</v>
      </c>
      <c r="D76" s="104">
        <v>200</v>
      </c>
      <c r="E76" s="104">
        <v>0.2</v>
      </c>
      <c r="F76" s="109">
        <f t="shared" si="0"/>
        <v>40</v>
      </c>
    </row>
    <row r="77" spans="1:15">
      <c r="A77" s="302"/>
      <c r="B77" s="105"/>
      <c r="C77" s="102"/>
      <c r="D77" s="104"/>
      <c r="E77" s="104"/>
      <c r="F77" s="110">
        <f>SUM(F72:F76)</f>
        <v>2037.4381625441695</v>
      </c>
    </row>
    <row r="78" spans="1:15">
      <c r="A78" s="302"/>
      <c r="B78" s="103" t="s">
        <v>49</v>
      </c>
      <c r="C78" s="102"/>
      <c r="D78" s="104"/>
      <c r="E78" s="104"/>
      <c r="F78" s="109"/>
    </row>
    <row r="79" spans="1:15">
      <c r="A79" s="302"/>
      <c r="B79" s="105" t="s">
        <v>59</v>
      </c>
      <c r="C79" s="102" t="s">
        <v>7</v>
      </c>
      <c r="D79" s="104">
        <v>1</v>
      </c>
      <c r="E79" s="104">
        <v>350</v>
      </c>
      <c r="F79" s="109">
        <f>PRODUCT(D79:E79)</f>
        <v>350</v>
      </c>
    </row>
    <row r="80" spans="1:15">
      <c r="A80" s="302"/>
      <c r="B80" s="105" t="s">
        <v>62</v>
      </c>
      <c r="C80" s="102" t="s">
        <v>7</v>
      </c>
      <c r="D80" s="104">
        <v>1</v>
      </c>
      <c r="E80" s="104">
        <v>200</v>
      </c>
      <c r="F80" s="109">
        <f>PRODUCT(D80:E80)</f>
        <v>200</v>
      </c>
    </row>
    <row r="81" spans="1:15">
      <c r="A81" s="302"/>
      <c r="B81" s="105"/>
      <c r="C81" s="102"/>
      <c r="D81" s="104"/>
      <c r="E81" s="104"/>
      <c r="F81" s="109">
        <f>SUM(F79:F80)</f>
        <v>550</v>
      </c>
    </row>
    <row r="82" spans="1:15">
      <c r="A82" s="302"/>
      <c r="B82" s="105"/>
      <c r="C82" s="102"/>
      <c r="D82" s="104"/>
      <c r="E82" s="104"/>
      <c r="F82" s="110">
        <f>F81</f>
        <v>550</v>
      </c>
    </row>
    <row r="83" spans="1:15">
      <c r="A83" s="302"/>
      <c r="B83" s="103" t="s">
        <v>50</v>
      </c>
      <c r="C83" s="102"/>
      <c r="D83" s="104"/>
      <c r="E83" s="104"/>
      <c r="F83" s="109"/>
    </row>
    <row r="84" spans="1:15">
      <c r="A84" s="302"/>
      <c r="B84" s="105" t="s">
        <v>60</v>
      </c>
      <c r="C84" s="102" t="s">
        <v>61</v>
      </c>
      <c r="D84" s="104">
        <v>1</v>
      </c>
      <c r="E84" s="104">
        <f>185000/26</f>
        <v>7115.3846153846152</v>
      </c>
      <c r="F84" s="109">
        <f>PRODUCT(D84:E84)</f>
        <v>7115.3846153846152</v>
      </c>
    </row>
    <row r="85" spans="1:15">
      <c r="A85" s="302"/>
      <c r="B85" s="105"/>
      <c r="C85" s="102"/>
      <c r="D85" s="104"/>
      <c r="E85" s="104"/>
      <c r="F85" s="109">
        <f>SUM(F84:F84)</f>
        <v>7115.3846153846152</v>
      </c>
    </row>
    <row r="86" spans="1:15">
      <c r="A86" s="302"/>
      <c r="B86" s="105"/>
      <c r="C86" s="102"/>
      <c r="D86" s="104"/>
      <c r="E86" s="104"/>
      <c r="F86" s="110">
        <f>F85/D70</f>
        <v>711.53846153846155</v>
      </c>
    </row>
    <row r="87" spans="1:15">
      <c r="A87" s="302"/>
      <c r="B87" s="103" t="s">
        <v>44</v>
      </c>
      <c r="C87" s="102"/>
      <c r="D87" s="104"/>
      <c r="E87" s="104"/>
      <c r="F87" s="109"/>
    </row>
    <row r="88" spans="1:15">
      <c r="A88" s="302"/>
      <c r="B88" s="105" t="s">
        <v>48</v>
      </c>
      <c r="C88" s="102" t="s">
        <v>14</v>
      </c>
      <c r="D88" s="104">
        <f>(D84*4*7)</f>
        <v>28</v>
      </c>
      <c r="E88" s="104">
        <v>96</v>
      </c>
      <c r="F88" s="109">
        <f>PRODUCT(D88:E88)</f>
        <v>2688</v>
      </c>
    </row>
    <row r="89" spans="1:15">
      <c r="A89" s="302"/>
      <c r="B89" s="105"/>
      <c r="C89" s="102"/>
      <c r="D89" s="104"/>
      <c r="E89" s="104"/>
      <c r="F89" s="110">
        <f>F88/D70</f>
        <v>268.8</v>
      </c>
    </row>
    <row r="90" spans="1:15">
      <c r="A90" s="302"/>
      <c r="B90" s="105"/>
      <c r="C90" s="102"/>
      <c r="D90" s="104"/>
      <c r="E90" s="104"/>
      <c r="F90" s="109"/>
    </row>
    <row r="91" spans="1:15">
      <c r="A91" s="302"/>
      <c r="B91" s="106" t="s">
        <v>174</v>
      </c>
      <c r="C91" s="102"/>
      <c r="D91" s="104"/>
      <c r="E91" s="104"/>
      <c r="F91" s="110">
        <f>F77+F82+F86+F89</f>
        <v>3567.7766240826309</v>
      </c>
    </row>
    <row r="92" spans="1:15">
      <c r="A92" s="302"/>
      <c r="B92" s="105"/>
      <c r="C92" s="102"/>
      <c r="D92" s="104"/>
      <c r="E92" s="104"/>
      <c r="F92" s="107"/>
    </row>
    <row r="93" spans="1:15" s="62" customFormat="1">
      <c r="A93" s="301">
        <v>6</v>
      </c>
      <c r="B93" s="100" t="s">
        <v>176</v>
      </c>
      <c r="C93" s="99"/>
      <c r="D93" s="101"/>
      <c r="E93" s="101"/>
      <c r="F93" s="108"/>
      <c r="L93" s="297"/>
      <c r="M93" s="297"/>
      <c r="N93" s="297"/>
      <c r="O93" s="297"/>
    </row>
    <row r="94" spans="1:15" s="62" customFormat="1">
      <c r="A94" s="301"/>
      <c r="B94" s="100" t="s">
        <v>52</v>
      </c>
      <c r="C94" s="99" t="s">
        <v>7</v>
      </c>
      <c r="D94" s="101">
        <v>12</v>
      </c>
      <c r="E94" s="101"/>
      <c r="F94" s="108"/>
      <c r="L94" s="297"/>
      <c r="M94" s="297"/>
      <c r="N94" s="297"/>
      <c r="O94" s="297"/>
    </row>
    <row r="95" spans="1:15">
      <c r="A95" s="302"/>
      <c r="B95" s="103" t="s">
        <v>20</v>
      </c>
      <c r="C95" s="102"/>
      <c r="D95" s="104"/>
      <c r="E95" s="104"/>
      <c r="F95" s="109"/>
    </row>
    <row r="96" spans="1:15">
      <c r="A96" s="302"/>
      <c r="B96" s="105" t="s">
        <v>8</v>
      </c>
      <c r="C96" s="102" t="s">
        <v>35</v>
      </c>
      <c r="D96" s="104">
        <v>3.5</v>
      </c>
      <c r="E96" s="104">
        <f>E72</f>
        <v>250</v>
      </c>
      <c r="F96" s="109">
        <f t="shared" ref="F96:F100" si="1">PRODUCT(D96:E96)</f>
        <v>875</v>
      </c>
    </row>
    <row r="97" spans="1:6">
      <c r="A97" s="302"/>
      <c r="B97" s="105" t="s">
        <v>171</v>
      </c>
      <c r="C97" s="102" t="s">
        <v>21</v>
      </c>
      <c r="D97" s="104">
        <f>0.55/2.83</f>
        <v>0.1943462897526502</v>
      </c>
      <c r="E97" s="104">
        <f>E73</f>
        <v>800</v>
      </c>
      <c r="F97" s="109">
        <f t="shared" si="1"/>
        <v>155.47703180212017</v>
      </c>
    </row>
    <row r="98" spans="1:6">
      <c r="A98" s="302"/>
      <c r="B98" s="105" t="s">
        <v>10</v>
      </c>
      <c r="C98" s="102" t="s">
        <v>21</v>
      </c>
      <c r="D98" s="104">
        <f>D97*0.05</f>
        <v>9.7173144876325102E-3</v>
      </c>
      <c r="E98" s="104">
        <f>E74</f>
        <v>6400</v>
      </c>
      <c r="F98" s="109">
        <f t="shared" si="1"/>
        <v>62.190812720848065</v>
      </c>
    </row>
    <row r="99" spans="1:6">
      <c r="A99" s="302"/>
      <c r="B99" s="105" t="s">
        <v>9</v>
      </c>
      <c r="C99" s="102" t="s">
        <v>21</v>
      </c>
      <c r="D99" s="104">
        <f>0.86/2.83</f>
        <v>0.303886925795053</v>
      </c>
      <c r="E99" s="104">
        <f>E75</f>
        <v>3800</v>
      </c>
      <c r="F99" s="109">
        <f t="shared" si="1"/>
        <v>1154.7703180212013</v>
      </c>
    </row>
    <row r="100" spans="1:6">
      <c r="A100" s="302"/>
      <c r="B100" s="105" t="s">
        <v>58</v>
      </c>
      <c r="C100" s="102" t="s">
        <v>14</v>
      </c>
      <c r="D100" s="104">
        <v>200</v>
      </c>
      <c r="E100" s="104">
        <v>0.2</v>
      </c>
      <c r="F100" s="109">
        <f t="shared" si="1"/>
        <v>40</v>
      </c>
    </row>
    <row r="101" spans="1:6">
      <c r="A101" s="302"/>
      <c r="B101" s="105"/>
      <c r="C101" s="102"/>
      <c r="D101" s="104"/>
      <c r="E101" s="104"/>
      <c r="F101" s="110">
        <f>SUM(F96:F100)</f>
        <v>2287.4381625441692</v>
      </c>
    </row>
    <row r="102" spans="1:6">
      <c r="A102" s="302"/>
      <c r="B102" s="103" t="s">
        <v>49</v>
      </c>
      <c r="C102" s="102"/>
      <c r="D102" s="104"/>
      <c r="E102" s="104"/>
      <c r="F102" s="109"/>
    </row>
    <row r="103" spans="1:6">
      <c r="A103" s="302"/>
      <c r="B103" s="105" t="s">
        <v>59</v>
      </c>
      <c r="C103" s="102" t="s">
        <v>7</v>
      </c>
      <c r="D103" s="104">
        <v>1</v>
      </c>
      <c r="E103" s="104">
        <v>350</v>
      </c>
      <c r="F103" s="109">
        <f>PRODUCT(D103:E103)</f>
        <v>350</v>
      </c>
    </row>
    <row r="104" spans="1:6">
      <c r="A104" s="302"/>
      <c r="B104" s="105" t="s">
        <v>62</v>
      </c>
      <c r="C104" s="102" t="s">
        <v>7</v>
      </c>
      <c r="D104" s="104">
        <v>1</v>
      </c>
      <c r="E104" s="104">
        <v>200</v>
      </c>
      <c r="F104" s="109">
        <f>PRODUCT(D104:E104)</f>
        <v>200</v>
      </c>
    </row>
    <row r="105" spans="1:6">
      <c r="A105" s="302"/>
      <c r="B105" s="105"/>
      <c r="C105" s="102"/>
      <c r="D105" s="104"/>
      <c r="E105" s="104"/>
      <c r="F105" s="109">
        <f>SUM(F103:F104)</f>
        <v>550</v>
      </c>
    </row>
    <row r="106" spans="1:6">
      <c r="A106" s="302"/>
      <c r="B106" s="105"/>
      <c r="C106" s="102"/>
      <c r="D106" s="104"/>
      <c r="E106" s="104"/>
      <c r="F106" s="110">
        <f>F105</f>
        <v>550</v>
      </c>
    </row>
    <row r="107" spans="1:6">
      <c r="A107" s="302"/>
      <c r="B107" s="103" t="s">
        <v>50</v>
      </c>
      <c r="C107" s="102"/>
      <c r="D107" s="104"/>
      <c r="E107" s="104"/>
      <c r="F107" s="109"/>
    </row>
    <row r="108" spans="1:6">
      <c r="A108" s="302"/>
      <c r="B108" s="105" t="s">
        <v>60</v>
      </c>
      <c r="C108" s="102" t="s">
        <v>61</v>
      </c>
      <c r="D108" s="104">
        <v>1</v>
      </c>
      <c r="E108" s="104">
        <f>185000/26</f>
        <v>7115.3846153846152</v>
      </c>
      <c r="F108" s="109">
        <f>PRODUCT(D108:E108)</f>
        <v>7115.3846153846152</v>
      </c>
    </row>
    <row r="109" spans="1:6">
      <c r="A109" s="302"/>
      <c r="B109" s="105"/>
      <c r="C109" s="102"/>
      <c r="D109" s="104"/>
      <c r="E109" s="104"/>
      <c r="F109" s="109">
        <f>SUM(F108:F108)</f>
        <v>7115.3846153846152</v>
      </c>
    </row>
    <row r="110" spans="1:6">
      <c r="A110" s="302"/>
      <c r="B110" s="105"/>
      <c r="C110" s="102"/>
      <c r="D110" s="104"/>
      <c r="E110" s="104"/>
      <c r="F110" s="110">
        <f>F109/D94</f>
        <v>592.9487179487179</v>
      </c>
    </row>
    <row r="111" spans="1:6">
      <c r="A111" s="302"/>
      <c r="B111" s="103" t="s">
        <v>44</v>
      </c>
      <c r="C111" s="102"/>
      <c r="D111" s="104"/>
      <c r="E111" s="104"/>
      <c r="F111" s="109"/>
    </row>
    <row r="112" spans="1:6">
      <c r="A112" s="302"/>
      <c r="B112" s="105" t="s">
        <v>48</v>
      </c>
      <c r="C112" s="102" t="s">
        <v>14</v>
      </c>
      <c r="D112" s="104">
        <f>(D108*4*7)</f>
        <v>28</v>
      </c>
      <c r="E112" s="104">
        <v>96</v>
      </c>
      <c r="F112" s="109">
        <f>PRODUCT(D112:E112)</f>
        <v>2688</v>
      </c>
    </row>
    <row r="113" spans="1:15">
      <c r="A113" s="302"/>
      <c r="B113" s="105"/>
      <c r="C113" s="102"/>
      <c r="D113" s="104"/>
      <c r="E113" s="104"/>
      <c r="F113" s="110">
        <f>F112/D94</f>
        <v>224</v>
      </c>
    </row>
    <row r="114" spans="1:15">
      <c r="A114" s="302"/>
      <c r="B114" s="105"/>
      <c r="C114" s="102"/>
      <c r="D114" s="104"/>
      <c r="E114" s="104"/>
      <c r="F114" s="109"/>
    </row>
    <row r="115" spans="1:15">
      <c r="A115" s="302"/>
      <c r="B115" s="106" t="s">
        <v>174</v>
      </c>
      <c r="C115" s="102"/>
      <c r="D115" s="104"/>
      <c r="E115" s="104"/>
      <c r="F115" s="110">
        <f>F101+F106+F110+F113</f>
        <v>3654.386880492887</v>
      </c>
    </row>
    <row r="116" spans="1:15">
      <c r="A116" s="302"/>
      <c r="B116" s="105"/>
      <c r="C116" s="102"/>
      <c r="D116" s="104"/>
      <c r="E116" s="104"/>
      <c r="F116" s="107"/>
    </row>
    <row r="117" spans="1:15" s="62" customFormat="1">
      <c r="A117" s="301">
        <v>7</v>
      </c>
      <c r="B117" s="100" t="s">
        <v>176</v>
      </c>
      <c r="C117" s="99"/>
      <c r="D117" s="101"/>
      <c r="E117" s="101"/>
      <c r="F117" s="108"/>
      <c r="L117" s="297"/>
      <c r="M117" s="297"/>
      <c r="N117" s="297"/>
      <c r="O117" s="297"/>
    </row>
    <row r="118" spans="1:15" s="62" customFormat="1">
      <c r="A118" s="301"/>
      <c r="B118" s="100" t="s">
        <v>52</v>
      </c>
      <c r="C118" s="99" t="s">
        <v>7</v>
      </c>
      <c r="D118" s="101">
        <v>10</v>
      </c>
      <c r="E118" s="101"/>
      <c r="F118" s="108"/>
      <c r="L118" s="297"/>
      <c r="M118" s="297"/>
      <c r="N118" s="297"/>
      <c r="O118" s="297"/>
    </row>
    <row r="119" spans="1:15">
      <c r="A119" s="302"/>
      <c r="B119" s="103" t="s">
        <v>20</v>
      </c>
      <c r="C119" s="102"/>
      <c r="D119" s="104"/>
      <c r="E119" s="104"/>
      <c r="F119" s="109"/>
    </row>
    <row r="120" spans="1:15">
      <c r="A120" s="302"/>
      <c r="B120" s="105" t="s">
        <v>8</v>
      </c>
      <c r="C120" s="102" t="s">
        <v>35</v>
      </c>
      <c r="D120" s="104">
        <v>3.5</v>
      </c>
      <c r="E120" s="104">
        <f>E96</f>
        <v>250</v>
      </c>
      <c r="F120" s="109">
        <f t="shared" ref="F120:F125" si="2">PRODUCT(D120:E120)</f>
        <v>875</v>
      </c>
    </row>
    <row r="121" spans="1:15">
      <c r="A121" s="302"/>
      <c r="B121" s="105" t="s">
        <v>171</v>
      </c>
      <c r="C121" s="102" t="s">
        <v>21</v>
      </c>
      <c r="D121" s="104">
        <f>0.55/2.83</f>
        <v>0.1943462897526502</v>
      </c>
      <c r="E121" s="104">
        <f>E97</f>
        <v>800</v>
      </c>
      <c r="F121" s="109">
        <f t="shared" si="2"/>
        <v>155.47703180212017</v>
      </c>
    </row>
    <row r="122" spans="1:15">
      <c r="A122" s="302"/>
      <c r="B122" s="105" t="s">
        <v>10</v>
      </c>
      <c r="C122" s="102" t="s">
        <v>21</v>
      </c>
      <c r="D122" s="104">
        <f>D121*0.05</f>
        <v>9.7173144876325102E-3</v>
      </c>
      <c r="E122" s="104">
        <f>E98</f>
        <v>6400</v>
      </c>
      <c r="F122" s="109">
        <f t="shared" si="2"/>
        <v>62.190812720848065</v>
      </c>
    </row>
    <row r="123" spans="1:15">
      <c r="A123" s="302"/>
      <c r="B123" s="105" t="s">
        <v>9</v>
      </c>
      <c r="C123" s="102" t="s">
        <v>21</v>
      </c>
      <c r="D123" s="104">
        <f>0.44/2.83</f>
        <v>0.15547703180212014</v>
      </c>
      <c r="E123" s="104">
        <f>E99</f>
        <v>3800</v>
      </c>
      <c r="F123" s="109">
        <f t="shared" si="2"/>
        <v>590.81272084805653</v>
      </c>
    </row>
    <row r="124" spans="1:15">
      <c r="A124" s="302"/>
      <c r="B124" s="105" t="s">
        <v>11</v>
      </c>
      <c r="C124" s="102" t="s">
        <v>21</v>
      </c>
      <c r="D124" s="104">
        <f>0.44/2.83</f>
        <v>0.15547703180212014</v>
      </c>
      <c r="E124" s="104">
        <f>Materials!E12</f>
        <v>4000</v>
      </c>
      <c r="F124" s="109">
        <f t="shared" si="2"/>
        <v>621.90812720848055</v>
      </c>
    </row>
    <row r="125" spans="1:15">
      <c r="A125" s="302"/>
      <c r="B125" s="105" t="s">
        <v>58</v>
      </c>
      <c r="C125" s="102" t="s">
        <v>14</v>
      </c>
      <c r="D125" s="104">
        <v>200</v>
      </c>
      <c r="E125" s="104">
        <v>0.2</v>
      </c>
      <c r="F125" s="109">
        <f t="shared" si="2"/>
        <v>40</v>
      </c>
    </row>
    <row r="126" spans="1:15">
      <c r="A126" s="302"/>
      <c r="B126" s="105"/>
      <c r="C126" s="102"/>
      <c r="D126" s="104"/>
      <c r="E126" s="104"/>
      <c r="F126" s="110">
        <f>SUM(F120:F125)</f>
        <v>2345.388692579505</v>
      </c>
    </row>
    <row r="127" spans="1:15">
      <c r="A127" s="302"/>
      <c r="B127" s="103" t="s">
        <v>49</v>
      </c>
      <c r="C127" s="102"/>
      <c r="D127" s="104"/>
      <c r="E127" s="104"/>
      <c r="F127" s="109"/>
    </row>
    <row r="128" spans="1:15">
      <c r="A128" s="302"/>
      <c r="B128" s="105" t="s">
        <v>59</v>
      </c>
      <c r="C128" s="102" t="s">
        <v>7</v>
      </c>
      <c r="D128" s="104">
        <v>1</v>
      </c>
      <c r="E128" s="104">
        <v>350</v>
      </c>
      <c r="F128" s="109">
        <f>PRODUCT(D128:E128)</f>
        <v>350</v>
      </c>
    </row>
    <row r="129" spans="1:15">
      <c r="A129" s="302"/>
      <c r="B129" s="105" t="s">
        <v>62</v>
      </c>
      <c r="C129" s="102" t="s">
        <v>7</v>
      </c>
      <c r="D129" s="104">
        <v>1</v>
      </c>
      <c r="E129" s="104">
        <v>200</v>
      </c>
      <c r="F129" s="109">
        <f>PRODUCT(D129:E129)</f>
        <v>200</v>
      </c>
    </row>
    <row r="130" spans="1:15">
      <c r="A130" s="302"/>
      <c r="B130" s="105"/>
      <c r="C130" s="102"/>
      <c r="D130" s="104"/>
      <c r="E130" s="104"/>
      <c r="F130" s="109">
        <f>SUM(F128:F129)</f>
        <v>550</v>
      </c>
    </row>
    <row r="131" spans="1:15">
      <c r="A131" s="302"/>
      <c r="B131" s="105"/>
      <c r="C131" s="102"/>
      <c r="D131" s="104"/>
      <c r="E131" s="104"/>
      <c r="F131" s="110">
        <f>F130</f>
        <v>550</v>
      </c>
    </row>
    <row r="132" spans="1:15">
      <c r="A132" s="302"/>
      <c r="B132" s="103" t="s">
        <v>50</v>
      </c>
      <c r="C132" s="102"/>
      <c r="D132" s="104"/>
      <c r="E132" s="104"/>
      <c r="F132" s="109"/>
    </row>
    <row r="133" spans="1:15">
      <c r="A133" s="302"/>
      <c r="B133" s="105" t="s">
        <v>60</v>
      </c>
      <c r="C133" s="102" t="s">
        <v>61</v>
      </c>
      <c r="D133" s="104">
        <v>1</v>
      </c>
      <c r="E133" s="104">
        <f>185000/26</f>
        <v>7115.3846153846152</v>
      </c>
      <c r="F133" s="109">
        <f>PRODUCT(D133:E133)</f>
        <v>7115.3846153846152</v>
      </c>
    </row>
    <row r="134" spans="1:15">
      <c r="A134" s="302"/>
      <c r="B134" s="105"/>
      <c r="C134" s="102"/>
      <c r="D134" s="104"/>
      <c r="E134" s="104"/>
      <c r="F134" s="109">
        <f>SUM(F133:F133)</f>
        <v>7115.3846153846152</v>
      </c>
    </row>
    <row r="135" spans="1:15">
      <c r="A135" s="302"/>
      <c r="B135" s="105"/>
      <c r="C135" s="102"/>
      <c r="D135" s="104"/>
      <c r="E135" s="104"/>
      <c r="F135" s="110">
        <f>F134/D118</f>
        <v>711.53846153846155</v>
      </c>
    </row>
    <row r="136" spans="1:15">
      <c r="A136" s="302"/>
      <c r="B136" s="103" t="s">
        <v>44</v>
      </c>
      <c r="C136" s="102"/>
      <c r="D136" s="104"/>
      <c r="E136" s="104"/>
      <c r="F136" s="109"/>
    </row>
    <row r="137" spans="1:15">
      <c r="A137" s="302"/>
      <c r="B137" s="105" t="s">
        <v>48</v>
      </c>
      <c r="C137" s="102" t="s">
        <v>14</v>
      </c>
      <c r="D137" s="104">
        <f>(D133*6*7)</f>
        <v>42</v>
      </c>
      <c r="E137" s="104">
        <v>96</v>
      </c>
      <c r="F137" s="109">
        <f>PRODUCT(D137:E137)</f>
        <v>4032</v>
      </c>
    </row>
    <row r="138" spans="1:15">
      <c r="A138" s="302"/>
      <c r="B138" s="105"/>
      <c r="C138" s="102"/>
      <c r="D138" s="104"/>
      <c r="E138" s="104"/>
      <c r="F138" s="110">
        <f>F137/D118</f>
        <v>403.2</v>
      </c>
    </row>
    <row r="139" spans="1:15">
      <c r="A139" s="302"/>
      <c r="B139" s="105"/>
      <c r="C139" s="102"/>
      <c r="D139" s="104"/>
      <c r="E139" s="104"/>
      <c r="F139" s="109"/>
    </row>
    <row r="140" spans="1:15">
      <c r="A140" s="302"/>
      <c r="B140" s="106" t="s">
        <v>178</v>
      </c>
      <c r="C140" s="102"/>
      <c r="D140" s="104"/>
      <c r="E140" s="104"/>
      <c r="F140" s="110">
        <f>F126+F131+F135+F138</f>
        <v>4010.1271541179663</v>
      </c>
    </row>
    <row r="141" spans="1:15" s="64" customFormat="1">
      <c r="A141" s="300"/>
      <c r="B141" s="106"/>
      <c r="C141" s="295"/>
      <c r="D141" s="98"/>
      <c r="E141" s="98"/>
      <c r="F141" s="107"/>
      <c r="L141" s="296"/>
      <c r="M141" s="296"/>
      <c r="N141" s="296"/>
      <c r="O141" s="296"/>
    </row>
    <row r="142" spans="1:15" s="62" customFormat="1">
      <c r="A142" s="301">
        <v>8</v>
      </c>
      <c r="B142" s="100" t="s">
        <v>278</v>
      </c>
      <c r="C142" s="99"/>
      <c r="D142" s="101"/>
      <c r="E142" s="101"/>
      <c r="F142" s="108"/>
      <c r="L142" s="297"/>
      <c r="M142" s="297"/>
      <c r="N142" s="297"/>
      <c r="O142" s="297"/>
    </row>
    <row r="143" spans="1:15" s="62" customFormat="1">
      <c r="A143" s="301"/>
      <c r="B143" s="100" t="s">
        <v>52</v>
      </c>
      <c r="C143" s="99" t="s">
        <v>7</v>
      </c>
      <c r="D143" s="101">
        <f>1.5*1.5*0.9</f>
        <v>2.0249999999999999</v>
      </c>
      <c r="E143" s="101">
        <f>D143*10</f>
        <v>20.25</v>
      </c>
      <c r="F143" s="108"/>
      <c r="L143" s="297"/>
      <c r="M143" s="297"/>
      <c r="N143" s="297"/>
      <c r="O143" s="297"/>
    </row>
    <row r="144" spans="1:15">
      <c r="A144" s="302"/>
      <c r="B144" s="103" t="s">
        <v>20</v>
      </c>
      <c r="C144" s="102"/>
      <c r="D144" s="104"/>
      <c r="E144" s="104"/>
      <c r="F144" s="109"/>
    </row>
    <row r="145" spans="1:6">
      <c r="A145" s="302"/>
      <c r="B145" s="105" t="s">
        <v>8</v>
      </c>
      <c r="C145" s="102" t="s">
        <v>35</v>
      </c>
      <c r="D145" s="104">
        <f>D143*4</f>
        <v>8.1</v>
      </c>
      <c r="E145" s="104">
        <f>Materials!E9</f>
        <v>250</v>
      </c>
      <c r="F145" s="109">
        <f t="shared" ref="F145:F150" si="3">PRODUCT(D145:E145)</f>
        <v>2025</v>
      </c>
    </row>
    <row r="146" spans="1:6">
      <c r="A146" s="302"/>
      <c r="B146" s="105" t="s">
        <v>171</v>
      </c>
      <c r="C146" s="102" t="s">
        <v>21</v>
      </c>
      <c r="D146" s="104">
        <f>0.55/2.83*D143</f>
        <v>0.39355123674911663</v>
      </c>
      <c r="E146" s="104">
        <f>Materials!E10</f>
        <v>800</v>
      </c>
      <c r="F146" s="109">
        <f t="shared" si="3"/>
        <v>314.84098939929328</v>
      </c>
    </row>
    <row r="147" spans="1:6">
      <c r="A147" s="302"/>
      <c r="B147" s="105" t="s">
        <v>10</v>
      </c>
      <c r="C147" s="102" t="s">
        <v>21</v>
      </c>
      <c r="D147" s="104">
        <f>D146*0.05</f>
        <v>1.9677561837455834E-2</v>
      </c>
      <c r="E147" s="104">
        <f>Materials!E14</f>
        <v>4200</v>
      </c>
      <c r="F147" s="109">
        <f t="shared" si="3"/>
        <v>82.645759717314505</v>
      </c>
    </row>
    <row r="148" spans="1:6">
      <c r="A148" s="302"/>
      <c r="B148" s="105" t="s">
        <v>9</v>
      </c>
      <c r="C148" s="102" t="s">
        <v>21</v>
      </c>
      <c r="D148" s="104">
        <f>0.44/2.83*D143</f>
        <v>0.31484098939929328</v>
      </c>
      <c r="E148" s="104">
        <f>Materials!E11</f>
        <v>3800</v>
      </c>
      <c r="F148" s="109">
        <f t="shared" si="3"/>
        <v>1196.3957597173144</v>
      </c>
    </row>
    <row r="149" spans="1:6">
      <c r="A149" s="302"/>
      <c r="B149" s="105" t="s">
        <v>11</v>
      </c>
      <c r="C149" s="102" t="s">
        <v>21</v>
      </c>
      <c r="D149" s="104">
        <f>0.44/2.83*D143</f>
        <v>0.31484098939929328</v>
      </c>
      <c r="E149" s="104">
        <f>Materials!E12</f>
        <v>4000</v>
      </c>
      <c r="F149" s="109">
        <f t="shared" si="3"/>
        <v>1259.3639575971731</v>
      </c>
    </row>
    <row r="150" spans="1:6">
      <c r="A150" s="302"/>
      <c r="B150" s="105" t="s">
        <v>58</v>
      </c>
      <c r="C150" s="102" t="s">
        <v>14</v>
      </c>
      <c r="D150" s="104">
        <v>200</v>
      </c>
      <c r="E150" s="104">
        <v>0.2</v>
      </c>
      <c r="F150" s="109">
        <f t="shared" si="3"/>
        <v>40</v>
      </c>
    </row>
    <row r="151" spans="1:6">
      <c r="A151" s="302"/>
      <c r="B151" s="105"/>
      <c r="C151" s="102"/>
      <c r="D151" s="104"/>
      <c r="E151" s="104"/>
      <c r="F151" s="110">
        <f>SUM(F145:F150)</f>
        <v>4918.2464664310955</v>
      </c>
    </row>
    <row r="152" spans="1:6">
      <c r="A152" s="302"/>
      <c r="B152" s="103" t="s">
        <v>49</v>
      </c>
      <c r="C152" s="102"/>
      <c r="D152" s="104"/>
      <c r="E152" s="104"/>
      <c r="F152" s="109"/>
    </row>
    <row r="153" spans="1:6">
      <c r="A153" s="302"/>
      <c r="B153" s="105" t="s">
        <v>63</v>
      </c>
      <c r="C153" s="102" t="s">
        <v>12</v>
      </c>
      <c r="D153" s="104">
        <v>1</v>
      </c>
      <c r="E153" s="104">
        <v>1000</v>
      </c>
      <c r="F153" s="109">
        <f>PRODUCT(D153:E153)</f>
        <v>1000</v>
      </c>
    </row>
    <row r="154" spans="1:6">
      <c r="A154" s="302"/>
      <c r="B154" s="105" t="s">
        <v>279</v>
      </c>
      <c r="C154" s="102" t="s">
        <v>12</v>
      </c>
      <c r="D154" s="104">
        <v>1</v>
      </c>
      <c r="E154" s="104">
        <v>300</v>
      </c>
      <c r="F154" s="109">
        <f>PRODUCT(D154:E154)</f>
        <v>300</v>
      </c>
    </row>
    <row r="155" spans="1:6">
      <c r="A155" s="302"/>
      <c r="B155" s="105"/>
      <c r="C155" s="102"/>
      <c r="D155" s="104"/>
      <c r="E155" s="104"/>
      <c r="F155" s="109">
        <f>SUM(F153:F154)</f>
        <v>1300</v>
      </c>
    </row>
    <row r="156" spans="1:6">
      <c r="A156" s="302"/>
      <c r="B156" s="105"/>
      <c r="C156" s="102"/>
      <c r="D156" s="104"/>
      <c r="E156" s="104"/>
      <c r="F156" s="110">
        <f>F155</f>
        <v>1300</v>
      </c>
    </row>
    <row r="157" spans="1:6">
      <c r="A157" s="302"/>
      <c r="B157" s="103" t="s">
        <v>50</v>
      </c>
      <c r="C157" s="102"/>
      <c r="D157" s="104"/>
      <c r="E157" s="104"/>
      <c r="F157" s="109"/>
    </row>
    <row r="158" spans="1:6">
      <c r="A158" s="302"/>
      <c r="B158" s="105" t="s">
        <v>60</v>
      </c>
      <c r="C158" s="102" t="s">
        <v>61</v>
      </c>
      <c r="D158" s="104">
        <v>1</v>
      </c>
      <c r="E158" s="104">
        <f>185000/26</f>
        <v>7115.3846153846152</v>
      </c>
      <c r="F158" s="109">
        <f>PRODUCT(D158:E158)</f>
        <v>7115.3846153846152</v>
      </c>
    </row>
    <row r="159" spans="1:6">
      <c r="A159" s="302"/>
      <c r="B159" s="105"/>
      <c r="C159" s="102"/>
      <c r="D159" s="104"/>
      <c r="E159" s="104"/>
      <c r="F159" s="109">
        <f>SUM(F158:F158)</f>
        <v>7115.3846153846152</v>
      </c>
    </row>
    <row r="160" spans="1:6">
      <c r="A160" s="302"/>
      <c r="B160" s="105"/>
      <c r="C160" s="102"/>
      <c r="D160" s="104"/>
      <c r="E160" s="104"/>
      <c r="F160" s="110">
        <f>F159/E143</f>
        <v>351.3770180436847</v>
      </c>
    </row>
    <row r="161" spans="1:15">
      <c r="A161" s="302"/>
      <c r="B161" s="103" t="s">
        <v>44</v>
      </c>
      <c r="C161" s="102"/>
      <c r="D161" s="104"/>
      <c r="E161" s="104"/>
      <c r="F161" s="109"/>
    </row>
    <row r="162" spans="1:15">
      <c r="A162" s="302"/>
      <c r="B162" s="105" t="s">
        <v>48</v>
      </c>
      <c r="C162" s="102" t="s">
        <v>14</v>
      </c>
      <c r="D162" s="104">
        <f>(D158*6*7)</f>
        <v>42</v>
      </c>
      <c r="E162" s="104">
        <v>96</v>
      </c>
      <c r="F162" s="109">
        <f>PRODUCT(D162:E162)</f>
        <v>4032</v>
      </c>
    </row>
    <row r="163" spans="1:15">
      <c r="A163" s="302"/>
      <c r="B163" s="105"/>
      <c r="C163" s="102"/>
      <c r="D163" s="104"/>
      <c r="E163" s="104"/>
      <c r="F163" s="110">
        <f>F162/E143</f>
        <v>199.11111111111111</v>
      </c>
    </row>
    <row r="164" spans="1:15">
      <c r="A164" s="302"/>
      <c r="B164" s="105"/>
      <c r="C164" s="102"/>
      <c r="D164" s="104"/>
      <c r="E164" s="104"/>
      <c r="F164" s="109"/>
    </row>
    <row r="165" spans="1:15">
      <c r="A165" s="302"/>
      <c r="B165" s="106" t="s">
        <v>281</v>
      </c>
      <c r="C165" s="102"/>
      <c r="D165" s="104"/>
      <c r="E165" s="104"/>
      <c r="F165" s="110">
        <f>F151+F156+F160+F163</f>
        <v>6768.7345955858918</v>
      </c>
    </row>
    <row r="166" spans="1:15" s="64" customFormat="1">
      <c r="A166" s="300"/>
      <c r="B166" s="106"/>
      <c r="C166" s="295"/>
      <c r="D166" s="98"/>
      <c r="E166" s="98"/>
      <c r="F166" s="107"/>
      <c r="L166" s="296"/>
      <c r="M166" s="296"/>
      <c r="N166" s="296"/>
      <c r="O166" s="296"/>
    </row>
    <row r="167" spans="1:15" s="62" customFormat="1">
      <c r="A167" s="301">
        <v>9</v>
      </c>
      <c r="B167" s="100" t="s">
        <v>282</v>
      </c>
      <c r="C167" s="99"/>
      <c r="D167" s="101"/>
      <c r="E167" s="101"/>
      <c r="F167" s="108"/>
      <c r="L167" s="297"/>
      <c r="M167" s="297"/>
      <c r="N167" s="297"/>
      <c r="O167" s="297"/>
    </row>
    <row r="168" spans="1:15" s="62" customFormat="1">
      <c r="A168" s="301"/>
      <c r="B168" s="100" t="s">
        <v>52</v>
      </c>
      <c r="C168" s="99" t="s">
        <v>7</v>
      </c>
      <c r="D168" s="101">
        <v>10</v>
      </c>
      <c r="E168" s="101"/>
      <c r="F168" s="108"/>
      <c r="L168" s="297"/>
      <c r="M168" s="297"/>
      <c r="N168" s="297"/>
      <c r="O168" s="297"/>
    </row>
    <row r="169" spans="1:15">
      <c r="A169" s="302"/>
      <c r="B169" s="103" t="s">
        <v>20</v>
      </c>
      <c r="C169" s="102"/>
      <c r="D169" s="104"/>
      <c r="E169" s="104"/>
      <c r="F169" s="109"/>
    </row>
    <row r="170" spans="1:15">
      <c r="A170" s="302"/>
      <c r="B170" s="105" t="s">
        <v>8</v>
      </c>
      <c r="C170" s="102" t="s">
        <v>35</v>
      </c>
      <c r="D170" s="104">
        <v>4.5</v>
      </c>
      <c r="E170" s="104">
        <f>E145</f>
        <v>250</v>
      </c>
      <c r="F170" s="109">
        <f t="shared" ref="F170:F175" si="4">PRODUCT(D170:E170)</f>
        <v>1125</v>
      </c>
    </row>
    <row r="171" spans="1:15">
      <c r="A171" s="302"/>
      <c r="B171" s="105" t="s">
        <v>171</v>
      </c>
      <c r="C171" s="102" t="s">
        <v>21</v>
      </c>
      <c r="D171" s="104">
        <f>0.55/2.83</f>
        <v>0.1943462897526502</v>
      </c>
      <c r="E171" s="104">
        <f>E146</f>
        <v>800</v>
      </c>
      <c r="F171" s="109">
        <f t="shared" si="4"/>
        <v>155.47703180212017</v>
      </c>
    </row>
    <row r="172" spans="1:15">
      <c r="A172" s="302"/>
      <c r="B172" s="105" t="s">
        <v>10</v>
      </c>
      <c r="C172" s="102" t="s">
        <v>21</v>
      </c>
      <c r="D172" s="104">
        <f>D171*0.1</f>
        <v>1.943462897526502E-2</v>
      </c>
      <c r="E172" s="104">
        <f t="shared" ref="E172:E174" si="5">E147</f>
        <v>4200</v>
      </c>
      <c r="F172" s="109">
        <f t="shared" si="4"/>
        <v>81.625441696113086</v>
      </c>
    </row>
    <row r="173" spans="1:15">
      <c r="A173" s="302"/>
      <c r="B173" s="105" t="s">
        <v>9</v>
      </c>
      <c r="C173" s="102" t="s">
        <v>21</v>
      </c>
      <c r="D173" s="104">
        <f>0.44/2.83</f>
        <v>0.15547703180212014</v>
      </c>
      <c r="E173" s="104">
        <v>0</v>
      </c>
      <c r="F173" s="109">
        <f t="shared" si="4"/>
        <v>0</v>
      </c>
    </row>
    <row r="174" spans="1:15">
      <c r="A174" s="302"/>
      <c r="B174" s="105" t="s">
        <v>11</v>
      </c>
      <c r="C174" s="102" t="s">
        <v>21</v>
      </c>
      <c r="D174" s="104">
        <f>0.88/2.83</f>
        <v>0.31095406360424027</v>
      </c>
      <c r="E174" s="104">
        <f t="shared" si="5"/>
        <v>4000</v>
      </c>
      <c r="F174" s="109">
        <f t="shared" si="4"/>
        <v>1243.8162544169611</v>
      </c>
    </row>
    <row r="175" spans="1:15">
      <c r="A175" s="302"/>
      <c r="B175" s="105" t="s">
        <v>58</v>
      </c>
      <c r="C175" s="102" t="s">
        <v>14</v>
      </c>
      <c r="D175" s="104">
        <v>200</v>
      </c>
      <c r="E175" s="104">
        <v>0.3</v>
      </c>
      <c r="F175" s="109">
        <f t="shared" si="4"/>
        <v>60</v>
      </c>
    </row>
    <row r="176" spans="1:15">
      <c r="A176" s="302"/>
      <c r="B176" s="105"/>
      <c r="C176" s="102"/>
      <c r="D176" s="104"/>
      <c r="E176" s="104"/>
      <c r="F176" s="110">
        <f>SUM(F170:F175)</f>
        <v>2665.9187279151943</v>
      </c>
    </row>
    <row r="177" spans="1:15">
      <c r="A177" s="302"/>
      <c r="B177" s="103" t="s">
        <v>49</v>
      </c>
      <c r="C177" s="102"/>
      <c r="D177" s="104"/>
      <c r="E177" s="104"/>
      <c r="F177" s="109"/>
    </row>
    <row r="178" spans="1:15">
      <c r="A178" s="302"/>
      <c r="B178" s="105" t="s">
        <v>59</v>
      </c>
      <c r="C178" s="102" t="s">
        <v>7</v>
      </c>
      <c r="D178" s="104">
        <v>1</v>
      </c>
      <c r="E178" s="104">
        <v>350</v>
      </c>
      <c r="F178" s="109">
        <f>PRODUCT(D178:E178)</f>
        <v>350</v>
      </c>
    </row>
    <row r="179" spans="1:15">
      <c r="A179" s="302"/>
      <c r="B179" s="105"/>
      <c r="C179" s="102"/>
      <c r="D179" s="104"/>
      <c r="E179" s="104"/>
      <c r="F179" s="109">
        <f>SUM(F178:F178)</f>
        <v>350</v>
      </c>
    </row>
    <row r="180" spans="1:15">
      <c r="A180" s="302"/>
      <c r="B180" s="105"/>
      <c r="C180" s="102"/>
      <c r="D180" s="104"/>
      <c r="E180" s="104"/>
      <c r="F180" s="110">
        <f>F179</f>
        <v>350</v>
      </c>
    </row>
    <row r="181" spans="1:15">
      <c r="A181" s="302"/>
      <c r="B181" s="103" t="s">
        <v>50</v>
      </c>
      <c r="C181" s="102"/>
      <c r="D181" s="104"/>
      <c r="E181" s="104"/>
      <c r="F181" s="109"/>
    </row>
    <row r="182" spans="1:15">
      <c r="A182" s="302"/>
      <c r="B182" s="105" t="s">
        <v>60</v>
      </c>
      <c r="C182" s="102" t="s">
        <v>61</v>
      </c>
      <c r="D182" s="104">
        <v>1</v>
      </c>
      <c r="E182" s="104">
        <f>185000/26</f>
        <v>7115.3846153846152</v>
      </c>
      <c r="F182" s="109">
        <f>PRODUCT(D182:E182)</f>
        <v>7115.3846153846152</v>
      </c>
    </row>
    <row r="183" spans="1:15">
      <c r="A183" s="302"/>
      <c r="B183" s="105"/>
      <c r="C183" s="102"/>
      <c r="D183" s="104"/>
      <c r="E183" s="104"/>
      <c r="F183" s="109">
        <f>SUM(F182:F182)</f>
        <v>7115.3846153846152</v>
      </c>
    </row>
    <row r="184" spans="1:15">
      <c r="A184" s="302"/>
      <c r="B184" s="105"/>
      <c r="C184" s="102"/>
      <c r="D184" s="104"/>
      <c r="E184" s="104"/>
      <c r="F184" s="110">
        <f>F183/D168</f>
        <v>711.53846153846155</v>
      </c>
    </row>
    <row r="185" spans="1:15">
      <c r="A185" s="302"/>
      <c r="B185" s="103" t="s">
        <v>44</v>
      </c>
      <c r="C185" s="102"/>
      <c r="D185" s="104"/>
      <c r="E185" s="104"/>
      <c r="F185" s="109"/>
    </row>
    <row r="186" spans="1:15">
      <c r="A186" s="302"/>
      <c r="B186" s="105" t="s">
        <v>48</v>
      </c>
      <c r="C186" s="102" t="s">
        <v>14</v>
      </c>
      <c r="D186" s="104">
        <f>(D182*5*7)</f>
        <v>35</v>
      </c>
      <c r="E186" s="104">
        <v>96</v>
      </c>
      <c r="F186" s="109">
        <f>PRODUCT(D186:E186)</f>
        <v>3360</v>
      </c>
    </row>
    <row r="187" spans="1:15">
      <c r="A187" s="302"/>
      <c r="B187" s="105"/>
      <c r="C187" s="102"/>
      <c r="D187" s="104"/>
      <c r="E187" s="104"/>
      <c r="F187" s="110">
        <f>F186/D168</f>
        <v>336</v>
      </c>
    </row>
    <row r="188" spans="1:15">
      <c r="A188" s="302"/>
      <c r="B188" s="105"/>
      <c r="C188" s="102"/>
      <c r="D188" s="104"/>
      <c r="E188" s="104"/>
      <c r="F188" s="109"/>
    </row>
    <row r="189" spans="1:15">
      <c r="A189" s="302"/>
      <c r="B189" s="106" t="s">
        <v>283</v>
      </c>
      <c r="C189" s="102"/>
      <c r="D189" s="104"/>
      <c r="E189" s="104"/>
      <c r="F189" s="110">
        <f>F176+F180+F184+F187</f>
        <v>4063.4571894536557</v>
      </c>
    </row>
    <row r="190" spans="1:15">
      <c r="A190" s="302"/>
      <c r="B190" s="106"/>
      <c r="C190" s="102"/>
      <c r="D190" s="104"/>
      <c r="E190" s="104"/>
      <c r="F190" s="107"/>
    </row>
    <row r="191" spans="1:15" s="62" customFormat="1">
      <c r="A191" s="301">
        <v>10</v>
      </c>
      <c r="B191" s="100" t="s">
        <v>284</v>
      </c>
      <c r="C191" s="99"/>
      <c r="D191" s="101"/>
      <c r="E191" s="101"/>
      <c r="F191" s="108"/>
      <c r="L191" s="297"/>
      <c r="M191" s="297"/>
      <c r="N191" s="297"/>
      <c r="O191" s="297"/>
    </row>
    <row r="192" spans="1:15" s="62" customFormat="1">
      <c r="A192" s="301"/>
      <c r="B192" s="100" t="s">
        <v>52</v>
      </c>
      <c r="C192" s="99" t="s">
        <v>7</v>
      </c>
      <c r="D192" s="101">
        <v>10</v>
      </c>
      <c r="E192" s="101"/>
      <c r="F192" s="108"/>
      <c r="L192" s="297"/>
      <c r="M192" s="297"/>
      <c r="N192" s="297"/>
      <c r="O192" s="297"/>
    </row>
    <row r="193" spans="1:6">
      <c r="A193" s="302"/>
      <c r="B193" s="103" t="s">
        <v>20</v>
      </c>
      <c r="C193" s="102"/>
      <c r="D193" s="104"/>
      <c r="E193" s="104"/>
      <c r="F193" s="109"/>
    </row>
    <row r="194" spans="1:6">
      <c r="A194" s="302"/>
      <c r="B194" s="105" t="s">
        <v>8</v>
      </c>
      <c r="C194" s="102" t="s">
        <v>35</v>
      </c>
      <c r="D194" s="104">
        <v>5</v>
      </c>
      <c r="E194" s="104">
        <f>E170</f>
        <v>250</v>
      </c>
      <c r="F194" s="109">
        <f t="shared" ref="F194:F199" si="6">PRODUCT(D194:E194)</f>
        <v>1250</v>
      </c>
    </row>
    <row r="195" spans="1:6">
      <c r="A195" s="302"/>
      <c r="B195" s="105" t="s">
        <v>171</v>
      </c>
      <c r="C195" s="102" t="s">
        <v>21</v>
      </c>
      <c r="D195" s="104">
        <f>0.55/2.83</f>
        <v>0.1943462897526502</v>
      </c>
      <c r="E195" s="104">
        <f>E171</f>
        <v>800</v>
      </c>
      <c r="F195" s="109">
        <f t="shared" si="6"/>
        <v>155.47703180212017</v>
      </c>
    </row>
    <row r="196" spans="1:6">
      <c r="A196" s="302"/>
      <c r="B196" s="105" t="s">
        <v>10</v>
      </c>
      <c r="C196" s="102" t="s">
        <v>21</v>
      </c>
      <c r="D196" s="104">
        <f>D195*0.1</f>
        <v>1.943462897526502E-2</v>
      </c>
      <c r="E196" s="104">
        <f>E172</f>
        <v>4200</v>
      </c>
      <c r="F196" s="109">
        <f t="shared" si="6"/>
        <v>81.625441696113086</v>
      </c>
    </row>
    <row r="197" spans="1:6">
      <c r="A197" s="302"/>
      <c r="B197" s="105" t="s">
        <v>9</v>
      </c>
      <c r="C197" s="102" t="s">
        <v>21</v>
      </c>
      <c r="D197" s="104">
        <f>0.44/2.83</f>
        <v>0.15547703180212014</v>
      </c>
      <c r="E197" s="104">
        <f>E173</f>
        <v>0</v>
      </c>
      <c r="F197" s="109">
        <f t="shared" si="6"/>
        <v>0</v>
      </c>
    </row>
    <row r="198" spans="1:6">
      <c r="A198" s="302"/>
      <c r="B198" s="105" t="s">
        <v>11</v>
      </c>
      <c r="C198" s="102" t="s">
        <v>21</v>
      </c>
      <c r="D198" s="104">
        <f>0.88/2.83</f>
        <v>0.31095406360424027</v>
      </c>
      <c r="E198" s="104">
        <f>E174</f>
        <v>4000</v>
      </c>
      <c r="F198" s="109">
        <f t="shared" si="6"/>
        <v>1243.8162544169611</v>
      </c>
    </row>
    <row r="199" spans="1:6">
      <c r="A199" s="302"/>
      <c r="B199" s="105" t="s">
        <v>58</v>
      </c>
      <c r="C199" s="102" t="s">
        <v>14</v>
      </c>
      <c r="D199" s="104">
        <v>200</v>
      </c>
      <c r="E199" s="104">
        <v>0.2</v>
      </c>
      <c r="F199" s="109">
        <f t="shared" si="6"/>
        <v>40</v>
      </c>
    </row>
    <row r="200" spans="1:6">
      <c r="A200" s="302"/>
      <c r="B200" s="105"/>
      <c r="C200" s="102"/>
      <c r="D200" s="104"/>
      <c r="E200" s="104"/>
      <c r="F200" s="110">
        <f>SUM(F194:F199)</f>
        <v>2770.9187279151943</v>
      </c>
    </row>
    <row r="201" spans="1:6">
      <c r="A201" s="302"/>
      <c r="B201" s="103" t="s">
        <v>49</v>
      </c>
      <c r="C201" s="102"/>
      <c r="D201" s="104"/>
      <c r="E201" s="104"/>
      <c r="F201" s="109"/>
    </row>
    <row r="202" spans="1:6">
      <c r="A202" s="302"/>
      <c r="B202" s="105" t="s">
        <v>59</v>
      </c>
      <c r="C202" s="102" t="s">
        <v>7</v>
      </c>
      <c r="D202" s="104">
        <v>1</v>
      </c>
      <c r="E202" s="104">
        <v>350</v>
      </c>
      <c r="F202" s="109">
        <f>PRODUCT(D202:E202)</f>
        <v>350</v>
      </c>
    </row>
    <row r="203" spans="1:6">
      <c r="A203" s="302"/>
      <c r="B203" s="105"/>
      <c r="C203" s="102"/>
      <c r="D203" s="104"/>
      <c r="E203" s="104"/>
      <c r="F203" s="109">
        <f>SUM(F202:F202)</f>
        <v>350</v>
      </c>
    </row>
    <row r="204" spans="1:6">
      <c r="A204" s="302"/>
      <c r="B204" s="105"/>
      <c r="C204" s="102"/>
      <c r="D204" s="104"/>
      <c r="E204" s="104"/>
      <c r="F204" s="110">
        <f>F203</f>
        <v>350</v>
      </c>
    </row>
    <row r="205" spans="1:6">
      <c r="A205" s="302"/>
      <c r="B205" s="103" t="s">
        <v>50</v>
      </c>
      <c r="C205" s="102"/>
      <c r="D205" s="104"/>
      <c r="E205" s="104"/>
      <c r="F205" s="109"/>
    </row>
    <row r="206" spans="1:6">
      <c r="A206" s="302"/>
      <c r="B206" s="105" t="s">
        <v>60</v>
      </c>
      <c r="C206" s="102" t="s">
        <v>61</v>
      </c>
      <c r="D206" s="104">
        <v>1</v>
      </c>
      <c r="E206" s="104">
        <f>185000/26</f>
        <v>7115.3846153846152</v>
      </c>
      <c r="F206" s="109">
        <f>PRODUCT(D206:E206)</f>
        <v>7115.3846153846152</v>
      </c>
    </row>
    <row r="207" spans="1:6">
      <c r="A207" s="302"/>
      <c r="B207" s="105"/>
      <c r="C207" s="102"/>
      <c r="D207" s="104"/>
      <c r="E207" s="104"/>
      <c r="F207" s="109">
        <f>SUM(F206:F206)</f>
        <v>7115.3846153846152</v>
      </c>
    </row>
    <row r="208" spans="1:6">
      <c r="A208" s="302"/>
      <c r="B208" s="105"/>
      <c r="C208" s="102"/>
      <c r="D208" s="104"/>
      <c r="E208" s="104"/>
      <c r="F208" s="110">
        <f>F207/D192</f>
        <v>711.53846153846155</v>
      </c>
    </row>
    <row r="209" spans="1:15">
      <c r="A209" s="302"/>
      <c r="B209" s="103" t="s">
        <v>44</v>
      </c>
      <c r="C209" s="102"/>
      <c r="D209" s="104"/>
      <c r="E209" s="104"/>
      <c r="F209" s="109"/>
    </row>
    <row r="210" spans="1:15">
      <c r="A210" s="302"/>
      <c r="B210" s="105" t="s">
        <v>48</v>
      </c>
      <c r="C210" s="102" t="s">
        <v>14</v>
      </c>
      <c r="D210" s="104">
        <f>(D206*5*7)</f>
        <v>35</v>
      </c>
      <c r="E210" s="104">
        <v>96</v>
      </c>
      <c r="F210" s="109">
        <f>PRODUCT(D210:E210)</f>
        <v>3360</v>
      </c>
    </row>
    <row r="211" spans="1:15">
      <c r="A211" s="302"/>
      <c r="B211" s="105"/>
      <c r="C211" s="102"/>
      <c r="D211" s="104"/>
      <c r="E211" s="104"/>
      <c r="F211" s="110">
        <f>F210/D192</f>
        <v>336</v>
      </c>
    </row>
    <row r="212" spans="1:15">
      <c r="A212" s="302"/>
      <c r="B212" s="105"/>
      <c r="C212" s="102"/>
      <c r="D212" s="104"/>
      <c r="E212" s="104"/>
      <c r="F212" s="109"/>
    </row>
    <row r="213" spans="1:15">
      <c r="A213" s="302"/>
      <c r="B213" s="106" t="s">
        <v>285</v>
      </c>
      <c r="C213" s="102"/>
      <c r="D213" s="104"/>
      <c r="E213" s="104"/>
      <c r="F213" s="110">
        <f>F200+F204+F208+F211</f>
        <v>4168.4571894536557</v>
      </c>
    </row>
    <row r="214" spans="1:15">
      <c r="A214" s="302"/>
      <c r="B214" s="106"/>
      <c r="C214" s="102"/>
      <c r="D214" s="104"/>
      <c r="E214" s="104"/>
      <c r="F214" s="107"/>
    </row>
    <row r="215" spans="1:15" s="62" customFormat="1">
      <c r="A215" s="301">
        <v>11</v>
      </c>
      <c r="B215" s="100" t="s">
        <v>282</v>
      </c>
      <c r="C215" s="99"/>
      <c r="D215" s="101"/>
      <c r="E215" s="101"/>
      <c r="F215" s="108"/>
      <c r="L215" s="297"/>
      <c r="M215" s="297"/>
      <c r="N215" s="297"/>
      <c r="O215" s="297"/>
    </row>
    <row r="216" spans="1:15" s="62" customFormat="1">
      <c r="A216" s="301"/>
      <c r="B216" s="100" t="s">
        <v>52</v>
      </c>
      <c r="C216" s="99" t="s">
        <v>7</v>
      </c>
      <c r="D216" s="101">
        <v>10</v>
      </c>
      <c r="E216" s="101"/>
      <c r="F216" s="108"/>
      <c r="L216" s="297"/>
      <c r="M216" s="297"/>
      <c r="N216" s="297"/>
      <c r="O216" s="297"/>
    </row>
    <row r="217" spans="1:15">
      <c r="A217" s="302"/>
      <c r="B217" s="103" t="s">
        <v>20</v>
      </c>
      <c r="C217" s="102"/>
      <c r="D217" s="104"/>
      <c r="E217" s="104"/>
      <c r="F217" s="109"/>
    </row>
    <row r="218" spans="1:15">
      <c r="A218" s="302"/>
      <c r="B218" s="105" t="s">
        <v>8</v>
      </c>
      <c r="C218" s="102" t="s">
        <v>35</v>
      </c>
      <c r="D218" s="104">
        <v>4.5</v>
      </c>
      <c r="E218" s="104">
        <f>E194</f>
        <v>250</v>
      </c>
      <c r="F218" s="109">
        <f t="shared" ref="F218:F223" si="7">PRODUCT(D218:E218)</f>
        <v>1125</v>
      </c>
    </row>
    <row r="219" spans="1:15">
      <c r="A219" s="302"/>
      <c r="B219" s="105" t="s">
        <v>171</v>
      </c>
      <c r="C219" s="102" t="s">
        <v>21</v>
      </c>
      <c r="D219" s="104">
        <f>0.55/2.83</f>
        <v>0.1943462897526502</v>
      </c>
      <c r="E219" s="104">
        <f t="shared" ref="E219:E222" si="8">E195</f>
        <v>800</v>
      </c>
      <c r="F219" s="109">
        <f t="shared" si="7"/>
        <v>155.47703180212017</v>
      </c>
    </row>
    <row r="220" spans="1:15">
      <c r="A220" s="302"/>
      <c r="B220" s="105" t="s">
        <v>10</v>
      </c>
      <c r="C220" s="102" t="s">
        <v>21</v>
      </c>
      <c r="D220" s="104">
        <f>D219*0.1</f>
        <v>1.943462897526502E-2</v>
      </c>
      <c r="E220" s="104">
        <f t="shared" si="8"/>
        <v>4200</v>
      </c>
      <c r="F220" s="109">
        <f t="shared" si="7"/>
        <v>81.625441696113086</v>
      </c>
    </row>
    <row r="221" spans="1:15">
      <c r="A221" s="302"/>
      <c r="B221" s="105" t="s">
        <v>9</v>
      </c>
      <c r="C221" s="102" t="s">
        <v>21</v>
      </c>
      <c r="D221" s="104">
        <f>0.44/2.83</f>
        <v>0.15547703180212014</v>
      </c>
      <c r="E221" s="104">
        <f t="shared" si="8"/>
        <v>0</v>
      </c>
      <c r="F221" s="109">
        <f t="shared" si="7"/>
        <v>0</v>
      </c>
    </row>
    <row r="222" spans="1:15">
      <c r="A222" s="302"/>
      <c r="B222" s="105" t="s">
        <v>11</v>
      </c>
      <c r="C222" s="102" t="s">
        <v>21</v>
      </c>
      <c r="D222" s="104">
        <f>0.88/2.83</f>
        <v>0.31095406360424027</v>
      </c>
      <c r="E222" s="104">
        <f t="shared" si="8"/>
        <v>4000</v>
      </c>
      <c r="F222" s="109">
        <f t="shared" si="7"/>
        <v>1243.8162544169611</v>
      </c>
    </row>
    <row r="223" spans="1:15">
      <c r="A223" s="302"/>
      <c r="B223" s="105" t="s">
        <v>58</v>
      </c>
      <c r="C223" s="102" t="s">
        <v>14</v>
      </c>
      <c r="D223" s="104">
        <v>200</v>
      </c>
      <c r="E223" s="104">
        <v>0.3</v>
      </c>
      <c r="F223" s="109">
        <f t="shared" si="7"/>
        <v>60</v>
      </c>
    </row>
    <row r="224" spans="1:15">
      <c r="A224" s="302"/>
      <c r="B224" s="105"/>
      <c r="C224" s="102"/>
      <c r="D224" s="104"/>
      <c r="E224" s="104"/>
      <c r="F224" s="110">
        <f>SUM(F218:F223)</f>
        <v>2665.9187279151943</v>
      </c>
    </row>
    <row r="225" spans="1:15">
      <c r="A225" s="302"/>
      <c r="B225" s="103" t="s">
        <v>49</v>
      </c>
      <c r="C225" s="102"/>
      <c r="D225" s="104"/>
      <c r="E225" s="104"/>
      <c r="F225" s="109"/>
    </row>
    <row r="226" spans="1:15">
      <c r="A226" s="302"/>
      <c r="B226" s="105" t="s">
        <v>59</v>
      </c>
      <c r="C226" s="102" t="s">
        <v>7</v>
      </c>
      <c r="D226" s="104">
        <v>1</v>
      </c>
      <c r="E226" s="104">
        <v>350</v>
      </c>
      <c r="F226" s="109">
        <f>PRODUCT(D226:E226)</f>
        <v>350</v>
      </c>
    </row>
    <row r="227" spans="1:15">
      <c r="A227" s="302"/>
      <c r="B227" s="105"/>
      <c r="C227" s="102"/>
      <c r="D227" s="104"/>
      <c r="E227" s="104"/>
      <c r="F227" s="109">
        <f>SUM(F226:F226)</f>
        <v>350</v>
      </c>
    </row>
    <row r="228" spans="1:15">
      <c r="A228" s="302"/>
      <c r="B228" s="105"/>
      <c r="C228" s="102"/>
      <c r="D228" s="104"/>
      <c r="E228" s="104"/>
      <c r="F228" s="110">
        <f>F227</f>
        <v>350</v>
      </c>
    </row>
    <row r="229" spans="1:15">
      <c r="A229" s="302"/>
      <c r="B229" s="103" t="s">
        <v>50</v>
      </c>
      <c r="C229" s="102"/>
      <c r="D229" s="104"/>
      <c r="E229" s="104"/>
      <c r="F229" s="109"/>
    </row>
    <row r="230" spans="1:15">
      <c r="A230" s="302"/>
      <c r="B230" s="105" t="s">
        <v>60</v>
      </c>
      <c r="C230" s="102" t="s">
        <v>61</v>
      </c>
      <c r="D230" s="104">
        <v>1</v>
      </c>
      <c r="E230" s="104">
        <f>185000/26</f>
        <v>7115.3846153846152</v>
      </c>
      <c r="F230" s="109">
        <f>PRODUCT(D230:E230)</f>
        <v>7115.3846153846152</v>
      </c>
    </row>
    <row r="231" spans="1:15">
      <c r="A231" s="302"/>
      <c r="B231" s="105"/>
      <c r="C231" s="102"/>
      <c r="D231" s="104"/>
      <c r="E231" s="104"/>
      <c r="F231" s="109">
        <f>SUM(F230:F230)</f>
        <v>7115.3846153846152</v>
      </c>
    </row>
    <row r="232" spans="1:15">
      <c r="A232" s="302"/>
      <c r="B232" s="105"/>
      <c r="C232" s="102"/>
      <c r="D232" s="104"/>
      <c r="E232" s="104"/>
      <c r="F232" s="110">
        <f>F231/D216</f>
        <v>711.53846153846155</v>
      </c>
    </row>
    <row r="233" spans="1:15">
      <c r="A233" s="302"/>
      <c r="B233" s="103" t="s">
        <v>44</v>
      </c>
      <c r="C233" s="102"/>
      <c r="D233" s="104"/>
      <c r="E233" s="104"/>
      <c r="F233" s="109"/>
    </row>
    <row r="234" spans="1:15">
      <c r="A234" s="302"/>
      <c r="B234" s="105" t="s">
        <v>48</v>
      </c>
      <c r="C234" s="102" t="s">
        <v>14</v>
      </c>
      <c r="D234" s="104">
        <f>(D230*5*7)</f>
        <v>35</v>
      </c>
      <c r="E234" s="104">
        <v>96</v>
      </c>
      <c r="F234" s="109">
        <f>PRODUCT(D234:E234)</f>
        <v>3360</v>
      </c>
    </row>
    <row r="235" spans="1:15">
      <c r="A235" s="302"/>
      <c r="B235" s="105"/>
      <c r="C235" s="102"/>
      <c r="D235" s="104"/>
      <c r="E235" s="104"/>
      <c r="F235" s="110">
        <f>F234/D216</f>
        <v>336</v>
      </c>
    </row>
    <row r="236" spans="1:15">
      <c r="A236" s="302"/>
      <c r="B236" s="105"/>
      <c r="C236" s="102"/>
      <c r="D236" s="104"/>
      <c r="E236" s="104"/>
      <c r="F236" s="109"/>
    </row>
    <row r="237" spans="1:15">
      <c r="A237" s="302"/>
      <c r="B237" s="106" t="s">
        <v>283</v>
      </c>
      <c r="C237" s="102"/>
      <c r="D237" s="104"/>
      <c r="E237" s="104"/>
      <c r="F237" s="110">
        <f>F224+F228+F232+F235</f>
        <v>4063.4571894536557</v>
      </c>
    </row>
    <row r="238" spans="1:15">
      <c r="A238" s="302"/>
      <c r="B238" s="106"/>
      <c r="C238" s="102"/>
      <c r="D238" s="104"/>
      <c r="E238" s="104"/>
      <c r="F238" s="107"/>
    </row>
    <row r="239" spans="1:15" s="62" customFormat="1">
      <c r="A239" s="301">
        <v>12</v>
      </c>
      <c r="B239" s="100" t="s">
        <v>64</v>
      </c>
      <c r="C239" s="99"/>
      <c r="D239" s="101"/>
      <c r="E239" s="101"/>
      <c r="F239" s="108"/>
      <c r="L239" s="297"/>
      <c r="M239" s="297"/>
      <c r="N239" s="297"/>
      <c r="O239" s="297"/>
    </row>
    <row r="240" spans="1:15">
      <c r="A240" s="302"/>
      <c r="B240" s="105" t="s">
        <v>64</v>
      </c>
      <c r="C240" s="102" t="s">
        <v>13</v>
      </c>
      <c r="D240" s="104">
        <f>1*1.05</f>
        <v>1.05</v>
      </c>
      <c r="E240" s="104">
        <f>Materials!E19</f>
        <v>50000</v>
      </c>
      <c r="F240" s="109">
        <f>PRODUCT(D240:E240)</f>
        <v>52500</v>
      </c>
    </row>
    <row r="241" spans="1:15">
      <c r="A241" s="302"/>
      <c r="B241" s="105" t="s">
        <v>65</v>
      </c>
      <c r="C241" s="102" t="s">
        <v>15</v>
      </c>
      <c r="D241" s="104">
        <v>15</v>
      </c>
      <c r="E241" s="104">
        <v>74</v>
      </c>
      <c r="F241" s="109">
        <f>PRODUCT(D241:E241)</f>
        <v>1110</v>
      </c>
    </row>
    <row r="242" spans="1:15">
      <c r="A242" s="302"/>
      <c r="B242" s="105" t="s">
        <v>68</v>
      </c>
      <c r="C242" s="102" t="s">
        <v>41</v>
      </c>
      <c r="D242" s="104">
        <v>1</v>
      </c>
      <c r="E242" s="104">
        <v>150</v>
      </c>
      <c r="F242" s="109">
        <f>PRODUCT(D242:E242)</f>
        <v>150</v>
      </c>
    </row>
    <row r="243" spans="1:15">
      <c r="A243" s="302"/>
      <c r="B243" s="105"/>
      <c r="C243" s="102"/>
      <c r="D243" s="104"/>
      <c r="E243" s="104"/>
      <c r="F243" s="109">
        <f>SUM(F240:F242)</f>
        <v>53760</v>
      </c>
    </row>
    <row r="244" spans="1:15">
      <c r="A244" s="302"/>
      <c r="B244" s="105"/>
      <c r="C244" s="102"/>
      <c r="D244" s="104"/>
      <c r="E244" s="104"/>
      <c r="F244" s="110">
        <f>F243/10</f>
        <v>5376</v>
      </c>
    </row>
    <row r="245" spans="1:15">
      <c r="A245" s="302"/>
      <c r="B245" s="103" t="s">
        <v>49</v>
      </c>
      <c r="C245" s="102"/>
      <c r="D245" s="104"/>
      <c r="E245" s="104"/>
      <c r="F245" s="109"/>
    </row>
    <row r="246" spans="1:15">
      <c r="A246" s="302"/>
      <c r="B246" s="105" t="s">
        <v>66</v>
      </c>
      <c r="C246" s="102" t="s">
        <v>67</v>
      </c>
      <c r="D246" s="104">
        <v>1</v>
      </c>
      <c r="E246" s="104">
        <v>1300</v>
      </c>
      <c r="F246" s="109">
        <f>PRODUCT(D246:E246)</f>
        <v>1300</v>
      </c>
    </row>
    <row r="247" spans="1:15">
      <c r="A247" s="302"/>
      <c r="B247" s="105" t="s">
        <v>69</v>
      </c>
      <c r="C247" s="102" t="s">
        <v>67</v>
      </c>
      <c r="D247" s="104">
        <v>1</v>
      </c>
      <c r="E247" s="104">
        <v>50</v>
      </c>
      <c r="F247" s="109">
        <f>PRODUCT(D247:E247)</f>
        <v>50</v>
      </c>
    </row>
    <row r="248" spans="1:15">
      <c r="A248" s="302"/>
      <c r="B248" s="105"/>
      <c r="C248" s="102"/>
      <c r="D248" s="104"/>
      <c r="E248" s="104"/>
      <c r="F248" s="110">
        <f>SUM(F246:F247)</f>
        <v>1350</v>
      </c>
    </row>
    <row r="249" spans="1:15">
      <c r="A249" s="302"/>
      <c r="B249" s="106" t="s">
        <v>70</v>
      </c>
      <c r="C249" s="102"/>
      <c r="D249" s="104"/>
      <c r="E249" s="104"/>
      <c r="F249" s="110">
        <f>F244+F248</f>
        <v>6726</v>
      </c>
    </row>
    <row r="250" spans="1:15">
      <c r="A250" s="302"/>
      <c r="B250" s="106"/>
      <c r="C250" s="102"/>
      <c r="D250" s="104"/>
      <c r="E250" s="104"/>
      <c r="F250" s="107"/>
    </row>
    <row r="251" spans="1:15" s="62" customFormat="1">
      <c r="A251" s="301">
        <v>13</v>
      </c>
      <c r="B251" s="100" t="s">
        <v>286</v>
      </c>
      <c r="C251" s="99"/>
      <c r="D251" s="101"/>
      <c r="E251" s="101"/>
      <c r="F251" s="108"/>
      <c r="L251" s="297"/>
      <c r="M251" s="297"/>
      <c r="N251" s="297"/>
      <c r="O251" s="297"/>
    </row>
    <row r="252" spans="1:15" s="62" customFormat="1">
      <c r="A252" s="301"/>
      <c r="B252" s="100" t="s">
        <v>52</v>
      </c>
      <c r="C252" s="99" t="s">
        <v>7</v>
      </c>
      <c r="D252" s="101">
        <f>'BOQ Split'!C27/15</f>
        <v>26.533333333333335</v>
      </c>
      <c r="E252" s="101"/>
      <c r="F252" s="108"/>
      <c r="I252" s="299"/>
      <c r="L252" s="297"/>
      <c r="M252" s="297"/>
      <c r="N252" s="297"/>
      <c r="O252" s="297"/>
    </row>
    <row r="253" spans="1:15">
      <c r="A253" s="302"/>
      <c r="B253" s="103" t="s">
        <v>20</v>
      </c>
      <c r="C253" s="102"/>
      <c r="D253" s="104"/>
      <c r="E253" s="104"/>
      <c r="F253" s="109"/>
    </row>
    <row r="254" spans="1:15">
      <c r="A254" s="302"/>
      <c r="B254" s="105" t="s">
        <v>268</v>
      </c>
      <c r="C254" s="102" t="s">
        <v>21</v>
      </c>
      <c r="D254" s="104">
        <f>1/2.83*0.5</f>
        <v>0.17667844522968199</v>
      </c>
      <c r="E254" s="104">
        <f>Materials!E14</f>
        <v>4200</v>
      </c>
      <c r="F254" s="109">
        <f>PRODUCT(D254:E254)</f>
        <v>742.04946996466435</v>
      </c>
    </row>
    <row r="255" spans="1:15">
      <c r="A255" s="302"/>
      <c r="B255" s="105"/>
      <c r="C255" s="102"/>
      <c r="D255" s="104"/>
      <c r="E255" s="104"/>
      <c r="F255" s="110">
        <f>SUM(F254:F254)</f>
        <v>742.04946996466435</v>
      </c>
    </row>
    <row r="256" spans="1:15">
      <c r="A256" s="302"/>
      <c r="B256" s="103" t="s">
        <v>50</v>
      </c>
      <c r="C256" s="102"/>
      <c r="D256" s="104"/>
      <c r="E256" s="104"/>
      <c r="F256" s="109"/>
    </row>
    <row r="257" spans="1:15">
      <c r="A257" s="302"/>
      <c r="B257" s="105" t="s">
        <v>172</v>
      </c>
      <c r="C257" s="102" t="s">
        <v>61</v>
      </c>
      <c r="D257" s="104">
        <v>1</v>
      </c>
      <c r="E257" s="104">
        <f>140000/26</f>
        <v>5384.6153846153848</v>
      </c>
      <c r="F257" s="109">
        <f>PRODUCT(D257:E257)</f>
        <v>5384.6153846153848</v>
      </c>
    </row>
    <row r="258" spans="1:15">
      <c r="A258" s="302"/>
      <c r="B258" s="105"/>
      <c r="C258" s="102"/>
      <c r="D258" s="104"/>
      <c r="E258" s="104"/>
      <c r="F258" s="109">
        <f>SUM(F257:F257)</f>
        <v>5384.6153846153848</v>
      </c>
    </row>
    <row r="259" spans="1:15">
      <c r="A259" s="302"/>
      <c r="B259" s="105"/>
      <c r="C259" s="102"/>
      <c r="D259" s="104"/>
      <c r="E259" s="104"/>
      <c r="F259" s="110">
        <f>F258/D252</f>
        <v>202.93776575183608</v>
      </c>
    </row>
    <row r="260" spans="1:15">
      <c r="A260" s="302"/>
      <c r="B260" s="103" t="s">
        <v>44</v>
      </c>
      <c r="C260" s="102"/>
      <c r="D260" s="104"/>
      <c r="E260" s="104"/>
      <c r="F260" s="109"/>
    </row>
    <row r="261" spans="1:15">
      <c r="A261" s="302"/>
      <c r="B261" s="105" t="s">
        <v>48</v>
      </c>
      <c r="C261" s="102" t="s">
        <v>14</v>
      </c>
      <c r="D261" s="104">
        <f>+(D257*2*10)</f>
        <v>20</v>
      </c>
      <c r="E261" s="104">
        <v>96</v>
      </c>
      <c r="F261" s="109">
        <f>PRODUCT(D261:E261)</f>
        <v>1920</v>
      </c>
    </row>
    <row r="262" spans="1:15">
      <c r="A262" s="302"/>
      <c r="B262" s="105"/>
      <c r="C262" s="102"/>
      <c r="D262" s="104"/>
      <c r="E262" s="104"/>
      <c r="F262" s="110">
        <f>F261/D252</f>
        <v>72.361809045226124</v>
      </c>
    </row>
    <row r="263" spans="1:15">
      <c r="A263" s="302"/>
      <c r="B263" s="103" t="s">
        <v>49</v>
      </c>
      <c r="C263" s="102"/>
      <c r="D263" s="104"/>
      <c r="E263" s="104"/>
      <c r="F263" s="109"/>
    </row>
    <row r="264" spans="1:15">
      <c r="A264" s="302"/>
      <c r="B264" s="105" t="s">
        <v>287</v>
      </c>
      <c r="C264" s="102" t="s">
        <v>7</v>
      </c>
      <c r="D264" s="104">
        <f>D252</f>
        <v>26.533333333333335</v>
      </c>
      <c r="E264" s="104">
        <v>200</v>
      </c>
      <c r="F264" s="109">
        <f>PRODUCT(D264:E264)</f>
        <v>5306.666666666667</v>
      </c>
    </row>
    <row r="265" spans="1:15">
      <c r="A265" s="302"/>
      <c r="B265" s="105"/>
      <c r="C265" s="102"/>
      <c r="D265" s="104"/>
      <c r="E265" s="104"/>
      <c r="F265" s="110">
        <f>F264/D252</f>
        <v>200</v>
      </c>
    </row>
    <row r="266" spans="1:15">
      <c r="A266" s="302"/>
      <c r="B266" s="105"/>
      <c r="C266" s="102"/>
      <c r="D266" s="104"/>
      <c r="E266" s="104"/>
      <c r="F266" s="109"/>
    </row>
    <row r="267" spans="1:15" s="64" customFormat="1">
      <c r="A267" s="300"/>
      <c r="B267" s="106" t="s">
        <v>288</v>
      </c>
      <c r="C267" s="307"/>
      <c r="D267" s="98"/>
      <c r="E267" s="98"/>
      <c r="F267" s="110">
        <f>F259+F262+F265+F255</f>
        <v>1217.3490447617264</v>
      </c>
      <c r="L267" s="296"/>
      <c r="M267" s="296"/>
      <c r="N267" s="296"/>
      <c r="O267" s="296"/>
    </row>
    <row r="268" spans="1:15">
      <c r="A268" s="302"/>
      <c r="B268" s="106"/>
      <c r="C268" s="102"/>
      <c r="D268" s="104"/>
      <c r="E268" s="104"/>
      <c r="F268" s="107"/>
    </row>
    <row r="269" spans="1:15" s="62" customFormat="1">
      <c r="A269" s="301">
        <v>14</v>
      </c>
      <c r="B269" s="100" t="s">
        <v>298</v>
      </c>
      <c r="C269" s="99"/>
      <c r="D269" s="101"/>
      <c r="E269" s="101"/>
      <c r="F269" s="108"/>
      <c r="L269" s="297"/>
      <c r="M269" s="297"/>
      <c r="N269" s="297"/>
      <c r="O269" s="297"/>
    </row>
    <row r="270" spans="1:15" s="62" customFormat="1">
      <c r="A270" s="301"/>
      <c r="B270" s="100" t="s">
        <v>52</v>
      </c>
      <c r="C270" s="99" t="s">
        <v>7</v>
      </c>
      <c r="D270" s="101">
        <f>'BOQ Split'!C28/40</f>
        <v>19.875</v>
      </c>
      <c r="E270" s="101"/>
      <c r="F270" s="108"/>
      <c r="I270" s="299"/>
      <c r="L270" s="297"/>
      <c r="M270" s="297"/>
      <c r="N270" s="297"/>
      <c r="O270" s="297"/>
    </row>
    <row r="271" spans="1:15">
      <c r="A271" s="302"/>
      <c r="B271" s="103" t="s">
        <v>20</v>
      </c>
      <c r="C271" s="102"/>
      <c r="D271" s="104"/>
      <c r="E271" s="104"/>
      <c r="F271" s="109"/>
    </row>
    <row r="272" spans="1:15">
      <c r="A272" s="302"/>
      <c r="B272" s="105" t="s">
        <v>299</v>
      </c>
      <c r="C272" s="102" t="s">
        <v>21</v>
      </c>
      <c r="D272" s="104">
        <f>1/2.83</f>
        <v>0.35335689045936397</v>
      </c>
      <c r="E272" s="104">
        <f>Materials!E15</f>
        <v>4000</v>
      </c>
      <c r="F272" s="109">
        <f>PRODUCT(D272:E272)</f>
        <v>1413.4275618374559</v>
      </c>
    </row>
    <row r="273" spans="1:15">
      <c r="A273" s="302"/>
      <c r="B273" s="105"/>
      <c r="C273" s="102"/>
      <c r="D273" s="104"/>
      <c r="E273" s="104"/>
      <c r="F273" s="110">
        <f>SUM(F272:F272)</f>
        <v>1413.4275618374559</v>
      </c>
    </row>
    <row r="274" spans="1:15">
      <c r="A274" s="302"/>
      <c r="B274" s="103" t="s">
        <v>50</v>
      </c>
      <c r="C274" s="102"/>
      <c r="D274" s="104"/>
      <c r="E274" s="104"/>
      <c r="F274" s="109"/>
    </row>
    <row r="275" spans="1:15">
      <c r="A275" s="302"/>
      <c r="B275" s="105" t="s">
        <v>172</v>
      </c>
      <c r="C275" s="102" t="s">
        <v>61</v>
      </c>
      <c r="D275" s="104">
        <v>0.5</v>
      </c>
      <c r="E275" s="104">
        <f>140000/26</f>
        <v>5384.6153846153848</v>
      </c>
      <c r="F275" s="109">
        <f>PRODUCT(D275:E275)</f>
        <v>2692.3076923076924</v>
      </c>
    </row>
    <row r="276" spans="1:15">
      <c r="A276" s="302"/>
      <c r="B276" s="105" t="s">
        <v>300</v>
      </c>
      <c r="C276" s="102" t="s">
        <v>61</v>
      </c>
      <c r="D276" s="104">
        <v>1</v>
      </c>
      <c r="E276" s="104">
        <f>50000/26</f>
        <v>1923.0769230769231</v>
      </c>
      <c r="F276" s="109">
        <f>PRODUCT(D276:E276)</f>
        <v>1923.0769230769231</v>
      </c>
    </row>
    <row r="277" spans="1:15">
      <c r="A277" s="302"/>
      <c r="B277" s="105"/>
      <c r="C277" s="102"/>
      <c r="D277" s="104"/>
      <c r="E277" s="104"/>
      <c r="F277" s="109">
        <f>SUM(F275:F276)</f>
        <v>4615.3846153846152</v>
      </c>
    </row>
    <row r="278" spans="1:15">
      <c r="A278" s="302"/>
      <c r="B278" s="105"/>
      <c r="C278" s="102"/>
      <c r="D278" s="104"/>
      <c r="E278" s="104"/>
      <c r="F278" s="110">
        <f>F277/D270</f>
        <v>232.22060957910014</v>
      </c>
    </row>
    <row r="279" spans="1:15">
      <c r="A279" s="302"/>
      <c r="B279" s="103" t="s">
        <v>44</v>
      </c>
      <c r="C279" s="102"/>
      <c r="D279" s="104"/>
      <c r="E279" s="104"/>
      <c r="F279" s="109"/>
    </row>
    <row r="280" spans="1:15">
      <c r="A280" s="302"/>
      <c r="B280" s="105" t="s">
        <v>48</v>
      </c>
      <c r="C280" s="102" t="s">
        <v>14</v>
      </c>
      <c r="D280" s="104">
        <f>+(D275*6*11)+(D276*2*5)</f>
        <v>43</v>
      </c>
      <c r="E280" s="104">
        <v>96</v>
      </c>
      <c r="F280" s="109">
        <f>PRODUCT(D280:E280)</f>
        <v>4128</v>
      </c>
    </row>
    <row r="281" spans="1:15">
      <c r="A281" s="302"/>
      <c r="B281" s="105"/>
      <c r="C281" s="102"/>
      <c r="D281" s="104"/>
      <c r="E281" s="104"/>
      <c r="F281" s="110">
        <f>F280/D270</f>
        <v>207.69811320754718</v>
      </c>
    </row>
    <row r="282" spans="1:15">
      <c r="A282" s="302"/>
      <c r="B282" s="103" t="s">
        <v>49</v>
      </c>
      <c r="C282" s="102"/>
      <c r="D282" s="104"/>
      <c r="E282" s="104"/>
      <c r="F282" s="109"/>
    </row>
    <row r="283" spans="1:15">
      <c r="A283" s="302"/>
      <c r="B283" s="105" t="s">
        <v>287</v>
      </c>
      <c r="C283" s="102" t="s">
        <v>7</v>
      </c>
      <c r="D283" s="104">
        <f>D270</f>
        <v>19.875</v>
      </c>
      <c r="E283" s="104">
        <v>200</v>
      </c>
      <c r="F283" s="109">
        <f>PRODUCT(D283:E283)</f>
        <v>3975</v>
      </c>
    </row>
    <row r="284" spans="1:15">
      <c r="A284" s="302"/>
      <c r="B284" s="105"/>
      <c r="C284" s="102"/>
      <c r="D284" s="104"/>
      <c r="E284" s="104"/>
      <c r="F284" s="110">
        <f>F283/D270</f>
        <v>200</v>
      </c>
    </row>
    <row r="285" spans="1:15">
      <c r="A285" s="302"/>
      <c r="B285" s="105"/>
      <c r="C285" s="102"/>
      <c r="D285" s="104"/>
      <c r="E285" s="104"/>
      <c r="F285" s="109"/>
    </row>
    <row r="286" spans="1:15" s="64" customFormat="1">
      <c r="A286" s="300"/>
      <c r="B286" s="106" t="s">
        <v>288</v>
      </c>
      <c r="C286" s="333"/>
      <c r="D286" s="98"/>
      <c r="E286" s="98"/>
      <c r="F286" s="110">
        <f>F278+F281+F284+F273</f>
        <v>2053.3462846241032</v>
      </c>
      <c r="L286" s="296"/>
      <c r="M286" s="296"/>
      <c r="N286" s="296"/>
      <c r="O286" s="296"/>
    </row>
    <row r="287" spans="1:15">
      <c r="A287" s="302"/>
      <c r="B287" s="106"/>
      <c r="C287" s="102"/>
      <c r="D287" s="104"/>
      <c r="E287" s="104"/>
      <c r="F287" s="107"/>
    </row>
    <row r="288" spans="1:15" s="62" customFormat="1">
      <c r="A288" s="301">
        <v>15</v>
      </c>
      <c r="B288" s="100" t="s">
        <v>196</v>
      </c>
      <c r="C288" s="99"/>
      <c r="D288" s="101"/>
      <c r="E288" s="101"/>
      <c r="F288" s="108"/>
      <c r="L288" s="297"/>
      <c r="M288" s="297"/>
      <c r="N288" s="297"/>
      <c r="O288" s="297"/>
    </row>
    <row r="289" spans="1:15" s="62" customFormat="1">
      <c r="A289" s="301"/>
      <c r="B289" s="100" t="s">
        <v>52</v>
      </c>
      <c r="C289" s="99" t="s">
        <v>7</v>
      </c>
      <c r="D289" s="101">
        <f>'BOQ Split'!C29/15</f>
        <v>23</v>
      </c>
      <c r="E289" s="101"/>
      <c r="F289" s="108"/>
      <c r="L289" s="297"/>
      <c r="M289" s="297"/>
      <c r="N289" s="297"/>
      <c r="O289" s="297"/>
    </row>
    <row r="290" spans="1:15">
      <c r="A290" s="302"/>
      <c r="B290" s="103" t="s">
        <v>20</v>
      </c>
      <c r="C290" s="102"/>
      <c r="D290" s="104"/>
      <c r="E290" s="104"/>
      <c r="F290" s="109"/>
      <c r="I290" s="336"/>
    </row>
    <row r="291" spans="1:15">
      <c r="A291" s="302"/>
      <c r="B291" s="105" t="s">
        <v>197</v>
      </c>
      <c r="C291" s="102" t="s">
        <v>21</v>
      </c>
      <c r="D291" s="104">
        <f>D289/2.83</f>
        <v>8.1272084805653702</v>
      </c>
      <c r="E291" s="104">
        <f>Materials!E22</f>
        <v>2800</v>
      </c>
      <c r="F291" s="109">
        <f>PRODUCT(D291:E291)</f>
        <v>22756.183745583035</v>
      </c>
    </row>
    <row r="292" spans="1:15">
      <c r="A292" s="302"/>
      <c r="B292" s="105"/>
      <c r="C292" s="102"/>
      <c r="D292" s="104"/>
      <c r="E292" s="104"/>
      <c r="F292" s="109">
        <f>SUM(F291:F291)</f>
        <v>22756.183745583035</v>
      </c>
    </row>
    <row r="293" spans="1:15">
      <c r="A293" s="302"/>
      <c r="B293" s="105"/>
      <c r="C293" s="102"/>
      <c r="D293" s="104"/>
      <c r="E293" s="104"/>
      <c r="F293" s="110">
        <f>F292/D289</f>
        <v>989.39929328621895</v>
      </c>
    </row>
    <row r="294" spans="1:15">
      <c r="A294" s="302"/>
      <c r="B294" s="103" t="s">
        <v>50</v>
      </c>
      <c r="C294" s="102"/>
      <c r="D294" s="104"/>
      <c r="E294" s="104"/>
      <c r="F294" s="109"/>
    </row>
    <row r="295" spans="1:15">
      <c r="A295" s="302"/>
      <c r="B295" s="105" t="s">
        <v>46</v>
      </c>
      <c r="C295" s="102" t="s">
        <v>47</v>
      </c>
      <c r="D295" s="104">
        <v>0.5</v>
      </c>
      <c r="E295" s="104">
        <f>90000/26</f>
        <v>3461.5384615384614</v>
      </c>
      <c r="F295" s="109">
        <f>PRODUCT(D295:E295)</f>
        <v>1730.7692307692307</v>
      </c>
    </row>
    <row r="296" spans="1:15">
      <c r="A296" s="302"/>
      <c r="B296" s="105"/>
      <c r="C296" s="102"/>
      <c r="D296" s="104"/>
      <c r="E296" s="104"/>
      <c r="F296" s="109">
        <f>SUM(F295:F295)</f>
        <v>1730.7692307692307</v>
      </c>
    </row>
    <row r="297" spans="1:15">
      <c r="A297" s="302"/>
      <c r="B297" s="105"/>
      <c r="C297" s="102"/>
      <c r="D297" s="104"/>
      <c r="E297" s="104"/>
      <c r="F297" s="110">
        <f>F296/D289</f>
        <v>75.250836120401331</v>
      </c>
    </row>
    <row r="298" spans="1:15">
      <c r="A298" s="302"/>
      <c r="B298" s="103" t="s">
        <v>44</v>
      </c>
      <c r="C298" s="102"/>
      <c r="D298" s="104"/>
      <c r="E298" s="104"/>
      <c r="F298" s="109"/>
    </row>
    <row r="299" spans="1:15">
      <c r="A299" s="302"/>
      <c r="B299" s="105" t="s">
        <v>48</v>
      </c>
      <c r="C299" s="102" t="s">
        <v>14</v>
      </c>
      <c r="D299" s="104">
        <f>6*3</f>
        <v>18</v>
      </c>
      <c r="E299" s="104">
        <v>96</v>
      </c>
      <c r="F299" s="109">
        <f>PRODUCT(D299:E299)</f>
        <v>1728</v>
      </c>
    </row>
    <row r="300" spans="1:15">
      <c r="A300" s="302"/>
      <c r="B300" s="105"/>
      <c r="C300" s="102"/>
      <c r="D300" s="104"/>
      <c r="E300" s="104"/>
      <c r="F300" s="110">
        <f>F299/D289</f>
        <v>75.130434782608702</v>
      </c>
    </row>
    <row r="301" spans="1:15">
      <c r="A301" s="302"/>
      <c r="B301" s="103" t="s">
        <v>51</v>
      </c>
      <c r="C301" s="102"/>
      <c r="D301" s="104"/>
      <c r="E301" s="104"/>
      <c r="F301" s="109"/>
    </row>
    <row r="302" spans="1:15">
      <c r="A302" s="302"/>
      <c r="B302" s="105" t="s">
        <v>53</v>
      </c>
      <c r="C302" s="102" t="s">
        <v>12</v>
      </c>
      <c r="D302" s="104">
        <v>2</v>
      </c>
      <c r="E302" s="104">
        <v>700</v>
      </c>
      <c r="F302" s="109">
        <f>PRODUCT(D302:E302)</f>
        <v>1400</v>
      </c>
    </row>
    <row r="303" spans="1:15">
      <c r="A303" s="302"/>
      <c r="B303" s="105"/>
      <c r="C303" s="102"/>
      <c r="D303" s="104"/>
      <c r="E303" s="104"/>
      <c r="F303" s="110">
        <f>F302/D289</f>
        <v>60.869565217391305</v>
      </c>
    </row>
    <row r="304" spans="1:15">
      <c r="A304" s="302"/>
      <c r="B304" s="105"/>
      <c r="C304" s="102"/>
      <c r="D304" s="104"/>
      <c r="E304" s="104"/>
      <c r="F304" s="109"/>
    </row>
    <row r="305" spans="1:15" s="64" customFormat="1">
      <c r="A305" s="300"/>
      <c r="B305" s="106" t="s">
        <v>198</v>
      </c>
      <c r="C305" s="333"/>
      <c r="D305" s="98"/>
      <c r="E305" s="98"/>
      <c r="F305" s="110">
        <f>F297+F300+F303+F293</f>
        <v>1200.6501294066202</v>
      </c>
      <c r="L305" s="296"/>
      <c r="M305" s="296"/>
      <c r="N305" s="296"/>
      <c r="O305" s="296"/>
    </row>
    <row r="306" spans="1:15">
      <c r="A306" s="302"/>
      <c r="B306" s="106"/>
      <c r="C306" s="102"/>
      <c r="D306" s="104"/>
      <c r="E306" s="104"/>
      <c r="F306" s="107"/>
    </row>
    <row r="307" spans="1:15" s="62" customFormat="1">
      <c r="A307" s="301">
        <v>16</v>
      </c>
      <c r="B307" s="100" t="s">
        <v>301</v>
      </c>
      <c r="C307" s="99"/>
      <c r="D307" s="101"/>
      <c r="E307" s="101"/>
      <c r="F307" s="108"/>
      <c r="L307" s="297"/>
      <c r="M307" s="297"/>
      <c r="N307" s="297"/>
      <c r="O307" s="297"/>
    </row>
    <row r="308" spans="1:15" s="62" customFormat="1">
      <c r="A308" s="301"/>
      <c r="B308" s="100" t="s">
        <v>52</v>
      </c>
      <c r="C308" s="99" t="s">
        <v>7</v>
      </c>
      <c r="D308" s="101">
        <f>'BOQ Split'!C30/30</f>
        <v>148</v>
      </c>
      <c r="E308" s="101"/>
      <c r="F308" s="108"/>
      <c r="L308" s="297"/>
      <c r="M308" s="297"/>
      <c r="N308" s="297"/>
      <c r="O308" s="297"/>
    </row>
    <row r="309" spans="1:15">
      <c r="A309" s="302"/>
      <c r="B309" s="103" t="s">
        <v>20</v>
      </c>
      <c r="C309" s="102"/>
      <c r="D309" s="104"/>
      <c r="E309" s="104"/>
      <c r="F309" s="109"/>
      <c r="I309" s="336"/>
    </row>
    <row r="310" spans="1:15">
      <c r="A310" s="302"/>
      <c r="B310" s="105" t="s">
        <v>301</v>
      </c>
      <c r="C310" s="102" t="s">
        <v>21</v>
      </c>
      <c r="D310" s="104">
        <f>1/2.83*1.2</f>
        <v>0.42402826855123676</v>
      </c>
      <c r="E310" s="104">
        <f>Materials!E16</f>
        <v>3800</v>
      </c>
      <c r="F310" s="109">
        <f>PRODUCT(D310:E310)</f>
        <v>1611.3074204946997</v>
      </c>
    </row>
    <row r="311" spans="1:15">
      <c r="A311" s="302"/>
      <c r="B311" s="105"/>
      <c r="C311" s="102"/>
      <c r="D311" s="104"/>
      <c r="E311" s="104"/>
      <c r="F311" s="110">
        <f>SUM(F310)</f>
        <v>1611.3074204946997</v>
      </c>
    </row>
    <row r="312" spans="1:15">
      <c r="A312" s="302"/>
      <c r="B312" s="103" t="s">
        <v>50</v>
      </c>
      <c r="C312" s="102"/>
      <c r="D312" s="104"/>
      <c r="E312" s="104"/>
      <c r="F312" s="109"/>
    </row>
    <row r="313" spans="1:15">
      <c r="A313" s="302"/>
      <c r="B313" s="105" t="s">
        <v>172</v>
      </c>
      <c r="C313" s="102" t="s">
        <v>61</v>
      </c>
      <c r="D313" s="104">
        <v>2</v>
      </c>
      <c r="E313" s="104">
        <f>140000/26</f>
        <v>5384.6153846153848</v>
      </c>
      <c r="F313" s="109">
        <f>PRODUCT(D313:E313)</f>
        <v>10769.23076923077</v>
      </c>
    </row>
    <row r="314" spans="1:15">
      <c r="A314" s="302"/>
      <c r="B314" s="105"/>
      <c r="C314" s="102"/>
      <c r="D314" s="104"/>
      <c r="E314" s="104"/>
      <c r="F314" s="109">
        <f>SUM(F313:F313)</f>
        <v>10769.23076923077</v>
      </c>
    </row>
    <row r="315" spans="1:15">
      <c r="A315" s="302"/>
      <c r="B315" s="105"/>
      <c r="C315" s="102"/>
      <c r="D315" s="104"/>
      <c r="E315" s="104"/>
      <c r="F315" s="110">
        <f>F314/D308</f>
        <v>72.765072765072773</v>
      </c>
    </row>
    <row r="316" spans="1:15">
      <c r="A316" s="302"/>
      <c r="B316" s="103" t="s">
        <v>44</v>
      </c>
      <c r="C316" s="102"/>
      <c r="D316" s="104"/>
      <c r="E316" s="104"/>
      <c r="F316" s="109"/>
    </row>
    <row r="317" spans="1:15">
      <c r="A317" s="302"/>
      <c r="B317" s="105" t="s">
        <v>48</v>
      </c>
      <c r="C317" s="102" t="s">
        <v>14</v>
      </c>
      <c r="D317" s="104">
        <f>D313*7*11</f>
        <v>154</v>
      </c>
      <c r="E317" s="104">
        <v>96</v>
      </c>
      <c r="F317" s="109">
        <f>PRODUCT(D317:E317)</f>
        <v>14784</v>
      </c>
    </row>
    <row r="318" spans="1:15">
      <c r="A318" s="302"/>
      <c r="B318" s="105"/>
      <c r="C318" s="102"/>
      <c r="D318" s="104"/>
      <c r="E318" s="104"/>
      <c r="F318" s="110">
        <f>F317/D308</f>
        <v>99.891891891891888</v>
      </c>
    </row>
    <row r="319" spans="1:15">
      <c r="A319" s="302"/>
      <c r="B319" s="103" t="s">
        <v>51</v>
      </c>
      <c r="C319" s="102"/>
      <c r="D319" s="104"/>
      <c r="E319" s="104"/>
      <c r="F319" s="109"/>
    </row>
    <row r="320" spans="1:15">
      <c r="A320" s="302"/>
      <c r="B320" s="105" t="s">
        <v>53</v>
      </c>
      <c r="C320" s="102" t="s">
        <v>12</v>
      </c>
      <c r="D320" s="104">
        <v>2</v>
      </c>
      <c r="E320" s="104">
        <v>700</v>
      </c>
      <c r="F320" s="109">
        <f>PRODUCT(D320:E320)</f>
        <v>1400</v>
      </c>
    </row>
    <row r="321" spans="1:15">
      <c r="A321" s="302"/>
      <c r="B321" s="105"/>
      <c r="C321" s="102"/>
      <c r="D321" s="104"/>
      <c r="E321" s="104"/>
      <c r="F321" s="110">
        <f>F320/D308</f>
        <v>9.4594594594594597</v>
      </c>
    </row>
    <row r="322" spans="1:15">
      <c r="A322" s="302"/>
      <c r="B322" s="105"/>
      <c r="C322" s="102"/>
      <c r="D322" s="104"/>
      <c r="E322" s="104"/>
      <c r="F322" s="109"/>
    </row>
    <row r="323" spans="1:15" s="64" customFormat="1">
      <c r="A323" s="300"/>
      <c r="B323" s="106" t="s">
        <v>198</v>
      </c>
      <c r="C323" s="333"/>
      <c r="D323" s="98"/>
      <c r="E323" s="98"/>
      <c r="F323" s="110">
        <f>F315+F318+F321+F311</f>
        <v>1793.4238446111237</v>
      </c>
      <c r="L323" s="296"/>
      <c r="M323" s="296"/>
      <c r="N323" s="296"/>
      <c r="O323" s="296"/>
    </row>
    <row r="324" spans="1:15">
      <c r="A324" s="302"/>
      <c r="B324" s="106"/>
      <c r="C324" s="102"/>
      <c r="D324" s="104"/>
      <c r="E324" s="104"/>
      <c r="F324" s="107"/>
    </row>
    <row r="325" spans="1:15" s="62" customFormat="1">
      <c r="A325" s="301">
        <v>22</v>
      </c>
      <c r="B325" s="100" t="s">
        <v>40</v>
      </c>
      <c r="C325" s="99"/>
      <c r="D325" s="101"/>
      <c r="E325" s="101"/>
      <c r="F325" s="108"/>
      <c r="L325" s="297"/>
      <c r="M325" s="297"/>
      <c r="N325" s="297"/>
      <c r="O325" s="297"/>
    </row>
    <row r="326" spans="1:15" s="62" customFormat="1">
      <c r="A326" s="301"/>
      <c r="B326" s="100" t="s">
        <v>52</v>
      </c>
      <c r="C326" s="99" t="s">
        <v>7</v>
      </c>
      <c r="D326" s="101">
        <f>'BOQ Split'!C36/90</f>
        <v>666.66666666666663</v>
      </c>
      <c r="E326" s="101"/>
      <c r="F326" s="108"/>
      <c r="I326" s="299"/>
      <c r="L326" s="297"/>
      <c r="M326" s="297"/>
      <c r="N326" s="297"/>
      <c r="O326" s="297"/>
    </row>
    <row r="327" spans="1:15">
      <c r="A327" s="302"/>
      <c r="B327" s="103" t="s">
        <v>50</v>
      </c>
      <c r="C327" s="102"/>
      <c r="D327" s="104"/>
      <c r="E327" s="104"/>
      <c r="F327" s="109"/>
    </row>
    <row r="328" spans="1:15">
      <c r="A328" s="302"/>
      <c r="B328" s="105" t="s">
        <v>172</v>
      </c>
      <c r="C328" s="102" t="s">
        <v>61</v>
      </c>
      <c r="D328" s="104">
        <v>2</v>
      </c>
      <c r="E328" s="104">
        <f>140000/26</f>
        <v>5384.6153846153848</v>
      </c>
      <c r="F328" s="109">
        <f>PRODUCT(D328:E328)</f>
        <v>10769.23076923077</v>
      </c>
    </row>
    <row r="329" spans="1:15">
      <c r="A329" s="302"/>
      <c r="B329" s="105" t="s">
        <v>172</v>
      </c>
      <c r="C329" s="102" t="s">
        <v>61</v>
      </c>
      <c r="D329" s="104">
        <v>1</v>
      </c>
      <c r="E329" s="104">
        <f>140000/26</f>
        <v>5384.6153846153848</v>
      </c>
      <c r="F329" s="109">
        <f>PRODUCT(D329:E329)</f>
        <v>5384.6153846153848</v>
      </c>
    </row>
    <row r="330" spans="1:15">
      <c r="A330" s="302"/>
      <c r="B330" s="105" t="s">
        <v>303</v>
      </c>
      <c r="C330" s="102" t="s">
        <v>61</v>
      </c>
      <c r="D330" s="104">
        <v>5</v>
      </c>
      <c r="E330" s="104">
        <v>10000</v>
      </c>
      <c r="F330" s="109">
        <f>PRODUCT(D330:E330)</f>
        <v>50000</v>
      </c>
    </row>
    <row r="331" spans="1:15">
      <c r="A331" s="302"/>
      <c r="B331" s="105"/>
      <c r="C331" s="102"/>
      <c r="D331" s="104"/>
      <c r="E331" s="104"/>
      <c r="F331" s="109">
        <f>SUM(F328:F330)</f>
        <v>66153.846153846156</v>
      </c>
    </row>
    <row r="332" spans="1:15">
      <c r="A332" s="302"/>
      <c r="B332" s="105"/>
      <c r="C332" s="102"/>
      <c r="D332" s="104"/>
      <c r="E332" s="104"/>
      <c r="F332" s="110">
        <f>F331/D326</f>
        <v>99.230769230769241</v>
      </c>
    </row>
    <row r="333" spans="1:15">
      <c r="A333" s="302"/>
      <c r="B333" s="103" t="s">
        <v>44</v>
      </c>
      <c r="C333" s="102"/>
      <c r="D333" s="104"/>
      <c r="E333" s="104"/>
      <c r="F333" s="109"/>
    </row>
    <row r="334" spans="1:15">
      <c r="A334" s="302"/>
      <c r="B334" s="105" t="s">
        <v>48</v>
      </c>
      <c r="C334" s="102" t="s">
        <v>14</v>
      </c>
      <c r="D334" s="104">
        <f>+(D329*7*10)*2</f>
        <v>140</v>
      </c>
      <c r="E334" s="104">
        <v>96</v>
      </c>
      <c r="F334" s="109">
        <f>PRODUCT(D334:E334)</f>
        <v>13440</v>
      </c>
    </row>
    <row r="335" spans="1:15">
      <c r="A335" s="302"/>
      <c r="B335" s="105"/>
      <c r="C335" s="102"/>
      <c r="D335" s="104"/>
      <c r="E335" s="104"/>
      <c r="F335" s="110">
        <f>F334/D326</f>
        <v>20.16</v>
      </c>
    </row>
    <row r="336" spans="1:15">
      <c r="A336" s="302"/>
      <c r="B336" s="103" t="s">
        <v>51</v>
      </c>
      <c r="C336" s="102"/>
      <c r="D336" s="104"/>
      <c r="E336" s="104"/>
      <c r="F336" s="109"/>
    </row>
    <row r="337" spans="1:15">
      <c r="A337" s="302"/>
      <c r="B337" s="105" t="s">
        <v>53</v>
      </c>
      <c r="C337" s="102" t="s">
        <v>12</v>
      </c>
      <c r="D337" s="104">
        <v>4</v>
      </c>
      <c r="E337" s="104">
        <v>700</v>
      </c>
      <c r="F337" s="109">
        <f>PRODUCT(D337:E337)</f>
        <v>2800</v>
      </c>
    </row>
    <row r="338" spans="1:15">
      <c r="A338" s="302"/>
      <c r="B338" s="105"/>
      <c r="C338" s="102"/>
      <c r="D338" s="104"/>
      <c r="E338" s="104"/>
      <c r="F338" s="110">
        <f>F337/D326</f>
        <v>4.2</v>
      </c>
    </row>
    <row r="339" spans="1:15">
      <c r="A339" s="302"/>
      <c r="B339" s="105"/>
      <c r="C339" s="102"/>
      <c r="D339" s="104"/>
      <c r="E339" s="104"/>
      <c r="F339" s="109"/>
    </row>
    <row r="340" spans="1:15" s="64" customFormat="1">
      <c r="A340" s="300"/>
      <c r="B340" s="106" t="s">
        <v>262</v>
      </c>
      <c r="C340" s="333"/>
      <c r="D340" s="98"/>
      <c r="E340" s="98"/>
      <c r="F340" s="110">
        <f>F332+F335+F338</f>
        <v>123.59076923076924</v>
      </c>
      <c r="L340" s="296"/>
      <c r="M340" s="296"/>
      <c r="N340" s="296"/>
      <c r="O340" s="296"/>
    </row>
    <row r="341" spans="1:15">
      <c r="A341" s="302"/>
      <c r="B341" s="106"/>
      <c r="C341" s="102"/>
      <c r="D341" s="104"/>
      <c r="E341" s="104"/>
      <c r="F341" s="107"/>
    </row>
    <row r="342" spans="1:15" s="62" customFormat="1">
      <c r="A342" s="301">
        <v>23</v>
      </c>
      <c r="B342" s="100" t="s">
        <v>40</v>
      </c>
      <c r="C342" s="99"/>
      <c r="D342" s="101"/>
      <c r="E342" s="101"/>
      <c r="F342" s="108"/>
      <c r="L342" s="297"/>
      <c r="M342" s="297"/>
      <c r="N342" s="297"/>
      <c r="O342" s="297"/>
    </row>
    <row r="343" spans="1:15" s="62" customFormat="1">
      <c r="A343" s="301"/>
      <c r="B343" s="100" t="s">
        <v>52</v>
      </c>
      <c r="C343" s="99" t="s">
        <v>7</v>
      </c>
      <c r="D343" s="101">
        <f>'BOQ Split'!C37/30</f>
        <v>167.06666666666666</v>
      </c>
      <c r="E343" s="101"/>
      <c r="F343" s="108"/>
      <c r="I343" s="299"/>
      <c r="L343" s="297"/>
      <c r="M343" s="297"/>
      <c r="N343" s="297"/>
      <c r="O343" s="297"/>
    </row>
    <row r="344" spans="1:15">
      <c r="A344" s="302"/>
      <c r="B344" s="103" t="s">
        <v>50</v>
      </c>
      <c r="C344" s="102"/>
      <c r="D344" s="104"/>
      <c r="E344" s="104"/>
      <c r="F344" s="109"/>
    </row>
    <row r="345" spans="1:15">
      <c r="A345" s="302"/>
      <c r="B345" s="105" t="s">
        <v>172</v>
      </c>
      <c r="C345" s="102" t="s">
        <v>61</v>
      </c>
      <c r="D345" s="104">
        <v>1</v>
      </c>
      <c r="E345" s="104">
        <f>140000/26</f>
        <v>5384.6153846153848</v>
      </c>
      <c r="F345" s="109">
        <f>PRODUCT(D345:E345)</f>
        <v>5384.6153846153848</v>
      </c>
    </row>
    <row r="346" spans="1:15">
      <c r="A346" s="302"/>
      <c r="B346" s="105" t="s">
        <v>172</v>
      </c>
      <c r="C346" s="102" t="s">
        <v>61</v>
      </c>
      <c r="D346" s="104">
        <v>0.5</v>
      </c>
      <c r="E346" s="104">
        <f>140000/26</f>
        <v>5384.6153846153848</v>
      </c>
      <c r="F346" s="109">
        <f>PRODUCT(D346:E346)</f>
        <v>2692.3076923076924</v>
      </c>
    </row>
    <row r="347" spans="1:15">
      <c r="A347" s="302"/>
      <c r="B347" s="105"/>
      <c r="C347" s="102"/>
      <c r="D347" s="104"/>
      <c r="E347" s="104"/>
      <c r="F347" s="109">
        <f>SUM(F345:F346)</f>
        <v>8076.9230769230771</v>
      </c>
    </row>
    <row r="348" spans="1:15">
      <c r="A348" s="302"/>
      <c r="B348" s="105"/>
      <c r="C348" s="102"/>
      <c r="D348" s="104"/>
      <c r="E348" s="104"/>
      <c r="F348" s="110">
        <f>F347/D343</f>
        <v>48.345509239363992</v>
      </c>
    </row>
    <row r="349" spans="1:15">
      <c r="A349" s="302"/>
      <c r="B349" s="103" t="s">
        <v>44</v>
      </c>
      <c r="C349" s="102"/>
      <c r="D349" s="104"/>
      <c r="E349" s="104"/>
      <c r="F349" s="109"/>
    </row>
    <row r="350" spans="1:15">
      <c r="A350" s="302"/>
      <c r="B350" s="105" t="s">
        <v>48</v>
      </c>
      <c r="C350" s="102" t="s">
        <v>14</v>
      </c>
      <c r="D350" s="104">
        <f>+(D346*7*10)*2</f>
        <v>70</v>
      </c>
      <c r="E350" s="104">
        <v>96</v>
      </c>
      <c r="F350" s="109">
        <f>PRODUCT(D350:E350)</f>
        <v>6720</v>
      </c>
    </row>
    <row r="351" spans="1:15">
      <c r="A351" s="302"/>
      <c r="B351" s="105"/>
      <c r="C351" s="102"/>
      <c r="D351" s="104"/>
      <c r="E351" s="104"/>
      <c r="F351" s="110">
        <f>F350/D343</f>
        <v>40.22346368715084</v>
      </c>
    </row>
    <row r="352" spans="1:15">
      <c r="A352" s="302"/>
      <c r="B352" s="103" t="s">
        <v>51</v>
      </c>
      <c r="C352" s="102"/>
      <c r="D352" s="104"/>
      <c r="E352" s="104"/>
      <c r="F352" s="109"/>
    </row>
    <row r="353" spans="1:15">
      <c r="A353" s="302"/>
      <c r="B353" s="105" t="s">
        <v>53</v>
      </c>
      <c r="C353" s="102" t="s">
        <v>12</v>
      </c>
      <c r="D353" s="104">
        <v>2</v>
      </c>
      <c r="E353" s="104">
        <v>700</v>
      </c>
      <c r="F353" s="109">
        <f>PRODUCT(D353:E353)</f>
        <v>1400</v>
      </c>
    </row>
    <row r="354" spans="1:15">
      <c r="A354" s="302"/>
      <c r="B354" s="105"/>
      <c r="C354" s="102"/>
      <c r="D354" s="104"/>
      <c r="E354" s="104"/>
      <c r="F354" s="110">
        <f>F353/D343</f>
        <v>8.3798882681564244</v>
      </c>
    </row>
    <row r="355" spans="1:15">
      <c r="A355" s="302"/>
      <c r="B355" s="105"/>
      <c r="C355" s="102"/>
      <c r="D355" s="104"/>
      <c r="E355" s="104"/>
      <c r="F355" s="109"/>
    </row>
    <row r="356" spans="1:15" s="64" customFormat="1">
      <c r="A356" s="300"/>
      <c r="B356" s="106" t="s">
        <v>262</v>
      </c>
      <c r="C356" s="333"/>
      <c r="D356" s="98"/>
      <c r="E356" s="98"/>
      <c r="F356" s="110">
        <f>F348+F351+F354</f>
        <v>96.948861194671252</v>
      </c>
      <c r="L356" s="296"/>
      <c r="M356" s="296"/>
      <c r="N356" s="296"/>
      <c r="O356" s="296"/>
    </row>
    <row r="357" spans="1:15">
      <c r="A357" s="302"/>
      <c r="B357" s="106"/>
      <c r="C357" s="102"/>
      <c r="D357" s="104"/>
      <c r="E357" s="104"/>
      <c r="F357" s="107"/>
    </row>
    <row r="358" spans="1:15" s="62" customFormat="1">
      <c r="A358" s="301">
        <v>24</v>
      </c>
      <c r="B358" s="100" t="s">
        <v>304</v>
      </c>
      <c r="C358" s="99"/>
      <c r="D358" s="101"/>
      <c r="E358" s="101"/>
      <c r="F358" s="108"/>
      <c r="L358" s="297"/>
      <c r="M358" s="297"/>
      <c r="N358" s="297"/>
      <c r="O358" s="297"/>
    </row>
    <row r="359" spans="1:15" s="62" customFormat="1">
      <c r="A359" s="301"/>
      <c r="B359" s="100" t="s">
        <v>52</v>
      </c>
      <c r="C359" s="99" t="s">
        <v>7</v>
      </c>
      <c r="D359" s="101">
        <f>'BOQ Split'!C38/90</f>
        <v>111.53333333333333</v>
      </c>
      <c r="E359" s="101"/>
      <c r="F359" s="108"/>
      <c r="L359" s="297"/>
      <c r="M359" s="297"/>
      <c r="N359" s="297"/>
      <c r="O359" s="297"/>
    </row>
    <row r="360" spans="1:15">
      <c r="A360" s="302"/>
      <c r="B360" s="103" t="s">
        <v>20</v>
      </c>
      <c r="C360" s="102"/>
      <c r="D360" s="104"/>
      <c r="E360" s="104"/>
      <c r="F360" s="109"/>
      <c r="I360" s="336"/>
    </row>
    <row r="361" spans="1:15">
      <c r="A361" s="302"/>
      <c r="B361" s="105" t="s">
        <v>305</v>
      </c>
      <c r="C361" s="102" t="s">
        <v>12</v>
      </c>
      <c r="D361" s="104">
        <v>1</v>
      </c>
      <c r="E361" s="104">
        <v>1450</v>
      </c>
      <c r="F361" s="109">
        <f>PRODUCT(D361:E361)</f>
        <v>1450</v>
      </c>
    </row>
    <row r="362" spans="1:15">
      <c r="A362" s="302"/>
      <c r="B362" s="105" t="s">
        <v>306</v>
      </c>
      <c r="C362" s="102" t="s">
        <v>21</v>
      </c>
      <c r="D362" s="104">
        <f>1/2.83*1.1</f>
        <v>0.3886925795053004</v>
      </c>
      <c r="E362" s="104">
        <f>Materials!E16</f>
        <v>3800</v>
      </c>
      <c r="F362" s="109">
        <f>PRODUCT(D362:E362)</f>
        <v>1477.0318021201415</v>
      </c>
    </row>
    <row r="363" spans="1:15">
      <c r="A363" s="302"/>
      <c r="B363" s="105"/>
      <c r="C363" s="102"/>
      <c r="D363" s="104"/>
      <c r="E363" s="104"/>
      <c r="F363" s="110">
        <f>SUM(F361:F362)</f>
        <v>2927.0318021201415</v>
      </c>
    </row>
    <row r="364" spans="1:15">
      <c r="A364" s="302"/>
      <c r="B364" s="103" t="s">
        <v>50</v>
      </c>
      <c r="C364" s="102"/>
      <c r="D364" s="104"/>
      <c r="E364" s="104"/>
      <c r="F364" s="109"/>
    </row>
    <row r="365" spans="1:15">
      <c r="A365" s="302"/>
      <c r="B365" s="105" t="s">
        <v>172</v>
      </c>
      <c r="C365" s="102" t="s">
        <v>61</v>
      </c>
      <c r="D365" s="104">
        <v>1</v>
      </c>
      <c r="E365" s="104">
        <f>140000/26</f>
        <v>5384.6153846153848</v>
      </c>
      <c r="F365" s="109">
        <f>PRODUCT(D365:E365)</f>
        <v>5384.6153846153848</v>
      </c>
    </row>
    <row r="366" spans="1:15">
      <c r="A366" s="302"/>
      <c r="B366" s="105"/>
      <c r="C366" s="102"/>
      <c r="D366" s="104"/>
      <c r="E366" s="104"/>
      <c r="F366" s="109">
        <f>SUM(F365:F365)</f>
        <v>5384.6153846153848</v>
      </c>
    </row>
    <row r="367" spans="1:15">
      <c r="A367" s="302"/>
      <c r="B367" s="105"/>
      <c r="C367" s="102"/>
      <c r="D367" s="104"/>
      <c r="E367" s="104"/>
      <c r="F367" s="110">
        <f>F366/D359</f>
        <v>48.2780817508851</v>
      </c>
    </row>
    <row r="368" spans="1:15">
      <c r="A368" s="302"/>
      <c r="B368" s="103" t="s">
        <v>44</v>
      </c>
      <c r="C368" s="102"/>
      <c r="D368" s="104"/>
      <c r="E368" s="104"/>
      <c r="F368" s="109"/>
    </row>
    <row r="369" spans="1:15">
      <c r="A369" s="302"/>
      <c r="B369" s="105" t="s">
        <v>48</v>
      </c>
      <c r="C369" s="102" t="s">
        <v>14</v>
      </c>
      <c r="D369" s="104">
        <f>D365*7*11</f>
        <v>77</v>
      </c>
      <c r="E369" s="104">
        <v>96</v>
      </c>
      <c r="F369" s="109">
        <f>PRODUCT(D369:E369)</f>
        <v>7392</v>
      </c>
    </row>
    <row r="370" spans="1:15">
      <c r="A370" s="302"/>
      <c r="B370" s="105"/>
      <c r="C370" s="102"/>
      <c r="D370" s="104"/>
      <c r="E370" s="104"/>
      <c r="F370" s="110">
        <f>F369/D359</f>
        <v>66.276150627615067</v>
      </c>
    </row>
    <row r="371" spans="1:15">
      <c r="A371" s="302"/>
      <c r="B371" s="103" t="s">
        <v>49</v>
      </c>
      <c r="C371" s="102"/>
      <c r="D371" s="104"/>
      <c r="E371" s="104"/>
      <c r="F371" s="109"/>
    </row>
    <row r="372" spans="1:15">
      <c r="A372" s="302"/>
      <c r="B372" s="105" t="s">
        <v>307</v>
      </c>
      <c r="C372" s="102" t="s">
        <v>7</v>
      </c>
      <c r="D372" s="104">
        <v>1</v>
      </c>
      <c r="E372" s="104">
        <v>500</v>
      </c>
      <c r="F372" s="109">
        <f>PRODUCT(D372:E372)</f>
        <v>500</v>
      </c>
    </row>
    <row r="373" spans="1:15">
      <c r="A373" s="302"/>
      <c r="B373" s="105"/>
      <c r="C373" s="102"/>
      <c r="D373" s="104"/>
      <c r="E373" s="104"/>
      <c r="F373" s="110">
        <f>SUM(F372)</f>
        <v>500</v>
      </c>
    </row>
    <row r="374" spans="1:15">
      <c r="A374" s="302"/>
      <c r="B374" s="105"/>
      <c r="C374" s="102"/>
      <c r="D374" s="104"/>
      <c r="E374" s="104"/>
      <c r="F374" s="109"/>
    </row>
    <row r="375" spans="1:15" s="64" customFormat="1">
      <c r="A375" s="300"/>
      <c r="B375" s="106" t="s">
        <v>198</v>
      </c>
      <c r="C375" s="333"/>
      <c r="D375" s="98"/>
      <c r="E375" s="98"/>
      <c r="F375" s="110">
        <f>F367+F370+F373+F363</f>
        <v>3541.5860344986418</v>
      </c>
      <c r="L375" s="296"/>
      <c r="M375" s="296"/>
      <c r="N375" s="296"/>
      <c r="O375" s="296"/>
    </row>
    <row r="376" spans="1:15">
      <c r="A376" s="302"/>
      <c r="B376" s="105"/>
      <c r="C376" s="102"/>
      <c r="D376" s="104"/>
      <c r="E376" s="104"/>
      <c r="F376" s="107"/>
    </row>
    <row r="377" spans="1:15" s="62" customFormat="1">
      <c r="A377" s="301">
        <v>25</v>
      </c>
      <c r="B377" s="100" t="s">
        <v>304</v>
      </c>
      <c r="C377" s="99"/>
      <c r="D377" s="101"/>
      <c r="E377" s="101"/>
      <c r="F377" s="108"/>
      <c r="L377" s="297"/>
      <c r="M377" s="297"/>
      <c r="N377" s="297"/>
      <c r="O377" s="297"/>
    </row>
    <row r="378" spans="1:15" s="62" customFormat="1">
      <c r="A378" s="301"/>
      <c r="B378" s="100" t="s">
        <v>52</v>
      </c>
      <c r="C378" s="99" t="s">
        <v>16</v>
      </c>
      <c r="D378" s="101">
        <f>'BOQ Split'!C57/90</f>
        <v>0</v>
      </c>
      <c r="E378" s="101"/>
      <c r="F378" s="108"/>
      <c r="L378" s="297"/>
      <c r="M378" s="297"/>
      <c r="N378" s="297"/>
      <c r="O378" s="297"/>
    </row>
    <row r="379" spans="1:15">
      <c r="A379" s="302"/>
      <c r="B379" s="103" t="s">
        <v>20</v>
      </c>
      <c r="C379" s="102"/>
      <c r="D379" s="104"/>
      <c r="E379" s="104"/>
      <c r="F379" s="109"/>
      <c r="I379" s="336"/>
    </row>
    <row r="380" spans="1:15">
      <c r="A380" s="302"/>
      <c r="B380" s="105" t="s">
        <v>309</v>
      </c>
      <c r="C380" s="102" t="s">
        <v>16</v>
      </c>
      <c r="D380" s="104">
        <v>1</v>
      </c>
      <c r="E380" s="104">
        <f>Materials!E23</f>
        <v>64.56</v>
      </c>
      <c r="F380" s="109">
        <f>PRODUCT(D380:E380)</f>
        <v>64.56</v>
      </c>
    </row>
    <row r="381" spans="1:15">
      <c r="A381" s="302"/>
      <c r="B381" s="105"/>
      <c r="C381" s="102"/>
      <c r="D381" s="104"/>
      <c r="E381" s="104"/>
      <c r="F381" s="110">
        <f>SUM(F380:F380)</f>
        <v>64.56</v>
      </c>
    </row>
    <row r="382" spans="1:15">
      <c r="A382" s="302"/>
      <c r="B382" s="103" t="s">
        <v>49</v>
      </c>
      <c r="C382" s="102"/>
      <c r="D382" s="104"/>
      <c r="E382" s="104"/>
      <c r="F382" s="109"/>
    </row>
    <row r="383" spans="1:15">
      <c r="A383" s="302"/>
      <c r="B383" s="105" t="s">
        <v>307</v>
      </c>
      <c r="C383" s="102" t="s">
        <v>16</v>
      </c>
      <c r="D383" s="104">
        <v>1</v>
      </c>
      <c r="E383" s="104">
        <f>5*10.76</f>
        <v>53.8</v>
      </c>
      <c r="F383" s="109">
        <f>PRODUCT(D383:E383)</f>
        <v>53.8</v>
      </c>
    </row>
    <row r="384" spans="1:15">
      <c r="A384" s="302"/>
      <c r="B384" s="105"/>
      <c r="C384" s="102"/>
      <c r="D384" s="104"/>
      <c r="E384" s="104"/>
      <c r="F384" s="110">
        <f>SUM(F383)</f>
        <v>53.8</v>
      </c>
    </row>
    <row r="385" spans="1:15">
      <c r="A385" s="302"/>
      <c r="B385" s="105"/>
      <c r="C385" s="102"/>
      <c r="D385" s="104"/>
      <c r="E385" s="104"/>
      <c r="F385" s="109"/>
    </row>
    <row r="386" spans="1:15" s="64" customFormat="1">
      <c r="A386" s="300"/>
      <c r="B386" s="106" t="s">
        <v>195</v>
      </c>
      <c r="C386" s="333"/>
      <c r="D386" s="98"/>
      <c r="E386" s="98"/>
      <c r="F386" s="110">
        <f>F381+F384</f>
        <v>118.36</v>
      </c>
      <c r="L386" s="296"/>
      <c r="M386" s="296"/>
      <c r="N386" s="296"/>
      <c r="O386" s="296"/>
    </row>
    <row r="387" spans="1:15">
      <c r="A387" s="302"/>
      <c r="B387" s="105"/>
      <c r="C387" s="102"/>
      <c r="D387" s="104"/>
      <c r="E387" s="104"/>
      <c r="F387" s="107"/>
    </row>
    <row r="388" spans="1:15" s="62" customFormat="1">
      <c r="A388" s="301">
        <v>26</v>
      </c>
      <c r="B388" s="100" t="s">
        <v>40</v>
      </c>
      <c r="C388" s="99"/>
      <c r="D388" s="101"/>
      <c r="E388" s="101"/>
      <c r="F388" s="108"/>
      <c r="L388" s="297"/>
      <c r="M388" s="297"/>
      <c r="N388" s="297"/>
      <c r="O388" s="297"/>
    </row>
    <row r="389" spans="1:15" s="62" customFormat="1">
      <c r="A389" s="301"/>
      <c r="B389" s="100" t="s">
        <v>52</v>
      </c>
      <c r="C389" s="99" t="s">
        <v>7</v>
      </c>
      <c r="D389" s="101">
        <f>'BOQ Split'!C40/30</f>
        <v>165</v>
      </c>
      <c r="E389" s="101"/>
      <c r="F389" s="108"/>
      <c r="I389" s="299"/>
      <c r="L389" s="297"/>
      <c r="M389" s="297"/>
      <c r="N389" s="297"/>
      <c r="O389" s="297"/>
    </row>
    <row r="390" spans="1:15">
      <c r="A390" s="302"/>
      <c r="B390" s="103" t="s">
        <v>50</v>
      </c>
      <c r="C390" s="102"/>
      <c r="D390" s="104"/>
      <c r="E390" s="104"/>
      <c r="F390" s="109"/>
    </row>
    <row r="391" spans="1:15">
      <c r="A391" s="302"/>
      <c r="B391" s="105" t="s">
        <v>172</v>
      </c>
      <c r="C391" s="102" t="s">
        <v>61</v>
      </c>
      <c r="D391" s="104">
        <v>1</v>
      </c>
      <c r="E391" s="104">
        <f>140000/26</f>
        <v>5384.6153846153848</v>
      </c>
      <c r="F391" s="109">
        <f>PRODUCT(D391:E391)</f>
        <v>5384.6153846153848</v>
      </c>
    </row>
    <row r="392" spans="1:15">
      <c r="A392" s="302"/>
      <c r="B392" s="105"/>
      <c r="C392" s="102"/>
      <c r="D392" s="104"/>
      <c r="E392" s="104"/>
      <c r="F392" s="109">
        <f>SUM(F391:F391)</f>
        <v>5384.6153846153848</v>
      </c>
    </row>
    <row r="393" spans="1:15">
      <c r="A393" s="302"/>
      <c r="B393" s="105"/>
      <c r="C393" s="102"/>
      <c r="D393" s="104"/>
      <c r="E393" s="104"/>
      <c r="F393" s="110">
        <f>F392/D389</f>
        <v>32.634032634032636</v>
      </c>
    </row>
    <row r="394" spans="1:15">
      <c r="A394" s="302"/>
      <c r="B394" s="103" t="s">
        <v>44</v>
      </c>
      <c r="C394" s="102"/>
      <c r="D394" s="104"/>
      <c r="E394" s="104"/>
      <c r="F394" s="109"/>
    </row>
    <row r="395" spans="1:15">
      <c r="A395" s="302"/>
      <c r="B395" s="105" t="s">
        <v>48</v>
      </c>
      <c r="C395" s="102" t="s">
        <v>14</v>
      </c>
      <c r="D395" s="104">
        <f>+(D391*6*10)</f>
        <v>60</v>
      </c>
      <c r="E395" s="104">
        <v>96</v>
      </c>
      <c r="F395" s="109">
        <f>PRODUCT(D395:E395)</f>
        <v>5760</v>
      </c>
    </row>
    <row r="396" spans="1:15">
      <c r="A396" s="302"/>
      <c r="B396" s="105"/>
      <c r="C396" s="102"/>
      <c r="D396" s="104"/>
      <c r="E396" s="104"/>
      <c r="F396" s="110">
        <f>F395/D389</f>
        <v>34.909090909090907</v>
      </c>
    </row>
    <row r="397" spans="1:15">
      <c r="A397" s="302"/>
      <c r="B397" s="103" t="s">
        <v>51</v>
      </c>
      <c r="C397" s="102"/>
      <c r="D397" s="104"/>
      <c r="E397" s="104"/>
      <c r="F397" s="109"/>
    </row>
    <row r="398" spans="1:15">
      <c r="A398" s="302"/>
      <c r="B398" s="105" t="s">
        <v>53</v>
      </c>
      <c r="C398" s="102" t="s">
        <v>12</v>
      </c>
      <c r="D398" s="104">
        <v>1</v>
      </c>
      <c r="E398" s="104">
        <v>700</v>
      </c>
      <c r="F398" s="109">
        <f>PRODUCT(D398:E398)</f>
        <v>700</v>
      </c>
    </row>
    <row r="399" spans="1:15">
      <c r="A399" s="302"/>
      <c r="B399" s="105"/>
      <c r="C399" s="102"/>
      <c r="D399" s="104"/>
      <c r="E399" s="104"/>
      <c r="F399" s="110">
        <f>F398/D389</f>
        <v>4.2424242424242422</v>
      </c>
    </row>
    <row r="400" spans="1:15">
      <c r="A400" s="302"/>
      <c r="B400" s="105"/>
      <c r="C400" s="102"/>
      <c r="D400" s="104"/>
      <c r="E400" s="104"/>
      <c r="F400" s="109"/>
    </row>
    <row r="401" spans="1:15" s="64" customFormat="1">
      <c r="A401" s="300"/>
      <c r="B401" s="106" t="s">
        <v>262</v>
      </c>
      <c r="C401" s="333"/>
      <c r="D401" s="98"/>
      <c r="E401" s="98"/>
      <c r="F401" s="110">
        <f>F393+F396+F399</f>
        <v>71.785547785547777</v>
      </c>
      <c r="L401" s="296"/>
      <c r="M401" s="296"/>
      <c r="N401" s="296"/>
      <c r="O401" s="296"/>
    </row>
    <row r="402" spans="1:15">
      <c r="A402" s="302"/>
      <c r="B402" s="105"/>
      <c r="C402" s="102"/>
      <c r="D402" s="104"/>
      <c r="E402" s="104"/>
      <c r="F402" s="107"/>
    </row>
    <row r="403" spans="1:15" s="62" customFormat="1">
      <c r="A403" s="301">
        <v>27</v>
      </c>
      <c r="B403" s="100" t="s">
        <v>40</v>
      </c>
      <c r="C403" s="99"/>
      <c r="D403" s="101"/>
      <c r="E403" s="101"/>
      <c r="F403" s="108"/>
      <c r="L403" s="297"/>
      <c r="M403" s="297"/>
      <c r="N403" s="297"/>
      <c r="O403" s="297"/>
    </row>
    <row r="404" spans="1:15" s="62" customFormat="1">
      <c r="A404" s="301"/>
      <c r="B404" s="100" t="s">
        <v>52</v>
      </c>
      <c r="C404" s="99" t="s">
        <v>7</v>
      </c>
      <c r="D404" s="101">
        <f>'BOQ Split'!C41/60</f>
        <v>1049.9095</v>
      </c>
      <c r="E404" s="101"/>
      <c r="F404" s="108"/>
      <c r="I404" s="299"/>
      <c r="L404" s="297"/>
      <c r="M404" s="297"/>
      <c r="N404" s="297"/>
      <c r="O404" s="297"/>
    </row>
    <row r="405" spans="1:15">
      <c r="A405" s="302"/>
      <c r="B405" s="103" t="s">
        <v>50</v>
      </c>
      <c r="C405" s="102"/>
      <c r="D405" s="104"/>
      <c r="E405" s="104"/>
      <c r="F405" s="109"/>
    </row>
    <row r="406" spans="1:15">
      <c r="A406" s="302"/>
      <c r="B406" s="105" t="s">
        <v>172</v>
      </c>
      <c r="C406" s="102" t="s">
        <v>61</v>
      </c>
      <c r="D406" s="104">
        <v>3</v>
      </c>
      <c r="E406" s="104">
        <f>140000/26</f>
        <v>5384.6153846153848</v>
      </c>
      <c r="F406" s="109">
        <f>PRODUCT(D406:E406)</f>
        <v>16153.846153846154</v>
      </c>
    </row>
    <row r="407" spans="1:15">
      <c r="A407" s="302"/>
      <c r="B407" s="105" t="s">
        <v>310</v>
      </c>
      <c r="C407" s="102" t="s">
        <v>61</v>
      </c>
      <c r="D407" s="104">
        <v>3</v>
      </c>
      <c r="E407" s="104">
        <f>90000/26</f>
        <v>3461.5384615384614</v>
      </c>
      <c r="F407" s="109">
        <f>PRODUCT(D407:E407)</f>
        <v>10384.615384615385</v>
      </c>
    </row>
    <row r="408" spans="1:15">
      <c r="A408" s="302"/>
      <c r="B408" s="105"/>
      <c r="C408" s="102"/>
      <c r="D408" s="104"/>
      <c r="E408" s="104"/>
      <c r="F408" s="109">
        <f>SUM(F406:F407)</f>
        <v>26538.461538461539</v>
      </c>
    </row>
    <row r="409" spans="1:15">
      <c r="A409" s="302"/>
      <c r="B409" s="105"/>
      <c r="C409" s="102"/>
      <c r="D409" s="104"/>
      <c r="E409" s="104"/>
      <c r="F409" s="110">
        <f>F408/D404</f>
        <v>25.276903903109307</v>
      </c>
    </row>
    <row r="410" spans="1:15">
      <c r="A410" s="302"/>
      <c r="B410" s="103" t="s">
        <v>44</v>
      </c>
      <c r="C410" s="102"/>
      <c r="D410" s="104"/>
      <c r="E410" s="104"/>
      <c r="F410" s="109"/>
    </row>
    <row r="411" spans="1:15">
      <c r="A411" s="302"/>
      <c r="B411" s="105" t="s">
        <v>48</v>
      </c>
      <c r="C411" s="102" t="s">
        <v>14</v>
      </c>
      <c r="D411" s="104">
        <f>+(D406*6*10)+(D407*6*7)</f>
        <v>306</v>
      </c>
      <c r="E411" s="104">
        <v>96</v>
      </c>
      <c r="F411" s="109">
        <f>PRODUCT(D411:E411)</f>
        <v>29376</v>
      </c>
    </row>
    <row r="412" spans="1:15">
      <c r="A412" s="302"/>
      <c r="B412" s="105"/>
      <c r="C412" s="102"/>
      <c r="D412" s="104"/>
      <c r="E412" s="104"/>
      <c r="F412" s="110">
        <f>F411/D404</f>
        <v>27.979554428262627</v>
      </c>
    </row>
    <row r="413" spans="1:15">
      <c r="A413" s="302"/>
      <c r="B413" s="103" t="s">
        <v>51</v>
      </c>
      <c r="C413" s="102"/>
      <c r="D413" s="104"/>
      <c r="E413" s="104"/>
      <c r="F413" s="109"/>
    </row>
    <row r="414" spans="1:15">
      <c r="A414" s="302"/>
      <c r="B414" s="105" t="s">
        <v>53</v>
      </c>
      <c r="C414" s="102" t="s">
        <v>12</v>
      </c>
      <c r="D414" s="104">
        <v>6</v>
      </c>
      <c r="E414" s="104">
        <v>700</v>
      </c>
      <c r="F414" s="109">
        <f>PRODUCT(D414:E414)</f>
        <v>4200</v>
      </c>
    </row>
    <row r="415" spans="1:15">
      <c r="A415" s="302"/>
      <c r="B415" s="105"/>
      <c r="C415" s="102"/>
      <c r="D415" s="104"/>
      <c r="E415" s="104"/>
      <c r="F415" s="110">
        <f>F414/D404</f>
        <v>4.0003447916225161</v>
      </c>
    </row>
    <row r="416" spans="1:15">
      <c r="A416" s="302"/>
      <c r="B416" s="105"/>
      <c r="C416" s="102"/>
      <c r="D416" s="104"/>
      <c r="E416" s="104"/>
      <c r="F416" s="109"/>
    </row>
    <row r="417" spans="1:15" s="64" customFormat="1">
      <c r="A417" s="300"/>
      <c r="B417" s="106" t="s">
        <v>262</v>
      </c>
      <c r="C417" s="333"/>
      <c r="D417" s="98"/>
      <c r="E417" s="98"/>
      <c r="F417" s="110">
        <f>F409+F412+F415</f>
        <v>57.256803122994448</v>
      </c>
      <c r="L417" s="296"/>
      <c r="M417" s="296"/>
      <c r="N417" s="296"/>
      <c r="O417" s="296"/>
    </row>
    <row r="418" spans="1:15">
      <c r="A418" s="302"/>
      <c r="B418" s="105"/>
      <c r="C418" s="102"/>
      <c r="D418" s="104"/>
      <c r="E418" s="104"/>
      <c r="F418" s="107"/>
    </row>
    <row r="419" spans="1:15">
      <c r="A419" s="302"/>
      <c r="B419" s="105"/>
      <c r="C419" s="102"/>
      <c r="D419" s="104"/>
      <c r="E419" s="104"/>
      <c r="F419" s="107"/>
    </row>
    <row r="420" spans="1:15">
      <c r="A420" s="302"/>
      <c r="B420" s="105"/>
      <c r="C420" s="102"/>
      <c r="D420" s="104"/>
      <c r="E420" s="104"/>
      <c r="F420" s="107"/>
    </row>
    <row r="421" spans="1:15">
      <c r="A421" s="302"/>
      <c r="B421" s="105"/>
      <c r="C421" s="102"/>
      <c r="D421" s="104"/>
      <c r="E421" s="104"/>
      <c r="F421" s="107"/>
    </row>
    <row r="422" spans="1:15">
      <c r="A422" s="302"/>
      <c r="B422" s="105"/>
      <c r="C422" s="102"/>
      <c r="D422" s="104"/>
      <c r="E422" s="104"/>
      <c r="F422" s="107"/>
    </row>
    <row r="423" spans="1:15">
      <c r="A423" s="302"/>
      <c r="B423" s="105"/>
      <c r="C423" s="102"/>
      <c r="D423" s="104"/>
      <c r="E423" s="104"/>
      <c r="F423" s="107"/>
    </row>
    <row r="424" spans="1:15">
      <c r="A424" s="302"/>
      <c r="B424" s="105"/>
      <c r="C424" s="102"/>
      <c r="D424" s="104"/>
      <c r="E424" s="104"/>
      <c r="F424" s="107"/>
    </row>
    <row r="425" spans="1:15">
      <c r="A425" s="302"/>
      <c r="B425" s="105"/>
      <c r="C425" s="102"/>
      <c r="D425" s="104"/>
      <c r="E425" s="104"/>
      <c r="F425" s="107"/>
    </row>
    <row r="426" spans="1:15">
      <c r="A426" s="302"/>
      <c r="B426" s="105"/>
      <c r="C426" s="102"/>
      <c r="D426" s="104"/>
      <c r="E426" s="104"/>
      <c r="F426" s="107"/>
    </row>
    <row r="427" spans="1:15">
      <c r="A427" s="302"/>
      <c r="B427" s="105"/>
      <c r="C427" s="102"/>
      <c r="D427" s="104"/>
      <c r="E427" s="104"/>
      <c r="F427" s="107"/>
    </row>
    <row r="428" spans="1:15">
      <c r="A428" s="302"/>
      <c r="B428" s="105"/>
      <c r="C428" s="102"/>
      <c r="D428" s="104"/>
      <c r="E428" s="104"/>
      <c r="F428" s="107"/>
    </row>
    <row r="429" spans="1:15">
      <c r="A429" s="302"/>
      <c r="B429" s="105"/>
      <c r="C429" s="102"/>
      <c r="D429" s="104"/>
      <c r="E429" s="104"/>
      <c r="F429" s="107"/>
    </row>
    <row r="430" spans="1:15">
      <c r="A430" s="302"/>
      <c r="B430" s="105"/>
      <c r="C430" s="102"/>
      <c r="D430" s="104"/>
      <c r="E430" s="104"/>
      <c r="F430" s="107"/>
    </row>
    <row r="431" spans="1:15">
      <c r="A431" s="302"/>
      <c r="B431" s="105"/>
      <c r="C431" s="102"/>
      <c r="D431" s="104"/>
      <c r="E431" s="104"/>
      <c r="F431" s="107"/>
    </row>
    <row r="432" spans="1:15">
      <c r="A432" s="302"/>
      <c r="B432" s="105"/>
      <c r="C432" s="102"/>
      <c r="D432" s="104"/>
      <c r="E432" s="104"/>
      <c r="F432" s="107"/>
    </row>
    <row r="433" spans="1:6">
      <c r="A433" s="302"/>
      <c r="B433" s="105"/>
      <c r="C433" s="102"/>
      <c r="D433" s="104"/>
      <c r="E433" s="104"/>
      <c r="F433" s="107"/>
    </row>
    <row r="434" spans="1:6">
      <c r="A434" s="302"/>
      <c r="B434" s="105"/>
      <c r="C434" s="102"/>
      <c r="D434" s="104"/>
      <c r="E434" s="104"/>
      <c r="F434" s="107"/>
    </row>
    <row r="435" spans="1:6">
      <c r="A435" s="302"/>
      <c r="B435" s="105"/>
      <c r="C435" s="102"/>
      <c r="D435" s="104"/>
      <c r="E435" s="104"/>
      <c r="F435" s="107"/>
    </row>
    <row r="436" spans="1:6">
      <c r="A436" s="302"/>
      <c r="B436" s="105"/>
      <c r="C436" s="102"/>
      <c r="D436" s="104"/>
      <c r="E436" s="104"/>
      <c r="F436" s="107"/>
    </row>
    <row r="437" spans="1:6">
      <c r="A437" s="302"/>
      <c r="B437" s="105"/>
      <c r="C437" s="102"/>
      <c r="D437" s="104"/>
      <c r="E437" s="104"/>
      <c r="F437" s="107"/>
    </row>
    <row r="438" spans="1:6">
      <c r="A438" s="302"/>
      <c r="B438" s="105"/>
      <c r="C438" s="102"/>
      <c r="D438" s="104"/>
      <c r="E438" s="104"/>
      <c r="F438" s="107"/>
    </row>
    <row r="439" spans="1:6">
      <c r="A439" s="302"/>
      <c r="B439" s="105"/>
      <c r="C439" s="102"/>
      <c r="D439" s="104"/>
      <c r="E439" s="104"/>
      <c r="F439" s="107"/>
    </row>
    <row r="440" spans="1:6">
      <c r="A440" s="302"/>
      <c r="B440" s="105"/>
      <c r="C440" s="102"/>
      <c r="D440" s="104"/>
      <c r="E440" s="104"/>
      <c r="F440" s="107"/>
    </row>
    <row r="441" spans="1:6">
      <c r="A441" s="302"/>
      <c r="B441" s="105"/>
      <c r="C441" s="102"/>
      <c r="D441" s="104"/>
      <c r="E441" s="104"/>
      <c r="F441" s="107"/>
    </row>
    <row r="442" spans="1:6">
      <c r="A442" s="302"/>
      <c r="B442" s="105"/>
      <c r="C442" s="102"/>
      <c r="D442" s="104"/>
      <c r="E442" s="104"/>
      <c r="F442" s="107"/>
    </row>
    <row r="443" spans="1:6">
      <c r="A443" s="302"/>
      <c r="B443" s="105"/>
      <c r="C443" s="102"/>
      <c r="D443" s="104"/>
      <c r="E443" s="104"/>
      <c r="F443" s="107"/>
    </row>
    <row r="444" spans="1:6">
      <c r="A444" s="302"/>
      <c r="B444" s="105"/>
      <c r="C444" s="102"/>
      <c r="D444" s="104"/>
      <c r="E444" s="104"/>
      <c r="F444" s="107"/>
    </row>
    <row r="445" spans="1:6">
      <c r="A445" s="302"/>
      <c r="B445" s="105"/>
      <c r="C445" s="102"/>
      <c r="D445" s="104"/>
      <c r="E445" s="104"/>
      <c r="F445" s="107"/>
    </row>
    <row r="446" spans="1:6">
      <c r="A446" s="302"/>
      <c r="B446" s="105"/>
      <c r="C446" s="102"/>
      <c r="D446" s="104"/>
      <c r="E446" s="104"/>
      <c r="F446" s="107"/>
    </row>
    <row r="447" spans="1:6">
      <c r="A447" s="302"/>
      <c r="B447" s="105"/>
      <c r="C447" s="102"/>
      <c r="D447" s="104"/>
      <c r="E447" s="104"/>
      <c r="F447" s="107"/>
    </row>
    <row r="448" spans="1:6">
      <c r="A448" s="302"/>
      <c r="B448" s="105"/>
      <c r="C448" s="102"/>
      <c r="D448" s="104"/>
      <c r="E448" s="104"/>
      <c r="F448" s="107"/>
    </row>
    <row r="449" spans="1:6">
      <c r="A449" s="302"/>
      <c r="B449" s="105"/>
      <c r="C449" s="102"/>
      <c r="D449" s="104"/>
      <c r="E449" s="104"/>
      <c r="F449" s="107"/>
    </row>
    <row r="450" spans="1:6">
      <c r="A450" s="302"/>
      <c r="B450" s="105"/>
      <c r="C450" s="102"/>
      <c r="D450" s="104"/>
      <c r="E450" s="104"/>
      <c r="F450" s="107"/>
    </row>
    <row r="451" spans="1:6">
      <c r="A451" s="302"/>
      <c r="B451" s="105"/>
      <c r="C451" s="102"/>
      <c r="D451" s="104"/>
      <c r="E451" s="104"/>
      <c r="F451" s="107"/>
    </row>
    <row r="452" spans="1:6">
      <c r="A452" s="302"/>
      <c r="B452" s="105"/>
      <c r="C452" s="102"/>
      <c r="D452" s="104"/>
      <c r="E452" s="104"/>
      <c r="F452" s="107"/>
    </row>
    <row r="453" spans="1:6">
      <c r="A453" s="302"/>
      <c r="B453" s="105"/>
      <c r="C453" s="102"/>
      <c r="D453" s="104"/>
      <c r="E453" s="104"/>
      <c r="F453" s="107"/>
    </row>
    <row r="454" spans="1:6">
      <c r="A454" s="302"/>
      <c r="B454" s="105"/>
      <c r="C454" s="102"/>
      <c r="D454" s="104"/>
      <c r="E454" s="104"/>
      <c r="F454" s="107"/>
    </row>
    <row r="455" spans="1:6">
      <c r="A455" s="302"/>
      <c r="B455" s="105"/>
      <c r="C455" s="102"/>
      <c r="D455" s="104"/>
      <c r="E455" s="104"/>
      <c r="F455" s="107"/>
    </row>
    <row r="456" spans="1:6">
      <c r="A456" s="302"/>
      <c r="B456" s="105"/>
      <c r="C456" s="102"/>
      <c r="D456" s="104"/>
      <c r="E456" s="104"/>
      <c r="F456" s="107"/>
    </row>
    <row r="457" spans="1:6">
      <c r="A457" s="302"/>
      <c r="B457" s="105"/>
      <c r="C457" s="102"/>
      <c r="D457" s="104"/>
      <c r="E457" s="104"/>
      <c r="F457" s="107"/>
    </row>
    <row r="458" spans="1:6">
      <c r="A458" s="302"/>
      <c r="B458" s="105"/>
      <c r="C458" s="102"/>
      <c r="D458" s="104"/>
      <c r="E458" s="104"/>
      <c r="F458" s="107"/>
    </row>
    <row r="459" spans="1:6">
      <c r="A459" s="302"/>
      <c r="B459" s="105"/>
      <c r="C459" s="102"/>
      <c r="D459" s="104"/>
      <c r="E459" s="104"/>
      <c r="F459" s="107"/>
    </row>
    <row r="460" spans="1:6">
      <c r="A460" s="302"/>
      <c r="B460" s="105"/>
      <c r="C460" s="102"/>
      <c r="D460" s="104"/>
      <c r="E460" s="104"/>
      <c r="F460" s="107"/>
    </row>
    <row r="461" spans="1:6">
      <c r="A461" s="302"/>
      <c r="B461" s="105"/>
      <c r="C461" s="102"/>
      <c r="D461" s="104"/>
      <c r="E461" s="104"/>
      <c r="F461" s="107"/>
    </row>
    <row r="462" spans="1:6">
      <c r="A462" s="302"/>
      <c r="B462" s="105"/>
      <c r="C462" s="102"/>
      <c r="D462" s="104"/>
      <c r="E462" s="104"/>
      <c r="F462" s="107"/>
    </row>
    <row r="463" spans="1:6">
      <c r="A463" s="302"/>
      <c r="B463" s="105"/>
      <c r="C463" s="102"/>
      <c r="D463" s="104"/>
      <c r="E463" s="104"/>
      <c r="F463" s="107"/>
    </row>
    <row r="464" spans="1:6">
      <c r="A464" s="302"/>
      <c r="B464" s="105"/>
      <c r="C464" s="102"/>
      <c r="D464" s="104"/>
      <c r="E464" s="104"/>
      <c r="F464" s="107"/>
    </row>
    <row r="465" spans="1:15">
      <c r="A465" s="302"/>
      <c r="B465" s="105"/>
      <c r="C465" s="102"/>
      <c r="D465" s="104"/>
      <c r="E465" s="104"/>
      <c r="F465" s="107"/>
    </row>
    <row r="466" spans="1:15">
      <c r="A466" s="302"/>
      <c r="B466" s="105"/>
      <c r="C466" s="102"/>
      <c r="D466" s="104"/>
      <c r="E466" s="104"/>
      <c r="F466" s="107"/>
    </row>
    <row r="467" spans="1:15" s="62" customFormat="1">
      <c r="A467" s="301">
        <v>6</v>
      </c>
      <c r="B467" s="100" t="s">
        <v>176</v>
      </c>
      <c r="C467" s="99"/>
      <c r="D467" s="101"/>
      <c r="E467" s="101"/>
      <c r="F467" s="108"/>
      <c r="L467" s="297"/>
      <c r="M467" s="297"/>
      <c r="N467" s="297"/>
      <c r="O467" s="297"/>
    </row>
    <row r="468" spans="1:15" s="62" customFormat="1">
      <c r="A468" s="301"/>
      <c r="B468" s="100" t="s">
        <v>52</v>
      </c>
      <c r="C468" s="99" t="s">
        <v>7</v>
      </c>
      <c r="D468" s="101" t="e">
        <f>#REF!/80</f>
        <v>#REF!</v>
      </c>
      <c r="E468" s="101"/>
      <c r="F468" s="108"/>
      <c r="L468" s="297"/>
      <c r="M468" s="297"/>
      <c r="N468" s="297"/>
      <c r="O468" s="297"/>
    </row>
    <row r="469" spans="1:15">
      <c r="A469" s="302"/>
      <c r="B469" s="103" t="s">
        <v>20</v>
      </c>
      <c r="C469" s="102"/>
      <c r="D469" s="104"/>
      <c r="E469" s="104"/>
      <c r="F469" s="109"/>
    </row>
    <row r="470" spans="1:15">
      <c r="A470" s="302"/>
      <c r="B470" s="105" t="s">
        <v>8</v>
      </c>
      <c r="C470" s="102" t="s">
        <v>35</v>
      </c>
      <c r="D470" s="104">
        <v>3.5</v>
      </c>
      <c r="E470" s="104" t="e">
        <f>#REF!</f>
        <v>#REF!</v>
      </c>
      <c r="F470" s="109" t="e">
        <f t="shared" ref="F470:F475" si="9">PRODUCT(D470:E470)</f>
        <v>#REF!</v>
      </c>
    </row>
    <row r="471" spans="1:15">
      <c r="A471" s="302"/>
      <c r="B471" s="105" t="s">
        <v>171</v>
      </c>
      <c r="C471" s="102" t="s">
        <v>21</v>
      </c>
      <c r="D471" s="104">
        <f>0.55/2.83</f>
        <v>0.1943462897526502</v>
      </c>
      <c r="E471" s="104">
        <f>Materials!E10</f>
        <v>800</v>
      </c>
      <c r="F471" s="109">
        <f t="shared" si="9"/>
        <v>155.47703180212017</v>
      </c>
    </row>
    <row r="472" spans="1:15">
      <c r="A472" s="302"/>
      <c r="B472" s="105" t="s">
        <v>10</v>
      </c>
      <c r="C472" s="102" t="s">
        <v>21</v>
      </c>
      <c r="D472" s="104">
        <f>D471*0.05</f>
        <v>9.7173144876325102E-3</v>
      </c>
      <c r="E472" s="104" t="e">
        <f>#REF!</f>
        <v>#REF!</v>
      </c>
      <c r="F472" s="109" t="e">
        <f t="shared" si="9"/>
        <v>#REF!</v>
      </c>
    </row>
    <row r="473" spans="1:15">
      <c r="A473" s="302"/>
      <c r="B473" s="105" t="s">
        <v>9</v>
      </c>
      <c r="C473" s="102" t="s">
        <v>21</v>
      </c>
      <c r="D473" s="104">
        <f>0.44/2.83</f>
        <v>0.15547703180212014</v>
      </c>
      <c r="E473" s="104" t="e">
        <f>#REF!</f>
        <v>#REF!</v>
      </c>
      <c r="F473" s="109" t="e">
        <f t="shared" si="9"/>
        <v>#REF!</v>
      </c>
    </row>
    <row r="474" spans="1:15">
      <c r="A474" s="302"/>
      <c r="B474" s="105" t="s">
        <v>11</v>
      </c>
      <c r="C474" s="102" t="s">
        <v>21</v>
      </c>
      <c r="D474" s="104">
        <f>0.44/2.83</f>
        <v>0.15547703180212014</v>
      </c>
      <c r="E474" s="104">
        <f>Materials!E12</f>
        <v>4000</v>
      </c>
      <c r="F474" s="109">
        <f t="shared" ref="F474" si="10">PRODUCT(D474:E474)</f>
        <v>621.90812720848055</v>
      </c>
    </row>
    <row r="475" spans="1:15">
      <c r="A475" s="302"/>
      <c r="B475" s="105" t="s">
        <v>58</v>
      </c>
      <c r="C475" s="102" t="s">
        <v>14</v>
      </c>
      <c r="D475" s="104">
        <v>200</v>
      </c>
      <c r="E475" s="104">
        <v>0.2</v>
      </c>
      <c r="F475" s="109">
        <f t="shared" si="9"/>
        <v>40</v>
      </c>
    </row>
    <row r="476" spans="1:15">
      <c r="A476" s="302"/>
      <c r="B476" s="105"/>
      <c r="C476" s="102"/>
      <c r="D476" s="104"/>
      <c r="E476" s="104"/>
      <c r="F476" s="110" t="e">
        <f>SUM(F470:F475)</f>
        <v>#REF!</v>
      </c>
    </row>
    <row r="477" spans="1:15">
      <c r="A477" s="302"/>
      <c r="B477" s="103" t="s">
        <v>49</v>
      </c>
      <c r="C477" s="102"/>
      <c r="D477" s="104"/>
      <c r="E477" s="104"/>
      <c r="F477" s="109"/>
    </row>
    <row r="478" spans="1:15">
      <c r="A478" s="302"/>
      <c r="B478" s="105" t="s">
        <v>59</v>
      </c>
      <c r="C478" s="102" t="s">
        <v>7</v>
      </c>
      <c r="D478" s="104">
        <v>1</v>
      </c>
      <c r="E478" s="104">
        <v>400</v>
      </c>
      <c r="F478" s="109">
        <f>PRODUCT(D478:E478)</f>
        <v>400</v>
      </c>
    </row>
    <row r="479" spans="1:15">
      <c r="A479" s="302"/>
      <c r="B479" s="105" t="s">
        <v>62</v>
      </c>
      <c r="C479" s="102" t="s">
        <v>7</v>
      </c>
      <c r="D479" s="104">
        <v>1</v>
      </c>
      <c r="E479" s="104">
        <v>200</v>
      </c>
      <c r="F479" s="109">
        <f>PRODUCT(D479:E479)</f>
        <v>200</v>
      </c>
    </row>
    <row r="480" spans="1:15">
      <c r="A480" s="302"/>
      <c r="B480" s="105"/>
      <c r="C480" s="102"/>
      <c r="D480" s="104"/>
      <c r="E480" s="104"/>
      <c r="F480" s="109">
        <f>SUM(F478:F479)</f>
        <v>600</v>
      </c>
    </row>
    <row r="481" spans="1:15">
      <c r="A481" s="302"/>
      <c r="B481" s="105"/>
      <c r="C481" s="102"/>
      <c r="D481" s="104"/>
      <c r="E481" s="104"/>
      <c r="F481" s="110">
        <f>F480</f>
        <v>600</v>
      </c>
    </row>
    <row r="482" spans="1:15">
      <c r="A482" s="302"/>
      <c r="B482" s="103" t="s">
        <v>50</v>
      </c>
      <c r="C482" s="102"/>
      <c r="D482" s="104"/>
      <c r="E482" s="104"/>
      <c r="F482" s="109"/>
    </row>
    <row r="483" spans="1:15">
      <c r="A483" s="302"/>
      <c r="B483" s="105" t="s">
        <v>60</v>
      </c>
      <c r="C483" s="102" t="s">
        <v>61</v>
      </c>
      <c r="D483" s="104">
        <v>1</v>
      </c>
      <c r="E483" s="104">
        <f>185000/26</f>
        <v>7115.3846153846152</v>
      </c>
      <c r="F483" s="109">
        <f>PRODUCT(D483:E483)</f>
        <v>7115.3846153846152</v>
      </c>
    </row>
    <row r="484" spans="1:15">
      <c r="A484" s="302"/>
      <c r="B484" s="105"/>
      <c r="C484" s="102"/>
      <c r="D484" s="104"/>
      <c r="E484" s="104"/>
      <c r="F484" s="109">
        <f>SUM(F483:F483)</f>
        <v>7115.3846153846152</v>
      </c>
    </row>
    <row r="485" spans="1:15">
      <c r="A485" s="302"/>
      <c r="B485" s="105"/>
      <c r="C485" s="102"/>
      <c r="D485" s="104"/>
      <c r="E485" s="104"/>
      <c r="F485" s="110" t="e">
        <f>F484/D468</f>
        <v>#REF!</v>
      </c>
    </row>
    <row r="486" spans="1:15">
      <c r="A486" s="302"/>
      <c r="B486" s="103" t="s">
        <v>44</v>
      </c>
      <c r="C486" s="102"/>
      <c r="D486" s="104"/>
      <c r="E486" s="104"/>
      <c r="F486" s="109"/>
    </row>
    <row r="487" spans="1:15">
      <c r="A487" s="302"/>
      <c r="B487" s="105" t="s">
        <v>48</v>
      </c>
      <c r="C487" s="102" t="s">
        <v>14</v>
      </c>
      <c r="D487" s="104">
        <f>(D483*6*7)</f>
        <v>42</v>
      </c>
      <c r="E487" s="104">
        <v>96</v>
      </c>
      <c r="F487" s="109">
        <f>PRODUCT(D487:E487)</f>
        <v>4032</v>
      </c>
    </row>
    <row r="488" spans="1:15">
      <c r="A488" s="302"/>
      <c r="B488" s="105"/>
      <c r="C488" s="102"/>
      <c r="D488" s="104"/>
      <c r="E488" s="104"/>
      <c r="F488" s="110" t="e">
        <f>F487/D468</f>
        <v>#REF!</v>
      </c>
    </row>
    <row r="489" spans="1:15">
      <c r="A489" s="302"/>
      <c r="B489" s="105"/>
      <c r="C489" s="102"/>
      <c r="D489" s="104"/>
      <c r="E489" s="104"/>
      <c r="F489" s="109"/>
    </row>
    <row r="490" spans="1:15">
      <c r="A490" s="302"/>
      <c r="B490" s="106" t="s">
        <v>178</v>
      </c>
      <c r="C490" s="102"/>
      <c r="D490" s="104"/>
      <c r="E490" s="104"/>
      <c r="F490" s="110" t="e">
        <f>F476+F481+F485+F488</f>
        <v>#REF!</v>
      </c>
    </row>
    <row r="491" spans="1:15">
      <c r="A491" s="302"/>
      <c r="B491" s="106"/>
      <c r="C491" s="102"/>
      <c r="D491" s="104"/>
      <c r="E491" s="104"/>
      <c r="F491" s="107"/>
    </row>
    <row r="492" spans="1:15" s="62" customFormat="1">
      <c r="A492" s="301">
        <v>7</v>
      </c>
      <c r="B492" s="100" t="s">
        <v>64</v>
      </c>
      <c r="C492" s="99"/>
      <c r="D492" s="101"/>
      <c r="E492" s="101"/>
      <c r="F492" s="108"/>
      <c r="L492" s="297"/>
      <c r="M492" s="297"/>
      <c r="N492" s="297"/>
      <c r="O492" s="297"/>
    </row>
    <row r="493" spans="1:15">
      <c r="A493" s="302"/>
      <c r="B493" s="103" t="s">
        <v>20</v>
      </c>
      <c r="C493" s="102"/>
      <c r="D493" s="104"/>
      <c r="E493" s="104"/>
      <c r="F493" s="109"/>
    </row>
    <row r="494" spans="1:15">
      <c r="A494" s="302"/>
      <c r="B494" s="105" t="s">
        <v>64</v>
      </c>
      <c r="C494" s="102" t="s">
        <v>13</v>
      </c>
      <c r="D494" s="104">
        <f>1*1.05</f>
        <v>1.05</v>
      </c>
      <c r="E494" s="104">
        <v>53000</v>
      </c>
      <c r="F494" s="109">
        <f>PRODUCT(D494:E494)</f>
        <v>55650</v>
      </c>
    </row>
    <row r="495" spans="1:15">
      <c r="A495" s="302"/>
      <c r="B495" s="105" t="s">
        <v>65</v>
      </c>
      <c r="C495" s="102" t="s">
        <v>15</v>
      </c>
      <c r="D495" s="104">
        <v>15</v>
      </c>
      <c r="E495" s="104">
        <v>74</v>
      </c>
      <c r="F495" s="109">
        <f>PRODUCT(D495:E495)</f>
        <v>1110</v>
      </c>
    </row>
    <row r="496" spans="1:15">
      <c r="A496" s="302"/>
      <c r="B496" s="105" t="s">
        <v>68</v>
      </c>
      <c r="C496" s="102" t="s">
        <v>41</v>
      </c>
      <c r="D496" s="104">
        <v>1</v>
      </c>
      <c r="E496" s="104">
        <v>150</v>
      </c>
      <c r="F496" s="109">
        <f>PRODUCT(D496:E496)</f>
        <v>150</v>
      </c>
    </row>
    <row r="497" spans="1:15">
      <c r="A497" s="302"/>
      <c r="B497" s="105"/>
      <c r="C497" s="102"/>
      <c r="D497" s="104"/>
      <c r="E497" s="104"/>
      <c r="F497" s="109">
        <f>SUM(F494:F496)</f>
        <v>56910</v>
      </c>
    </row>
    <row r="498" spans="1:15">
      <c r="A498" s="302"/>
      <c r="B498" s="105"/>
      <c r="C498" s="102"/>
      <c r="D498" s="104"/>
      <c r="E498" s="104"/>
      <c r="F498" s="110">
        <f>F497/10</f>
        <v>5691</v>
      </c>
    </row>
    <row r="499" spans="1:15">
      <c r="A499" s="302"/>
      <c r="B499" s="103" t="s">
        <v>49</v>
      </c>
      <c r="C499" s="102"/>
      <c r="D499" s="104"/>
      <c r="E499" s="104"/>
      <c r="F499" s="109"/>
    </row>
    <row r="500" spans="1:15">
      <c r="A500" s="302"/>
      <c r="B500" s="105" t="s">
        <v>66</v>
      </c>
      <c r="C500" s="102" t="s">
        <v>67</v>
      </c>
      <c r="D500" s="104">
        <v>1</v>
      </c>
      <c r="E500" s="104">
        <v>1100</v>
      </c>
      <c r="F500" s="109">
        <f>PRODUCT(D500:E500)</f>
        <v>1100</v>
      </c>
    </row>
    <row r="501" spans="1:15">
      <c r="A501" s="302"/>
      <c r="B501" s="105" t="s">
        <v>69</v>
      </c>
      <c r="C501" s="102" t="s">
        <v>67</v>
      </c>
      <c r="D501" s="104">
        <v>1</v>
      </c>
      <c r="E501" s="104">
        <v>50</v>
      </c>
      <c r="F501" s="109">
        <f>PRODUCT(D501:E501)</f>
        <v>50</v>
      </c>
    </row>
    <row r="502" spans="1:15">
      <c r="A502" s="302"/>
      <c r="B502" s="105"/>
      <c r="C502" s="102"/>
      <c r="D502" s="104"/>
      <c r="E502" s="104"/>
      <c r="F502" s="110">
        <f>SUM(F500:F501)</f>
        <v>1150</v>
      </c>
    </row>
    <row r="503" spans="1:15">
      <c r="A503" s="302"/>
      <c r="B503" s="106" t="s">
        <v>70</v>
      </c>
      <c r="C503" s="102"/>
      <c r="D503" s="104"/>
      <c r="E503" s="104"/>
      <c r="F503" s="110">
        <f>F498+F502</f>
        <v>6841</v>
      </c>
    </row>
    <row r="504" spans="1:15">
      <c r="A504" s="302"/>
      <c r="B504" s="106"/>
      <c r="C504" s="102"/>
      <c r="D504" s="104"/>
      <c r="E504" s="104"/>
      <c r="F504" s="107"/>
    </row>
    <row r="505" spans="1:15" s="62" customFormat="1">
      <c r="A505" s="301">
        <v>8</v>
      </c>
      <c r="B505" s="100" t="s">
        <v>177</v>
      </c>
      <c r="C505" s="99"/>
      <c r="D505" s="101"/>
      <c r="E505" s="101"/>
      <c r="F505" s="108"/>
      <c r="L505" s="297"/>
      <c r="M505" s="297"/>
      <c r="N505" s="297"/>
      <c r="O505" s="297"/>
    </row>
    <row r="506" spans="1:15">
      <c r="A506" s="302"/>
      <c r="B506" s="103" t="s">
        <v>49</v>
      </c>
      <c r="C506" s="102"/>
      <c r="D506" s="104"/>
      <c r="E506" s="104"/>
      <c r="F506" s="109"/>
    </row>
    <row r="507" spans="1:15">
      <c r="A507" s="302"/>
      <c r="B507" s="105" t="s">
        <v>63</v>
      </c>
      <c r="C507" s="102" t="s">
        <v>16</v>
      </c>
      <c r="D507" s="104">
        <v>1</v>
      </c>
      <c r="E507" s="104">
        <f>45*10.76</f>
        <v>484.2</v>
      </c>
      <c r="F507" s="109">
        <f>PRODUCT(D507:E507)</f>
        <v>484.2</v>
      </c>
    </row>
    <row r="508" spans="1:15">
      <c r="A508" s="302"/>
      <c r="B508" s="105" t="s">
        <v>200</v>
      </c>
      <c r="C508" s="102" t="s">
        <v>16</v>
      </c>
      <c r="D508" s="104">
        <v>1</v>
      </c>
      <c r="E508" s="104">
        <f>6*10.76</f>
        <v>64.56</v>
      </c>
      <c r="F508" s="109">
        <f>PRODUCT(D508:E508)</f>
        <v>64.56</v>
      </c>
    </row>
    <row r="509" spans="1:15">
      <c r="A509" s="302"/>
      <c r="B509" s="105"/>
      <c r="C509" s="102"/>
      <c r="D509" s="104"/>
      <c r="E509" s="104"/>
      <c r="F509" s="110">
        <f>SUM(F507:F508)</f>
        <v>548.76</v>
      </c>
    </row>
    <row r="510" spans="1:15">
      <c r="A510" s="302"/>
      <c r="B510" s="106"/>
      <c r="C510" s="102"/>
      <c r="D510" s="104"/>
      <c r="E510" s="104"/>
      <c r="F510" s="107"/>
    </row>
    <row r="511" spans="1:15" s="62" customFormat="1">
      <c r="A511" s="301">
        <v>9</v>
      </c>
      <c r="B511" s="100" t="s">
        <v>177</v>
      </c>
      <c r="C511" s="99"/>
      <c r="D511" s="101"/>
      <c r="E511" s="101"/>
      <c r="F511" s="108"/>
      <c r="L511" s="297"/>
      <c r="M511" s="297"/>
      <c r="N511" s="297"/>
      <c r="O511" s="297"/>
    </row>
    <row r="512" spans="1:15">
      <c r="A512" s="302"/>
      <c r="B512" s="103" t="s">
        <v>49</v>
      </c>
      <c r="C512" s="102"/>
      <c r="D512" s="104"/>
      <c r="E512" s="104"/>
      <c r="F512" s="109"/>
    </row>
    <row r="513" spans="1:15">
      <c r="A513" s="302"/>
      <c r="B513" s="105" t="s">
        <v>63</v>
      </c>
      <c r="C513" s="102" t="s">
        <v>16</v>
      </c>
      <c r="D513" s="104">
        <v>1</v>
      </c>
      <c r="E513" s="104">
        <f>45*10.76</f>
        <v>484.2</v>
      </c>
      <c r="F513" s="109">
        <f>PRODUCT(D513:E513)</f>
        <v>484.2</v>
      </c>
    </row>
    <row r="514" spans="1:15">
      <c r="A514" s="302"/>
      <c r="B514" s="105" t="s">
        <v>200</v>
      </c>
      <c r="C514" s="102" t="s">
        <v>16</v>
      </c>
      <c r="D514" s="104">
        <v>1</v>
      </c>
      <c r="E514" s="104">
        <f>6*10.76</f>
        <v>64.56</v>
      </c>
      <c r="F514" s="109">
        <f>PRODUCT(D514:E514)</f>
        <v>64.56</v>
      </c>
    </row>
    <row r="515" spans="1:15">
      <c r="A515" s="302"/>
      <c r="B515" s="105"/>
      <c r="C515" s="102"/>
      <c r="D515" s="104"/>
      <c r="E515" s="104"/>
      <c r="F515" s="110">
        <f>SUM(F513:F514)</f>
        <v>548.76</v>
      </c>
    </row>
    <row r="516" spans="1:15">
      <c r="A516" s="302"/>
      <c r="B516" s="105"/>
      <c r="C516" s="102"/>
      <c r="D516" s="104"/>
      <c r="E516" s="104"/>
      <c r="F516" s="107"/>
    </row>
    <row r="517" spans="1:15" s="62" customFormat="1">
      <c r="A517" s="301">
        <v>10</v>
      </c>
      <c r="B517" s="100" t="s">
        <v>179</v>
      </c>
      <c r="C517" s="99"/>
      <c r="D517" s="101"/>
      <c r="E517" s="101"/>
      <c r="F517" s="108"/>
      <c r="L517" s="297"/>
      <c r="M517" s="297"/>
      <c r="N517" s="297"/>
      <c r="O517" s="297"/>
    </row>
    <row r="518" spans="1:15" s="62" customFormat="1">
      <c r="A518" s="301"/>
      <c r="B518" s="100" t="s">
        <v>52</v>
      </c>
      <c r="C518" s="99" t="s">
        <v>7</v>
      </c>
      <c r="D518" s="101">
        <f>'BOQ Split'!C13/60</f>
        <v>0</v>
      </c>
      <c r="E518" s="101"/>
      <c r="F518" s="108"/>
      <c r="L518" s="297"/>
      <c r="M518" s="297"/>
      <c r="N518" s="297"/>
      <c r="O518" s="297"/>
    </row>
    <row r="519" spans="1:15">
      <c r="A519" s="302"/>
      <c r="B519" s="103" t="s">
        <v>20</v>
      </c>
      <c r="C519" s="102"/>
      <c r="D519" s="104"/>
      <c r="E519" s="104"/>
      <c r="F519" s="109"/>
    </row>
    <row r="520" spans="1:15">
      <c r="A520" s="302"/>
      <c r="B520" s="105" t="s">
        <v>8</v>
      </c>
      <c r="C520" s="102" t="s">
        <v>35</v>
      </c>
      <c r="D520" s="104">
        <v>4.5</v>
      </c>
      <c r="E520" s="104">
        <f>Materials!E9</f>
        <v>250</v>
      </c>
      <c r="F520" s="109">
        <f t="shared" ref="F520:F524" si="11">PRODUCT(D520:E520)</f>
        <v>1125</v>
      </c>
    </row>
    <row r="521" spans="1:15">
      <c r="A521" s="302"/>
      <c r="B521" s="105" t="s">
        <v>171</v>
      </c>
      <c r="C521" s="102" t="s">
        <v>21</v>
      </c>
      <c r="D521" s="104">
        <f>0.55/2.83</f>
        <v>0.1943462897526502</v>
      </c>
      <c r="E521" s="104">
        <f>E471</f>
        <v>800</v>
      </c>
      <c r="F521" s="109">
        <f t="shared" si="11"/>
        <v>155.47703180212017</v>
      </c>
    </row>
    <row r="522" spans="1:15">
      <c r="A522" s="302"/>
      <c r="B522" s="105" t="s">
        <v>10</v>
      </c>
      <c r="C522" s="102" t="s">
        <v>21</v>
      </c>
      <c r="D522" s="104">
        <f>D521*0.05</f>
        <v>9.7173144876325102E-3</v>
      </c>
      <c r="E522" s="104" t="e">
        <f>E472</f>
        <v>#REF!</v>
      </c>
      <c r="F522" s="109" t="e">
        <f t="shared" si="11"/>
        <v>#REF!</v>
      </c>
    </row>
    <row r="523" spans="1:15">
      <c r="A523" s="302"/>
      <c r="B523" s="105" t="s">
        <v>11</v>
      </c>
      <c r="C523" s="102" t="s">
        <v>21</v>
      </c>
      <c r="D523" s="104">
        <f>0.86/2.83</f>
        <v>0.303886925795053</v>
      </c>
      <c r="E523" s="104">
        <f>Materials!E12</f>
        <v>4000</v>
      </c>
      <c r="F523" s="109">
        <f t="shared" si="11"/>
        <v>1215.547703180212</v>
      </c>
    </row>
    <row r="524" spans="1:15">
      <c r="A524" s="302"/>
      <c r="B524" s="105" t="s">
        <v>58</v>
      </c>
      <c r="C524" s="102" t="s">
        <v>14</v>
      </c>
      <c r="D524" s="104">
        <v>200</v>
      </c>
      <c r="E524" s="104">
        <v>0.2</v>
      </c>
      <c r="F524" s="109">
        <f t="shared" si="11"/>
        <v>40</v>
      </c>
    </row>
    <row r="525" spans="1:15">
      <c r="A525" s="302"/>
      <c r="B525" s="105"/>
      <c r="C525" s="102"/>
      <c r="D525" s="104"/>
      <c r="E525" s="104"/>
      <c r="F525" s="110" t="e">
        <f>SUM(F520:F524)</f>
        <v>#REF!</v>
      </c>
    </row>
    <row r="526" spans="1:15">
      <c r="A526" s="302"/>
      <c r="B526" s="103" t="s">
        <v>49</v>
      </c>
      <c r="C526" s="102"/>
      <c r="D526" s="104"/>
      <c r="E526" s="104"/>
      <c r="F526" s="109"/>
    </row>
    <row r="527" spans="1:15">
      <c r="A527" s="302"/>
      <c r="B527" s="105" t="s">
        <v>59</v>
      </c>
      <c r="C527" s="102" t="s">
        <v>7</v>
      </c>
      <c r="D527" s="104">
        <v>1</v>
      </c>
      <c r="E527" s="104">
        <v>800</v>
      </c>
      <c r="F527" s="109">
        <f>PRODUCT(D527:E527)</f>
        <v>800</v>
      </c>
    </row>
    <row r="528" spans="1:15">
      <c r="A528" s="302"/>
      <c r="B528" s="105"/>
      <c r="C528" s="102"/>
      <c r="D528" s="104"/>
      <c r="E528" s="104"/>
      <c r="F528" s="110">
        <f>SUM(F527)</f>
        <v>800</v>
      </c>
    </row>
    <row r="529" spans="1:15">
      <c r="A529" s="302"/>
      <c r="B529" s="103" t="s">
        <v>50</v>
      </c>
      <c r="C529" s="102"/>
      <c r="D529" s="104"/>
      <c r="E529" s="104"/>
      <c r="F529" s="109"/>
    </row>
    <row r="530" spans="1:15">
      <c r="A530" s="302"/>
      <c r="B530" s="105" t="s">
        <v>60</v>
      </c>
      <c r="C530" s="102" t="s">
        <v>61</v>
      </c>
      <c r="D530" s="104">
        <v>1</v>
      </c>
      <c r="E530" s="104">
        <f>185000/26</f>
        <v>7115.3846153846152</v>
      </c>
      <c r="F530" s="109">
        <f>PRODUCT(D530:E530)</f>
        <v>7115.3846153846152</v>
      </c>
    </row>
    <row r="531" spans="1:15">
      <c r="A531" s="302"/>
      <c r="B531" s="105"/>
      <c r="C531" s="102"/>
      <c r="D531" s="104"/>
      <c r="E531" s="104"/>
      <c r="F531" s="109">
        <f>SUM(F530:F530)</f>
        <v>7115.3846153846152</v>
      </c>
    </row>
    <row r="532" spans="1:15">
      <c r="A532" s="302"/>
      <c r="B532" s="105"/>
      <c r="C532" s="102"/>
      <c r="D532" s="104"/>
      <c r="E532" s="104"/>
      <c r="F532" s="110" t="e">
        <f>F531/D518</f>
        <v>#DIV/0!</v>
      </c>
    </row>
    <row r="533" spans="1:15">
      <c r="A533" s="302"/>
      <c r="B533" s="103" t="s">
        <v>44</v>
      </c>
      <c r="C533" s="102"/>
      <c r="D533" s="104"/>
      <c r="E533" s="104"/>
      <c r="F533" s="109"/>
    </row>
    <row r="534" spans="1:15">
      <c r="A534" s="302"/>
      <c r="B534" s="105" t="s">
        <v>48</v>
      </c>
      <c r="C534" s="102" t="s">
        <v>14</v>
      </c>
      <c r="D534" s="104">
        <f>(D530*7*7)</f>
        <v>49</v>
      </c>
      <c r="E534" s="104">
        <v>96</v>
      </c>
      <c r="F534" s="109">
        <f>PRODUCT(D534:E534)</f>
        <v>4704</v>
      </c>
    </row>
    <row r="535" spans="1:15">
      <c r="A535" s="302"/>
      <c r="B535" s="105"/>
      <c r="C535" s="102"/>
      <c r="D535" s="104"/>
      <c r="E535" s="104"/>
      <c r="F535" s="110" t="e">
        <f>F534/D518</f>
        <v>#DIV/0!</v>
      </c>
    </row>
    <row r="536" spans="1:15">
      <c r="A536" s="302"/>
      <c r="B536" s="105"/>
      <c r="C536" s="102"/>
      <c r="D536" s="104"/>
      <c r="E536" s="104"/>
      <c r="F536" s="109"/>
    </row>
    <row r="537" spans="1:15">
      <c r="A537" s="302"/>
      <c r="B537" s="106" t="s">
        <v>72</v>
      </c>
      <c r="C537" s="102"/>
      <c r="D537" s="104"/>
      <c r="E537" s="104"/>
      <c r="F537" s="110" t="e">
        <f>F525+F528+F532+F535</f>
        <v>#REF!</v>
      </c>
    </row>
    <row r="538" spans="1:15">
      <c r="A538" s="302"/>
      <c r="B538" s="106"/>
      <c r="C538" s="102"/>
      <c r="D538" s="104"/>
      <c r="E538" s="104"/>
      <c r="F538" s="107"/>
    </row>
    <row r="539" spans="1:15" s="62" customFormat="1">
      <c r="A539" s="301">
        <v>12</v>
      </c>
      <c r="B539" s="100" t="s">
        <v>18</v>
      </c>
      <c r="C539" s="99"/>
      <c r="D539" s="101"/>
      <c r="E539" s="101"/>
      <c r="F539" s="108"/>
      <c r="L539" s="297"/>
      <c r="M539" s="297"/>
      <c r="N539" s="297"/>
      <c r="O539" s="297"/>
    </row>
    <row r="540" spans="1:15" s="62" customFormat="1">
      <c r="A540" s="301"/>
      <c r="B540" s="100" t="s">
        <v>52</v>
      </c>
      <c r="C540" s="99" t="s">
        <v>17</v>
      </c>
      <c r="D540" s="101">
        <v>1</v>
      </c>
      <c r="E540" s="101"/>
      <c r="F540" s="108"/>
      <c r="L540" s="297"/>
      <c r="M540" s="297"/>
      <c r="N540" s="297"/>
      <c r="O540" s="297"/>
    </row>
    <row r="541" spans="1:15">
      <c r="A541" s="302"/>
      <c r="B541" s="103" t="s">
        <v>20</v>
      </c>
      <c r="C541" s="102"/>
      <c r="D541" s="104"/>
      <c r="E541" s="104"/>
      <c r="F541" s="109"/>
    </row>
    <row r="542" spans="1:15">
      <c r="A542" s="302"/>
      <c r="B542" s="105" t="s">
        <v>180</v>
      </c>
      <c r="C542" s="102" t="s">
        <v>15</v>
      </c>
      <c r="D542" s="104">
        <f>5.8*1.1</f>
        <v>6.38</v>
      </c>
      <c r="E542" s="104">
        <v>60</v>
      </c>
      <c r="F542" s="109">
        <f>PRODUCT(D542:E542)</f>
        <v>382.8</v>
      </c>
    </row>
    <row r="543" spans="1:15">
      <c r="A543" s="302"/>
      <c r="B543" s="105"/>
      <c r="C543" s="102"/>
      <c r="D543" s="104">
        <f>D542*0.1</f>
        <v>0.63800000000000001</v>
      </c>
      <c r="E543" s="104">
        <v>60</v>
      </c>
      <c r="F543" s="109">
        <f>PRODUCT(D543:E543)</f>
        <v>38.28</v>
      </c>
    </row>
    <row r="544" spans="1:15">
      <c r="A544" s="302"/>
      <c r="B544" s="105"/>
      <c r="C544" s="102"/>
      <c r="D544" s="104"/>
      <c r="E544" s="104"/>
      <c r="F544" s="110">
        <f>SUM(F542:F543)</f>
        <v>421.08000000000004</v>
      </c>
    </row>
    <row r="545" spans="1:15">
      <c r="A545" s="302"/>
      <c r="B545" s="103" t="s">
        <v>181</v>
      </c>
      <c r="C545" s="102"/>
      <c r="D545" s="104"/>
      <c r="E545" s="104"/>
      <c r="F545" s="109"/>
    </row>
    <row r="546" spans="1:15">
      <c r="A546" s="302"/>
      <c r="B546" s="105" t="s">
        <v>182</v>
      </c>
      <c r="C546" s="102" t="s">
        <v>15</v>
      </c>
      <c r="D546" s="104">
        <f>D542</f>
        <v>6.38</v>
      </c>
      <c r="E546" s="104">
        <v>50</v>
      </c>
      <c r="F546" s="109">
        <f>PRODUCT(D546:E546)</f>
        <v>319</v>
      </c>
    </row>
    <row r="547" spans="1:15">
      <c r="A547" s="302"/>
      <c r="B547" s="105" t="s">
        <v>183</v>
      </c>
      <c r="C547" s="102" t="s">
        <v>15</v>
      </c>
      <c r="D547" s="104">
        <f>D546</f>
        <v>6.38</v>
      </c>
      <c r="E547" s="104">
        <v>50</v>
      </c>
      <c r="F547" s="109">
        <f>PRODUCT(D547:E547)</f>
        <v>319</v>
      </c>
    </row>
    <row r="548" spans="1:15">
      <c r="A548" s="302"/>
      <c r="B548" s="105"/>
      <c r="C548" s="102"/>
      <c r="D548" s="104"/>
      <c r="E548" s="104"/>
      <c r="F548" s="110">
        <f>SUM(F546:F547)</f>
        <v>638</v>
      </c>
    </row>
    <row r="549" spans="1:15">
      <c r="A549" s="302"/>
      <c r="B549" s="106"/>
      <c r="C549" s="102"/>
      <c r="D549" s="104"/>
      <c r="E549" s="104"/>
      <c r="F549" s="107"/>
    </row>
    <row r="550" spans="1:15">
      <c r="A550" s="302"/>
      <c r="B550" s="106" t="s">
        <v>184</v>
      </c>
      <c r="C550" s="102"/>
      <c r="D550" s="104"/>
      <c r="E550" s="104"/>
      <c r="F550" s="110">
        <f>F544+F548</f>
        <v>1059.08</v>
      </c>
    </row>
    <row r="551" spans="1:15">
      <c r="A551" s="302"/>
      <c r="B551" s="106"/>
      <c r="C551" s="102"/>
      <c r="D551" s="104"/>
      <c r="E551" s="104"/>
      <c r="F551" s="107"/>
    </row>
    <row r="552" spans="1:15" s="62" customFormat="1">
      <c r="A552" s="301">
        <v>13</v>
      </c>
      <c r="B552" s="100" t="s">
        <v>18</v>
      </c>
      <c r="C552" s="99"/>
      <c r="D552" s="101"/>
      <c r="E552" s="101"/>
      <c r="F552" s="108"/>
      <c r="L552" s="297"/>
      <c r="M552" s="297"/>
      <c r="N552" s="297"/>
      <c r="O552" s="297"/>
    </row>
    <row r="553" spans="1:15" s="62" customFormat="1">
      <c r="A553" s="301"/>
      <c r="B553" s="100" t="s">
        <v>52</v>
      </c>
      <c r="C553" s="99" t="s">
        <v>17</v>
      </c>
      <c r="D553" s="101">
        <v>1</v>
      </c>
      <c r="E553" s="101"/>
      <c r="F553" s="108"/>
      <c r="L553" s="297"/>
      <c r="M553" s="297"/>
      <c r="N553" s="297"/>
      <c r="O553" s="297"/>
    </row>
    <row r="554" spans="1:15">
      <c r="A554" s="302"/>
      <c r="B554" s="103" t="s">
        <v>20</v>
      </c>
      <c r="C554" s="102"/>
      <c r="D554" s="104"/>
      <c r="E554" s="104"/>
      <c r="F554" s="109"/>
    </row>
    <row r="555" spans="1:15">
      <c r="A555" s="302"/>
      <c r="B555" s="105" t="s">
        <v>180</v>
      </c>
      <c r="C555" s="102" t="s">
        <v>15</v>
      </c>
      <c r="D555" s="104">
        <f>5.8*1.1</f>
        <v>6.38</v>
      </c>
      <c r="E555" s="104">
        <v>65</v>
      </c>
      <c r="F555" s="109">
        <f>PRODUCT(D555:E555)</f>
        <v>414.7</v>
      </c>
    </row>
    <row r="556" spans="1:15">
      <c r="A556" s="302"/>
      <c r="B556" s="105"/>
      <c r="C556" s="102"/>
      <c r="D556" s="104">
        <f>D555*0.1</f>
        <v>0.63800000000000001</v>
      </c>
      <c r="E556" s="104">
        <v>65</v>
      </c>
      <c r="F556" s="109">
        <f>PRODUCT(D556:E556)</f>
        <v>41.47</v>
      </c>
    </row>
    <row r="557" spans="1:15">
      <c r="A557" s="302"/>
      <c r="B557" s="105"/>
      <c r="C557" s="102"/>
      <c r="D557" s="104"/>
      <c r="E557" s="104"/>
      <c r="F557" s="110">
        <f>SUM(F555:F556)</f>
        <v>456.16999999999996</v>
      </c>
    </row>
    <row r="558" spans="1:15">
      <c r="A558" s="302"/>
      <c r="B558" s="103" t="s">
        <v>181</v>
      </c>
      <c r="C558" s="102"/>
      <c r="D558" s="104"/>
      <c r="E558" s="104"/>
      <c r="F558" s="109"/>
    </row>
    <row r="559" spans="1:15">
      <c r="A559" s="302"/>
      <c r="B559" s="105" t="s">
        <v>182</v>
      </c>
      <c r="C559" s="102" t="s">
        <v>15</v>
      </c>
      <c r="D559" s="104">
        <f>D555</f>
        <v>6.38</v>
      </c>
      <c r="E559" s="104">
        <v>70</v>
      </c>
      <c r="F559" s="109">
        <f>PRODUCT(D559:E559)</f>
        <v>446.59999999999997</v>
      </c>
    </row>
    <row r="560" spans="1:15">
      <c r="A560" s="302"/>
      <c r="B560" s="105" t="s">
        <v>183</v>
      </c>
      <c r="C560" s="102" t="s">
        <v>15</v>
      </c>
      <c r="D560" s="104">
        <f>D559</f>
        <v>6.38</v>
      </c>
      <c r="E560" s="104">
        <v>50</v>
      </c>
      <c r="F560" s="109">
        <f>PRODUCT(D560:E560)</f>
        <v>319</v>
      </c>
    </row>
    <row r="561" spans="1:15">
      <c r="A561" s="302"/>
      <c r="B561" s="105"/>
      <c r="C561" s="102"/>
      <c r="D561" s="104"/>
      <c r="E561" s="104"/>
      <c r="F561" s="110">
        <f>SUM(F559:F560)</f>
        <v>765.59999999999991</v>
      </c>
    </row>
    <row r="562" spans="1:15">
      <c r="A562" s="302"/>
      <c r="B562" s="106"/>
      <c r="C562" s="102"/>
      <c r="D562" s="104"/>
      <c r="E562" s="104"/>
      <c r="F562" s="107"/>
    </row>
    <row r="563" spans="1:15">
      <c r="A563" s="302"/>
      <c r="B563" s="106" t="s">
        <v>184</v>
      </c>
      <c r="C563" s="102"/>
      <c r="D563" s="104"/>
      <c r="E563" s="104"/>
      <c r="F563" s="110">
        <f>F557+F561</f>
        <v>1221.77</v>
      </c>
    </row>
    <row r="564" spans="1:15">
      <c r="A564" s="302"/>
      <c r="B564" s="106"/>
      <c r="C564" s="102"/>
      <c r="D564" s="104"/>
      <c r="E564" s="104"/>
      <c r="F564" s="107"/>
    </row>
    <row r="565" spans="1:15" s="62" customFormat="1">
      <c r="A565" s="301">
        <v>16</v>
      </c>
      <c r="B565" s="100" t="s">
        <v>185</v>
      </c>
      <c r="C565" s="99"/>
      <c r="D565" s="101"/>
      <c r="E565" s="101"/>
      <c r="F565" s="108"/>
      <c r="L565" s="297"/>
      <c r="M565" s="297"/>
      <c r="N565" s="297"/>
      <c r="O565" s="297"/>
    </row>
    <row r="566" spans="1:15" s="62" customFormat="1">
      <c r="A566" s="301"/>
      <c r="B566" s="100" t="s">
        <v>52</v>
      </c>
      <c r="C566" s="99" t="s">
        <v>7</v>
      </c>
      <c r="D566" s="101">
        <f>'BOQ Split'!C19/20</f>
        <v>40</v>
      </c>
      <c r="E566" s="101"/>
      <c r="F566" s="108"/>
      <c r="L566" s="297"/>
      <c r="M566" s="297"/>
      <c r="N566" s="297"/>
      <c r="O566" s="297"/>
    </row>
    <row r="567" spans="1:15">
      <c r="A567" s="302"/>
      <c r="B567" s="103" t="s">
        <v>20</v>
      </c>
      <c r="C567" s="102"/>
      <c r="D567" s="104"/>
      <c r="E567" s="104"/>
      <c r="F567" s="109"/>
    </row>
    <row r="568" spans="1:15">
      <c r="A568" s="302"/>
      <c r="B568" s="105" t="s">
        <v>186</v>
      </c>
      <c r="C568" s="102" t="s">
        <v>21</v>
      </c>
      <c r="D568" s="104">
        <f>D566/2.83*1.15</f>
        <v>16.25441696113074</v>
      </c>
      <c r="E568" s="104">
        <f>Materials!E17</f>
        <v>3800</v>
      </c>
      <c r="F568" s="109">
        <f>PRODUCT(D568:E568)</f>
        <v>61766.784452296815</v>
      </c>
    </row>
    <row r="569" spans="1:15">
      <c r="A569" s="302"/>
      <c r="B569" s="105" t="s">
        <v>56</v>
      </c>
      <c r="C569" s="102" t="s">
        <v>57</v>
      </c>
      <c r="D569" s="104">
        <v>15</v>
      </c>
      <c r="E569" s="104">
        <v>1000</v>
      </c>
      <c r="F569" s="109">
        <f>PRODUCT(D569:E569)</f>
        <v>15000</v>
      </c>
    </row>
    <row r="570" spans="1:15">
      <c r="A570" s="302"/>
      <c r="B570" s="105"/>
      <c r="C570" s="102"/>
      <c r="D570" s="104"/>
      <c r="E570" s="104"/>
      <c r="F570" s="109">
        <f>SUM(F568:F569)</f>
        <v>76766.784452296823</v>
      </c>
    </row>
    <row r="571" spans="1:15">
      <c r="A571" s="302"/>
      <c r="B571" s="105"/>
      <c r="C571" s="102"/>
      <c r="D571" s="104"/>
      <c r="E571" s="104"/>
      <c r="F571" s="110">
        <f>F570/$D$566</f>
        <v>1919.1696113074206</v>
      </c>
    </row>
    <row r="572" spans="1:15">
      <c r="A572" s="302"/>
      <c r="B572" s="103" t="s">
        <v>50</v>
      </c>
      <c r="C572" s="102"/>
      <c r="D572" s="104"/>
      <c r="E572" s="104"/>
      <c r="F572" s="109"/>
    </row>
    <row r="573" spans="1:15">
      <c r="A573" s="302"/>
      <c r="B573" s="105" t="s">
        <v>46</v>
      </c>
      <c r="C573" s="102" t="s">
        <v>47</v>
      </c>
      <c r="D573" s="104">
        <v>1</v>
      </c>
      <c r="E573" s="104">
        <v>90000</v>
      </c>
      <c r="F573" s="109">
        <f>PRODUCT(D573:E573)</f>
        <v>90000</v>
      </c>
    </row>
    <row r="574" spans="1:15">
      <c r="A574" s="302"/>
      <c r="B574" s="105"/>
      <c r="C574" s="102"/>
      <c r="D574" s="104"/>
      <c r="E574" s="104"/>
      <c r="F574" s="109">
        <f>SUM(F573:F573)</f>
        <v>90000</v>
      </c>
    </row>
    <row r="575" spans="1:15">
      <c r="A575" s="302"/>
      <c r="B575" s="105"/>
      <c r="C575" s="102"/>
      <c r="D575" s="104"/>
      <c r="E575" s="104"/>
      <c r="F575" s="110">
        <f>F574/$D$566</f>
        <v>2250</v>
      </c>
    </row>
    <row r="576" spans="1:15">
      <c r="A576" s="302"/>
      <c r="B576" s="103" t="s">
        <v>44</v>
      </c>
      <c r="C576" s="102"/>
      <c r="D576" s="104"/>
      <c r="E576" s="104"/>
      <c r="F576" s="109"/>
    </row>
    <row r="577" spans="1:15">
      <c r="A577" s="302"/>
      <c r="B577" s="105" t="s">
        <v>48</v>
      </c>
      <c r="C577" s="102" t="s">
        <v>14</v>
      </c>
      <c r="D577" s="104">
        <f>(D573*25*6.5*3)</f>
        <v>487.5</v>
      </c>
      <c r="E577" s="104">
        <v>96</v>
      </c>
      <c r="F577" s="109">
        <f>PRODUCT(D577:E577)</f>
        <v>46800</v>
      </c>
    </row>
    <row r="578" spans="1:15">
      <c r="A578" s="302"/>
      <c r="B578" s="105"/>
      <c r="C578" s="102"/>
      <c r="D578" s="104"/>
      <c r="E578" s="104"/>
      <c r="F578" s="110">
        <f>F577/$D$566</f>
        <v>1170</v>
      </c>
    </row>
    <row r="579" spans="1:15">
      <c r="A579" s="302"/>
      <c r="B579" s="103" t="s">
        <v>51</v>
      </c>
      <c r="C579" s="102"/>
      <c r="D579" s="104"/>
      <c r="E579" s="104"/>
      <c r="F579" s="109"/>
    </row>
    <row r="580" spans="1:15">
      <c r="A580" s="302"/>
      <c r="B580" s="105" t="s">
        <v>53</v>
      </c>
      <c r="C580" s="102" t="s">
        <v>12</v>
      </c>
      <c r="D580" s="104">
        <v>60</v>
      </c>
      <c r="E580" s="104">
        <v>700</v>
      </c>
      <c r="F580" s="109">
        <f>PRODUCT(D580:E580)</f>
        <v>42000</v>
      </c>
    </row>
    <row r="581" spans="1:15">
      <c r="A581" s="302"/>
      <c r="B581" s="105" t="s">
        <v>187</v>
      </c>
      <c r="C581" s="102" t="s">
        <v>12</v>
      </c>
      <c r="D581" s="104">
        <v>20</v>
      </c>
      <c r="E581" s="104">
        <v>3000</v>
      </c>
      <c r="F581" s="109">
        <f>PRODUCT(D581:E581)</f>
        <v>60000</v>
      </c>
    </row>
    <row r="582" spans="1:15">
      <c r="A582" s="302"/>
      <c r="B582" s="105"/>
      <c r="C582" s="102"/>
      <c r="D582" s="104"/>
      <c r="E582" s="104"/>
      <c r="F582" s="109">
        <f>SUM(F580:F581)</f>
        <v>102000</v>
      </c>
    </row>
    <row r="583" spans="1:15">
      <c r="A583" s="302"/>
      <c r="B583" s="105"/>
      <c r="C583" s="102"/>
      <c r="D583" s="104"/>
      <c r="E583" s="104"/>
      <c r="F583" s="110">
        <f>F581/$D$566</f>
        <v>1500</v>
      </c>
    </row>
    <row r="584" spans="1:15">
      <c r="A584" s="302"/>
      <c r="B584" s="105"/>
      <c r="C584" s="102"/>
      <c r="D584" s="104"/>
      <c r="E584" s="104"/>
      <c r="F584" s="109"/>
    </row>
    <row r="585" spans="1:15" s="64" customFormat="1">
      <c r="A585" s="300"/>
      <c r="B585" s="106" t="s">
        <v>188</v>
      </c>
      <c r="C585" s="97"/>
      <c r="D585" s="98"/>
      <c r="E585" s="98"/>
      <c r="F585" s="110">
        <f>F575+F578+F583+F571</f>
        <v>6839.1696113074204</v>
      </c>
      <c r="L585" s="296"/>
      <c r="M585" s="296"/>
      <c r="N585" s="296"/>
      <c r="O585" s="296"/>
    </row>
    <row r="586" spans="1:15">
      <c r="A586" s="302"/>
      <c r="B586" s="105"/>
      <c r="C586" s="102"/>
      <c r="D586" s="104"/>
      <c r="E586" s="104"/>
      <c r="F586" s="109"/>
    </row>
    <row r="587" spans="1:15" s="62" customFormat="1">
      <c r="A587" s="301">
        <v>17</v>
      </c>
      <c r="B587" s="100" t="s">
        <v>189</v>
      </c>
      <c r="C587" s="99"/>
      <c r="D587" s="101"/>
      <c r="E587" s="101"/>
      <c r="F587" s="108"/>
      <c r="L587" s="297"/>
      <c r="M587" s="297"/>
      <c r="N587" s="297"/>
      <c r="O587" s="297"/>
    </row>
    <row r="588" spans="1:15">
      <c r="A588" s="302"/>
      <c r="B588" s="103" t="s">
        <v>49</v>
      </c>
      <c r="C588" s="102"/>
      <c r="D588" s="104">
        <v>2.38</v>
      </c>
      <c r="E588" s="104"/>
      <c r="F588" s="109"/>
    </row>
    <row r="589" spans="1:15">
      <c r="A589" s="302"/>
      <c r="B589" s="105" t="s">
        <v>190</v>
      </c>
      <c r="C589" s="102" t="s">
        <v>13</v>
      </c>
      <c r="D589" s="104">
        <v>1</v>
      </c>
      <c r="E589" s="104" t="e">
        <f>Materials!#REF!</f>
        <v>#REF!</v>
      </c>
      <c r="F589" s="109" t="e">
        <f>PRODUCT(D589:E589)</f>
        <v>#REF!</v>
      </c>
    </row>
    <row r="590" spans="1:15">
      <c r="A590" s="302"/>
      <c r="B590" s="105"/>
      <c r="C590" s="102"/>
      <c r="D590" s="104"/>
      <c r="E590" s="104"/>
      <c r="F590" s="110" t="e">
        <f>SUM(F589:F589)</f>
        <v>#REF!</v>
      </c>
    </row>
    <row r="591" spans="1:15">
      <c r="A591" s="302"/>
      <c r="B591" s="105"/>
      <c r="C591" s="102"/>
      <c r="D591" s="104"/>
      <c r="E591" s="104"/>
      <c r="F591" s="109"/>
    </row>
    <row r="592" spans="1:15" s="64" customFormat="1">
      <c r="A592" s="300"/>
      <c r="B592" s="106" t="s">
        <v>191</v>
      </c>
      <c r="C592" s="227"/>
      <c r="D592" s="98"/>
      <c r="E592" s="98"/>
      <c r="F592" s="110" t="e">
        <f>F590*D588</f>
        <v>#REF!</v>
      </c>
      <c r="L592" s="296"/>
      <c r="M592" s="296"/>
      <c r="N592" s="296"/>
      <c r="O592" s="296"/>
    </row>
    <row r="593" spans="1:15" s="64" customFormat="1">
      <c r="A593" s="300"/>
      <c r="B593" s="106"/>
      <c r="C593" s="227"/>
      <c r="D593" s="98"/>
      <c r="E593" s="98"/>
      <c r="F593" s="107"/>
      <c r="L593" s="296"/>
      <c r="M593" s="296"/>
      <c r="N593" s="296"/>
      <c r="O593" s="296"/>
    </row>
    <row r="594" spans="1:15" s="62" customFormat="1">
      <c r="A594" s="301">
        <v>18</v>
      </c>
      <c r="B594" s="100" t="s">
        <v>192</v>
      </c>
      <c r="C594" s="99"/>
      <c r="D594" s="101"/>
      <c r="E594" s="101"/>
      <c r="F594" s="108"/>
      <c r="L594" s="297"/>
      <c r="M594" s="297"/>
      <c r="N594" s="297"/>
      <c r="O594" s="297"/>
    </row>
    <row r="595" spans="1:15">
      <c r="A595" s="302"/>
      <c r="B595" s="103" t="s">
        <v>49</v>
      </c>
      <c r="C595" s="102"/>
      <c r="D595" s="104">
        <v>2.38</v>
      </c>
      <c r="E595" s="104"/>
      <c r="F595" s="109"/>
    </row>
    <row r="596" spans="1:15">
      <c r="A596" s="302"/>
      <c r="B596" s="105" t="s">
        <v>193</v>
      </c>
      <c r="C596" s="102" t="s">
        <v>13</v>
      </c>
      <c r="D596" s="104">
        <v>1</v>
      </c>
      <c r="E596" s="104" t="e">
        <f>Materials!#REF!</f>
        <v>#REF!</v>
      </c>
      <c r="F596" s="109" t="e">
        <f>PRODUCT(D596:E596)</f>
        <v>#REF!</v>
      </c>
    </row>
    <row r="597" spans="1:15">
      <c r="A597" s="302"/>
      <c r="B597" s="105"/>
      <c r="C597" s="102"/>
      <c r="D597" s="104"/>
      <c r="E597" s="104"/>
      <c r="F597" s="110" t="e">
        <f>SUM(F596:F596)</f>
        <v>#REF!</v>
      </c>
    </row>
    <row r="598" spans="1:15">
      <c r="A598" s="302"/>
      <c r="B598" s="105"/>
      <c r="C598" s="102"/>
      <c r="D598" s="104"/>
      <c r="E598" s="104"/>
      <c r="F598" s="109"/>
    </row>
    <row r="599" spans="1:15" s="64" customFormat="1">
      <c r="A599" s="300"/>
      <c r="B599" s="106" t="s">
        <v>191</v>
      </c>
      <c r="C599" s="227"/>
      <c r="D599" s="98"/>
      <c r="E599" s="98"/>
      <c r="F599" s="110" t="e">
        <f>F597*D595</f>
        <v>#REF!</v>
      </c>
      <c r="L599" s="296"/>
      <c r="M599" s="296"/>
      <c r="N599" s="296"/>
      <c r="O599" s="296"/>
    </row>
    <row r="600" spans="1:15" s="64" customFormat="1">
      <c r="A600" s="300"/>
      <c r="B600" s="106"/>
      <c r="C600" s="227"/>
      <c r="D600" s="98"/>
      <c r="E600" s="98"/>
      <c r="F600" s="107"/>
      <c r="L600" s="296"/>
      <c r="M600" s="296"/>
      <c r="N600" s="296"/>
      <c r="O600" s="296"/>
    </row>
    <row r="601" spans="1:15" s="62" customFormat="1">
      <c r="A601" s="301">
        <v>19</v>
      </c>
      <c r="B601" s="100" t="s">
        <v>168</v>
      </c>
      <c r="C601" s="99"/>
      <c r="D601" s="101"/>
      <c r="E601" s="101"/>
      <c r="F601" s="108"/>
      <c r="L601" s="297"/>
      <c r="M601" s="297"/>
      <c r="N601" s="297"/>
      <c r="O601" s="297"/>
    </row>
    <row r="602" spans="1:15">
      <c r="A602" s="302"/>
      <c r="B602" s="103" t="s">
        <v>49</v>
      </c>
      <c r="C602" s="102"/>
      <c r="D602" s="104"/>
      <c r="E602" s="104"/>
      <c r="F602" s="109"/>
    </row>
    <row r="603" spans="1:15">
      <c r="A603" s="302"/>
      <c r="B603" s="105" t="s">
        <v>194</v>
      </c>
      <c r="C603" s="102" t="s">
        <v>16</v>
      </c>
      <c r="D603" s="104">
        <v>1</v>
      </c>
      <c r="E603" s="104" t="e">
        <f>Materials!#REF!</f>
        <v>#REF!</v>
      </c>
      <c r="F603" s="109" t="e">
        <f>PRODUCT(D603:E603)</f>
        <v>#REF!</v>
      </c>
    </row>
    <row r="604" spans="1:15">
      <c r="A604" s="302"/>
      <c r="B604" s="105"/>
      <c r="C604" s="102"/>
      <c r="D604" s="104"/>
      <c r="E604" s="104"/>
      <c r="F604" s="109"/>
    </row>
    <row r="605" spans="1:15" s="64" customFormat="1">
      <c r="A605" s="300"/>
      <c r="B605" s="106" t="s">
        <v>195</v>
      </c>
      <c r="C605" s="227"/>
      <c r="D605" s="98"/>
      <c r="E605" s="98"/>
      <c r="F605" s="110" t="e">
        <f>F603</f>
        <v>#REF!</v>
      </c>
      <c r="L605" s="296"/>
      <c r="M605" s="296"/>
      <c r="N605" s="296"/>
      <c r="O605" s="296"/>
    </row>
    <row r="606" spans="1:15" s="64" customFormat="1">
      <c r="A606" s="300"/>
      <c r="B606" s="106"/>
      <c r="C606" s="227"/>
      <c r="D606" s="98"/>
      <c r="E606" s="98"/>
      <c r="F606" s="107"/>
      <c r="L606" s="296"/>
      <c r="M606" s="296"/>
      <c r="N606" s="296"/>
      <c r="O606" s="296"/>
    </row>
    <row r="607" spans="1:15" s="62" customFormat="1">
      <c r="A607" s="301">
        <v>20</v>
      </c>
      <c r="B607" s="100" t="s">
        <v>169</v>
      </c>
      <c r="C607" s="99"/>
      <c r="D607" s="101"/>
      <c r="E607" s="101"/>
      <c r="F607" s="108"/>
      <c r="L607" s="297"/>
      <c r="M607" s="297"/>
      <c r="N607" s="297"/>
      <c r="O607" s="297"/>
    </row>
    <row r="608" spans="1:15">
      <c r="A608" s="302"/>
      <c r="B608" s="103" t="s">
        <v>49</v>
      </c>
      <c r="C608" s="102"/>
      <c r="D608" s="104"/>
      <c r="E608" s="104"/>
      <c r="F608" s="109"/>
    </row>
    <row r="609" spans="1:15">
      <c r="A609" s="302"/>
      <c r="B609" s="105" t="s">
        <v>194</v>
      </c>
      <c r="C609" s="102" t="s">
        <v>16</v>
      </c>
      <c r="D609" s="104">
        <v>1</v>
      </c>
      <c r="E609" s="104" t="e">
        <f>Materials!#REF!</f>
        <v>#REF!</v>
      </c>
      <c r="F609" s="109" t="e">
        <f>PRODUCT(D609:E609)</f>
        <v>#REF!</v>
      </c>
    </row>
    <row r="610" spans="1:15">
      <c r="A610" s="302"/>
      <c r="B610" s="105"/>
      <c r="C610" s="102"/>
      <c r="D610" s="104"/>
      <c r="E610" s="104"/>
      <c r="F610" s="109"/>
    </row>
    <row r="611" spans="1:15" s="64" customFormat="1">
      <c r="A611" s="300"/>
      <c r="B611" s="106" t="s">
        <v>195</v>
      </c>
      <c r="C611" s="227"/>
      <c r="D611" s="98"/>
      <c r="E611" s="98"/>
      <c r="F611" s="110" t="e">
        <f>F609</f>
        <v>#REF!</v>
      </c>
      <c r="L611" s="296"/>
      <c r="M611" s="296"/>
      <c r="N611" s="296"/>
      <c r="O611" s="296"/>
    </row>
    <row r="612" spans="1:15" s="64" customFormat="1">
      <c r="A612" s="300"/>
      <c r="B612" s="106"/>
      <c r="C612" s="227"/>
      <c r="D612" s="98"/>
      <c r="E612" s="98"/>
      <c r="F612" s="107"/>
      <c r="L612" s="296"/>
      <c r="M612" s="296"/>
      <c r="N612" s="296"/>
      <c r="O612" s="296"/>
    </row>
    <row r="613" spans="1:15" s="62" customFormat="1">
      <c r="A613" s="301">
        <v>21</v>
      </c>
      <c r="B613" s="100" t="s">
        <v>196</v>
      </c>
      <c r="C613" s="99"/>
      <c r="D613" s="101"/>
      <c r="E613" s="101"/>
      <c r="F613" s="108"/>
      <c r="L613" s="297"/>
      <c r="M613" s="297"/>
      <c r="N613" s="297"/>
      <c r="O613" s="297"/>
    </row>
    <row r="614" spans="1:15" s="62" customFormat="1">
      <c r="A614" s="301"/>
      <c r="B614" s="100" t="s">
        <v>52</v>
      </c>
      <c r="C614" s="99" t="s">
        <v>7</v>
      </c>
      <c r="D614" s="101">
        <f>'BOQ Split'!C24/14</f>
        <v>37.5</v>
      </c>
      <c r="E614" s="101"/>
      <c r="F614" s="108"/>
      <c r="L614" s="297"/>
      <c r="M614" s="297"/>
      <c r="N614" s="297"/>
      <c r="O614" s="297"/>
    </row>
    <row r="615" spans="1:15">
      <c r="A615" s="302"/>
      <c r="B615" s="103" t="s">
        <v>20</v>
      </c>
      <c r="C615" s="102"/>
      <c r="D615" s="104"/>
      <c r="E615" s="104"/>
      <c r="F615" s="109"/>
    </row>
    <row r="616" spans="1:15">
      <c r="A616" s="302"/>
      <c r="B616" s="105" t="s">
        <v>197</v>
      </c>
      <c r="C616" s="102" t="s">
        <v>21</v>
      </c>
      <c r="D616" s="104">
        <f>D614/2.83*1.1</f>
        <v>14.575971731448764</v>
      </c>
      <c r="E616" s="104">
        <f>Materials!E18</f>
        <v>3800</v>
      </c>
      <c r="F616" s="109">
        <f>PRODUCT(D616:E616)</f>
        <v>55388.692579505303</v>
      </c>
    </row>
    <row r="617" spans="1:15">
      <c r="A617" s="302"/>
      <c r="B617" s="105"/>
      <c r="C617" s="102"/>
      <c r="D617" s="104"/>
      <c r="E617" s="104"/>
      <c r="F617" s="109">
        <f>SUM(F616:F616)</f>
        <v>55388.692579505303</v>
      </c>
    </row>
    <row r="618" spans="1:15">
      <c r="A618" s="302"/>
      <c r="B618" s="105"/>
      <c r="C618" s="102"/>
      <c r="D618" s="104"/>
      <c r="E618" s="104"/>
      <c r="F618" s="110">
        <f>F617/$D$614</f>
        <v>1477.0318021201415</v>
      </c>
    </row>
    <row r="619" spans="1:15">
      <c r="A619" s="302"/>
      <c r="B619" s="103" t="s">
        <v>50</v>
      </c>
      <c r="C619" s="102"/>
      <c r="D619" s="104"/>
      <c r="E619" s="104"/>
      <c r="F619" s="109"/>
    </row>
    <row r="620" spans="1:15">
      <c r="A620" s="302"/>
      <c r="B620" s="105" t="s">
        <v>46</v>
      </c>
      <c r="C620" s="102" t="s">
        <v>47</v>
      </c>
      <c r="D620" s="104">
        <v>0.5</v>
      </c>
      <c r="E620" s="104">
        <v>90000</v>
      </c>
      <c r="F620" s="109">
        <f>PRODUCT(D620:E620)</f>
        <v>45000</v>
      </c>
    </row>
    <row r="621" spans="1:15">
      <c r="A621" s="302"/>
      <c r="B621" s="105"/>
      <c r="C621" s="102"/>
      <c r="D621" s="104"/>
      <c r="E621" s="104"/>
      <c r="F621" s="109">
        <f>SUM(F620:F620)</f>
        <v>45000</v>
      </c>
    </row>
    <row r="622" spans="1:15">
      <c r="A622" s="302"/>
      <c r="B622" s="105"/>
      <c r="C622" s="102"/>
      <c r="D622" s="104"/>
      <c r="E622" s="104"/>
      <c r="F622" s="110">
        <f>F621/$D$566</f>
        <v>1125</v>
      </c>
    </row>
    <row r="623" spans="1:15">
      <c r="A623" s="302"/>
      <c r="B623" s="103" t="s">
        <v>44</v>
      </c>
      <c r="C623" s="102"/>
      <c r="D623" s="104"/>
      <c r="E623" s="104"/>
      <c r="F623" s="109"/>
    </row>
    <row r="624" spans="1:15">
      <c r="A624" s="302"/>
      <c r="B624" s="105" t="s">
        <v>48</v>
      </c>
      <c r="C624" s="102" t="s">
        <v>14</v>
      </c>
      <c r="D624" s="104">
        <f>(D620*25*6*3)*0.5</f>
        <v>112.5</v>
      </c>
      <c r="E624" s="104">
        <v>96</v>
      </c>
      <c r="F624" s="109">
        <f>PRODUCT(D624:E624)</f>
        <v>10800</v>
      </c>
    </row>
    <row r="625" spans="1:15">
      <c r="A625" s="302"/>
      <c r="B625" s="105"/>
      <c r="C625" s="102"/>
      <c r="D625" s="104"/>
      <c r="E625" s="104"/>
      <c r="F625" s="110">
        <f>F624/$D$566</f>
        <v>270</v>
      </c>
    </row>
    <row r="626" spans="1:15">
      <c r="A626" s="302"/>
      <c r="B626" s="103" t="s">
        <v>51</v>
      </c>
      <c r="C626" s="102"/>
      <c r="D626" s="104"/>
      <c r="E626" s="104"/>
      <c r="F626" s="109"/>
    </row>
    <row r="627" spans="1:15">
      <c r="A627" s="302"/>
      <c r="B627" s="105" t="s">
        <v>53</v>
      </c>
      <c r="C627" s="102" t="s">
        <v>12</v>
      </c>
      <c r="D627" s="104">
        <v>15</v>
      </c>
      <c r="E627" s="104">
        <v>700</v>
      </c>
      <c r="F627" s="109">
        <f>PRODUCT(D627:E627)</f>
        <v>10500</v>
      </c>
    </row>
    <row r="628" spans="1:15">
      <c r="A628" s="302"/>
      <c r="B628" s="105"/>
      <c r="C628" s="102"/>
      <c r="D628" s="104"/>
      <c r="E628" s="104"/>
      <c r="F628" s="110">
        <f>F627/D614</f>
        <v>280</v>
      </c>
    </row>
    <row r="629" spans="1:15">
      <c r="A629" s="302"/>
      <c r="B629" s="105"/>
      <c r="C629" s="102"/>
      <c r="D629" s="104"/>
      <c r="E629" s="104"/>
      <c r="F629" s="109"/>
    </row>
    <row r="630" spans="1:15" s="64" customFormat="1">
      <c r="A630" s="300"/>
      <c r="B630" s="106" t="s">
        <v>198</v>
      </c>
      <c r="C630" s="227"/>
      <c r="D630" s="98"/>
      <c r="E630" s="98"/>
      <c r="F630" s="110">
        <f>F622+F625+F628+F618</f>
        <v>3152.0318021201415</v>
      </c>
      <c r="L630" s="296"/>
      <c r="M630" s="296"/>
      <c r="N630" s="296"/>
      <c r="O630" s="296"/>
    </row>
    <row r="631" spans="1:15">
      <c r="A631" s="302"/>
      <c r="B631" s="105"/>
      <c r="C631" s="102"/>
      <c r="D631" s="104"/>
      <c r="E631" s="104"/>
      <c r="F631" s="109"/>
    </row>
    <row r="632" spans="1:15" s="62" customFormat="1">
      <c r="A632" s="301">
        <v>22</v>
      </c>
      <c r="B632" s="100" t="s">
        <v>40</v>
      </c>
      <c r="C632" s="99"/>
      <c r="D632" s="101"/>
      <c r="E632" s="101"/>
      <c r="F632" s="108"/>
      <c r="L632" s="297"/>
      <c r="M632" s="297"/>
      <c r="N632" s="297"/>
      <c r="O632" s="297"/>
    </row>
    <row r="633" spans="1:15" s="62" customFormat="1">
      <c r="A633" s="301"/>
      <c r="B633" s="100" t="s">
        <v>52</v>
      </c>
      <c r="C633" s="99" t="s">
        <v>7</v>
      </c>
      <c r="D633" s="101">
        <f>'BOQ Split'!C25/2</f>
        <v>1.45</v>
      </c>
      <c r="E633" s="101"/>
      <c r="F633" s="108"/>
      <c r="L633" s="297"/>
      <c r="M633" s="297"/>
      <c r="N633" s="297"/>
      <c r="O633" s="297"/>
    </row>
    <row r="634" spans="1:15">
      <c r="A634" s="302"/>
      <c r="B634" s="103" t="s">
        <v>50</v>
      </c>
      <c r="C634" s="102"/>
      <c r="D634" s="104"/>
      <c r="E634" s="104"/>
      <c r="F634" s="109"/>
    </row>
    <row r="635" spans="1:15">
      <c r="A635" s="302"/>
      <c r="B635" s="105" t="s">
        <v>46</v>
      </c>
      <c r="C635" s="102" t="s">
        <v>47</v>
      </c>
      <c r="D635" s="104">
        <v>1</v>
      </c>
      <c r="E635" s="104">
        <v>90000</v>
      </c>
      <c r="F635" s="109">
        <f>PRODUCT(D635:E635)</f>
        <v>90000</v>
      </c>
    </row>
    <row r="636" spans="1:15">
      <c r="A636" s="302"/>
      <c r="B636" s="105" t="s">
        <v>172</v>
      </c>
      <c r="C636" s="102" t="s">
        <v>47</v>
      </c>
      <c r="D636" s="104">
        <v>2</v>
      </c>
      <c r="E636" s="104">
        <v>125000</v>
      </c>
      <c r="F636" s="109">
        <f>PRODUCT(D636:E636)</f>
        <v>250000</v>
      </c>
    </row>
    <row r="637" spans="1:15">
      <c r="A637" s="302"/>
      <c r="B637" s="105" t="s">
        <v>201</v>
      </c>
      <c r="C637" s="102" t="s">
        <v>47</v>
      </c>
      <c r="D637" s="104">
        <v>2</v>
      </c>
      <c r="E637" s="104">
        <v>40000</v>
      </c>
      <c r="F637" s="109">
        <f>PRODUCT(D637:E637)</f>
        <v>80000</v>
      </c>
    </row>
    <row r="638" spans="1:15">
      <c r="A638" s="302"/>
      <c r="B638" s="105"/>
      <c r="C638" s="102"/>
      <c r="D638" s="104"/>
      <c r="E638" s="104"/>
      <c r="F638" s="109">
        <f>SUM(F635:F637)</f>
        <v>420000</v>
      </c>
    </row>
    <row r="639" spans="1:15">
      <c r="A639" s="302"/>
      <c r="B639" s="105"/>
      <c r="C639" s="102"/>
      <c r="D639" s="104"/>
      <c r="E639" s="104"/>
      <c r="F639" s="110">
        <f>F638/$D$633</f>
        <v>289655.1724137931</v>
      </c>
    </row>
    <row r="640" spans="1:15">
      <c r="A640" s="302"/>
      <c r="B640" s="103" t="s">
        <v>44</v>
      </c>
      <c r="C640" s="102"/>
      <c r="D640" s="104"/>
      <c r="E640" s="104"/>
      <c r="F640" s="109"/>
    </row>
    <row r="641" spans="1:15">
      <c r="A641" s="302"/>
      <c r="B641" s="105" t="s">
        <v>48</v>
      </c>
      <c r="C641" s="102" t="s">
        <v>14</v>
      </c>
      <c r="D641" s="104">
        <f>((D635*25*5*3)+(D636*25*5*7)+(D637*25*8))</f>
        <v>2525</v>
      </c>
      <c r="E641" s="104">
        <v>100</v>
      </c>
      <c r="F641" s="109">
        <f>PRODUCT(D641:E641)</f>
        <v>252500</v>
      </c>
    </row>
    <row r="642" spans="1:15">
      <c r="A642" s="302"/>
      <c r="B642" s="105"/>
      <c r="C642" s="102"/>
      <c r="D642" s="104"/>
      <c r="E642" s="104"/>
      <c r="F642" s="110">
        <f>F641/$D$633</f>
        <v>174137.93103448275</v>
      </c>
    </row>
    <row r="643" spans="1:15">
      <c r="A643" s="302"/>
      <c r="B643" s="103" t="s">
        <v>51</v>
      </c>
      <c r="C643" s="102"/>
      <c r="D643" s="104"/>
      <c r="E643" s="104"/>
      <c r="F643" s="109"/>
    </row>
    <row r="644" spans="1:15">
      <c r="A644" s="302"/>
      <c r="B644" s="105" t="s">
        <v>53</v>
      </c>
      <c r="C644" s="102" t="s">
        <v>12</v>
      </c>
      <c r="D644" s="104">
        <v>30</v>
      </c>
      <c r="E644" s="104">
        <v>700</v>
      </c>
      <c r="F644" s="109">
        <f>PRODUCT(D644:E644)</f>
        <v>21000</v>
      </c>
    </row>
    <row r="645" spans="1:15">
      <c r="A645" s="302"/>
      <c r="B645" s="105"/>
      <c r="C645" s="102"/>
      <c r="D645" s="104"/>
      <c r="E645" s="104"/>
      <c r="F645" s="110">
        <f>F644/$D$633</f>
        <v>14482.758620689656</v>
      </c>
    </row>
    <row r="646" spans="1:15">
      <c r="A646" s="302"/>
      <c r="B646" s="105"/>
      <c r="C646" s="102"/>
      <c r="D646" s="104"/>
      <c r="E646" s="104"/>
      <c r="F646" s="109"/>
    </row>
    <row r="647" spans="1:15" s="64" customFormat="1">
      <c r="A647" s="300"/>
      <c r="B647" s="106" t="s">
        <v>175</v>
      </c>
      <c r="C647" s="227"/>
      <c r="D647" s="98"/>
      <c r="E647" s="98"/>
      <c r="F647" s="110">
        <f>F639+F642+F645</f>
        <v>478275.86206896551</v>
      </c>
      <c r="L647" s="296"/>
      <c r="M647" s="296"/>
      <c r="N647" s="296"/>
      <c r="O647" s="296"/>
    </row>
    <row r="648" spans="1:15" s="62" customFormat="1">
      <c r="A648" s="301">
        <v>24</v>
      </c>
      <c r="B648" s="100" t="s">
        <v>199</v>
      </c>
      <c r="C648" s="99"/>
      <c r="D648" s="101"/>
      <c r="E648" s="101"/>
      <c r="F648" s="108"/>
      <c r="L648" s="297"/>
      <c r="M648" s="297"/>
      <c r="N648" s="297"/>
      <c r="O648" s="297"/>
    </row>
    <row r="649" spans="1:15">
      <c r="A649" s="302"/>
      <c r="B649" s="103" t="s">
        <v>73</v>
      </c>
      <c r="C649" s="102"/>
      <c r="D649" s="104"/>
      <c r="E649" s="104"/>
      <c r="F649" s="109"/>
    </row>
    <row r="650" spans="1:15">
      <c r="A650" s="302"/>
      <c r="B650" s="105" t="s">
        <v>199</v>
      </c>
      <c r="C650" s="102" t="s">
        <v>16</v>
      </c>
      <c r="D650" s="104">
        <v>1</v>
      </c>
      <c r="E650" s="104">
        <f>Materials!E19</f>
        <v>50000</v>
      </c>
      <c r="F650" s="109">
        <f>PRODUCT(D650:E650)</f>
        <v>50000</v>
      </c>
    </row>
    <row r="651" spans="1:15">
      <c r="A651" s="302"/>
      <c r="B651" s="105"/>
      <c r="C651" s="102"/>
      <c r="D651" s="104"/>
      <c r="E651" s="104"/>
      <c r="F651" s="110">
        <f>SUM(F650)</f>
        <v>50000</v>
      </c>
    </row>
    <row r="652" spans="1:15">
      <c r="A652" s="302"/>
      <c r="B652" s="103" t="s">
        <v>49</v>
      </c>
      <c r="C652" s="102"/>
      <c r="D652" s="104"/>
      <c r="E652" s="104"/>
      <c r="F652" s="109"/>
    </row>
    <row r="653" spans="1:15">
      <c r="A653" s="302"/>
      <c r="B653" s="105" t="s">
        <v>74</v>
      </c>
      <c r="C653" s="102" t="s">
        <v>16</v>
      </c>
      <c r="D653" s="104">
        <v>1</v>
      </c>
      <c r="E653" s="104">
        <f>15*10.76</f>
        <v>161.4</v>
      </c>
      <c r="F653" s="109">
        <f>PRODUCT(D653:E653)</f>
        <v>161.4</v>
      </c>
    </row>
    <row r="654" spans="1:15">
      <c r="A654" s="302"/>
      <c r="B654" s="105"/>
      <c r="C654" s="102"/>
      <c r="D654" s="104"/>
      <c r="E654" s="104"/>
      <c r="F654" s="110">
        <f>SUM(F653)</f>
        <v>161.4</v>
      </c>
    </row>
    <row r="655" spans="1:15">
      <c r="A655" s="302"/>
      <c r="B655" s="106" t="s">
        <v>71</v>
      </c>
      <c r="C655" s="102"/>
      <c r="D655" s="104"/>
      <c r="E655" s="104"/>
      <c r="F655" s="110">
        <f>F654+F651</f>
        <v>50161.4</v>
      </c>
    </row>
    <row r="656" spans="1:15">
      <c r="A656" s="302"/>
      <c r="B656" s="105"/>
      <c r="C656" s="102"/>
      <c r="D656" s="104"/>
      <c r="E656" s="104"/>
      <c r="F656" s="109"/>
    </row>
  </sheetData>
  <mergeCells count="2">
    <mergeCell ref="A1:F1"/>
    <mergeCell ref="A2:F2"/>
  </mergeCells>
  <pageMargins left="0.7" right="0.7" top="0.57999999999999996" bottom="0.75" header="0.3" footer="0.3"/>
  <pageSetup paperSize="9" scale="83" fitToHeight="0" orientation="portrait" r:id="rId1"/>
  <headerFooter>
    <oddFooter>Page &amp;P of &amp;N</oddFooter>
  </headerFooter>
  <rowBreaks count="2" manualBreakCount="2">
    <brk id="357" max="5" man="1"/>
    <brk id="417" max="5" man="1"/>
  </rowBreaks>
</worksheet>
</file>

<file path=xl/worksheets/sheet6.xml><?xml version="1.0" encoding="utf-8"?>
<worksheet xmlns="http://schemas.openxmlformats.org/spreadsheetml/2006/main" xmlns:r="http://schemas.openxmlformats.org/officeDocument/2006/relationships">
  <sheetPr>
    <pageSetUpPr fitToPage="1"/>
  </sheetPr>
  <dimension ref="A1:I78"/>
  <sheetViews>
    <sheetView view="pageBreakPreview" topLeftCell="A67" zoomScale="80" zoomScaleSheetLayoutView="80" workbookViewId="0">
      <selection activeCell="G77" sqref="G77"/>
    </sheetView>
  </sheetViews>
  <sheetFormatPr defaultColWidth="10.6640625" defaultRowHeight="21.95" customHeight="1"/>
  <cols>
    <col min="1" max="1" width="6.1640625" style="181" customWidth="1"/>
    <col min="2" max="2" width="53.6640625" style="181" bestFit="1" customWidth="1"/>
    <col min="3" max="3" width="18.1640625" style="181" bestFit="1" customWidth="1"/>
    <col min="4" max="4" width="19" style="181" customWidth="1"/>
    <col min="5" max="5" width="14.1640625" style="181" bestFit="1" customWidth="1"/>
    <col min="6" max="6" width="14.5" style="200" bestFit="1" customWidth="1"/>
    <col min="7" max="7" width="15.1640625" style="181" bestFit="1" customWidth="1"/>
    <col min="8" max="8" width="12.6640625" style="181" bestFit="1" customWidth="1"/>
    <col min="9" max="9" width="7.5" style="181" bestFit="1" customWidth="1"/>
    <col min="10" max="16384" width="10.6640625" style="181"/>
  </cols>
  <sheetData>
    <row r="1" spans="1:9" ht="21.95" customHeight="1">
      <c r="A1" s="111"/>
      <c r="B1" s="112" t="s">
        <v>109</v>
      </c>
      <c r="C1" s="113">
        <v>18</v>
      </c>
      <c r="D1" s="114"/>
      <c r="E1" s="114"/>
      <c r="F1" s="115"/>
      <c r="G1" s="111"/>
      <c r="H1" s="111"/>
      <c r="I1" s="180"/>
    </row>
    <row r="2" spans="1:9" ht="21.95" customHeight="1" thickBot="1">
      <c r="A2" s="111"/>
      <c r="B2" s="116" t="s">
        <v>110</v>
      </c>
      <c r="C2" s="117">
        <f>'BOQ Split'!F43</f>
        <v>198474170.97</v>
      </c>
      <c r="D2" s="114"/>
      <c r="E2" s="114"/>
      <c r="F2" s="115"/>
      <c r="G2" s="111"/>
      <c r="H2" s="111"/>
      <c r="I2" s="180"/>
    </row>
    <row r="3" spans="1:9" ht="21.95" customHeight="1" thickBot="1">
      <c r="A3" s="111"/>
      <c r="B3" s="180"/>
      <c r="C3" s="114"/>
      <c r="D3" s="114"/>
      <c r="E3" s="114"/>
      <c r="F3" s="115"/>
      <c r="G3" s="182"/>
      <c r="H3" s="111"/>
      <c r="I3" s="180"/>
    </row>
    <row r="4" spans="1:9" s="201" customFormat="1" ht="21.95" customHeight="1">
      <c r="A4" s="202" t="s">
        <v>28</v>
      </c>
      <c r="B4" s="203" t="s">
        <v>111</v>
      </c>
      <c r="C4" s="204" t="s">
        <v>12</v>
      </c>
      <c r="D4" s="204" t="s">
        <v>112</v>
      </c>
      <c r="E4" s="204" t="s">
        <v>113</v>
      </c>
      <c r="F4" s="205" t="s">
        <v>39</v>
      </c>
      <c r="G4" s="203" t="s">
        <v>114</v>
      </c>
      <c r="H4" s="203" t="s">
        <v>115</v>
      </c>
      <c r="I4" s="206"/>
    </row>
    <row r="5" spans="1:9" ht="21.95" customHeight="1">
      <c r="A5" s="127">
        <v>1</v>
      </c>
      <c r="B5" s="183" t="s">
        <v>116</v>
      </c>
      <c r="C5" s="126"/>
      <c r="D5" s="118"/>
      <c r="E5" s="126"/>
      <c r="F5" s="119"/>
      <c r="G5" s="120"/>
      <c r="H5" s="129"/>
      <c r="I5" s="139"/>
    </row>
    <row r="6" spans="1:9" ht="21.95" customHeight="1">
      <c r="A6" s="127"/>
      <c r="B6" s="121" t="s">
        <v>117</v>
      </c>
      <c r="C6" s="118" t="s">
        <v>12</v>
      </c>
      <c r="D6" s="118" t="s">
        <v>112</v>
      </c>
      <c r="E6" s="118" t="s">
        <v>118</v>
      </c>
      <c r="F6" s="122" t="s">
        <v>39</v>
      </c>
      <c r="G6" s="140"/>
      <c r="H6" s="129"/>
      <c r="I6" s="139"/>
    </row>
    <row r="7" spans="1:9" ht="21.95" customHeight="1">
      <c r="A7" s="127"/>
      <c r="B7" s="124" t="s">
        <v>170</v>
      </c>
      <c r="C7" s="118">
        <v>1</v>
      </c>
      <c r="D7" s="118">
        <v>12</v>
      </c>
      <c r="E7" s="125">
        <v>60000</v>
      </c>
      <c r="F7" s="122">
        <f>PRODUCT(C7:E7)</f>
        <v>720000</v>
      </c>
      <c r="G7" s="140"/>
      <c r="H7" s="129"/>
      <c r="I7" s="139"/>
    </row>
    <row r="8" spans="1:9" ht="21.95" customHeight="1">
      <c r="A8" s="127"/>
      <c r="B8" s="124" t="s">
        <v>119</v>
      </c>
      <c r="C8" s="118">
        <v>4</v>
      </c>
      <c r="D8" s="118">
        <v>12</v>
      </c>
      <c r="E8" s="128">
        <v>35000</v>
      </c>
      <c r="F8" s="122">
        <f t="shared" ref="F8:F9" si="0">PRODUCT(C8:E8)</f>
        <v>1680000</v>
      </c>
      <c r="G8" s="120"/>
      <c r="H8" s="129"/>
      <c r="I8" s="139"/>
    </row>
    <row r="9" spans="1:9" ht="21.95" customHeight="1">
      <c r="A9" s="127"/>
      <c r="B9" s="124" t="s">
        <v>120</v>
      </c>
      <c r="C9" s="118">
        <v>2</v>
      </c>
      <c r="D9" s="118">
        <v>18</v>
      </c>
      <c r="E9" s="125">
        <f>850*30</f>
        <v>25500</v>
      </c>
      <c r="F9" s="122">
        <f t="shared" si="0"/>
        <v>918000</v>
      </c>
      <c r="G9" s="120"/>
      <c r="H9" s="129"/>
      <c r="I9" s="139"/>
    </row>
    <row r="10" spans="1:9" ht="21.95" customHeight="1">
      <c r="A10" s="130"/>
      <c r="B10" s="131" t="s">
        <v>121</v>
      </c>
      <c r="C10" s="132">
        <f>SUM(C7:C9)</f>
        <v>7</v>
      </c>
      <c r="D10" s="132">
        <f>SUMPRODUCT(C7:C9,D7:D9)</f>
        <v>96</v>
      </c>
      <c r="E10" s="133"/>
      <c r="F10" s="135"/>
      <c r="G10" s="136">
        <f>SUM(F7:F9)</f>
        <v>3318000</v>
      </c>
      <c r="H10" s="137">
        <f>+G10/100000</f>
        <v>33.18</v>
      </c>
      <c r="I10" s="138">
        <f>G10/$C$2</f>
        <v>1.6717540543356276E-2</v>
      </c>
    </row>
    <row r="11" spans="1:9" ht="21.95" customHeight="1">
      <c r="A11" s="127">
        <f>A5+1</f>
        <v>2</v>
      </c>
      <c r="B11" s="160" t="s">
        <v>122</v>
      </c>
      <c r="C11" s="126"/>
      <c r="D11" s="126"/>
      <c r="E11" s="126"/>
      <c r="F11" s="122"/>
      <c r="G11" s="140"/>
      <c r="H11" s="141"/>
      <c r="I11" s="139"/>
    </row>
    <row r="12" spans="1:9" ht="21.95" customHeight="1">
      <c r="A12" s="127"/>
      <c r="B12" s="124" t="s">
        <v>311</v>
      </c>
      <c r="C12" s="118">
        <v>1</v>
      </c>
      <c r="D12" s="118">
        <v>12</v>
      </c>
      <c r="E12" s="125">
        <v>50000</v>
      </c>
      <c r="F12" s="122">
        <f t="shared" ref="F12" si="1">PRODUCT(C12:E12)</f>
        <v>600000</v>
      </c>
      <c r="G12" s="120"/>
      <c r="H12" s="129"/>
      <c r="I12" s="139"/>
    </row>
    <row r="13" spans="1:9" ht="21.95" customHeight="1">
      <c r="A13" s="130"/>
      <c r="B13" s="142" t="s">
        <v>121</v>
      </c>
      <c r="C13" s="143">
        <f>SUM(C12:C12)</f>
        <v>1</v>
      </c>
      <c r="D13" s="143"/>
      <c r="E13" s="144"/>
      <c r="F13" s="145"/>
      <c r="G13" s="146">
        <f>SUM(F12:F12)</f>
        <v>600000</v>
      </c>
      <c r="H13" s="147">
        <f>+G13/10^5</f>
        <v>6</v>
      </c>
      <c r="I13" s="148">
        <f>G13/$C$2</f>
        <v>3.0230633893953483E-3</v>
      </c>
    </row>
    <row r="14" spans="1:9" ht="21.95" customHeight="1">
      <c r="A14" s="127">
        <f>A11+1</f>
        <v>3</v>
      </c>
      <c r="B14" s="160" t="s">
        <v>123</v>
      </c>
      <c r="C14" s="126"/>
      <c r="D14" s="126"/>
      <c r="E14" s="126"/>
      <c r="F14" s="122"/>
      <c r="G14" s="140"/>
      <c r="H14" s="141"/>
      <c r="I14" s="139"/>
    </row>
    <row r="15" spans="1:9" ht="21.95" customHeight="1">
      <c r="A15" s="127"/>
      <c r="B15" s="149" t="s">
        <v>124</v>
      </c>
      <c r="C15" s="126">
        <f>C13</f>
        <v>1</v>
      </c>
      <c r="D15" s="184">
        <v>10</v>
      </c>
      <c r="E15" s="150">
        <v>10000</v>
      </c>
      <c r="F15" s="122">
        <f>+E15*C15*D15</f>
        <v>100000</v>
      </c>
      <c r="G15" s="140"/>
      <c r="H15" s="141"/>
      <c r="I15" s="139"/>
    </row>
    <row r="16" spans="1:9" ht="21.95" customHeight="1">
      <c r="A16" s="130"/>
      <c r="B16" s="142" t="s">
        <v>121</v>
      </c>
      <c r="C16" s="143"/>
      <c r="D16" s="143"/>
      <c r="E16" s="143"/>
      <c r="F16" s="145"/>
      <c r="G16" s="146">
        <f>+SUM(F15:F15)</f>
        <v>100000</v>
      </c>
      <c r="H16" s="147">
        <f>+G16/10^5</f>
        <v>1</v>
      </c>
      <c r="I16" s="148">
        <f>G16/$C$2</f>
        <v>5.0384389823255802E-4</v>
      </c>
    </row>
    <row r="17" spans="1:9" ht="21.95" customHeight="1">
      <c r="A17" s="127">
        <f>A14+1</f>
        <v>4</v>
      </c>
      <c r="B17" s="152" t="s">
        <v>125</v>
      </c>
      <c r="C17" s="126"/>
      <c r="D17" s="126"/>
      <c r="E17" s="126"/>
      <c r="F17" s="122"/>
      <c r="G17" s="185"/>
      <c r="H17" s="141"/>
      <c r="I17" s="139"/>
    </row>
    <row r="18" spans="1:9" ht="21.95" customHeight="1">
      <c r="A18" s="127"/>
      <c r="B18" s="186" t="s">
        <v>126</v>
      </c>
      <c r="C18" s="126">
        <v>1</v>
      </c>
      <c r="D18" s="118">
        <v>15</v>
      </c>
      <c r="E18" s="169">
        <v>7500</v>
      </c>
      <c r="F18" s="122">
        <f>+E18*D18*C18</f>
        <v>112500</v>
      </c>
      <c r="G18" s="185"/>
      <c r="H18" s="141"/>
      <c r="I18" s="139"/>
    </row>
    <row r="19" spans="1:9" ht="21.95" customHeight="1">
      <c r="A19" s="127"/>
      <c r="B19" s="153" t="s">
        <v>127</v>
      </c>
      <c r="C19" s="126">
        <v>1</v>
      </c>
      <c r="D19" s="126">
        <v>1</v>
      </c>
      <c r="E19" s="153">
        <v>20000</v>
      </c>
      <c r="F19" s="122">
        <f>+C19*D19*E19</f>
        <v>20000</v>
      </c>
      <c r="G19" s="185"/>
      <c r="H19" s="141"/>
      <c r="I19" s="139"/>
    </row>
    <row r="20" spans="1:9" ht="21.95" customHeight="1">
      <c r="A20" s="127"/>
      <c r="B20" s="153" t="s">
        <v>128</v>
      </c>
      <c r="C20" s="126">
        <v>1</v>
      </c>
      <c r="D20" s="126">
        <v>1</v>
      </c>
      <c r="E20" s="153">
        <v>50000</v>
      </c>
      <c r="F20" s="122">
        <f>+C20*D20*E20</f>
        <v>50000</v>
      </c>
      <c r="G20" s="185"/>
      <c r="H20" s="141"/>
      <c r="I20" s="139"/>
    </row>
    <row r="21" spans="1:9" ht="21.95" customHeight="1">
      <c r="A21" s="127"/>
      <c r="B21" s="153" t="s">
        <v>312</v>
      </c>
      <c r="C21" s="154">
        <v>1</v>
      </c>
      <c r="D21" s="126">
        <v>4</v>
      </c>
      <c r="E21" s="153">
        <v>10000</v>
      </c>
      <c r="F21" s="122">
        <v>0</v>
      </c>
      <c r="G21" s="185"/>
      <c r="H21" s="141"/>
      <c r="I21" s="139"/>
    </row>
    <row r="22" spans="1:9" ht="21.95" customHeight="1">
      <c r="A22" s="127"/>
      <c r="B22" s="153" t="s">
        <v>129</v>
      </c>
      <c r="C22" s="126">
        <v>1</v>
      </c>
      <c r="D22" s="118">
        <v>12</v>
      </c>
      <c r="E22" s="153">
        <v>20000</v>
      </c>
      <c r="F22" s="122">
        <f>+C22*D22*E22</f>
        <v>240000</v>
      </c>
      <c r="G22" s="185"/>
      <c r="H22" s="141"/>
      <c r="I22" s="139"/>
    </row>
    <row r="23" spans="1:9" ht="21.95" customHeight="1">
      <c r="A23" s="127"/>
      <c r="B23" s="153" t="s">
        <v>130</v>
      </c>
      <c r="C23" s="154">
        <v>1</v>
      </c>
      <c r="D23" s="118">
        <v>6</v>
      </c>
      <c r="E23" s="153">
        <v>700</v>
      </c>
      <c r="F23" s="122">
        <f>+C23*D23*E23</f>
        <v>4200</v>
      </c>
      <c r="G23" s="185"/>
      <c r="H23" s="141"/>
      <c r="I23" s="139"/>
    </row>
    <row r="24" spans="1:9" ht="21.95" customHeight="1">
      <c r="A24" s="127"/>
      <c r="B24" s="153" t="s">
        <v>131</v>
      </c>
      <c r="C24" s="154">
        <v>1</v>
      </c>
      <c r="D24" s="118">
        <v>12</v>
      </c>
      <c r="E24" s="153">
        <v>2000</v>
      </c>
      <c r="F24" s="122">
        <f>+C24*D24*E24</f>
        <v>24000</v>
      </c>
      <c r="G24" s="185"/>
      <c r="H24" s="141"/>
      <c r="I24" s="139"/>
    </row>
    <row r="25" spans="1:9" ht="21.95" customHeight="1">
      <c r="A25" s="127"/>
      <c r="B25" s="153" t="s">
        <v>132</v>
      </c>
      <c r="C25" s="126">
        <v>1</v>
      </c>
      <c r="D25" s="118">
        <v>12</v>
      </c>
      <c r="E25" s="153">
        <v>5000</v>
      </c>
      <c r="F25" s="122">
        <f>+C25*D25*E25</f>
        <v>60000</v>
      </c>
      <c r="G25" s="185"/>
      <c r="H25" s="141"/>
      <c r="I25" s="139"/>
    </row>
    <row r="26" spans="1:9" ht="21.95" customHeight="1">
      <c r="A26" s="127"/>
      <c r="B26" s="153" t="s">
        <v>133</v>
      </c>
      <c r="C26" s="154">
        <v>1</v>
      </c>
      <c r="D26" s="118">
        <v>12</v>
      </c>
      <c r="E26" s="153">
        <v>5000</v>
      </c>
      <c r="F26" s="122">
        <f>+C26*D26*E26</f>
        <v>60000</v>
      </c>
      <c r="G26" s="185"/>
      <c r="H26" s="141"/>
      <c r="I26" s="139"/>
    </row>
    <row r="27" spans="1:9" ht="21.95" customHeight="1">
      <c r="A27" s="130"/>
      <c r="B27" s="142" t="s">
        <v>121</v>
      </c>
      <c r="C27" s="143"/>
      <c r="D27" s="143"/>
      <c r="E27" s="187"/>
      <c r="F27" s="145">
        <f>SUM(F17:F26)</f>
        <v>570700</v>
      </c>
      <c r="G27" s="188">
        <f>+F27</f>
        <v>570700</v>
      </c>
      <c r="H27" s="147">
        <f>+G27/10^5</f>
        <v>5.7069999999999999</v>
      </c>
      <c r="I27" s="148">
        <f>G27/$C$2</f>
        <v>2.8754371272132085E-3</v>
      </c>
    </row>
    <row r="28" spans="1:9" ht="21.95" customHeight="1">
      <c r="A28" s="127">
        <f>A17+1</f>
        <v>5</v>
      </c>
      <c r="B28" s="151" t="s">
        <v>134</v>
      </c>
      <c r="C28" s="126"/>
      <c r="D28" s="126"/>
      <c r="E28" s="153"/>
      <c r="F28" s="122"/>
      <c r="G28" s="185"/>
      <c r="H28" s="141"/>
      <c r="I28" s="139"/>
    </row>
    <row r="29" spans="1:9" ht="21.95" customHeight="1">
      <c r="A29" s="127"/>
      <c r="B29" s="153" t="s">
        <v>313</v>
      </c>
      <c r="C29" s="154">
        <v>12</v>
      </c>
      <c r="D29" s="126"/>
      <c r="E29" s="153">
        <v>1000</v>
      </c>
      <c r="F29" s="122">
        <f>+E29*C29</f>
        <v>12000</v>
      </c>
      <c r="G29" s="189"/>
      <c r="H29" s="141"/>
      <c r="I29" s="139"/>
    </row>
    <row r="30" spans="1:9" ht="21.95" customHeight="1">
      <c r="A30" s="130"/>
      <c r="B30" s="142" t="s">
        <v>121</v>
      </c>
      <c r="C30" s="143"/>
      <c r="D30" s="143"/>
      <c r="E30" s="187"/>
      <c r="F30" s="145">
        <f>+SUM(F29:F29)</f>
        <v>12000</v>
      </c>
      <c r="G30" s="190">
        <f>+F30</f>
        <v>12000</v>
      </c>
      <c r="H30" s="147">
        <f>+G30/10^5</f>
        <v>0.12</v>
      </c>
      <c r="I30" s="148">
        <f>G30/$C$2</f>
        <v>6.0461267787906964E-5</v>
      </c>
    </row>
    <row r="31" spans="1:9" ht="21.95" customHeight="1">
      <c r="A31" s="127">
        <f>A28+1</f>
        <v>6</v>
      </c>
      <c r="B31" s="152" t="s">
        <v>135</v>
      </c>
      <c r="C31" s="126"/>
      <c r="D31" s="126"/>
      <c r="E31" s="126"/>
      <c r="F31" s="122"/>
      <c r="G31" s="140"/>
      <c r="H31" s="141"/>
      <c r="I31" s="139"/>
    </row>
    <row r="32" spans="1:9" ht="21.95" customHeight="1">
      <c r="A32" s="127"/>
      <c r="B32" s="153" t="s">
        <v>136</v>
      </c>
      <c r="C32" s="126">
        <v>1</v>
      </c>
      <c r="D32" s="126">
        <v>1</v>
      </c>
      <c r="E32" s="126">
        <v>60000</v>
      </c>
      <c r="F32" s="122">
        <f>+E32*D32*C32</f>
        <v>60000</v>
      </c>
      <c r="G32" s="140"/>
      <c r="H32" s="141"/>
      <c r="I32" s="139"/>
    </row>
    <row r="33" spans="1:9" ht="21.95" customHeight="1">
      <c r="A33" s="127"/>
      <c r="B33" s="153" t="s">
        <v>137</v>
      </c>
      <c r="C33" s="126">
        <v>1</v>
      </c>
      <c r="D33" s="126">
        <v>1</v>
      </c>
      <c r="E33" s="126">
        <v>10000</v>
      </c>
      <c r="F33" s="122">
        <f t="shared" ref="F33" si="2">+E33*D33*C33</f>
        <v>10000</v>
      </c>
      <c r="G33" s="140"/>
      <c r="H33" s="141"/>
      <c r="I33" s="139"/>
    </row>
    <row r="34" spans="1:9" ht="21.95" customHeight="1">
      <c r="A34" s="127"/>
      <c r="B34" s="153" t="s">
        <v>138</v>
      </c>
      <c r="C34" s="126">
        <v>1</v>
      </c>
      <c r="D34" s="126">
        <v>10</v>
      </c>
      <c r="E34" s="126">
        <v>1500</v>
      </c>
      <c r="F34" s="122">
        <f t="shared" ref="F34" si="3">+E34*D34*C34</f>
        <v>15000</v>
      </c>
      <c r="G34" s="140"/>
      <c r="H34" s="141"/>
      <c r="I34" s="139"/>
    </row>
    <row r="35" spans="1:9" ht="21.95" customHeight="1">
      <c r="A35" s="127"/>
      <c r="B35" s="153" t="s">
        <v>139</v>
      </c>
      <c r="C35" s="126">
        <v>0</v>
      </c>
      <c r="D35" s="126"/>
      <c r="E35" s="155">
        <v>0.6</v>
      </c>
      <c r="F35" s="122">
        <f>E35*F34</f>
        <v>9000</v>
      </c>
      <c r="G35" s="140"/>
      <c r="H35" s="141"/>
      <c r="I35" s="139"/>
    </row>
    <row r="36" spans="1:9" ht="21.95" customHeight="1">
      <c r="A36" s="127"/>
      <c r="B36" s="153" t="s">
        <v>140</v>
      </c>
      <c r="C36" s="126">
        <v>0</v>
      </c>
      <c r="D36" s="126"/>
      <c r="E36" s="155">
        <v>0.6</v>
      </c>
      <c r="F36" s="122">
        <f>F35</f>
        <v>9000</v>
      </c>
      <c r="G36" s="140"/>
      <c r="H36" s="141"/>
      <c r="I36" s="139"/>
    </row>
    <row r="37" spans="1:9" ht="21.95" customHeight="1">
      <c r="A37" s="127"/>
      <c r="B37" s="153" t="s">
        <v>141</v>
      </c>
      <c r="C37" s="126">
        <v>0</v>
      </c>
      <c r="D37" s="126">
        <v>1</v>
      </c>
      <c r="E37" s="126">
        <v>1</v>
      </c>
      <c r="F37" s="122">
        <v>10000</v>
      </c>
      <c r="G37" s="140"/>
      <c r="H37" s="141"/>
      <c r="I37" s="139"/>
    </row>
    <row r="38" spans="1:9" ht="21.95" customHeight="1">
      <c r="A38" s="130"/>
      <c r="B38" s="142" t="s">
        <v>121</v>
      </c>
      <c r="C38" s="143"/>
      <c r="D38" s="143"/>
      <c r="E38" s="143"/>
      <c r="F38" s="145"/>
      <c r="G38" s="146">
        <f>SUM(F32:F37)</f>
        <v>113000</v>
      </c>
      <c r="H38" s="147">
        <f>+G38/10^5</f>
        <v>1.1299999999999999</v>
      </c>
      <c r="I38" s="148">
        <f>G38/$C$2</f>
        <v>5.6934360500279053E-4</v>
      </c>
    </row>
    <row r="39" spans="1:9" ht="21.95" customHeight="1">
      <c r="A39" s="127">
        <f>A31+1</f>
        <v>7</v>
      </c>
      <c r="B39" s="152" t="s">
        <v>142</v>
      </c>
      <c r="C39" s="156"/>
      <c r="D39" s="157"/>
      <c r="E39" s="157"/>
      <c r="F39" s="122"/>
      <c r="G39" s="161"/>
      <c r="H39" s="141"/>
      <c r="I39" s="139"/>
    </row>
    <row r="40" spans="1:9" ht="21.95" customHeight="1">
      <c r="A40" s="127"/>
      <c r="B40" s="158" t="s">
        <v>143</v>
      </c>
      <c r="C40" s="159">
        <v>1</v>
      </c>
      <c r="D40" s="156">
        <v>12</v>
      </c>
      <c r="E40" s="126">
        <v>6000</v>
      </c>
      <c r="F40" s="122">
        <f>+E40*D40*C40</f>
        <v>72000</v>
      </c>
      <c r="G40" s="161"/>
      <c r="H40" s="141"/>
      <c r="I40" s="139"/>
    </row>
    <row r="41" spans="1:9" ht="21.95" customHeight="1">
      <c r="A41" s="130"/>
      <c r="B41" s="142" t="s">
        <v>121</v>
      </c>
      <c r="C41" s="143"/>
      <c r="D41" s="143"/>
      <c r="E41" s="143"/>
      <c r="F41" s="145"/>
      <c r="G41" s="146">
        <f>+SUM(F40:F40)</f>
        <v>72000</v>
      </c>
      <c r="H41" s="147">
        <f>+G41/10^5</f>
        <v>0.72</v>
      </c>
      <c r="I41" s="148">
        <f>G41/$C$2</f>
        <v>3.6276760672744178E-4</v>
      </c>
    </row>
    <row r="42" spans="1:9" ht="21.95" customHeight="1">
      <c r="A42" s="127">
        <v>8</v>
      </c>
      <c r="B42" s="183" t="s">
        <v>144</v>
      </c>
      <c r="C42" s="126"/>
      <c r="D42" s="126"/>
      <c r="E42" s="126"/>
      <c r="F42" s="122"/>
      <c r="G42" s="161"/>
      <c r="H42" s="141"/>
      <c r="I42" s="139"/>
    </row>
    <row r="43" spans="1:9" ht="21.95" customHeight="1">
      <c r="A43" s="127"/>
      <c r="B43" s="153" t="s">
        <v>145</v>
      </c>
      <c r="C43" s="126">
        <v>1</v>
      </c>
      <c r="D43" s="126">
        <v>12</v>
      </c>
      <c r="E43" s="153">
        <v>400</v>
      </c>
      <c r="F43" s="122">
        <f t="shared" ref="F43:F45" si="4">PRODUCT(C43:E43)</f>
        <v>4800</v>
      </c>
      <c r="G43" s="161"/>
      <c r="H43" s="141"/>
      <c r="I43" s="139"/>
    </row>
    <row r="44" spans="1:9" ht="21.95" customHeight="1">
      <c r="A44" s="127"/>
      <c r="B44" s="153" t="s">
        <v>146</v>
      </c>
      <c r="C44" s="126">
        <v>1</v>
      </c>
      <c r="D44" s="126">
        <v>1</v>
      </c>
      <c r="E44" s="153">
        <v>30000</v>
      </c>
      <c r="F44" s="122">
        <f t="shared" si="4"/>
        <v>30000</v>
      </c>
      <c r="G44" s="161"/>
      <c r="H44" s="141"/>
      <c r="I44" s="139"/>
    </row>
    <row r="45" spans="1:9" ht="21.95" customHeight="1">
      <c r="A45" s="127"/>
      <c r="B45" s="153" t="s">
        <v>147</v>
      </c>
      <c r="C45" s="126">
        <v>1</v>
      </c>
      <c r="D45" s="126">
        <v>1</v>
      </c>
      <c r="E45" s="153">
        <v>30000</v>
      </c>
      <c r="F45" s="122">
        <f t="shared" si="4"/>
        <v>30000</v>
      </c>
      <c r="G45" s="161"/>
      <c r="H45" s="141"/>
      <c r="I45" s="139"/>
    </row>
    <row r="46" spans="1:9" ht="21.95" customHeight="1">
      <c r="A46" s="130"/>
      <c r="B46" s="142" t="s">
        <v>121</v>
      </c>
      <c r="C46" s="143"/>
      <c r="D46" s="143"/>
      <c r="E46" s="143"/>
      <c r="F46" s="145"/>
      <c r="G46" s="146">
        <f>SUM(F43:F45)</f>
        <v>64800</v>
      </c>
      <c r="H46" s="147">
        <f>+G46/10^5</f>
        <v>0.64800000000000002</v>
      </c>
      <c r="I46" s="148">
        <f>G46/$C$2</f>
        <v>3.2649084605469757E-4</v>
      </c>
    </row>
    <row r="47" spans="1:9" ht="27" customHeight="1">
      <c r="A47" s="127">
        <f>A42+1</f>
        <v>9</v>
      </c>
      <c r="B47" s="123" t="s">
        <v>148</v>
      </c>
      <c r="C47" s="118"/>
      <c r="D47" s="126"/>
      <c r="E47" s="126"/>
      <c r="F47" s="122"/>
      <c r="G47" s="161"/>
      <c r="H47" s="141"/>
      <c r="I47" s="139"/>
    </row>
    <row r="48" spans="1:9" ht="21.95" customHeight="1">
      <c r="A48" s="167"/>
      <c r="B48" s="153" t="s">
        <v>45</v>
      </c>
      <c r="C48" s="126">
        <v>1</v>
      </c>
      <c r="D48" s="126">
        <v>12</v>
      </c>
      <c r="E48" s="153">
        <v>18000</v>
      </c>
      <c r="F48" s="122">
        <f t="shared" ref="F48:F49" si="5">PRODUCT(C48:E48)</f>
        <v>216000</v>
      </c>
      <c r="G48" s="161"/>
      <c r="H48" s="141"/>
      <c r="I48" s="139"/>
    </row>
    <row r="49" spans="1:9" ht="21.95" customHeight="1">
      <c r="A49" s="167"/>
      <c r="B49" s="153" t="s">
        <v>149</v>
      </c>
      <c r="C49" s="337">
        <v>2</v>
      </c>
      <c r="D49" s="126">
        <v>12</v>
      </c>
      <c r="E49" s="169">
        <v>15000</v>
      </c>
      <c r="F49" s="122">
        <f t="shared" si="5"/>
        <v>360000</v>
      </c>
      <c r="G49" s="161"/>
      <c r="H49" s="141"/>
      <c r="I49" s="139"/>
    </row>
    <row r="50" spans="1:9" ht="21.95" customHeight="1">
      <c r="A50" s="130"/>
      <c r="B50" s="142" t="s">
        <v>121</v>
      </c>
      <c r="C50" s="134"/>
      <c r="D50" s="143"/>
      <c r="E50" s="143"/>
      <c r="F50" s="145"/>
      <c r="G50" s="146">
        <f>SUM(F48:F49)</f>
        <v>576000</v>
      </c>
      <c r="H50" s="147">
        <f>+G50/10^5</f>
        <v>5.76</v>
      </c>
      <c r="I50" s="148">
        <f>G50/$C$2</f>
        <v>2.9021408538195343E-3</v>
      </c>
    </row>
    <row r="51" spans="1:9" ht="24" customHeight="1">
      <c r="A51" s="127">
        <f>A47+1</f>
        <v>10</v>
      </c>
      <c r="B51" s="123" t="s">
        <v>315</v>
      </c>
      <c r="C51" s="118"/>
      <c r="D51" s="126"/>
      <c r="E51" s="126"/>
      <c r="F51" s="122"/>
      <c r="G51" s="161"/>
      <c r="H51" s="141"/>
      <c r="I51" s="139"/>
    </row>
    <row r="52" spans="1:9" ht="21.95" customHeight="1">
      <c r="A52" s="127"/>
      <c r="B52" s="162" t="s">
        <v>150</v>
      </c>
      <c r="C52" s="156">
        <v>1</v>
      </c>
      <c r="D52" s="126">
        <v>12</v>
      </c>
      <c r="E52" s="150">
        <v>7000</v>
      </c>
      <c r="F52" s="122">
        <f t="shared" ref="F52:F55" si="6">PRODUCT(C52:E52)</f>
        <v>84000</v>
      </c>
      <c r="G52" s="161"/>
      <c r="H52" s="141"/>
      <c r="I52" s="139"/>
    </row>
    <row r="53" spans="1:9" ht="21.95" customHeight="1">
      <c r="A53" s="127"/>
      <c r="B53" s="163" t="s">
        <v>314</v>
      </c>
      <c r="C53" s="156">
        <v>1</v>
      </c>
      <c r="D53" s="126">
        <v>1</v>
      </c>
      <c r="E53" s="150">
        <v>50000</v>
      </c>
      <c r="F53" s="122">
        <f t="shared" si="6"/>
        <v>50000</v>
      </c>
      <c r="G53" s="161"/>
      <c r="H53" s="141"/>
      <c r="I53" s="139"/>
    </row>
    <row r="54" spans="1:9" ht="21.95" customHeight="1">
      <c r="A54" s="127"/>
      <c r="B54" s="163" t="s">
        <v>151</v>
      </c>
      <c r="C54" s="156">
        <v>1</v>
      </c>
      <c r="D54" s="126">
        <v>8</v>
      </c>
      <c r="E54" s="150">
        <v>600</v>
      </c>
      <c r="F54" s="122">
        <f t="shared" si="6"/>
        <v>4800</v>
      </c>
      <c r="G54" s="161"/>
      <c r="H54" s="141"/>
      <c r="I54" s="139"/>
    </row>
    <row r="55" spans="1:9" ht="21.95" customHeight="1">
      <c r="A55" s="127"/>
      <c r="B55" s="162" t="s">
        <v>152</v>
      </c>
      <c r="C55" s="156">
        <v>1</v>
      </c>
      <c r="D55" s="156">
        <v>1</v>
      </c>
      <c r="E55" s="150">
        <v>100000</v>
      </c>
      <c r="F55" s="122">
        <f t="shared" si="6"/>
        <v>100000</v>
      </c>
      <c r="G55" s="161"/>
      <c r="H55" s="141"/>
      <c r="I55" s="139"/>
    </row>
    <row r="56" spans="1:9" ht="21.95" customHeight="1">
      <c r="A56" s="130"/>
      <c r="B56" s="142" t="s">
        <v>121</v>
      </c>
      <c r="C56" s="164"/>
      <c r="D56" s="164"/>
      <c r="E56" s="165"/>
      <c r="F56" s="145"/>
      <c r="G56" s="146">
        <f>+SUM(F52:F55)</f>
        <v>238800</v>
      </c>
      <c r="H56" s="147">
        <f>+G56/10^5</f>
        <v>2.3879999999999999</v>
      </c>
      <c r="I56" s="148">
        <f>G56/$C$2</f>
        <v>1.2031792289793485E-3</v>
      </c>
    </row>
    <row r="57" spans="1:9" ht="21.95" customHeight="1">
      <c r="A57" s="127">
        <f>A51+1</f>
        <v>11</v>
      </c>
      <c r="B57" s="166" t="s">
        <v>153</v>
      </c>
      <c r="C57" s="118"/>
      <c r="D57" s="126"/>
      <c r="E57" s="126"/>
      <c r="F57" s="122"/>
      <c r="G57" s="140"/>
      <c r="H57" s="141"/>
      <c r="I57" s="139"/>
    </row>
    <row r="58" spans="1:9" ht="21.95" customHeight="1">
      <c r="A58" s="167"/>
      <c r="B58" s="153" t="s">
        <v>316</v>
      </c>
      <c r="C58" s="168">
        <v>1</v>
      </c>
      <c r="D58" s="126">
        <v>1</v>
      </c>
      <c r="E58" s="169">
        <v>300000</v>
      </c>
      <c r="F58" s="122">
        <f t="shared" ref="F58:F60" si="7">PRODUCT(C58:E58)</f>
        <v>300000</v>
      </c>
      <c r="G58" s="140"/>
      <c r="H58" s="141"/>
      <c r="I58" s="139"/>
    </row>
    <row r="59" spans="1:9" ht="21.95" customHeight="1">
      <c r="A59" s="167"/>
      <c r="B59" s="153" t="s">
        <v>154</v>
      </c>
      <c r="C59" s="168">
        <v>1</v>
      </c>
      <c r="D59" s="126">
        <v>1</v>
      </c>
      <c r="E59" s="169">
        <v>60000</v>
      </c>
      <c r="F59" s="122">
        <f t="shared" si="7"/>
        <v>60000</v>
      </c>
      <c r="G59" s="140"/>
      <c r="H59" s="141"/>
      <c r="I59" s="170"/>
    </row>
    <row r="60" spans="1:9" ht="21.95" customHeight="1">
      <c r="A60" s="167"/>
      <c r="B60" s="153" t="s">
        <v>155</v>
      </c>
      <c r="C60" s="118">
        <v>1</v>
      </c>
      <c r="D60" s="126">
        <v>1</v>
      </c>
      <c r="E60" s="169">
        <v>100000</v>
      </c>
      <c r="F60" s="122">
        <f t="shared" si="7"/>
        <v>100000</v>
      </c>
      <c r="G60" s="140"/>
      <c r="H60" s="141"/>
      <c r="I60" s="139"/>
    </row>
    <row r="61" spans="1:9" ht="21.95" customHeight="1">
      <c r="A61" s="130"/>
      <c r="B61" s="142" t="s">
        <v>121</v>
      </c>
      <c r="C61" s="143"/>
      <c r="D61" s="143"/>
      <c r="E61" s="143"/>
      <c r="F61" s="145"/>
      <c r="G61" s="146">
        <f>SUM(F58:F60)</f>
        <v>460000</v>
      </c>
      <c r="H61" s="147">
        <f>+G61/10^5</f>
        <v>4.5999999999999996</v>
      </c>
      <c r="I61" s="148">
        <f>G61/$C$2</f>
        <v>2.3176819318697669E-3</v>
      </c>
    </row>
    <row r="62" spans="1:9" ht="21.95" customHeight="1">
      <c r="A62" s="127">
        <f>A57+1</f>
        <v>12</v>
      </c>
      <c r="B62" s="123" t="s">
        <v>156</v>
      </c>
      <c r="C62" s="118"/>
      <c r="D62" s="126"/>
      <c r="E62" s="126"/>
      <c r="F62" s="122"/>
      <c r="G62" s="161"/>
      <c r="H62" s="141"/>
      <c r="I62" s="139"/>
    </row>
    <row r="63" spans="1:9" ht="21.95" customHeight="1">
      <c r="A63" s="127"/>
      <c r="B63" s="153" t="s">
        <v>317</v>
      </c>
      <c r="C63" s="118">
        <v>1</v>
      </c>
      <c r="D63" s="126">
        <v>12</v>
      </c>
      <c r="E63" s="169">
        <v>5000</v>
      </c>
      <c r="F63" s="122">
        <f t="shared" ref="F63" si="8">PRODUCT(C63:E63)</f>
        <v>60000</v>
      </c>
      <c r="G63" s="161"/>
      <c r="H63" s="141"/>
      <c r="I63" s="139"/>
    </row>
    <row r="64" spans="1:9" ht="21.95" customHeight="1">
      <c r="A64" s="130"/>
      <c r="B64" s="142" t="s">
        <v>121</v>
      </c>
      <c r="C64" s="134"/>
      <c r="D64" s="143"/>
      <c r="E64" s="143"/>
      <c r="F64" s="145"/>
      <c r="G64" s="146">
        <f>SUM(F62:F63)</f>
        <v>60000</v>
      </c>
      <c r="H64" s="147">
        <f>+G64/10^5</f>
        <v>0.6</v>
      </c>
      <c r="I64" s="148">
        <f>G64/$C$2</f>
        <v>3.0230633893953482E-4</v>
      </c>
    </row>
    <row r="65" spans="1:9" ht="21.95" customHeight="1">
      <c r="A65" s="127">
        <f>A62+1</f>
        <v>13</v>
      </c>
      <c r="B65" s="183" t="s">
        <v>157</v>
      </c>
      <c r="C65" s="126"/>
      <c r="D65" s="126"/>
      <c r="E65" s="126"/>
      <c r="F65" s="122"/>
      <c r="G65" s="140"/>
      <c r="H65" s="129"/>
      <c r="I65" s="172"/>
    </row>
    <row r="66" spans="1:9" ht="21.95" customHeight="1">
      <c r="A66" s="127"/>
      <c r="B66" s="153" t="s">
        <v>318</v>
      </c>
      <c r="C66" s="176">
        <v>1</v>
      </c>
      <c r="D66" s="176">
        <v>1</v>
      </c>
      <c r="E66" s="126">
        <v>50000</v>
      </c>
      <c r="F66" s="122">
        <f t="shared" ref="F66:F68" si="9">PRODUCT(C66:E66)</f>
        <v>50000</v>
      </c>
      <c r="G66" s="191"/>
      <c r="H66" s="129"/>
      <c r="I66" s="172"/>
    </row>
    <row r="67" spans="1:9" ht="21.95" customHeight="1">
      <c r="A67" s="127"/>
      <c r="B67" s="153" t="s">
        <v>158</v>
      </c>
      <c r="C67" s="176">
        <v>1</v>
      </c>
      <c r="D67" s="176">
        <v>12</v>
      </c>
      <c r="E67" s="126">
        <v>7000</v>
      </c>
      <c r="F67" s="122">
        <f t="shared" si="9"/>
        <v>84000</v>
      </c>
      <c r="G67" s="191"/>
      <c r="H67" s="129"/>
      <c r="I67" s="172"/>
    </row>
    <row r="68" spans="1:9" ht="21.95" customHeight="1">
      <c r="A68" s="127"/>
      <c r="B68" s="153" t="s">
        <v>159</v>
      </c>
      <c r="C68" s="176">
        <v>1</v>
      </c>
      <c r="D68" s="176">
        <v>15</v>
      </c>
      <c r="E68" s="126">
        <v>300</v>
      </c>
      <c r="F68" s="122">
        <f t="shared" si="9"/>
        <v>4500</v>
      </c>
      <c r="G68" s="191"/>
      <c r="H68" s="129"/>
      <c r="I68" s="172"/>
    </row>
    <row r="69" spans="1:9" ht="21.95" customHeight="1">
      <c r="A69" s="130"/>
      <c r="B69" s="142" t="s">
        <v>121</v>
      </c>
      <c r="C69" s="134"/>
      <c r="D69" s="143"/>
      <c r="E69" s="143"/>
      <c r="F69" s="145"/>
      <c r="G69" s="146">
        <f>SUM(F66:F68)</f>
        <v>138500</v>
      </c>
      <c r="H69" s="147">
        <f>+G69/10^5</f>
        <v>1.385</v>
      </c>
      <c r="I69" s="148">
        <f>G69/$C$2</f>
        <v>6.9782379905209281E-4</v>
      </c>
    </row>
    <row r="70" spans="1:9" ht="21.95" customHeight="1">
      <c r="A70" s="127">
        <v>14</v>
      </c>
      <c r="B70" s="183" t="s">
        <v>160</v>
      </c>
      <c r="C70" s="174">
        <v>5.0000000000000001E-3</v>
      </c>
      <c r="D70" s="126"/>
      <c r="E70" s="126"/>
      <c r="F70" s="122"/>
      <c r="G70" s="192">
        <f>C2*C70</f>
        <v>992370.85485</v>
      </c>
      <c r="H70" s="129"/>
      <c r="I70" s="139"/>
    </row>
    <row r="71" spans="1:9" ht="21.95" customHeight="1">
      <c r="A71" s="127"/>
      <c r="B71" s="173" t="s">
        <v>161</v>
      </c>
      <c r="C71" s="176">
        <v>1</v>
      </c>
      <c r="D71" s="176">
        <v>12</v>
      </c>
      <c r="E71" s="126">
        <v>100000</v>
      </c>
      <c r="F71" s="122">
        <f t="shared" ref="F71" si="10">PRODUCT(C71:E71)</f>
        <v>1200000</v>
      </c>
      <c r="G71" s="193"/>
      <c r="H71" s="141"/>
      <c r="I71" s="139"/>
    </row>
    <row r="72" spans="1:9" ht="21.95" customHeight="1">
      <c r="A72" s="130"/>
      <c r="B72" s="142" t="s">
        <v>121</v>
      </c>
      <c r="C72" s="134"/>
      <c r="D72" s="143"/>
      <c r="E72" s="143"/>
      <c r="F72" s="145"/>
      <c r="G72" s="146">
        <f>SUM(F70:F71)+G70</f>
        <v>2192370.8548499998</v>
      </c>
      <c r="H72" s="147">
        <f>+G72/10^5</f>
        <v>21.923708548499999</v>
      </c>
      <c r="I72" s="148">
        <f>G72/$C$2</f>
        <v>1.1046126778790695E-2</v>
      </c>
    </row>
    <row r="73" spans="1:9" ht="21.95" customHeight="1">
      <c r="A73" s="127">
        <v>15</v>
      </c>
      <c r="B73" s="175" t="s">
        <v>162</v>
      </c>
      <c r="C73" s="118"/>
      <c r="D73" s="126"/>
      <c r="E73" s="126"/>
      <c r="F73" s="122"/>
      <c r="G73" s="161"/>
      <c r="H73" s="171"/>
      <c r="I73" s="148"/>
    </row>
    <row r="74" spans="1:9" ht="21.95" customHeight="1">
      <c r="A74" s="127"/>
      <c r="B74" s="140" t="s">
        <v>163</v>
      </c>
      <c r="C74" s="118">
        <v>30</v>
      </c>
      <c r="D74" s="126">
        <v>12</v>
      </c>
      <c r="E74" s="126">
        <v>700</v>
      </c>
      <c r="F74" s="122">
        <f t="shared" ref="F74" si="11">PRODUCT(C74:E74)</f>
        <v>252000</v>
      </c>
      <c r="G74" s="161"/>
      <c r="H74" s="171"/>
      <c r="I74" s="148"/>
    </row>
    <row r="75" spans="1:9" ht="21.95" customHeight="1">
      <c r="A75" s="130"/>
      <c r="B75" s="142" t="s">
        <v>121</v>
      </c>
      <c r="C75" s="134"/>
      <c r="D75" s="143"/>
      <c r="E75" s="143"/>
      <c r="F75" s="145"/>
      <c r="G75" s="146">
        <f>SUM(F73:F74)</f>
        <v>252000</v>
      </c>
      <c r="H75" s="147">
        <f>+G75/10^5</f>
        <v>2.52</v>
      </c>
      <c r="I75" s="148">
        <f>G75/$C$2</f>
        <v>1.2696866235460463E-3</v>
      </c>
    </row>
    <row r="76" spans="1:9" s="346" customFormat="1" ht="21.95" customHeight="1">
      <c r="A76" s="338"/>
      <c r="B76" s="339"/>
      <c r="C76" s="340"/>
      <c r="D76" s="341"/>
      <c r="E76" s="341"/>
      <c r="F76" s="342"/>
      <c r="G76" s="343"/>
      <c r="H76" s="344"/>
      <c r="I76" s="345"/>
    </row>
    <row r="77" spans="1:9" ht="21.95" customHeight="1" thickBot="1">
      <c r="A77" s="194"/>
      <c r="B77" s="195" t="s">
        <v>164</v>
      </c>
      <c r="C77" s="177"/>
      <c r="D77" s="177"/>
      <c r="E77" s="177"/>
      <c r="F77" s="196"/>
      <c r="G77" s="197">
        <f>G75+G72+G69+G64+G61+G56+G50+G46+G41+G38+G30+G27+G16+G13+G10</f>
        <v>8768170.8548499998</v>
      </c>
      <c r="H77" s="195"/>
      <c r="I77" s="178">
        <f>G77/$C$2</f>
        <v>4.4177893838767246E-2</v>
      </c>
    </row>
    <row r="78" spans="1:9" ht="21.95" customHeight="1">
      <c r="A78" s="198"/>
      <c r="B78" s="198"/>
      <c r="C78" s="179"/>
      <c r="D78" s="179"/>
      <c r="E78" s="198"/>
      <c r="F78" s="199"/>
      <c r="G78" s="198"/>
      <c r="H78" s="198"/>
      <c r="I78" s="198"/>
    </row>
  </sheetData>
  <pageMargins left="0.7" right="0.7" top="0.75" bottom="0.75" header="0.3" footer="0.3"/>
  <pageSetup scale="62" fitToHeight="0" orientation="portrait" r:id="rId1"/>
  <headerFooter>
    <oddFooter>Page &amp;P of &amp;N</oddFooter>
  </headerFooter>
</worksheet>
</file>

<file path=xl/worksheets/sheet7.xml><?xml version="1.0" encoding="utf-8"?>
<worksheet xmlns="http://schemas.openxmlformats.org/spreadsheetml/2006/main" xmlns:r="http://schemas.openxmlformats.org/officeDocument/2006/relationships">
  <sheetPr codeName="Sheet6">
    <pageSetUpPr fitToPage="1"/>
  </sheetPr>
  <dimension ref="A1:K35"/>
  <sheetViews>
    <sheetView view="pageBreakPreview" topLeftCell="A4" zoomScale="80" zoomScaleSheetLayoutView="80" workbookViewId="0">
      <selection activeCell="F27" sqref="F27"/>
    </sheetView>
  </sheetViews>
  <sheetFormatPr defaultRowHeight="20.100000000000001" customHeight="1"/>
  <cols>
    <col min="1" max="1" width="7" style="18" bestFit="1" customWidth="1"/>
    <col min="2" max="2" width="54.6640625" style="41" bestFit="1" customWidth="1"/>
    <col min="3" max="3" width="8.5" style="18" customWidth="1"/>
    <col min="4" max="4" width="17.83203125" style="19" bestFit="1" customWidth="1"/>
    <col min="5" max="5" width="16.33203125" style="20" bestFit="1" customWidth="1"/>
    <col min="6" max="6" width="16.83203125" style="21" bestFit="1" customWidth="1"/>
    <col min="7" max="7" width="23.1640625" style="22" bestFit="1" customWidth="1"/>
    <col min="8" max="8" width="19.5" style="42" customWidth="1"/>
    <col min="9" max="9" width="17.1640625" style="4" bestFit="1" customWidth="1"/>
    <col min="10" max="10" width="11" style="4" bestFit="1" customWidth="1"/>
    <col min="11" max="11" width="18.83203125" style="5" bestFit="1" customWidth="1"/>
    <col min="12" max="254" width="9.33203125" style="4"/>
    <col min="255" max="255" width="55.83203125" style="4" bestFit="1" customWidth="1"/>
    <col min="256" max="256" width="9.33203125" style="4"/>
    <col min="257" max="257" width="17.1640625" style="4" bestFit="1" customWidth="1"/>
    <col min="258" max="258" width="9.33203125" style="4"/>
    <col min="259" max="260" width="12.33203125" style="4" bestFit="1" customWidth="1"/>
    <col min="261" max="261" width="11.6640625" style="4" customWidth="1"/>
    <col min="262" max="262" width="20.5" style="4" bestFit="1" customWidth="1"/>
    <col min="263" max="263" width="17.83203125" style="4" bestFit="1" customWidth="1"/>
    <col min="264" max="264" width="19.6640625" style="4" bestFit="1" customWidth="1"/>
    <col min="265" max="510" width="9.33203125" style="4"/>
    <col min="511" max="511" width="55.83203125" style="4" bestFit="1" customWidth="1"/>
    <col min="512" max="512" width="9.33203125" style="4"/>
    <col min="513" max="513" width="17.1640625" style="4" bestFit="1" customWidth="1"/>
    <col min="514" max="514" width="9.33203125" style="4"/>
    <col min="515" max="516" width="12.33203125" style="4" bestFit="1" customWidth="1"/>
    <col min="517" max="517" width="11.6640625" style="4" customWidth="1"/>
    <col min="518" max="518" width="20.5" style="4" bestFit="1" customWidth="1"/>
    <col min="519" max="519" width="17.83203125" style="4" bestFit="1" customWidth="1"/>
    <col min="520" max="520" width="19.6640625" style="4" bestFit="1" customWidth="1"/>
    <col min="521" max="766" width="9.33203125" style="4"/>
    <col min="767" max="767" width="55.83203125" style="4" bestFit="1" customWidth="1"/>
    <col min="768" max="768" width="9.33203125" style="4"/>
    <col min="769" max="769" width="17.1640625" style="4" bestFit="1" customWidth="1"/>
    <col min="770" max="770" width="9.33203125" style="4"/>
    <col min="771" max="772" width="12.33203125" style="4" bestFit="1" customWidth="1"/>
    <col min="773" max="773" width="11.6640625" style="4" customWidth="1"/>
    <col min="774" max="774" width="20.5" style="4" bestFit="1" customWidth="1"/>
    <col min="775" max="775" width="17.83203125" style="4" bestFit="1" customWidth="1"/>
    <col min="776" max="776" width="19.6640625" style="4" bestFit="1" customWidth="1"/>
    <col min="777" max="1022" width="9.33203125" style="4"/>
    <col min="1023" max="1023" width="55.83203125" style="4" bestFit="1" customWidth="1"/>
    <col min="1024" max="1024" width="9.33203125" style="4"/>
    <col min="1025" max="1025" width="17.1640625" style="4" bestFit="1" customWidth="1"/>
    <col min="1026" max="1026" width="9.33203125" style="4"/>
    <col min="1027" max="1028" width="12.33203125" style="4" bestFit="1" customWidth="1"/>
    <col min="1029" max="1029" width="11.6640625" style="4" customWidth="1"/>
    <col min="1030" max="1030" width="20.5" style="4" bestFit="1" customWidth="1"/>
    <col min="1031" max="1031" width="17.83203125" style="4" bestFit="1" customWidth="1"/>
    <col min="1032" max="1032" width="19.6640625" style="4" bestFit="1" customWidth="1"/>
    <col min="1033" max="1278" width="9.33203125" style="4"/>
    <col min="1279" max="1279" width="55.83203125" style="4" bestFit="1" customWidth="1"/>
    <col min="1280" max="1280" width="9.33203125" style="4"/>
    <col min="1281" max="1281" width="17.1640625" style="4" bestFit="1" customWidth="1"/>
    <col min="1282" max="1282" width="9.33203125" style="4"/>
    <col min="1283" max="1284" width="12.33203125" style="4" bestFit="1" customWidth="1"/>
    <col min="1285" max="1285" width="11.6640625" style="4" customWidth="1"/>
    <col min="1286" max="1286" width="20.5" style="4" bestFit="1" customWidth="1"/>
    <col min="1287" max="1287" width="17.83203125" style="4" bestFit="1" customWidth="1"/>
    <col min="1288" max="1288" width="19.6640625" style="4" bestFit="1" customWidth="1"/>
    <col min="1289" max="1534" width="9.33203125" style="4"/>
    <col min="1535" max="1535" width="55.83203125" style="4" bestFit="1" customWidth="1"/>
    <col min="1536" max="1536" width="9.33203125" style="4"/>
    <col min="1537" max="1537" width="17.1640625" style="4" bestFit="1" customWidth="1"/>
    <col min="1538" max="1538" width="9.33203125" style="4"/>
    <col min="1539" max="1540" width="12.33203125" style="4" bestFit="1" customWidth="1"/>
    <col min="1541" max="1541" width="11.6640625" style="4" customWidth="1"/>
    <col min="1542" max="1542" width="20.5" style="4" bestFit="1" customWidth="1"/>
    <col min="1543" max="1543" width="17.83203125" style="4" bestFit="1" customWidth="1"/>
    <col min="1544" max="1544" width="19.6640625" style="4" bestFit="1" customWidth="1"/>
    <col min="1545" max="1790" width="9.33203125" style="4"/>
    <col min="1791" max="1791" width="55.83203125" style="4" bestFit="1" customWidth="1"/>
    <col min="1792" max="1792" width="9.33203125" style="4"/>
    <col min="1793" max="1793" width="17.1640625" style="4" bestFit="1" customWidth="1"/>
    <col min="1794" max="1794" width="9.33203125" style="4"/>
    <col min="1795" max="1796" width="12.33203125" style="4" bestFit="1" customWidth="1"/>
    <col min="1797" max="1797" width="11.6640625" style="4" customWidth="1"/>
    <col min="1798" max="1798" width="20.5" style="4" bestFit="1" customWidth="1"/>
    <col min="1799" max="1799" width="17.83203125" style="4" bestFit="1" customWidth="1"/>
    <col min="1800" max="1800" width="19.6640625" style="4" bestFit="1" customWidth="1"/>
    <col min="1801" max="2046" width="9.33203125" style="4"/>
    <col min="2047" max="2047" width="55.83203125" style="4" bestFit="1" customWidth="1"/>
    <col min="2048" max="2048" width="9.33203125" style="4"/>
    <col min="2049" max="2049" width="17.1640625" style="4" bestFit="1" customWidth="1"/>
    <col min="2050" max="2050" width="9.33203125" style="4"/>
    <col min="2051" max="2052" width="12.33203125" style="4" bestFit="1" customWidth="1"/>
    <col min="2053" max="2053" width="11.6640625" style="4" customWidth="1"/>
    <col min="2054" max="2054" width="20.5" style="4" bestFit="1" customWidth="1"/>
    <col min="2055" max="2055" width="17.83203125" style="4" bestFit="1" customWidth="1"/>
    <col min="2056" max="2056" width="19.6640625" style="4" bestFit="1" customWidth="1"/>
    <col min="2057" max="2302" width="9.33203125" style="4"/>
    <col min="2303" max="2303" width="55.83203125" style="4" bestFit="1" customWidth="1"/>
    <col min="2304" max="2304" width="9.33203125" style="4"/>
    <col min="2305" max="2305" width="17.1640625" style="4" bestFit="1" customWidth="1"/>
    <col min="2306" max="2306" width="9.33203125" style="4"/>
    <col min="2307" max="2308" width="12.33203125" style="4" bestFit="1" customWidth="1"/>
    <col min="2309" max="2309" width="11.6640625" style="4" customWidth="1"/>
    <col min="2310" max="2310" width="20.5" style="4" bestFit="1" customWidth="1"/>
    <col min="2311" max="2311" width="17.83203125" style="4" bestFit="1" customWidth="1"/>
    <col min="2312" max="2312" width="19.6640625" style="4" bestFit="1" customWidth="1"/>
    <col min="2313" max="2558" width="9.33203125" style="4"/>
    <col min="2559" max="2559" width="55.83203125" style="4" bestFit="1" customWidth="1"/>
    <col min="2560" max="2560" width="9.33203125" style="4"/>
    <col min="2561" max="2561" width="17.1640625" style="4" bestFit="1" customWidth="1"/>
    <col min="2562" max="2562" width="9.33203125" style="4"/>
    <col min="2563" max="2564" width="12.33203125" style="4" bestFit="1" customWidth="1"/>
    <col min="2565" max="2565" width="11.6640625" style="4" customWidth="1"/>
    <col min="2566" max="2566" width="20.5" style="4" bestFit="1" customWidth="1"/>
    <col min="2567" max="2567" width="17.83203125" style="4" bestFit="1" customWidth="1"/>
    <col min="2568" max="2568" width="19.6640625" style="4" bestFit="1" customWidth="1"/>
    <col min="2569" max="2814" width="9.33203125" style="4"/>
    <col min="2815" max="2815" width="55.83203125" style="4" bestFit="1" customWidth="1"/>
    <col min="2816" max="2816" width="9.33203125" style="4"/>
    <col min="2817" max="2817" width="17.1640625" style="4" bestFit="1" customWidth="1"/>
    <col min="2818" max="2818" width="9.33203125" style="4"/>
    <col min="2819" max="2820" width="12.33203125" style="4" bestFit="1" customWidth="1"/>
    <col min="2821" max="2821" width="11.6640625" style="4" customWidth="1"/>
    <col min="2822" max="2822" width="20.5" style="4" bestFit="1" customWidth="1"/>
    <col min="2823" max="2823" width="17.83203125" style="4" bestFit="1" customWidth="1"/>
    <col min="2824" max="2824" width="19.6640625" style="4" bestFit="1" customWidth="1"/>
    <col min="2825" max="3070" width="9.33203125" style="4"/>
    <col min="3071" max="3071" width="55.83203125" style="4" bestFit="1" customWidth="1"/>
    <col min="3072" max="3072" width="9.33203125" style="4"/>
    <col min="3073" max="3073" width="17.1640625" style="4" bestFit="1" customWidth="1"/>
    <col min="3074" max="3074" width="9.33203125" style="4"/>
    <col min="3075" max="3076" width="12.33203125" style="4" bestFit="1" customWidth="1"/>
    <col min="3077" max="3077" width="11.6640625" style="4" customWidth="1"/>
    <col min="3078" max="3078" width="20.5" style="4" bestFit="1" customWidth="1"/>
    <col min="3079" max="3079" width="17.83203125" style="4" bestFit="1" customWidth="1"/>
    <col min="3080" max="3080" width="19.6640625" style="4" bestFit="1" customWidth="1"/>
    <col min="3081" max="3326" width="9.33203125" style="4"/>
    <col min="3327" max="3327" width="55.83203125" style="4" bestFit="1" customWidth="1"/>
    <col min="3328" max="3328" width="9.33203125" style="4"/>
    <col min="3329" max="3329" width="17.1640625" style="4" bestFit="1" customWidth="1"/>
    <col min="3330" max="3330" width="9.33203125" style="4"/>
    <col min="3331" max="3332" width="12.33203125" style="4" bestFit="1" customWidth="1"/>
    <col min="3333" max="3333" width="11.6640625" style="4" customWidth="1"/>
    <col min="3334" max="3334" width="20.5" style="4" bestFit="1" customWidth="1"/>
    <col min="3335" max="3335" width="17.83203125" style="4" bestFit="1" customWidth="1"/>
    <col min="3336" max="3336" width="19.6640625" style="4" bestFit="1" customWidth="1"/>
    <col min="3337" max="3582" width="9.33203125" style="4"/>
    <col min="3583" max="3583" width="55.83203125" style="4" bestFit="1" customWidth="1"/>
    <col min="3584" max="3584" width="9.33203125" style="4"/>
    <col min="3585" max="3585" width="17.1640625" style="4" bestFit="1" customWidth="1"/>
    <col min="3586" max="3586" width="9.33203125" style="4"/>
    <col min="3587" max="3588" width="12.33203125" style="4" bestFit="1" customWidth="1"/>
    <col min="3589" max="3589" width="11.6640625" style="4" customWidth="1"/>
    <col min="3590" max="3590" width="20.5" style="4" bestFit="1" customWidth="1"/>
    <col min="3591" max="3591" width="17.83203125" style="4" bestFit="1" customWidth="1"/>
    <col min="3592" max="3592" width="19.6640625" style="4" bestFit="1" customWidth="1"/>
    <col min="3593" max="3838" width="9.33203125" style="4"/>
    <col min="3839" max="3839" width="55.83203125" style="4" bestFit="1" customWidth="1"/>
    <col min="3840" max="3840" width="9.33203125" style="4"/>
    <col min="3841" max="3841" width="17.1640625" style="4" bestFit="1" customWidth="1"/>
    <col min="3842" max="3842" width="9.33203125" style="4"/>
    <col min="3843" max="3844" width="12.33203125" style="4" bestFit="1" customWidth="1"/>
    <col min="3845" max="3845" width="11.6640625" style="4" customWidth="1"/>
    <col min="3846" max="3846" width="20.5" style="4" bestFit="1" customWidth="1"/>
    <col min="3847" max="3847" width="17.83203125" style="4" bestFit="1" customWidth="1"/>
    <col min="3848" max="3848" width="19.6640625" style="4" bestFit="1" customWidth="1"/>
    <col min="3849" max="4094" width="9.33203125" style="4"/>
    <col min="4095" max="4095" width="55.83203125" style="4" bestFit="1" customWidth="1"/>
    <col min="4096" max="4096" width="9.33203125" style="4"/>
    <col min="4097" max="4097" width="17.1640625" style="4" bestFit="1" customWidth="1"/>
    <col min="4098" max="4098" width="9.33203125" style="4"/>
    <col min="4099" max="4100" width="12.33203125" style="4" bestFit="1" customWidth="1"/>
    <col min="4101" max="4101" width="11.6640625" style="4" customWidth="1"/>
    <col min="4102" max="4102" width="20.5" style="4" bestFit="1" customWidth="1"/>
    <col min="4103" max="4103" width="17.83203125" style="4" bestFit="1" customWidth="1"/>
    <col min="4104" max="4104" width="19.6640625" style="4" bestFit="1" customWidth="1"/>
    <col min="4105" max="4350" width="9.33203125" style="4"/>
    <col min="4351" max="4351" width="55.83203125" style="4" bestFit="1" customWidth="1"/>
    <col min="4352" max="4352" width="9.33203125" style="4"/>
    <col min="4353" max="4353" width="17.1640625" style="4" bestFit="1" customWidth="1"/>
    <col min="4354" max="4354" width="9.33203125" style="4"/>
    <col min="4355" max="4356" width="12.33203125" style="4" bestFit="1" customWidth="1"/>
    <col min="4357" max="4357" width="11.6640625" style="4" customWidth="1"/>
    <col min="4358" max="4358" width="20.5" style="4" bestFit="1" customWidth="1"/>
    <col min="4359" max="4359" width="17.83203125" style="4" bestFit="1" customWidth="1"/>
    <col min="4360" max="4360" width="19.6640625" style="4" bestFit="1" customWidth="1"/>
    <col min="4361" max="4606" width="9.33203125" style="4"/>
    <col min="4607" max="4607" width="55.83203125" style="4" bestFit="1" customWidth="1"/>
    <col min="4608" max="4608" width="9.33203125" style="4"/>
    <col min="4609" max="4609" width="17.1640625" style="4" bestFit="1" customWidth="1"/>
    <col min="4610" max="4610" width="9.33203125" style="4"/>
    <col min="4611" max="4612" width="12.33203125" style="4" bestFit="1" customWidth="1"/>
    <col min="4613" max="4613" width="11.6640625" style="4" customWidth="1"/>
    <col min="4614" max="4614" width="20.5" style="4" bestFit="1" customWidth="1"/>
    <col min="4615" max="4615" width="17.83203125" style="4" bestFit="1" customWidth="1"/>
    <col min="4616" max="4616" width="19.6640625" style="4" bestFit="1" customWidth="1"/>
    <col min="4617" max="4862" width="9.33203125" style="4"/>
    <col min="4863" max="4863" width="55.83203125" style="4" bestFit="1" customWidth="1"/>
    <col min="4864" max="4864" width="9.33203125" style="4"/>
    <col min="4865" max="4865" width="17.1640625" style="4" bestFit="1" customWidth="1"/>
    <col min="4866" max="4866" width="9.33203125" style="4"/>
    <col min="4867" max="4868" width="12.33203125" style="4" bestFit="1" customWidth="1"/>
    <col min="4869" max="4869" width="11.6640625" style="4" customWidth="1"/>
    <col min="4870" max="4870" width="20.5" style="4" bestFit="1" customWidth="1"/>
    <col min="4871" max="4871" width="17.83203125" style="4" bestFit="1" customWidth="1"/>
    <col min="4872" max="4872" width="19.6640625" style="4" bestFit="1" customWidth="1"/>
    <col min="4873" max="5118" width="9.33203125" style="4"/>
    <col min="5119" max="5119" width="55.83203125" style="4" bestFit="1" customWidth="1"/>
    <col min="5120" max="5120" width="9.33203125" style="4"/>
    <col min="5121" max="5121" width="17.1640625" style="4" bestFit="1" customWidth="1"/>
    <col min="5122" max="5122" width="9.33203125" style="4"/>
    <col min="5123" max="5124" width="12.33203125" style="4" bestFit="1" customWidth="1"/>
    <col min="5125" max="5125" width="11.6640625" style="4" customWidth="1"/>
    <col min="5126" max="5126" width="20.5" style="4" bestFit="1" customWidth="1"/>
    <col min="5127" max="5127" width="17.83203125" style="4" bestFit="1" customWidth="1"/>
    <col min="5128" max="5128" width="19.6640625" style="4" bestFit="1" customWidth="1"/>
    <col min="5129" max="5374" width="9.33203125" style="4"/>
    <col min="5375" max="5375" width="55.83203125" style="4" bestFit="1" customWidth="1"/>
    <col min="5376" max="5376" width="9.33203125" style="4"/>
    <col min="5377" max="5377" width="17.1640625" style="4" bestFit="1" customWidth="1"/>
    <col min="5378" max="5378" width="9.33203125" style="4"/>
    <col min="5379" max="5380" width="12.33203125" style="4" bestFit="1" customWidth="1"/>
    <col min="5381" max="5381" width="11.6640625" style="4" customWidth="1"/>
    <col min="5382" max="5382" width="20.5" style="4" bestFit="1" customWidth="1"/>
    <col min="5383" max="5383" width="17.83203125" style="4" bestFit="1" customWidth="1"/>
    <col min="5384" max="5384" width="19.6640625" style="4" bestFit="1" customWidth="1"/>
    <col min="5385" max="5630" width="9.33203125" style="4"/>
    <col min="5631" max="5631" width="55.83203125" style="4" bestFit="1" customWidth="1"/>
    <col min="5632" max="5632" width="9.33203125" style="4"/>
    <col min="5633" max="5633" width="17.1640625" style="4" bestFit="1" customWidth="1"/>
    <col min="5634" max="5634" width="9.33203125" style="4"/>
    <col min="5635" max="5636" width="12.33203125" style="4" bestFit="1" customWidth="1"/>
    <col min="5637" max="5637" width="11.6640625" style="4" customWidth="1"/>
    <col min="5638" max="5638" width="20.5" style="4" bestFit="1" customWidth="1"/>
    <col min="5639" max="5639" width="17.83203125" style="4" bestFit="1" customWidth="1"/>
    <col min="5640" max="5640" width="19.6640625" style="4" bestFit="1" customWidth="1"/>
    <col min="5641" max="5886" width="9.33203125" style="4"/>
    <col min="5887" max="5887" width="55.83203125" style="4" bestFit="1" customWidth="1"/>
    <col min="5888" max="5888" width="9.33203125" style="4"/>
    <col min="5889" max="5889" width="17.1640625" style="4" bestFit="1" customWidth="1"/>
    <col min="5890" max="5890" width="9.33203125" style="4"/>
    <col min="5891" max="5892" width="12.33203125" style="4" bestFit="1" customWidth="1"/>
    <col min="5893" max="5893" width="11.6640625" style="4" customWidth="1"/>
    <col min="5894" max="5894" width="20.5" style="4" bestFit="1" customWidth="1"/>
    <col min="5895" max="5895" width="17.83203125" style="4" bestFit="1" customWidth="1"/>
    <col min="5896" max="5896" width="19.6640625" style="4" bestFit="1" customWidth="1"/>
    <col min="5897" max="6142" width="9.33203125" style="4"/>
    <col min="6143" max="6143" width="55.83203125" style="4" bestFit="1" customWidth="1"/>
    <col min="6144" max="6144" width="9.33203125" style="4"/>
    <col min="6145" max="6145" width="17.1640625" style="4" bestFit="1" customWidth="1"/>
    <col min="6146" max="6146" width="9.33203125" style="4"/>
    <col min="6147" max="6148" width="12.33203125" style="4" bestFit="1" customWidth="1"/>
    <col min="6149" max="6149" width="11.6640625" style="4" customWidth="1"/>
    <col min="6150" max="6150" width="20.5" style="4" bestFit="1" customWidth="1"/>
    <col min="6151" max="6151" width="17.83203125" style="4" bestFit="1" customWidth="1"/>
    <col min="6152" max="6152" width="19.6640625" style="4" bestFit="1" customWidth="1"/>
    <col min="6153" max="6398" width="9.33203125" style="4"/>
    <col min="6399" max="6399" width="55.83203125" style="4" bestFit="1" customWidth="1"/>
    <col min="6400" max="6400" width="9.33203125" style="4"/>
    <col min="6401" max="6401" width="17.1640625" style="4" bestFit="1" customWidth="1"/>
    <col min="6402" max="6402" width="9.33203125" style="4"/>
    <col min="6403" max="6404" width="12.33203125" style="4" bestFit="1" customWidth="1"/>
    <col min="6405" max="6405" width="11.6640625" style="4" customWidth="1"/>
    <col min="6406" max="6406" width="20.5" style="4" bestFit="1" customWidth="1"/>
    <col min="6407" max="6407" width="17.83203125" style="4" bestFit="1" customWidth="1"/>
    <col min="6408" max="6408" width="19.6640625" style="4" bestFit="1" customWidth="1"/>
    <col min="6409" max="6654" width="9.33203125" style="4"/>
    <col min="6655" max="6655" width="55.83203125" style="4" bestFit="1" customWidth="1"/>
    <col min="6656" max="6656" width="9.33203125" style="4"/>
    <col min="6657" max="6657" width="17.1640625" style="4" bestFit="1" customWidth="1"/>
    <col min="6658" max="6658" width="9.33203125" style="4"/>
    <col min="6659" max="6660" width="12.33203125" style="4" bestFit="1" customWidth="1"/>
    <col min="6661" max="6661" width="11.6640625" style="4" customWidth="1"/>
    <col min="6662" max="6662" width="20.5" style="4" bestFit="1" customWidth="1"/>
    <col min="6663" max="6663" width="17.83203125" style="4" bestFit="1" customWidth="1"/>
    <col min="6664" max="6664" width="19.6640625" style="4" bestFit="1" customWidth="1"/>
    <col min="6665" max="6910" width="9.33203125" style="4"/>
    <col min="6911" max="6911" width="55.83203125" style="4" bestFit="1" customWidth="1"/>
    <col min="6912" max="6912" width="9.33203125" style="4"/>
    <col min="6913" max="6913" width="17.1640625" style="4" bestFit="1" customWidth="1"/>
    <col min="6914" max="6914" width="9.33203125" style="4"/>
    <col min="6915" max="6916" width="12.33203125" style="4" bestFit="1" customWidth="1"/>
    <col min="6917" max="6917" width="11.6640625" style="4" customWidth="1"/>
    <col min="6918" max="6918" width="20.5" style="4" bestFit="1" customWidth="1"/>
    <col min="6919" max="6919" width="17.83203125" style="4" bestFit="1" customWidth="1"/>
    <col min="6920" max="6920" width="19.6640625" style="4" bestFit="1" customWidth="1"/>
    <col min="6921" max="7166" width="9.33203125" style="4"/>
    <col min="7167" max="7167" width="55.83203125" style="4" bestFit="1" customWidth="1"/>
    <col min="7168" max="7168" width="9.33203125" style="4"/>
    <col min="7169" max="7169" width="17.1640625" style="4" bestFit="1" customWidth="1"/>
    <col min="7170" max="7170" width="9.33203125" style="4"/>
    <col min="7171" max="7172" width="12.33203125" style="4" bestFit="1" customWidth="1"/>
    <col min="7173" max="7173" width="11.6640625" style="4" customWidth="1"/>
    <col min="7174" max="7174" width="20.5" style="4" bestFit="1" customWidth="1"/>
    <col min="7175" max="7175" width="17.83203125" style="4" bestFit="1" customWidth="1"/>
    <col min="7176" max="7176" width="19.6640625" style="4" bestFit="1" customWidth="1"/>
    <col min="7177" max="7422" width="9.33203125" style="4"/>
    <col min="7423" max="7423" width="55.83203125" style="4" bestFit="1" customWidth="1"/>
    <col min="7424" max="7424" width="9.33203125" style="4"/>
    <col min="7425" max="7425" width="17.1640625" style="4" bestFit="1" customWidth="1"/>
    <col min="7426" max="7426" width="9.33203125" style="4"/>
    <col min="7427" max="7428" width="12.33203125" style="4" bestFit="1" customWidth="1"/>
    <col min="7429" max="7429" width="11.6640625" style="4" customWidth="1"/>
    <col min="7430" max="7430" width="20.5" style="4" bestFit="1" customWidth="1"/>
    <col min="7431" max="7431" width="17.83203125" style="4" bestFit="1" customWidth="1"/>
    <col min="7432" max="7432" width="19.6640625" style="4" bestFit="1" customWidth="1"/>
    <col min="7433" max="7678" width="9.33203125" style="4"/>
    <col min="7679" max="7679" width="55.83203125" style="4" bestFit="1" customWidth="1"/>
    <col min="7680" max="7680" width="9.33203125" style="4"/>
    <col min="7681" max="7681" width="17.1640625" style="4" bestFit="1" customWidth="1"/>
    <col min="7682" max="7682" width="9.33203125" style="4"/>
    <col min="7683" max="7684" width="12.33203125" style="4" bestFit="1" customWidth="1"/>
    <col min="7685" max="7685" width="11.6640625" style="4" customWidth="1"/>
    <col min="7686" max="7686" width="20.5" style="4" bestFit="1" customWidth="1"/>
    <col min="7687" max="7687" width="17.83203125" style="4" bestFit="1" customWidth="1"/>
    <col min="7688" max="7688" width="19.6640625" style="4" bestFit="1" customWidth="1"/>
    <col min="7689" max="7934" width="9.33203125" style="4"/>
    <col min="7935" max="7935" width="55.83203125" style="4" bestFit="1" customWidth="1"/>
    <col min="7936" max="7936" width="9.33203125" style="4"/>
    <col min="7937" max="7937" width="17.1640625" style="4" bestFit="1" customWidth="1"/>
    <col min="7938" max="7938" width="9.33203125" style="4"/>
    <col min="7939" max="7940" width="12.33203125" style="4" bestFit="1" customWidth="1"/>
    <col min="7941" max="7941" width="11.6640625" style="4" customWidth="1"/>
    <col min="7942" max="7942" width="20.5" style="4" bestFit="1" customWidth="1"/>
    <col min="7943" max="7943" width="17.83203125" style="4" bestFit="1" customWidth="1"/>
    <col min="7944" max="7944" width="19.6640625" style="4" bestFit="1" customWidth="1"/>
    <col min="7945" max="8190" width="9.33203125" style="4"/>
    <col min="8191" max="8191" width="55.83203125" style="4" bestFit="1" customWidth="1"/>
    <col min="8192" max="8192" width="9.33203125" style="4"/>
    <col min="8193" max="8193" width="17.1640625" style="4" bestFit="1" customWidth="1"/>
    <col min="8194" max="8194" width="9.33203125" style="4"/>
    <col min="8195" max="8196" width="12.33203125" style="4" bestFit="1" customWidth="1"/>
    <col min="8197" max="8197" width="11.6640625" style="4" customWidth="1"/>
    <col min="8198" max="8198" width="20.5" style="4" bestFit="1" customWidth="1"/>
    <col min="8199" max="8199" width="17.83203125" style="4" bestFit="1" customWidth="1"/>
    <col min="8200" max="8200" width="19.6640625" style="4" bestFit="1" customWidth="1"/>
    <col min="8201" max="8446" width="9.33203125" style="4"/>
    <col min="8447" max="8447" width="55.83203125" style="4" bestFit="1" customWidth="1"/>
    <col min="8448" max="8448" width="9.33203125" style="4"/>
    <col min="8449" max="8449" width="17.1640625" style="4" bestFit="1" customWidth="1"/>
    <col min="8450" max="8450" width="9.33203125" style="4"/>
    <col min="8451" max="8452" width="12.33203125" style="4" bestFit="1" customWidth="1"/>
    <col min="8453" max="8453" width="11.6640625" style="4" customWidth="1"/>
    <col min="8454" max="8454" width="20.5" style="4" bestFit="1" customWidth="1"/>
    <col min="8455" max="8455" width="17.83203125" style="4" bestFit="1" customWidth="1"/>
    <col min="8456" max="8456" width="19.6640625" style="4" bestFit="1" customWidth="1"/>
    <col min="8457" max="8702" width="9.33203125" style="4"/>
    <col min="8703" max="8703" width="55.83203125" style="4" bestFit="1" customWidth="1"/>
    <col min="8704" max="8704" width="9.33203125" style="4"/>
    <col min="8705" max="8705" width="17.1640625" style="4" bestFit="1" customWidth="1"/>
    <col min="8706" max="8706" width="9.33203125" style="4"/>
    <col min="8707" max="8708" width="12.33203125" style="4" bestFit="1" customWidth="1"/>
    <col min="8709" max="8709" width="11.6640625" style="4" customWidth="1"/>
    <col min="8710" max="8710" width="20.5" style="4" bestFit="1" customWidth="1"/>
    <col min="8711" max="8711" width="17.83203125" style="4" bestFit="1" customWidth="1"/>
    <col min="8712" max="8712" width="19.6640625" style="4" bestFit="1" customWidth="1"/>
    <col min="8713" max="8958" width="9.33203125" style="4"/>
    <col min="8959" max="8959" width="55.83203125" style="4" bestFit="1" customWidth="1"/>
    <col min="8960" max="8960" width="9.33203125" style="4"/>
    <col min="8961" max="8961" width="17.1640625" style="4" bestFit="1" customWidth="1"/>
    <col min="8962" max="8962" width="9.33203125" style="4"/>
    <col min="8963" max="8964" width="12.33203125" style="4" bestFit="1" customWidth="1"/>
    <col min="8965" max="8965" width="11.6640625" style="4" customWidth="1"/>
    <col min="8966" max="8966" width="20.5" style="4" bestFit="1" customWidth="1"/>
    <col min="8967" max="8967" width="17.83203125" style="4" bestFit="1" customWidth="1"/>
    <col min="8968" max="8968" width="19.6640625" style="4" bestFit="1" customWidth="1"/>
    <col min="8969" max="9214" width="9.33203125" style="4"/>
    <col min="9215" max="9215" width="55.83203125" style="4" bestFit="1" customWidth="1"/>
    <col min="9216" max="9216" width="9.33203125" style="4"/>
    <col min="9217" max="9217" width="17.1640625" style="4" bestFit="1" customWidth="1"/>
    <col min="9218" max="9218" width="9.33203125" style="4"/>
    <col min="9219" max="9220" width="12.33203125" style="4" bestFit="1" customWidth="1"/>
    <col min="9221" max="9221" width="11.6640625" style="4" customWidth="1"/>
    <col min="9222" max="9222" width="20.5" style="4" bestFit="1" customWidth="1"/>
    <col min="9223" max="9223" width="17.83203125" style="4" bestFit="1" customWidth="1"/>
    <col min="9224" max="9224" width="19.6640625" style="4" bestFit="1" customWidth="1"/>
    <col min="9225" max="9470" width="9.33203125" style="4"/>
    <col min="9471" max="9471" width="55.83203125" style="4" bestFit="1" customWidth="1"/>
    <col min="9472" max="9472" width="9.33203125" style="4"/>
    <col min="9473" max="9473" width="17.1640625" style="4" bestFit="1" customWidth="1"/>
    <col min="9474" max="9474" width="9.33203125" style="4"/>
    <col min="9475" max="9476" width="12.33203125" style="4" bestFit="1" customWidth="1"/>
    <col min="9477" max="9477" width="11.6640625" style="4" customWidth="1"/>
    <col min="9478" max="9478" width="20.5" style="4" bestFit="1" customWidth="1"/>
    <col min="9479" max="9479" width="17.83203125" style="4" bestFit="1" customWidth="1"/>
    <col min="9480" max="9480" width="19.6640625" style="4" bestFit="1" customWidth="1"/>
    <col min="9481" max="9726" width="9.33203125" style="4"/>
    <col min="9727" max="9727" width="55.83203125" style="4" bestFit="1" customWidth="1"/>
    <col min="9728" max="9728" width="9.33203125" style="4"/>
    <col min="9729" max="9729" width="17.1640625" style="4" bestFit="1" customWidth="1"/>
    <col min="9730" max="9730" width="9.33203125" style="4"/>
    <col min="9731" max="9732" width="12.33203125" style="4" bestFit="1" customWidth="1"/>
    <col min="9733" max="9733" width="11.6640625" style="4" customWidth="1"/>
    <col min="9734" max="9734" width="20.5" style="4" bestFit="1" customWidth="1"/>
    <col min="9735" max="9735" width="17.83203125" style="4" bestFit="1" customWidth="1"/>
    <col min="9736" max="9736" width="19.6640625" style="4" bestFit="1" customWidth="1"/>
    <col min="9737" max="9982" width="9.33203125" style="4"/>
    <col min="9983" max="9983" width="55.83203125" style="4" bestFit="1" customWidth="1"/>
    <col min="9984" max="9984" width="9.33203125" style="4"/>
    <col min="9985" max="9985" width="17.1640625" style="4" bestFit="1" customWidth="1"/>
    <col min="9986" max="9986" width="9.33203125" style="4"/>
    <col min="9987" max="9988" width="12.33203125" style="4" bestFit="1" customWidth="1"/>
    <col min="9989" max="9989" width="11.6640625" style="4" customWidth="1"/>
    <col min="9990" max="9990" width="20.5" style="4" bestFit="1" customWidth="1"/>
    <col min="9991" max="9991" width="17.83203125" style="4" bestFit="1" customWidth="1"/>
    <col min="9992" max="9992" width="19.6640625" style="4" bestFit="1" customWidth="1"/>
    <col min="9993" max="10238" width="9.33203125" style="4"/>
    <col min="10239" max="10239" width="55.83203125" style="4" bestFit="1" customWidth="1"/>
    <col min="10240" max="10240" width="9.33203125" style="4"/>
    <col min="10241" max="10241" width="17.1640625" style="4" bestFit="1" customWidth="1"/>
    <col min="10242" max="10242" width="9.33203125" style="4"/>
    <col min="10243" max="10244" width="12.33203125" style="4" bestFit="1" customWidth="1"/>
    <col min="10245" max="10245" width="11.6640625" style="4" customWidth="1"/>
    <col min="10246" max="10246" width="20.5" style="4" bestFit="1" customWidth="1"/>
    <col min="10247" max="10247" width="17.83203125" style="4" bestFit="1" customWidth="1"/>
    <col min="10248" max="10248" width="19.6640625" style="4" bestFit="1" customWidth="1"/>
    <col min="10249" max="10494" width="9.33203125" style="4"/>
    <col min="10495" max="10495" width="55.83203125" style="4" bestFit="1" customWidth="1"/>
    <col min="10496" max="10496" width="9.33203125" style="4"/>
    <col min="10497" max="10497" width="17.1640625" style="4" bestFit="1" customWidth="1"/>
    <col min="10498" max="10498" width="9.33203125" style="4"/>
    <col min="10499" max="10500" width="12.33203125" style="4" bestFit="1" customWidth="1"/>
    <col min="10501" max="10501" width="11.6640625" style="4" customWidth="1"/>
    <col min="10502" max="10502" width="20.5" style="4" bestFit="1" customWidth="1"/>
    <col min="10503" max="10503" width="17.83203125" style="4" bestFit="1" customWidth="1"/>
    <col min="10504" max="10504" width="19.6640625" style="4" bestFit="1" customWidth="1"/>
    <col min="10505" max="10750" width="9.33203125" style="4"/>
    <col min="10751" max="10751" width="55.83203125" style="4" bestFit="1" customWidth="1"/>
    <col min="10752" max="10752" width="9.33203125" style="4"/>
    <col min="10753" max="10753" width="17.1640625" style="4" bestFit="1" customWidth="1"/>
    <col min="10754" max="10754" width="9.33203125" style="4"/>
    <col min="10755" max="10756" width="12.33203125" style="4" bestFit="1" customWidth="1"/>
    <col min="10757" max="10757" width="11.6640625" style="4" customWidth="1"/>
    <col min="10758" max="10758" width="20.5" style="4" bestFit="1" customWidth="1"/>
    <col min="10759" max="10759" width="17.83203125" style="4" bestFit="1" customWidth="1"/>
    <col min="10760" max="10760" width="19.6640625" style="4" bestFit="1" customWidth="1"/>
    <col min="10761" max="11006" width="9.33203125" style="4"/>
    <col min="11007" max="11007" width="55.83203125" style="4" bestFit="1" customWidth="1"/>
    <col min="11008" max="11008" width="9.33203125" style="4"/>
    <col min="11009" max="11009" width="17.1640625" style="4" bestFit="1" customWidth="1"/>
    <col min="11010" max="11010" width="9.33203125" style="4"/>
    <col min="11011" max="11012" width="12.33203125" style="4" bestFit="1" customWidth="1"/>
    <col min="11013" max="11013" width="11.6640625" style="4" customWidth="1"/>
    <col min="11014" max="11014" width="20.5" style="4" bestFit="1" customWidth="1"/>
    <col min="11015" max="11015" width="17.83203125" style="4" bestFit="1" customWidth="1"/>
    <col min="11016" max="11016" width="19.6640625" style="4" bestFit="1" customWidth="1"/>
    <col min="11017" max="11262" width="9.33203125" style="4"/>
    <col min="11263" max="11263" width="55.83203125" style="4" bestFit="1" customWidth="1"/>
    <col min="11264" max="11264" width="9.33203125" style="4"/>
    <col min="11265" max="11265" width="17.1640625" style="4" bestFit="1" customWidth="1"/>
    <col min="11266" max="11266" width="9.33203125" style="4"/>
    <col min="11267" max="11268" width="12.33203125" style="4" bestFit="1" customWidth="1"/>
    <col min="11269" max="11269" width="11.6640625" style="4" customWidth="1"/>
    <col min="11270" max="11270" width="20.5" style="4" bestFit="1" customWidth="1"/>
    <col min="11271" max="11271" width="17.83203125" style="4" bestFit="1" customWidth="1"/>
    <col min="11272" max="11272" width="19.6640625" style="4" bestFit="1" customWidth="1"/>
    <col min="11273" max="11518" width="9.33203125" style="4"/>
    <col min="11519" max="11519" width="55.83203125" style="4" bestFit="1" customWidth="1"/>
    <col min="11520" max="11520" width="9.33203125" style="4"/>
    <col min="11521" max="11521" width="17.1640625" style="4" bestFit="1" customWidth="1"/>
    <col min="11522" max="11522" width="9.33203125" style="4"/>
    <col min="11523" max="11524" width="12.33203125" style="4" bestFit="1" customWidth="1"/>
    <col min="11525" max="11525" width="11.6640625" style="4" customWidth="1"/>
    <col min="11526" max="11526" width="20.5" style="4" bestFit="1" customWidth="1"/>
    <col min="11527" max="11527" width="17.83203125" style="4" bestFit="1" customWidth="1"/>
    <col min="11528" max="11528" width="19.6640625" style="4" bestFit="1" customWidth="1"/>
    <col min="11529" max="11774" width="9.33203125" style="4"/>
    <col min="11775" max="11775" width="55.83203125" style="4" bestFit="1" customWidth="1"/>
    <col min="11776" max="11776" width="9.33203125" style="4"/>
    <col min="11777" max="11777" width="17.1640625" style="4" bestFit="1" customWidth="1"/>
    <col min="11778" max="11778" width="9.33203125" style="4"/>
    <col min="11779" max="11780" width="12.33203125" style="4" bestFit="1" customWidth="1"/>
    <col min="11781" max="11781" width="11.6640625" style="4" customWidth="1"/>
    <col min="11782" max="11782" width="20.5" style="4" bestFit="1" customWidth="1"/>
    <col min="11783" max="11783" width="17.83203125" style="4" bestFit="1" customWidth="1"/>
    <col min="11784" max="11784" width="19.6640625" style="4" bestFit="1" customWidth="1"/>
    <col min="11785" max="12030" width="9.33203125" style="4"/>
    <col min="12031" max="12031" width="55.83203125" style="4" bestFit="1" customWidth="1"/>
    <col min="12032" max="12032" width="9.33203125" style="4"/>
    <col min="12033" max="12033" width="17.1640625" style="4" bestFit="1" customWidth="1"/>
    <col min="12034" max="12034" width="9.33203125" style="4"/>
    <col min="12035" max="12036" width="12.33203125" style="4" bestFit="1" customWidth="1"/>
    <col min="12037" max="12037" width="11.6640625" style="4" customWidth="1"/>
    <col min="12038" max="12038" width="20.5" style="4" bestFit="1" customWidth="1"/>
    <col min="12039" max="12039" width="17.83203125" style="4" bestFit="1" customWidth="1"/>
    <col min="12040" max="12040" width="19.6640625" style="4" bestFit="1" customWidth="1"/>
    <col min="12041" max="12286" width="9.33203125" style="4"/>
    <col min="12287" max="12287" width="55.83203125" style="4" bestFit="1" customWidth="1"/>
    <col min="12288" max="12288" width="9.33203125" style="4"/>
    <col min="12289" max="12289" width="17.1640625" style="4" bestFit="1" customWidth="1"/>
    <col min="12290" max="12290" width="9.33203125" style="4"/>
    <col min="12291" max="12292" width="12.33203125" style="4" bestFit="1" customWidth="1"/>
    <col min="12293" max="12293" width="11.6640625" style="4" customWidth="1"/>
    <col min="12294" max="12294" width="20.5" style="4" bestFit="1" customWidth="1"/>
    <col min="12295" max="12295" width="17.83203125" style="4" bestFit="1" customWidth="1"/>
    <col min="12296" max="12296" width="19.6640625" style="4" bestFit="1" customWidth="1"/>
    <col min="12297" max="12542" width="9.33203125" style="4"/>
    <col min="12543" max="12543" width="55.83203125" style="4" bestFit="1" customWidth="1"/>
    <col min="12544" max="12544" width="9.33203125" style="4"/>
    <col min="12545" max="12545" width="17.1640625" style="4" bestFit="1" customWidth="1"/>
    <col min="12546" max="12546" width="9.33203125" style="4"/>
    <col min="12547" max="12548" width="12.33203125" style="4" bestFit="1" customWidth="1"/>
    <col min="12549" max="12549" width="11.6640625" style="4" customWidth="1"/>
    <col min="12550" max="12550" width="20.5" style="4" bestFit="1" customWidth="1"/>
    <col min="12551" max="12551" width="17.83203125" style="4" bestFit="1" customWidth="1"/>
    <col min="12552" max="12552" width="19.6640625" style="4" bestFit="1" customWidth="1"/>
    <col min="12553" max="12798" width="9.33203125" style="4"/>
    <col min="12799" max="12799" width="55.83203125" style="4" bestFit="1" customWidth="1"/>
    <col min="12800" max="12800" width="9.33203125" style="4"/>
    <col min="12801" max="12801" width="17.1640625" style="4" bestFit="1" customWidth="1"/>
    <col min="12802" max="12802" width="9.33203125" style="4"/>
    <col min="12803" max="12804" width="12.33203125" style="4" bestFit="1" customWidth="1"/>
    <col min="12805" max="12805" width="11.6640625" style="4" customWidth="1"/>
    <col min="12806" max="12806" width="20.5" style="4" bestFit="1" customWidth="1"/>
    <col min="12807" max="12807" width="17.83203125" style="4" bestFit="1" customWidth="1"/>
    <col min="12808" max="12808" width="19.6640625" style="4" bestFit="1" customWidth="1"/>
    <col min="12809" max="13054" width="9.33203125" style="4"/>
    <col min="13055" max="13055" width="55.83203125" style="4" bestFit="1" customWidth="1"/>
    <col min="13056" max="13056" width="9.33203125" style="4"/>
    <col min="13057" max="13057" width="17.1640625" style="4" bestFit="1" customWidth="1"/>
    <col min="13058" max="13058" width="9.33203125" style="4"/>
    <col min="13059" max="13060" width="12.33203125" style="4" bestFit="1" customWidth="1"/>
    <col min="13061" max="13061" width="11.6640625" style="4" customWidth="1"/>
    <col min="13062" max="13062" width="20.5" style="4" bestFit="1" customWidth="1"/>
    <col min="13063" max="13063" width="17.83203125" style="4" bestFit="1" customWidth="1"/>
    <col min="13064" max="13064" width="19.6640625" style="4" bestFit="1" customWidth="1"/>
    <col min="13065" max="13310" width="9.33203125" style="4"/>
    <col min="13311" max="13311" width="55.83203125" style="4" bestFit="1" customWidth="1"/>
    <col min="13312" max="13312" width="9.33203125" style="4"/>
    <col min="13313" max="13313" width="17.1640625" style="4" bestFit="1" customWidth="1"/>
    <col min="13314" max="13314" width="9.33203125" style="4"/>
    <col min="13315" max="13316" width="12.33203125" style="4" bestFit="1" customWidth="1"/>
    <col min="13317" max="13317" width="11.6640625" style="4" customWidth="1"/>
    <col min="13318" max="13318" width="20.5" style="4" bestFit="1" customWidth="1"/>
    <col min="13319" max="13319" width="17.83203125" style="4" bestFit="1" customWidth="1"/>
    <col min="13320" max="13320" width="19.6640625" style="4" bestFit="1" customWidth="1"/>
    <col min="13321" max="13566" width="9.33203125" style="4"/>
    <col min="13567" max="13567" width="55.83203125" style="4" bestFit="1" customWidth="1"/>
    <col min="13568" max="13568" width="9.33203125" style="4"/>
    <col min="13569" max="13569" width="17.1640625" style="4" bestFit="1" customWidth="1"/>
    <col min="13570" max="13570" width="9.33203125" style="4"/>
    <col min="13571" max="13572" width="12.33203125" style="4" bestFit="1" customWidth="1"/>
    <col min="13573" max="13573" width="11.6640625" style="4" customWidth="1"/>
    <col min="13574" max="13574" width="20.5" style="4" bestFit="1" customWidth="1"/>
    <col min="13575" max="13575" width="17.83203125" style="4" bestFit="1" customWidth="1"/>
    <col min="13576" max="13576" width="19.6640625" style="4" bestFit="1" customWidth="1"/>
    <col min="13577" max="13822" width="9.33203125" style="4"/>
    <col min="13823" max="13823" width="55.83203125" style="4" bestFit="1" customWidth="1"/>
    <col min="13824" max="13824" width="9.33203125" style="4"/>
    <col min="13825" max="13825" width="17.1640625" style="4" bestFit="1" customWidth="1"/>
    <col min="13826" max="13826" width="9.33203125" style="4"/>
    <col min="13827" max="13828" width="12.33203125" style="4" bestFit="1" customWidth="1"/>
    <col min="13829" max="13829" width="11.6640625" style="4" customWidth="1"/>
    <col min="13830" max="13830" width="20.5" style="4" bestFit="1" customWidth="1"/>
    <col min="13831" max="13831" width="17.83203125" style="4" bestFit="1" customWidth="1"/>
    <col min="13832" max="13832" width="19.6640625" style="4" bestFit="1" customWidth="1"/>
    <col min="13833" max="14078" width="9.33203125" style="4"/>
    <col min="14079" max="14079" width="55.83203125" style="4" bestFit="1" customWidth="1"/>
    <col min="14080" max="14080" width="9.33203125" style="4"/>
    <col min="14081" max="14081" width="17.1640625" style="4" bestFit="1" customWidth="1"/>
    <col min="14082" max="14082" width="9.33203125" style="4"/>
    <col min="14083" max="14084" width="12.33203125" style="4" bestFit="1" customWidth="1"/>
    <col min="14085" max="14085" width="11.6640625" style="4" customWidth="1"/>
    <col min="14086" max="14086" width="20.5" style="4" bestFit="1" customWidth="1"/>
    <col min="14087" max="14087" width="17.83203125" style="4" bestFit="1" customWidth="1"/>
    <col min="14088" max="14088" width="19.6640625" style="4" bestFit="1" customWidth="1"/>
    <col min="14089" max="14334" width="9.33203125" style="4"/>
    <col min="14335" max="14335" width="55.83203125" style="4" bestFit="1" customWidth="1"/>
    <col min="14336" max="14336" width="9.33203125" style="4"/>
    <col min="14337" max="14337" width="17.1640625" style="4" bestFit="1" customWidth="1"/>
    <col min="14338" max="14338" width="9.33203125" style="4"/>
    <col min="14339" max="14340" width="12.33203125" style="4" bestFit="1" customWidth="1"/>
    <col min="14341" max="14341" width="11.6640625" style="4" customWidth="1"/>
    <col min="14342" max="14342" width="20.5" style="4" bestFit="1" customWidth="1"/>
    <col min="14343" max="14343" width="17.83203125" style="4" bestFit="1" customWidth="1"/>
    <col min="14344" max="14344" width="19.6640625" style="4" bestFit="1" customWidth="1"/>
    <col min="14345" max="14590" width="9.33203125" style="4"/>
    <col min="14591" max="14591" width="55.83203125" style="4" bestFit="1" customWidth="1"/>
    <col min="14592" max="14592" width="9.33203125" style="4"/>
    <col min="14593" max="14593" width="17.1640625" style="4" bestFit="1" customWidth="1"/>
    <col min="14594" max="14594" width="9.33203125" style="4"/>
    <col min="14595" max="14596" width="12.33203125" style="4" bestFit="1" customWidth="1"/>
    <col min="14597" max="14597" width="11.6640625" style="4" customWidth="1"/>
    <col min="14598" max="14598" width="20.5" style="4" bestFit="1" customWidth="1"/>
    <col min="14599" max="14599" width="17.83203125" style="4" bestFit="1" customWidth="1"/>
    <col min="14600" max="14600" width="19.6640625" style="4" bestFit="1" customWidth="1"/>
    <col min="14601" max="14846" width="9.33203125" style="4"/>
    <col min="14847" max="14847" width="55.83203125" style="4" bestFit="1" customWidth="1"/>
    <col min="14848" max="14848" width="9.33203125" style="4"/>
    <col min="14849" max="14849" width="17.1640625" style="4" bestFit="1" customWidth="1"/>
    <col min="14850" max="14850" width="9.33203125" style="4"/>
    <col min="14851" max="14852" width="12.33203125" style="4" bestFit="1" customWidth="1"/>
    <col min="14853" max="14853" width="11.6640625" style="4" customWidth="1"/>
    <col min="14854" max="14854" width="20.5" style="4" bestFit="1" customWidth="1"/>
    <col min="14855" max="14855" width="17.83203125" style="4" bestFit="1" customWidth="1"/>
    <col min="14856" max="14856" width="19.6640625" style="4" bestFit="1" customWidth="1"/>
    <col min="14857" max="15102" width="9.33203125" style="4"/>
    <col min="15103" max="15103" width="55.83203125" style="4" bestFit="1" customWidth="1"/>
    <col min="15104" max="15104" width="9.33203125" style="4"/>
    <col min="15105" max="15105" width="17.1640625" style="4" bestFit="1" customWidth="1"/>
    <col min="15106" max="15106" width="9.33203125" style="4"/>
    <col min="15107" max="15108" width="12.33203125" style="4" bestFit="1" customWidth="1"/>
    <col min="15109" max="15109" width="11.6640625" style="4" customWidth="1"/>
    <col min="15110" max="15110" width="20.5" style="4" bestFit="1" customWidth="1"/>
    <col min="15111" max="15111" width="17.83203125" style="4" bestFit="1" customWidth="1"/>
    <col min="15112" max="15112" width="19.6640625" style="4" bestFit="1" customWidth="1"/>
    <col min="15113" max="15358" width="9.33203125" style="4"/>
    <col min="15359" max="15359" width="55.83203125" style="4" bestFit="1" customWidth="1"/>
    <col min="15360" max="15360" width="9.33203125" style="4"/>
    <col min="15361" max="15361" width="17.1640625" style="4" bestFit="1" customWidth="1"/>
    <col min="15362" max="15362" width="9.33203125" style="4"/>
    <col min="15363" max="15364" width="12.33203125" style="4" bestFit="1" customWidth="1"/>
    <col min="15365" max="15365" width="11.6640625" style="4" customWidth="1"/>
    <col min="15366" max="15366" width="20.5" style="4" bestFit="1" customWidth="1"/>
    <col min="15367" max="15367" width="17.83203125" style="4" bestFit="1" customWidth="1"/>
    <col min="15368" max="15368" width="19.6640625" style="4" bestFit="1" customWidth="1"/>
    <col min="15369" max="15614" width="9.33203125" style="4"/>
    <col min="15615" max="15615" width="55.83203125" style="4" bestFit="1" customWidth="1"/>
    <col min="15616" max="15616" width="9.33203125" style="4"/>
    <col min="15617" max="15617" width="17.1640625" style="4" bestFit="1" customWidth="1"/>
    <col min="15618" max="15618" width="9.33203125" style="4"/>
    <col min="15619" max="15620" width="12.33203125" style="4" bestFit="1" customWidth="1"/>
    <col min="15621" max="15621" width="11.6640625" style="4" customWidth="1"/>
    <col min="15622" max="15622" width="20.5" style="4" bestFit="1" customWidth="1"/>
    <col min="15623" max="15623" width="17.83203125" style="4" bestFit="1" customWidth="1"/>
    <col min="15624" max="15624" width="19.6640625" style="4" bestFit="1" customWidth="1"/>
    <col min="15625" max="15870" width="9.33203125" style="4"/>
    <col min="15871" max="15871" width="55.83203125" style="4" bestFit="1" customWidth="1"/>
    <col min="15872" max="15872" width="9.33203125" style="4"/>
    <col min="15873" max="15873" width="17.1640625" style="4" bestFit="1" customWidth="1"/>
    <col min="15874" max="15874" width="9.33203125" style="4"/>
    <col min="15875" max="15876" width="12.33203125" style="4" bestFit="1" customWidth="1"/>
    <col min="15877" max="15877" width="11.6640625" style="4" customWidth="1"/>
    <col min="15878" max="15878" width="20.5" style="4" bestFit="1" customWidth="1"/>
    <col min="15879" max="15879" width="17.83203125" style="4" bestFit="1" customWidth="1"/>
    <col min="15880" max="15880" width="19.6640625" style="4" bestFit="1" customWidth="1"/>
    <col min="15881" max="16126" width="9.33203125" style="4"/>
    <col min="16127" max="16127" width="55.83203125" style="4" bestFit="1" customWidth="1"/>
    <col min="16128" max="16128" width="9.33203125" style="4"/>
    <col min="16129" max="16129" width="17.1640625" style="4" bestFit="1" customWidth="1"/>
    <col min="16130" max="16130" width="9.33203125" style="4"/>
    <col min="16131" max="16132" width="12.33203125" style="4" bestFit="1" customWidth="1"/>
    <col min="16133" max="16133" width="11.6640625" style="4" customWidth="1"/>
    <col min="16134" max="16134" width="20.5" style="4" bestFit="1" customWidth="1"/>
    <col min="16135" max="16135" width="17.83203125" style="4" bestFit="1" customWidth="1"/>
    <col min="16136" max="16136" width="19.6640625" style="4" bestFit="1" customWidth="1"/>
    <col min="16137" max="16384" width="9.33203125" style="4"/>
  </cols>
  <sheetData>
    <row r="1" spans="1:11" ht="20.100000000000001" customHeight="1">
      <c r="A1" s="386" t="s">
        <v>276</v>
      </c>
      <c r="B1" s="386"/>
      <c r="C1" s="386"/>
      <c r="D1" s="386"/>
      <c r="E1" s="386"/>
      <c r="F1" s="386"/>
      <c r="G1" s="386"/>
      <c r="H1" s="386"/>
    </row>
    <row r="2" spans="1:11" ht="5.25" customHeight="1" thickBot="1">
      <c r="A2" s="385"/>
      <c r="B2" s="385"/>
      <c r="C2" s="385"/>
      <c r="D2" s="385"/>
      <c r="E2" s="385"/>
      <c r="F2" s="385"/>
      <c r="G2" s="385"/>
      <c r="H2" s="385"/>
    </row>
    <row r="3" spans="1:11" ht="39" customHeight="1">
      <c r="A3" s="370" t="s">
        <v>22</v>
      </c>
      <c r="B3" s="371"/>
      <c r="C3" s="372" t="str">
        <f>BOQ!A1</f>
        <v>Construction of check dam across Marudhaiyar river at Varanavasi village in Ariyalur Taluk and District</v>
      </c>
      <c r="D3" s="373"/>
      <c r="E3" s="373"/>
      <c r="F3" s="373"/>
      <c r="G3" s="373"/>
      <c r="H3" s="374"/>
    </row>
    <row r="4" spans="1:11" ht="20.100000000000001" customHeight="1">
      <c r="A4" s="375" t="s">
        <v>23</v>
      </c>
      <c r="B4" s="376"/>
      <c r="C4" s="377">
        <v>45848</v>
      </c>
      <c r="D4" s="378"/>
      <c r="E4" s="379"/>
      <c r="F4" s="382"/>
      <c r="G4" s="383"/>
      <c r="H4" s="384"/>
    </row>
    <row r="5" spans="1:11" ht="20.100000000000001" customHeight="1">
      <c r="A5" s="375" t="s">
        <v>24</v>
      </c>
      <c r="B5" s="376"/>
      <c r="C5" s="376" t="s">
        <v>250</v>
      </c>
      <c r="D5" s="376"/>
      <c r="E5" s="376"/>
      <c r="F5" s="376"/>
      <c r="G5" s="380" t="s">
        <v>25</v>
      </c>
      <c r="H5" s="381"/>
    </row>
    <row r="6" spans="1:11" ht="20.100000000000001" customHeight="1">
      <c r="A6" s="375" t="s">
        <v>26</v>
      </c>
      <c r="B6" s="376"/>
      <c r="C6" s="387" t="s">
        <v>249</v>
      </c>
      <c r="D6" s="387"/>
      <c r="E6" s="387"/>
      <c r="F6" s="387"/>
      <c r="G6" s="388">
        <f>BOQ!F45</f>
        <v>234199521.7446</v>
      </c>
      <c r="H6" s="389"/>
    </row>
    <row r="7" spans="1:11" ht="20.100000000000001" customHeight="1">
      <c r="A7" s="367" t="s">
        <v>27</v>
      </c>
      <c r="B7" s="368"/>
      <c r="C7" s="368"/>
      <c r="D7" s="368"/>
      <c r="E7" s="368"/>
      <c r="F7" s="368"/>
      <c r="G7" s="368"/>
      <c r="H7" s="369"/>
    </row>
    <row r="8" spans="1:11" s="14" customFormat="1" ht="31.5">
      <c r="A8" s="6" t="s">
        <v>28</v>
      </c>
      <c r="B8" s="7" t="s">
        <v>29</v>
      </c>
      <c r="C8" s="8" t="s">
        <v>21</v>
      </c>
      <c r="D8" s="9" t="s">
        <v>30</v>
      </c>
      <c r="E8" s="10" t="s">
        <v>31</v>
      </c>
      <c r="F8" s="11" t="s">
        <v>32</v>
      </c>
      <c r="G8" s="12" t="s">
        <v>33</v>
      </c>
      <c r="H8" s="13" t="s">
        <v>34</v>
      </c>
      <c r="K8" s="15"/>
    </row>
    <row r="9" spans="1:11" ht="20.100000000000001" customHeight="1">
      <c r="A9" s="16">
        <v>1</v>
      </c>
      <c r="B9" s="17" t="str">
        <f>'BOQ Coeff'!E2</f>
        <v>Cement</v>
      </c>
      <c r="C9" s="18" t="s">
        <v>35</v>
      </c>
      <c r="D9" s="19">
        <f>'BOQ Coeff'!W43</f>
        <v>46788</v>
      </c>
      <c r="E9" s="20">
        <v>250</v>
      </c>
      <c r="F9" s="21">
        <f>E9*1.28</f>
        <v>320</v>
      </c>
      <c r="G9" s="22">
        <f>D9*F9</f>
        <v>14972160</v>
      </c>
      <c r="H9" s="23">
        <f t="shared" ref="H9:H16" si="0">G9/$G$27</f>
        <v>0.16388227943010614</v>
      </c>
    </row>
    <row r="10" spans="1:11" ht="20.100000000000001" customHeight="1">
      <c r="A10" s="16">
        <v>2</v>
      </c>
      <c r="B10" s="17" t="str">
        <f>'BOQ Coeff'!X2</f>
        <v>River Sand</v>
      </c>
      <c r="C10" s="18" t="s">
        <v>21</v>
      </c>
      <c r="D10" s="19">
        <f>'BOQ Coeff'!X43</f>
        <v>2220</v>
      </c>
      <c r="E10" s="20">
        <v>800</v>
      </c>
      <c r="F10" s="21">
        <v>800</v>
      </c>
      <c r="G10" s="22">
        <f t="shared" ref="G10:G26" si="1">D10*F10</f>
        <v>1776000</v>
      </c>
      <c r="H10" s="23">
        <f t="shared" si="0"/>
        <v>1.9439742045761502E-2</v>
      </c>
    </row>
    <row r="11" spans="1:11" ht="20.100000000000001" customHeight="1">
      <c r="A11" s="16">
        <v>3</v>
      </c>
      <c r="B11" s="17" t="str">
        <f>'BOQ Coeff'!G2</f>
        <v>40mm</v>
      </c>
      <c r="C11" s="18" t="s">
        <v>21</v>
      </c>
      <c r="D11" s="19">
        <f>'BOQ Coeff'!Y43</f>
        <v>1423</v>
      </c>
      <c r="E11" s="20">
        <v>3800</v>
      </c>
      <c r="F11" s="21">
        <f t="shared" ref="F11:F12" si="2">E11*1.05</f>
        <v>3990</v>
      </c>
      <c r="G11" s="22">
        <f t="shared" si="1"/>
        <v>5677770</v>
      </c>
      <c r="H11" s="23">
        <f t="shared" si="0"/>
        <v>6.2147738848627974E-2</v>
      </c>
    </row>
    <row r="12" spans="1:11" ht="20.100000000000001" customHeight="1">
      <c r="A12" s="16">
        <v>4</v>
      </c>
      <c r="B12" s="17" t="str">
        <f>'BOQ Coeff'!H2</f>
        <v>20mm</v>
      </c>
      <c r="C12" s="18" t="s">
        <v>21</v>
      </c>
      <c r="D12" s="19">
        <f>'BOQ Coeff'!Z43</f>
        <v>2145</v>
      </c>
      <c r="E12" s="20">
        <v>4000</v>
      </c>
      <c r="F12" s="21">
        <f t="shared" si="2"/>
        <v>4200</v>
      </c>
      <c r="G12" s="22">
        <f t="shared" si="1"/>
        <v>9009000</v>
      </c>
      <c r="H12" s="23">
        <f t="shared" si="0"/>
        <v>9.8610718519293566E-2</v>
      </c>
    </row>
    <row r="13" spans="1:11" ht="20.100000000000001" customHeight="1">
      <c r="A13" s="16">
        <v>5</v>
      </c>
      <c r="B13" s="17" t="s">
        <v>280</v>
      </c>
      <c r="C13" s="18" t="s">
        <v>21</v>
      </c>
      <c r="D13" s="19">
        <f>D10*0.1</f>
        <v>222</v>
      </c>
      <c r="E13" s="20">
        <v>5500</v>
      </c>
      <c r="F13" s="21">
        <f t="shared" ref="F13" si="3">E13*1.05</f>
        <v>5775</v>
      </c>
      <c r="G13" s="22">
        <f t="shared" ref="G13" si="4">D13*F13</f>
        <v>1282050</v>
      </c>
      <c r="H13" s="23">
        <f t="shared" ref="H13" si="5">G13/$G$27</f>
        <v>1.4033063789284083E-2</v>
      </c>
    </row>
    <row r="14" spans="1:11" ht="20.100000000000001" customHeight="1">
      <c r="A14" s="16">
        <v>6</v>
      </c>
      <c r="B14" s="17" t="s">
        <v>268</v>
      </c>
      <c r="C14" s="18" t="s">
        <v>21</v>
      </c>
      <c r="D14" s="19">
        <f>'BOQ Coeff'!AA43</f>
        <v>141</v>
      </c>
      <c r="E14" s="20">
        <v>4200</v>
      </c>
      <c r="F14" s="21">
        <f>E14*1.18</f>
        <v>4956</v>
      </c>
      <c r="G14" s="22">
        <f t="shared" si="1"/>
        <v>698796</v>
      </c>
      <c r="H14" s="23">
        <f t="shared" si="0"/>
        <v>7.6488817469650642E-3</v>
      </c>
    </row>
    <row r="15" spans="1:11" ht="20.100000000000001" customHeight="1">
      <c r="A15" s="16">
        <v>7</v>
      </c>
      <c r="B15" s="17" t="str">
        <f>'BOQ Coeff'!AB2</f>
        <v>Mixed - 20,40,60mm</v>
      </c>
      <c r="C15" s="18" t="s">
        <v>21</v>
      </c>
      <c r="D15" s="19">
        <f>'BOQ Coeff'!AB43</f>
        <v>281</v>
      </c>
      <c r="E15" s="20">
        <v>4000</v>
      </c>
      <c r="F15" s="21">
        <f t="shared" ref="F15:F25" si="6">E15*1.18</f>
        <v>4720</v>
      </c>
      <c r="G15" s="22">
        <f t="shared" si="1"/>
        <v>1326320</v>
      </c>
      <c r="H15" s="23">
        <f t="shared" si="0"/>
        <v>1.4517634386336933E-2</v>
      </c>
    </row>
    <row r="16" spans="1:11" ht="20.100000000000001" customHeight="1">
      <c r="A16" s="16">
        <v>8</v>
      </c>
      <c r="B16" s="17" t="str">
        <f>'BOQ Coeff'!AC2</f>
        <v>Bouldres - Below 300mm</v>
      </c>
      <c r="C16" s="18" t="s">
        <v>21</v>
      </c>
      <c r="D16" s="19">
        <f>'BOQ Coeff'!AC43</f>
        <v>4881</v>
      </c>
      <c r="E16" s="20">
        <v>3800</v>
      </c>
      <c r="F16" s="21">
        <f t="shared" si="6"/>
        <v>4484</v>
      </c>
      <c r="G16" s="22">
        <f t="shared" si="1"/>
        <v>21886404</v>
      </c>
      <c r="H16" s="23">
        <f t="shared" si="0"/>
        <v>0.23956421625524926</v>
      </c>
    </row>
    <row r="17" spans="1:11" ht="20.100000000000001" customHeight="1">
      <c r="A17" s="16">
        <v>9</v>
      </c>
      <c r="B17" s="43" t="str">
        <f>'BOQ Coeff'!AD2</f>
        <v>Rough Stone</v>
      </c>
      <c r="C17" s="18" t="s">
        <v>21</v>
      </c>
      <c r="D17" s="45">
        <f>'BOQ Coeff'!AD43</f>
        <v>389</v>
      </c>
      <c r="E17" s="20">
        <v>3800</v>
      </c>
      <c r="F17" s="21">
        <f t="shared" ref="F17" si="7">E17*1.05</f>
        <v>3990</v>
      </c>
      <c r="G17" s="22">
        <f t="shared" si="1"/>
        <v>1552110</v>
      </c>
      <c r="H17" s="23">
        <f>G17/$G$27</f>
        <v>1.6989086726715587E-2</v>
      </c>
    </row>
    <row r="18" spans="1:11" ht="20.100000000000001" customHeight="1">
      <c r="A18" s="16">
        <v>10</v>
      </c>
      <c r="B18" s="43" t="str">
        <f>'BOQ Coeff'!AE2</f>
        <v>Jeddy Stone</v>
      </c>
      <c r="C18" s="18" t="s">
        <v>21</v>
      </c>
      <c r="D18" s="45">
        <f>'BOQ Coeff'!AE43</f>
        <v>160</v>
      </c>
      <c r="E18" s="20">
        <v>3800</v>
      </c>
      <c r="F18" s="21">
        <f t="shared" ref="F18" si="8">E18*1.05</f>
        <v>3990</v>
      </c>
      <c r="G18" s="22">
        <f t="shared" si="1"/>
        <v>638400</v>
      </c>
      <c r="H18" s="23">
        <f>G18/$G$27</f>
        <v>6.9877991678007553E-3</v>
      </c>
    </row>
    <row r="19" spans="1:11" ht="20.100000000000001" customHeight="1">
      <c r="A19" s="16">
        <v>11</v>
      </c>
      <c r="B19" s="43" t="str">
        <f>'BOQ Coeff'!AF2</f>
        <v>TMT Steel</v>
      </c>
      <c r="C19" s="44" t="s">
        <v>13</v>
      </c>
      <c r="D19" s="45">
        <f>'BOQ Coeff'!AF43</f>
        <v>176</v>
      </c>
      <c r="E19" s="46">
        <v>50000</v>
      </c>
      <c r="F19" s="21">
        <f t="shared" si="6"/>
        <v>59000</v>
      </c>
      <c r="G19" s="22">
        <f t="shared" si="1"/>
        <v>10384000</v>
      </c>
      <c r="H19" s="23">
        <f>G19/$G$27</f>
        <v>0.11366119448377671</v>
      </c>
    </row>
    <row r="20" spans="1:11" ht="20.100000000000001" customHeight="1">
      <c r="A20" s="16">
        <v>12</v>
      </c>
      <c r="B20" s="43" t="str">
        <f>'BOQ Coeff'!AG2</f>
        <v>Vertical Lift Gate</v>
      </c>
      <c r="C20" s="44" t="s">
        <v>13</v>
      </c>
      <c r="D20" s="45">
        <f>'BOQ Coeff'!AG43</f>
        <v>5</v>
      </c>
      <c r="E20" s="46">
        <v>100000</v>
      </c>
      <c r="F20" s="21">
        <f t="shared" si="6"/>
        <v>118000</v>
      </c>
      <c r="G20" s="22">
        <f t="shared" si="1"/>
        <v>590000</v>
      </c>
      <c r="H20" s="23">
        <f t="shared" ref="H20:H24" si="9">G20/$G$27</f>
        <v>6.4580224138509491E-3</v>
      </c>
    </row>
    <row r="21" spans="1:11" ht="20.100000000000001" customHeight="1">
      <c r="A21" s="16">
        <v>13</v>
      </c>
      <c r="B21" s="43" t="str">
        <f>'BOQ Coeff'!AH2</f>
        <v>Structural Steel</v>
      </c>
      <c r="C21" s="44" t="s">
        <v>13</v>
      </c>
      <c r="D21" s="45">
        <f>'BOQ Coeff'!AH43</f>
        <v>11</v>
      </c>
      <c r="E21" s="46">
        <v>90000</v>
      </c>
      <c r="F21" s="21">
        <f t="shared" si="6"/>
        <v>106200</v>
      </c>
      <c r="G21" s="22">
        <f t="shared" si="1"/>
        <v>1168200</v>
      </c>
      <c r="H21" s="23">
        <f t="shared" si="9"/>
        <v>1.2786884379424879E-2</v>
      </c>
    </row>
    <row r="22" spans="1:11" ht="20.100000000000001" customHeight="1">
      <c r="A22" s="16">
        <v>14</v>
      </c>
      <c r="B22" s="43" t="str">
        <f>'BOQ Coeff'!AI2</f>
        <v>Gravel</v>
      </c>
      <c r="C22" s="44" t="s">
        <v>21</v>
      </c>
      <c r="D22" s="45">
        <f>'BOQ Coeff'!AI43</f>
        <v>122</v>
      </c>
      <c r="E22" s="46">
        <v>2800</v>
      </c>
      <c r="F22" s="21">
        <f t="shared" si="6"/>
        <v>3304</v>
      </c>
      <c r="G22" s="22">
        <f t="shared" si="1"/>
        <v>403088</v>
      </c>
      <c r="H22" s="23">
        <f t="shared" si="9"/>
        <v>4.4121209131429686E-3</v>
      </c>
    </row>
    <row r="23" spans="1:11" ht="20.100000000000001" customHeight="1">
      <c r="A23" s="16">
        <v>15</v>
      </c>
      <c r="B23" s="43" t="str">
        <f>'BOQ Coeff'!AJ2</f>
        <v>needle punched Non-woven  Geotextiles</v>
      </c>
      <c r="C23" s="44" t="s">
        <v>16</v>
      </c>
      <c r="D23" s="45">
        <f>'BOQ Coeff'!AJ43</f>
        <v>4950</v>
      </c>
      <c r="E23" s="46">
        <f>6*10.76</f>
        <v>64.56</v>
      </c>
      <c r="F23" s="21">
        <f t="shared" si="6"/>
        <v>76.180800000000005</v>
      </c>
      <c r="G23" s="22">
        <f t="shared" si="1"/>
        <v>377094.96</v>
      </c>
      <c r="H23" s="23">
        <f t="shared" si="9"/>
        <v>4.1276062776783515E-3</v>
      </c>
    </row>
    <row r="24" spans="1:11" ht="20.100000000000001" customHeight="1">
      <c r="A24" s="16">
        <v>16</v>
      </c>
      <c r="B24" s="43" t="str">
        <f>'BOQ Coeff'!AK2</f>
        <v>Precast CC Post - 0.2*0.2*1.45m</v>
      </c>
      <c r="C24" s="44" t="s">
        <v>12</v>
      </c>
      <c r="D24" s="45">
        <f>'BOQ Coeff'!AK43</f>
        <v>150</v>
      </c>
      <c r="E24" s="46">
        <v>1700</v>
      </c>
      <c r="F24" s="21">
        <f t="shared" si="6"/>
        <v>2006</v>
      </c>
      <c r="G24" s="22">
        <f t="shared" si="1"/>
        <v>300900</v>
      </c>
      <c r="H24" s="23">
        <f t="shared" si="9"/>
        <v>3.2935914310639842E-3</v>
      </c>
    </row>
    <row r="25" spans="1:11" ht="20.100000000000001" customHeight="1">
      <c r="A25" s="16">
        <v>17</v>
      </c>
      <c r="B25" s="43" t="str">
        <f>'BOQ Coeff'!AL2</f>
        <v>Shuttering Materials</v>
      </c>
      <c r="C25" s="44" t="s">
        <v>16</v>
      </c>
      <c r="D25" s="45">
        <f>'BOQ Coeff'!AL43</f>
        <v>697</v>
      </c>
      <c r="E25" s="46">
        <v>6400</v>
      </c>
      <c r="F25" s="224">
        <f t="shared" si="6"/>
        <v>7552</v>
      </c>
      <c r="G25" s="225">
        <f t="shared" si="1"/>
        <v>5263744</v>
      </c>
      <c r="H25" s="226">
        <f>G25/$G$27</f>
        <v>5.7615892767412628E-2</v>
      </c>
    </row>
    <row r="26" spans="1:11" ht="20.100000000000001" customHeight="1">
      <c r="A26" s="16">
        <v>18</v>
      </c>
      <c r="B26" s="43" t="str">
        <f>'BOQ Coeff'!AM2</f>
        <v>Hexagonal  shaped  wire  Mesh  Gabion Boxes</v>
      </c>
      <c r="C26" s="44" t="s">
        <v>16</v>
      </c>
      <c r="D26" s="45">
        <f>'BOQ Coeff'!AM43</f>
        <v>10038</v>
      </c>
      <c r="E26" s="46">
        <v>200</v>
      </c>
      <c r="F26" s="224">
        <v>1400</v>
      </c>
      <c r="G26" s="225">
        <f t="shared" si="1"/>
        <v>14053200</v>
      </c>
      <c r="H26" s="226">
        <f>G26/$G$27</f>
        <v>0.15382352641750874</v>
      </c>
    </row>
    <row r="27" spans="1:11" s="32" customFormat="1" ht="20.100000000000001" customHeight="1" thickBot="1">
      <c r="A27" s="24"/>
      <c r="B27" s="25" t="s">
        <v>36</v>
      </c>
      <c r="C27" s="26"/>
      <c r="D27" s="27"/>
      <c r="E27" s="28"/>
      <c r="F27" s="29"/>
      <c r="G27" s="30">
        <f>SUM(G9:G26)</f>
        <v>91359236.959999993</v>
      </c>
      <c r="H27" s="31">
        <f>(G27/G6)</f>
        <v>0.39009147533456262</v>
      </c>
      <c r="K27" s="33"/>
    </row>
    <row r="28" spans="1:11" ht="20.100000000000001" customHeight="1">
      <c r="A28" s="34"/>
      <c r="B28" s="35"/>
      <c r="C28" s="34"/>
      <c r="D28" s="36"/>
      <c r="E28" s="37"/>
      <c r="F28" s="38"/>
      <c r="G28" s="39"/>
      <c r="H28" s="40"/>
    </row>
    <row r="35" spans="11:11" ht="20.100000000000001" customHeight="1">
      <c r="K35" s="5">
        <f>260+120</f>
        <v>380</v>
      </c>
    </row>
  </sheetData>
  <mergeCells count="14">
    <mergeCell ref="A2:H2"/>
    <mergeCell ref="A1:H1"/>
    <mergeCell ref="A6:B6"/>
    <mergeCell ref="C6:F6"/>
    <mergeCell ref="G6:H6"/>
    <mergeCell ref="A7:H7"/>
    <mergeCell ref="A3:B3"/>
    <mergeCell ref="C3:H3"/>
    <mergeCell ref="A4:B4"/>
    <mergeCell ref="C4:E4"/>
    <mergeCell ref="A5:B5"/>
    <mergeCell ref="C5:F5"/>
    <mergeCell ref="G5:H5"/>
    <mergeCell ref="F4:H4"/>
  </mergeCells>
  <pageMargins left="0.7" right="0.7" top="0.75" bottom="0.75" header="0.3" footer="0.3"/>
  <pageSetup paperSize="9" scale="80" orientation="landscape" r:id="rId1"/>
  <headerFooter>
    <oddFooter>Page &amp;P of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AM45"/>
  <sheetViews>
    <sheetView topLeftCell="V1" zoomScale="80" zoomScaleNormal="80" workbookViewId="0">
      <pane ySplit="3" topLeftCell="A4" activePane="bottomLeft" state="frozen"/>
      <selection pane="bottomLeft" activeCell="AM4" sqref="AM4"/>
    </sheetView>
  </sheetViews>
  <sheetFormatPr defaultRowHeight="18.75" customHeight="1"/>
  <cols>
    <col min="1" max="1" width="8" style="47" bestFit="1" customWidth="1"/>
    <col min="2" max="2" width="61" style="48" customWidth="1"/>
    <col min="3" max="3" width="15.1640625" style="269" bestFit="1" customWidth="1"/>
    <col min="4" max="4" width="7.83203125" style="47" customWidth="1"/>
    <col min="5" max="5" width="10.1640625" style="269" bestFit="1" customWidth="1"/>
    <col min="6" max="6" width="13.6640625" style="269" bestFit="1" customWidth="1"/>
    <col min="7" max="7" width="9.33203125" style="269"/>
    <col min="8" max="8" width="10.83203125" style="269" bestFit="1" customWidth="1"/>
    <col min="9" max="9" width="10.83203125" style="304" customWidth="1"/>
    <col min="10" max="10" width="11.33203125" style="304" customWidth="1"/>
    <col min="11" max="13" width="14.1640625" style="304" customWidth="1"/>
    <col min="14" max="14" width="12.83203125" style="269" bestFit="1" customWidth="1"/>
    <col min="15" max="15" width="14.5" style="269" customWidth="1"/>
    <col min="16" max="16" width="14.6640625" style="269" customWidth="1"/>
    <col min="17" max="17" width="9.5" style="269" customWidth="1"/>
    <col min="18" max="18" width="21.33203125" style="304" customWidth="1"/>
    <col min="19" max="19" width="17.5" style="269" customWidth="1"/>
    <col min="20" max="20" width="16.6640625" style="298" customWidth="1"/>
    <col min="21" max="21" width="17.6640625" style="304" customWidth="1"/>
    <col min="22" max="22" width="2.33203125" style="396" customWidth="1"/>
    <col min="23" max="23" width="17.6640625" style="269" customWidth="1"/>
    <col min="24" max="26" width="14.33203125" style="269" bestFit="1" customWidth="1"/>
    <col min="27" max="28" width="12" style="304" customWidth="1"/>
    <col min="29" max="31" width="15" style="304" customWidth="1"/>
    <col min="32" max="32" width="15" style="269" bestFit="1" customWidth="1"/>
    <col min="33" max="33" width="16.1640625" style="269" customWidth="1"/>
    <col min="34" max="34" width="14.33203125" style="269" bestFit="1" customWidth="1"/>
    <col min="35" max="35" width="13.5" style="269" customWidth="1"/>
    <col min="36" max="36" width="17.5" style="304" customWidth="1"/>
    <col min="37" max="37" width="16.33203125" style="269" customWidth="1"/>
    <col min="38" max="38" width="15.6640625" style="298" customWidth="1"/>
    <col min="39" max="39" width="21.5" style="304" customWidth="1"/>
    <col min="40" max="16384" width="9.33203125" style="47"/>
  </cols>
  <sheetData>
    <row r="1" spans="1:39" ht="18.75" customHeight="1">
      <c r="A1" s="390" t="str">
        <f>BOQ!A1</f>
        <v>Construction of check dam across Marudhaiyar river at Varanavasi village in Ariyalur Taluk and District</v>
      </c>
      <c r="B1" s="391"/>
      <c r="C1" s="391"/>
      <c r="D1" s="392"/>
      <c r="E1" s="397" t="s">
        <v>19</v>
      </c>
      <c r="F1" s="397"/>
      <c r="G1" s="397"/>
      <c r="H1" s="397"/>
      <c r="I1" s="397"/>
      <c r="J1" s="397"/>
      <c r="K1" s="397"/>
      <c r="L1" s="397"/>
      <c r="M1" s="397"/>
      <c r="N1" s="397"/>
      <c r="O1" s="397"/>
      <c r="P1" s="397"/>
      <c r="Q1" s="397"/>
      <c r="R1" s="397"/>
      <c r="S1" s="397"/>
      <c r="T1" s="397"/>
      <c r="U1" s="306"/>
      <c r="W1" s="398" t="s">
        <v>20</v>
      </c>
      <c r="X1" s="399"/>
      <c r="Y1" s="399"/>
      <c r="Z1" s="399"/>
      <c r="AA1" s="399"/>
      <c r="AB1" s="399"/>
      <c r="AC1" s="399"/>
      <c r="AD1" s="399"/>
      <c r="AE1" s="399"/>
      <c r="AF1" s="399"/>
      <c r="AG1" s="399"/>
      <c r="AH1" s="399"/>
      <c r="AI1" s="399"/>
      <c r="AJ1" s="399"/>
      <c r="AK1" s="399"/>
      <c r="AL1" s="399"/>
    </row>
    <row r="2" spans="1:39" s="258" customFormat="1" ht="30.75" customHeight="1">
      <c r="A2" s="393" t="s">
        <v>54</v>
      </c>
      <c r="B2" s="394"/>
      <c r="C2" s="394"/>
      <c r="D2" s="395"/>
      <c r="E2" s="275" t="s">
        <v>8</v>
      </c>
      <c r="F2" s="248" t="s">
        <v>171</v>
      </c>
      <c r="G2" s="275" t="s">
        <v>9</v>
      </c>
      <c r="H2" s="275" t="s">
        <v>11</v>
      </c>
      <c r="I2" s="275" t="s">
        <v>268</v>
      </c>
      <c r="J2" s="248" t="s">
        <v>269</v>
      </c>
      <c r="K2" s="248" t="s">
        <v>270</v>
      </c>
      <c r="L2" s="248" t="s">
        <v>271</v>
      </c>
      <c r="M2" s="248" t="s">
        <v>272</v>
      </c>
      <c r="N2" s="275" t="s">
        <v>64</v>
      </c>
      <c r="O2" s="248" t="s">
        <v>273</v>
      </c>
      <c r="P2" s="248" t="s">
        <v>18</v>
      </c>
      <c r="Q2" s="275" t="s">
        <v>6</v>
      </c>
      <c r="R2" s="248" t="s">
        <v>274</v>
      </c>
      <c r="S2" s="248" t="s">
        <v>275</v>
      </c>
      <c r="T2" s="248" t="s">
        <v>267</v>
      </c>
      <c r="U2" s="248" t="s">
        <v>277</v>
      </c>
      <c r="V2" s="396"/>
      <c r="W2" s="275" t="s">
        <v>8</v>
      </c>
      <c r="X2" s="248" t="s">
        <v>171</v>
      </c>
      <c r="Y2" s="275" t="s">
        <v>9</v>
      </c>
      <c r="Z2" s="275" t="s">
        <v>11</v>
      </c>
      <c r="AA2" s="275" t="s">
        <v>268</v>
      </c>
      <c r="AB2" s="248" t="s">
        <v>269</v>
      </c>
      <c r="AC2" s="248" t="s">
        <v>270</v>
      </c>
      <c r="AD2" s="248" t="s">
        <v>271</v>
      </c>
      <c r="AE2" s="248" t="s">
        <v>272</v>
      </c>
      <c r="AF2" s="275" t="s">
        <v>64</v>
      </c>
      <c r="AG2" s="248" t="s">
        <v>273</v>
      </c>
      <c r="AH2" s="248" t="s">
        <v>18</v>
      </c>
      <c r="AI2" s="275" t="s">
        <v>6</v>
      </c>
      <c r="AJ2" s="248" t="s">
        <v>274</v>
      </c>
      <c r="AK2" s="248" t="s">
        <v>275</v>
      </c>
      <c r="AL2" s="248" t="s">
        <v>267</v>
      </c>
      <c r="AM2" s="248" t="s">
        <v>277</v>
      </c>
    </row>
    <row r="3" spans="1:39" ht="18.75" customHeight="1">
      <c r="A3" s="276" t="s">
        <v>203</v>
      </c>
      <c r="B3" s="276" t="s">
        <v>0</v>
      </c>
      <c r="C3" s="277" t="s">
        <v>30</v>
      </c>
      <c r="D3" s="276" t="s">
        <v>1</v>
      </c>
      <c r="E3" s="223" t="s">
        <v>35</v>
      </c>
      <c r="F3" s="223" t="s">
        <v>21</v>
      </c>
      <c r="G3" s="223" t="s">
        <v>21</v>
      </c>
      <c r="H3" s="223" t="s">
        <v>21</v>
      </c>
      <c r="I3" s="223" t="s">
        <v>21</v>
      </c>
      <c r="J3" s="223" t="s">
        <v>21</v>
      </c>
      <c r="K3" s="223"/>
      <c r="L3" s="223"/>
      <c r="M3" s="223"/>
      <c r="N3" s="223" t="s">
        <v>13</v>
      </c>
      <c r="O3" s="223" t="s">
        <v>16</v>
      </c>
      <c r="P3" s="223" t="s">
        <v>15</v>
      </c>
      <c r="Q3" s="223" t="s">
        <v>21</v>
      </c>
      <c r="R3" s="223" t="s">
        <v>16</v>
      </c>
      <c r="S3" s="223" t="s">
        <v>12</v>
      </c>
      <c r="T3" s="223" t="s">
        <v>16</v>
      </c>
      <c r="U3" s="223"/>
      <c r="W3" s="223" t="s">
        <v>35</v>
      </c>
      <c r="X3" s="223" t="s">
        <v>21</v>
      </c>
      <c r="Y3" s="223" t="s">
        <v>21</v>
      </c>
      <c r="Z3" s="223" t="s">
        <v>21</v>
      </c>
      <c r="AA3" s="223" t="s">
        <v>21</v>
      </c>
      <c r="AB3" s="223" t="s">
        <v>21</v>
      </c>
      <c r="AC3" s="223" t="s">
        <v>21</v>
      </c>
      <c r="AD3" s="223" t="s">
        <v>21</v>
      </c>
      <c r="AE3" s="223" t="s">
        <v>21</v>
      </c>
      <c r="AF3" s="223" t="s">
        <v>13</v>
      </c>
      <c r="AG3" s="223" t="s">
        <v>16</v>
      </c>
      <c r="AH3" s="223" t="s">
        <v>15</v>
      </c>
      <c r="AI3" s="223" t="s">
        <v>21</v>
      </c>
      <c r="AJ3" s="223" t="s">
        <v>16</v>
      </c>
      <c r="AK3" s="223" t="s">
        <v>12</v>
      </c>
      <c r="AL3" s="223" t="s">
        <v>16</v>
      </c>
      <c r="AM3" s="223" t="s">
        <v>12</v>
      </c>
    </row>
    <row r="4" spans="1:39" ht="18.75" customHeight="1">
      <c r="A4" s="278">
        <v>1</v>
      </c>
      <c r="B4" s="290" t="s">
        <v>205</v>
      </c>
      <c r="C4" s="279">
        <v>25849.599999999999</v>
      </c>
      <c r="D4" s="280" t="s">
        <v>206</v>
      </c>
      <c r="E4" s="223"/>
      <c r="F4" s="223"/>
      <c r="G4" s="223"/>
      <c r="H4" s="223"/>
      <c r="I4" s="223"/>
      <c r="J4" s="223"/>
      <c r="K4" s="223"/>
      <c r="L4" s="223"/>
      <c r="M4" s="223"/>
      <c r="N4" s="223"/>
      <c r="O4" s="223"/>
      <c r="P4" s="223"/>
      <c r="Q4" s="223"/>
      <c r="R4" s="223"/>
      <c r="S4" s="223"/>
      <c r="T4" s="223"/>
      <c r="U4" s="223"/>
      <c r="W4" s="223">
        <f>C4*E4</f>
        <v>0</v>
      </c>
      <c r="X4" s="223">
        <f>C4*F4</f>
        <v>0</v>
      </c>
      <c r="Y4" s="223">
        <f>C4*G4</f>
        <v>0</v>
      </c>
      <c r="Z4" s="223">
        <f>C4*H4</f>
        <v>0</v>
      </c>
      <c r="AA4" s="223">
        <f>I4*C4</f>
        <v>0</v>
      </c>
      <c r="AB4" s="223">
        <f>J4*C4</f>
        <v>0</v>
      </c>
      <c r="AC4" s="223">
        <f>K4*C4</f>
        <v>0</v>
      </c>
      <c r="AD4" s="223">
        <f t="shared" ref="AD4:AD42" si="0">L4*C4</f>
        <v>0</v>
      </c>
      <c r="AE4" s="223">
        <f t="shared" ref="AE4:AE42" si="1">M4*C4</f>
        <v>0</v>
      </c>
      <c r="AF4" s="223">
        <f t="shared" ref="AF4:AF42" si="2">C4*N4</f>
        <v>0</v>
      </c>
      <c r="AG4" s="223">
        <f t="shared" ref="AG4:AG42" si="3">C4*O4</f>
        <v>0</v>
      </c>
      <c r="AH4" s="223">
        <f t="shared" ref="AH4:AH42" si="4">C4*P4</f>
        <v>0</v>
      </c>
      <c r="AI4" s="223">
        <f t="shared" ref="AI4:AI42" si="5">C4*Q4</f>
        <v>0</v>
      </c>
      <c r="AJ4" s="223">
        <f>R4*C4</f>
        <v>0</v>
      </c>
      <c r="AK4" s="223">
        <f t="shared" ref="AK4:AK42" si="6">C4*S4</f>
        <v>0</v>
      </c>
      <c r="AL4" s="223">
        <f t="shared" ref="AL4:AL42" si="7">T4*C4</f>
        <v>0</v>
      </c>
      <c r="AM4" s="223">
        <f>U4*C4</f>
        <v>0</v>
      </c>
    </row>
    <row r="5" spans="1:39" ht="18.75" customHeight="1">
      <c r="A5" s="278">
        <v>2</v>
      </c>
      <c r="B5" s="290" t="s">
        <v>207</v>
      </c>
      <c r="C5" s="279">
        <v>5254</v>
      </c>
      <c r="D5" s="280" t="s">
        <v>208</v>
      </c>
      <c r="E5" s="223"/>
      <c r="F5" s="223"/>
      <c r="G5" s="223"/>
      <c r="H5" s="223"/>
      <c r="I5" s="223"/>
      <c r="J5" s="223"/>
      <c r="K5" s="223"/>
      <c r="L5" s="223"/>
      <c r="M5" s="223"/>
      <c r="N5" s="223"/>
      <c r="O5" s="223"/>
      <c r="P5" s="223"/>
      <c r="Q5" s="223"/>
      <c r="R5" s="223"/>
      <c r="S5" s="223"/>
      <c r="T5" s="223"/>
      <c r="U5" s="223"/>
      <c r="W5" s="223">
        <f t="shared" ref="W5:W27" si="8">C5*E5</f>
        <v>0</v>
      </c>
      <c r="X5" s="223">
        <f t="shared" ref="X5:X27" si="9">C5*F5</f>
        <v>0</v>
      </c>
      <c r="Y5" s="223">
        <f t="shared" ref="Y5:Y27" si="10">C5*G5</f>
        <v>0</v>
      </c>
      <c r="Z5" s="223">
        <f t="shared" ref="Z5:Z27" si="11">C5*H5</f>
        <v>0</v>
      </c>
      <c r="AA5" s="223">
        <f t="shared" ref="AA5:AA42" si="12">I5*C5</f>
        <v>0</v>
      </c>
      <c r="AB5" s="223">
        <f t="shared" ref="AB5:AB42" si="13">J5*C5</f>
        <v>0</v>
      </c>
      <c r="AC5" s="223">
        <f t="shared" ref="AC5:AC42" si="14">K5*C5</f>
        <v>0</v>
      </c>
      <c r="AD5" s="223">
        <f t="shared" si="0"/>
        <v>0</v>
      </c>
      <c r="AE5" s="223">
        <f t="shared" si="1"/>
        <v>0</v>
      </c>
      <c r="AF5" s="223">
        <f t="shared" si="2"/>
        <v>0</v>
      </c>
      <c r="AG5" s="223">
        <f t="shared" si="3"/>
        <v>0</v>
      </c>
      <c r="AH5" s="223">
        <f t="shared" si="4"/>
        <v>0</v>
      </c>
      <c r="AI5" s="223">
        <f t="shared" si="5"/>
        <v>0</v>
      </c>
      <c r="AJ5" s="223">
        <f t="shared" ref="AJ5:AJ42" si="15">R5*C5</f>
        <v>0</v>
      </c>
      <c r="AK5" s="223">
        <f t="shared" si="6"/>
        <v>0</v>
      </c>
      <c r="AL5" s="223">
        <f t="shared" si="7"/>
        <v>0</v>
      </c>
      <c r="AM5" s="223">
        <f t="shared" ref="AM5:AM42" si="16">U5*C5</f>
        <v>0</v>
      </c>
    </row>
    <row r="6" spans="1:39" ht="18.75" customHeight="1">
      <c r="A6" s="278">
        <v>3</v>
      </c>
      <c r="B6" s="290" t="s">
        <v>209</v>
      </c>
      <c r="C6" s="279">
        <v>29381</v>
      </c>
      <c r="D6" s="280" t="s">
        <v>208</v>
      </c>
      <c r="E6" s="223"/>
      <c r="F6" s="223"/>
      <c r="G6" s="223"/>
      <c r="H6" s="223"/>
      <c r="I6" s="223"/>
      <c r="J6" s="223"/>
      <c r="K6" s="223"/>
      <c r="L6" s="223"/>
      <c r="M6" s="223"/>
      <c r="N6" s="223"/>
      <c r="O6" s="223"/>
      <c r="P6" s="223"/>
      <c r="Q6" s="223"/>
      <c r="R6" s="223"/>
      <c r="S6" s="223"/>
      <c r="T6" s="223"/>
      <c r="U6" s="223"/>
      <c r="W6" s="223">
        <f t="shared" si="8"/>
        <v>0</v>
      </c>
      <c r="X6" s="223">
        <f t="shared" si="9"/>
        <v>0</v>
      </c>
      <c r="Y6" s="223">
        <f t="shared" si="10"/>
        <v>0</v>
      </c>
      <c r="Z6" s="223">
        <f t="shared" si="11"/>
        <v>0</v>
      </c>
      <c r="AA6" s="223">
        <f t="shared" si="12"/>
        <v>0</v>
      </c>
      <c r="AB6" s="223">
        <f t="shared" si="13"/>
        <v>0</v>
      </c>
      <c r="AC6" s="223">
        <f t="shared" si="14"/>
        <v>0</v>
      </c>
      <c r="AD6" s="223">
        <f t="shared" si="0"/>
        <v>0</v>
      </c>
      <c r="AE6" s="223">
        <f t="shared" si="1"/>
        <v>0</v>
      </c>
      <c r="AF6" s="223">
        <f t="shared" si="2"/>
        <v>0</v>
      </c>
      <c r="AG6" s="223">
        <f t="shared" si="3"/>
        <v>0</v>
      </c>
      <c r="AH6" s="223">
        <f t="shared" si="4"/>
        <v>0</v>
      </c>
      <c r="AI6" s="223">
        <f t="shared" si="5"/>
        <v>0</v>
      </c>
      <c r="AJ6" s="223">
        <f t="shared" si="15"/>
        <v>0</v>
      </c>
      <c r="AK6" s="223">
        <f t="shared" si="6"/>
        <v>0</v>
      </c>
      <c r="AL6" s="223">
        <f t="shared" si="7"/>
        <v>0</v>
      </c>
      <c r="AM6" s="223">
        <f t="shared" si="16"/>
        <v>0</v>
      </c>
    </row>
    <row r="7" spans="1:39" ht="18.75" customHeight="1">
      <c r="A7" s="278">
        <v>4</v>
      </c>
      <c r="B7" s="290" t="s">
        <v>210</v>
      </c>
      <c r="C7" s="281"/>
      <c r="D7" s="282"/>
      <c r="E7" s="223"/>
      <c r="F7" s="223"/>
      <c r="G7" s="223"/>
      <c r="H7" s="223"/>
      <c r="I7" s="223"/>
      <c r="J7" s="223"/>
      <c r="K7" s="223"/>
      <c r="L7" s="223"/>
      <c r="M7" s="223"/>
      <c r="N7" s="223"/>
      <c r="O7" s="223"/>
      <c r="P7" s="223"/>
      <c r="Q7" s="223"/>
      <c r="R7" s="223"/>
      <c r="S7" s="223"/>
      <c r="T7" s="223"/>
      <c r="U7" s="223"/>
      <c r="W7" s="223">
        <f t="shared" si="8"/>
        <v>0</v>
      </c>
      <c r="X7" s="223">
        <f t="shared" si="9"/>
        <v>0</v>
      </c>
      <c r="Y7" s="223">
        <f t="shared" si="10"/>
        <v>0</v>
      </c>
      <c r="Z7" s="223">
        <f t="shared" si="11"/>
        <v>0</v>
      </c>
      <c r="AA7" s="223">
        <f t="shared" si="12"/>
        <v>0</v>
      </c>
      <c r="AB7" s="223">
        <f t="shared" si="13"/>
        <v>0</v>
      </c>
      <c r="AC7" s="223">
        <f t="shared" si="14"/>
        <v>0</v>
      </c>
      <c r="AD7" s="223">
        <f t="shared" si="0"/>
        <v>0</v>
      </c>
      <c r="AE7" s="223">
        <f t="shared" si="1"/>
        <v>0</v>
      </c>
      <c r="AF7" s="223">
        <f t="shared" si="2"/>
        <v>0</v>
      </c>
      <c r="AG7" s="223">
        <f t="shared" si="3"/>
        <v>0</v>
      </c>
      <c r="AH7" s="223">
        <f t="shared" si="4"/>
        <v>0</v>
      </c>
      <c r="AI7" s="223">
        <f t="shared" si="5"/>
        <v>0</v>
      </c>
      <c r="AJ7" s="223">
        <f t="shared" si="15"/>
        <v>0</v>
      </c>
      <c r="AK7" s="223">
        <f t="shared" si="6"/>
        <v>0</v>
      </c>
      <c r="AL7" s="223">
        <f t="shared" si="7"/>
        <v>0</v>
      </c>
      <c r="AM7" s="223">
        <f t="shared" si="16"/>
        <v>0</v>
      </c>
    </row>
    <row r="8" spans="1:39" ht="18.75" customHeight="1">
      <c r="A8" s="283">
        <v>4.01</v>
      </c>
      <c r="B8" s="290" t="s">
        <v>211</v>
      </c>
      <c r="C8" s="279">
        <v>6346</v>
      </c>
      <c r="D8" s="280" t="s">
        <v>206</v>
      </c>
      <c r="E8" s="223"/>
      <c r="F8" s="223"/>
      <c r="G8" s="223"/>
      <c r="H8" s="223"/>
      <c r="I8" s="223"/>
      <c r="J8" s="223"/>
      <c r="K8" s="223"/>
      <c r="L8" s="223"/>
      <c r="M8" s="223"/>
      <c r="N8" s="223"/>
      <c r="O8" s="223"/>
      <c r="P8" s="223"/>
      <c r="Q8" s="223"/>
      <c r="R8" s="223"/>
      <c r="S8" s="223"/>
      <c r="T8" s="223">
        <v>0.05</v>
      </c>
      <c r="U8" s="223"/>
      <c r="W8" s="223">
        <f t="shared" si="8"/>
        <v>0</v>
      </c>
      <c r="X8" s="223">
        <f t="shared" si="9"/>
        <v>0</v>
      </c>
      <c r="Y8" s="223">
        <f t="shared" si="10"/>
        <v>0</v>
      </c>
      <c r="Z8" s="223">
        <f t="shared" si="11"/>
        <v>0</v>
      </c>
      <c r="AA8" s="223">
        <f t="shared" si="12"/>
        <v>0</v>
      </c>
      <c r="AB8" s="223">
        <f t="shared" si="13"/>
        <v>0</v>
      </c>
      <c r="AC8" s="223">
        <f t="shared" si="14"/>
        <v>0</v>
      </c>
      <c r="AD8" s="223">
        <f t="shared" si="0"/>
        <v>0</v>
      </c>
      <c r="AE8" s="223">
        <f t="shared" si="1"/>
        <v>0</v>
      </c>
      <c r="AF8" s="223">
        <f t="shared" si="2"/>
        <v>0</v>
      </c>
      <c r="AG8" s="223">
        <f t="shared" si="3"/>
        <v>0</v>
      </c>
      <c r="AH8" s="223">
        <f t="shared" si="4"/>
        <v>0</v>
      </c>
      <c r="AI8" s="223">
        <f t="shared" si="5"/>
        <v>0</v>
      </c>
      <c r="AJ8" s="223">
        <f t="shared" si="15"/>
        <v>0</v>
      </c>
      <c r="AK8" s="223">
        <f t="shared" si="6"/>
        <v>0</v>
      </c>
      <c r="AL8" s="223">
        <f t="shared" si="7"/>
        <v>317.3</v>
      </c>
      <c r="AM8" s="223">
        <f t="shared" si="16"/>
        <v>0</v>
      </c>
    </row>
    <row r="9" spans="1:39" ht="18.75" customHeight="1">
      <c r="A9" s="283">
        <v>4.0199999999999996</v>
      </c>
      <c r="B9" s="290" t="s">
        <v>212</v>
      </c>
      <c r="C9" s="279">
        <v>6536</v>
      </c>
      <c r="D9" s="280" t="s">
        <v>206</v>
      </c>
      <c r="E9" s="223"/>
      <c r="F9" s="223"/>
      <c r="G9" s="223"/>
      <c r="H9" s="223"/>
      <c r="I9" s="223"/>
      <c r="J9" s="223"/>
      <c r="K9" s="223"/>
      <c r="L9" s="223"/>
      <c r="M9" s="223"/>
      <c r="N9" s="223"/>
      <c r="O9" s="223"/>
      <c r="P9" s="223"/>
      <c r="Q9" s="223"/>
      <c r="R9" s="223"/>
      <c r="S9" s="223"/>
      <c r="T9" s="223">
        <v>0.05</v>
      </c>
      <c r="U9" s="223"/>
      <c r="W9" s="223">
        <f t="shared" si="8"/>
        <v>0</v>
      </c>
      <c r="X9" s="223">
        <f t="shared" si="9"/>
        <v>0</v>
      </c>
      <c r="Y9" s="223">
        <f t="shared" si="10"/>
        <v>0</v>
      </c>
      <c r="Z9" s="223">
        <f t="shared" si="11"/>
        <v>0</v>
      </c>
      <c r="AA9" s="223">
        <f t="shared" si="12"/>
        <v>0</v>
      </c>
      <c r="AB9" s="223">
        <f t="shared" si="13"/>
        <v>0</v>
      </c>
      <c r="AC9" s="223">
        <f t="shared" si="14"/>
        <v>0</v>
      </c>
      <c r="AD9" s="223">
        <f t="shared" si="0"/>
        <v>0</v>
      </c>
      <c r="AE9" s="223">
        <f t="shared" si="1"/>
        <v>0</v>
      </c>
      <c r="AF9" s="223">
        <f t="shared" si="2"/>
        <v>0</v>
      </c>
      <c r="AG9" s="223">
        <f t="shared" si="3"/>
        <v>0</v>
      </c>
      <c r="AH9" s="223">
        <f t="shared" si="4"/>
        <v>0</v>
      </c>
      <c r="AI9" s="223">
        <f t="shared" si="5"/>
        <v>0</v>
      </c>
      <c r="AJ9" s="223">
        <f t="shared" si="15"/>
        <v>0</v>
      </c>
      <c r="AK9" s="223">
        <f t="shared" si="6"/>
        <v>0</v>
      </c>
      <c r="AL9" s="223">
        <f t="shared" si="7"/>
        <v>326.8</v>
      </c>
      <c r="AM9" s="223">
        <f t="shared" si="16"/>
        <v>0</v>
      </c>
    </row>
    <row r="10" spans="1:39" ht="18.75" customHeight="1">
      <c r="A10" s="283">
        <v>4.03</v>
      </c>
      <c r="B10" s="290" t="s">
        <v>213</v>
      </c>
      <c r="C10" s="279">
        <v>739</v>
      </c>
      <c r="D10" s="280" t="s">
        <v>206</v>
      </c>
      <c r="E10" s="223"/>
      <c r="F10" s="223"/>
      <c r="G10" s="223"/>
      <c r="H10" s="223"/>
      <c r="I10" s="223"/>
      <c r="J10" s="223"/>
      <c r="K10" s="223"/>
      <c r="L10" s="223"/>
      <c r="M10" s="223"/>
      <c r="N10" s="223"/>
      <c r="O10" s="223"/>
      <c r="P10" s="223"/>
      <c r="Q10" s="223"/>
      <c r="R10" s="223"/>
      <c r="S10" s="223"/>
      <c r="T10" s="223">
        <v>0.05</v>
      </c>
      <c r="U10" s="223"/>
      <c r="W10" s="223">
        <f t="shared" si="8"/>
        <v>0</v>
      </c>
      <c r="X10" s="223">
        <f t="shared" si="9"/>
        <v>0</v>
      </c>
      <c r="Y10" s="223">
        <f t="shared" si="10"/>
        <v>0</v>
      </c>
      <c r="Z10" s="223">
        <f t="shared" si="11"/>
        <v>0</v>
      </c>
      <c r="AA10" s="223">
        <f t="shared" si="12"/>
        <v>0</v>
      </c>
      <c r="AB10" s="223">
        <f t="shared" si="13"/>
        <v>0</v>
      </c>
      <c r="AC10" s="223">
        <f t="shared" si="14"/>
        <v>0</v>
      </c>
      <c r="AD10" s="223">
        <f t="shared" si="0"/>
        <v>0</v>
      </c>
      <c r="AE10" s="223">
        <f t="shared" si="1"/>
        <v>0</v>
      </c>
      <c r="AF10" s="223">
        <f t="shared" si="2"/>
        <v>0</v>
      </c>
      <c r="AG10" s="223">
        <f t="shared" si="3"/>
        <v>0</v>
      </c>
      <c r="AH10" s="223">
        <f t="shared" si="4"/>
        <v>0</v>
      </c>
      <c r="AI10" s="223">
        <f t="shared" si="5"/>
        <v>0</v>
      </c>
      <c r="AJ10" s="223">
        <f t="shared" si="15"/>
        <v>0</v>
      </c>
      <c r="AK10" s="223">
        <f t="shared" si="6"/>
        <v>0</v>
      </c>
      <c r="AL10" s="223">
        <f t="shared" si="7"/>
        <v>36.950000000000003</v>
      </c>
      <c r="AM10" s="223">
        <f t="shared" si="16"/>
        <v>0</v>
      </c>
    </row>
    <row r="11" spans="1:39" ht="18.75" customHeight="1">
      <c r="A11" s="283">
        <v>4.04</v>
      </c>
      <c r="B11" s="290" t="s">
        <v>214</v>
      </c>
      <c r="C11" s="279">
        <v>303</v>
      </c>
      <c r="D11" s="280" t="s">
        <v>206</v>
      </c>
      <c r="E11" s="223"/>
      <c r="F11" s="223"/>
      <c r="G11" s="223"/>
      <c r="H11" s="223"/>
      <c r="I11" s="223"/>
      <c r="J11" s="223"/>
      <c r="K11" s="223"/>
      <c r="L11" s="223"/>
      <c r="M11" s="223"/>
      <c r="N11" s="223"/>
      <c r="O11" s="223"/>
      <c r="P11" s="223"/>
      <c r="Q11" s="223"/>
      <c r="R11" s="223"/>
      <c r="S11" s="223"/>
      <c r="T11" s="223">
        <v>0.05</v>
      </c>
      <c r="U11" s="223"/>
      <c r="W11" s="223">
        <f t="shared" si="8"/>
        <v>0</v>
      </c>
      <c r="X11" s="223">
        <f t="shared" si="9"/>
        <v>0</v>
      </c>
      <c r="Y11" s="223">
        <f t="shared" si="10"/>
        <v>0</v>
      </c>
      <c r="Z11" s="223">
        <f t="shared" si="11"/>
        <v>0</v>
      </c>
      <c r="AA11" s="223">
        <f t="shared" si="12"/>
        <v>0</v>
      </c>
      <c r="AB11" s="223">
        <f t="shared" si="13"/>
        <v>0</v>
      </c>
      <c r="AC11" s="223">
        <f t="shared" si="14"/>
        <v>0</v>
      </c>
      <c r="AD11" s="223">
        <f t="shared" si="0"/>
        <v>0</v>
      </c>
      <c r="AE11" s="223">
        <f t="shared" si="1"/>
        <v>0</v>
      </c>
      <c r="AF11" s="223">
        <f t="shared" si="2"/>
        <v>0</v>
      </c>
      <c r="AG11" s="223">
        <f t="shared" si="3"/>
        <v>0</v>
      </c>
      <c r="AH11" s="223">
        <f t="shared" si="4"/>
        <v>0</v>
      </c>
      <c r="AI11" s="223">
        <f t="shared" si="5"/>
        <v>0</v>
      </c>
      <c r="AJ11" s="223">
        <f t="shared" si="15"/>
        <v>0</v>
      </c>
      <c r="AK11" s="223">
        <f t="shared" si="6"/>
        <v>0</v>
      </c>
      <c r="AL11" s="223">
        <f t="shared" si="7"/>
        <v>15.15</v>
      </c>
      <c r="AM11" s="223">
        <f t="shared" si="16"/>
        <v>0</v>
      </c>
    </row>
    <row r="12" spans="1:39" ht="18.75" customHeight="1">
      <c r="A12" s="278">
        <v>5</v>
      </c>
      <c r="B12" s="290" t="s">
        <v>215</v>
      </c>
      <c r="C12" s="279">
        <v>379</v>
      </c>
      <c r="D12" s="280" t="s">
        <v>208</v>
      </c>
      <c r="E12" s="223">
        <v>2.5</v>
      </c>
      <c r="F12" s="223">
        <f>0.56/2.83</f>
        <v>0.19787985865724383</v>
      </c>
      <c r="G12" s="223">
        <f>0.9/2.83</f>
        <v>0.31802120141342755</v>
      </c>
      <c r="H12" s="223"/>
      <c r="I12" s="223"/>
      <c r="J12" s="223"/>
      <c r="K12" s="223"/>
      <c r="L12" s="223"/>
      <c r="M12" s="223"/>
      <c r="N12" s="223"/>
      <c r="O12" s="223"/>
      <c r="P12" s="223"/>
      <c r="Q12" s="223"/>
      <c r="R12" s="223"/>
      <c r="S12" s="223"/>
      <c r="T12" s="223"/>
      <c r="U12" s="223"/>
      <c r="W12" s="223">
        <f t="shared" si="8"/>
        <v>947.5</v>
      </c>
      <c r="X12" s="223">
        <f t="shared" si="9"/>
        <v>74.996466431095413</v>
      </c>
      <c r="Y12" s="223">
        <f t="shared" si="10"/>
        <v>120.53003533568904</v>
      </c>
      <c r="Z12" s="223">
        <f t="shared" si="11"/>
        <v>0</v>
      </c>
      <c r="AA12" s="223">
        <f t="shared" si="12"/>
        <v>0</v>
      </c>
      <c r="AB12" s="223">
        <f t="shared" si="13"/>
        <v>0</v>
      </c>
      <c r="AC12" s="223">
        <f t="shared" si="14"/>
        <v>0</v>
      </c>
      <c r="AD12" s="223">
        <f t="shared" si="0"/>
        <v>0</v>
      </c>
      <c r="AE12" s="223">
        <f t="shared" si="1"/>
        <v>0</v>
      </c>
      <c r="AF12" s="223">
        <f t="shared" si="2"/>
        <v>0</v>
      </c>
      <c r="AG12" s="223">
        <f t="shared" si="3"/>
        <v>0</v>
      </c>
      <c r="AH12" s="223">
        <f t="shared" si="4"/>
        <v>0</v>
      </c>
      <c r="AI12" s="223">
        <f t="shared" si="5"/>
        <v>0</v>
      </c>
      <c r="AJ12" s="223">
        <f t="shared" si="15"/>
        <v>0</v>
      </c>
      <c r="AK12" s="223">
        <f t="shared" si="6"/>
        <v>0</v>
      </c>
      <c r="AL12" s="223">
        <f t="shared" si="7"/>
        <v>0</v>
      </c>
      <c r="AM12" s="223">
        <f t="shared" si="16"/>
        <v>0</v>
      </c>
    </row>
    <row r="13" spans="1:39" ht="18.75" customHeight="1">
      <c r="A13" s="278">
        <v>6</v>
      </c>
      <c r="B13" s="290" t="s">
        <v>216</v>
      </c>
      <c r="C13" s="281"/>
      <c r="D13" s="282"/>
      <c r="E13" s="223"/>
      <c r="F13" s="223"/>
      <c r="G13" s="223"/>
      <c r="H13" s="223"/>
      <c r="I13" s="223"/>
      <c r="J13" s="223"/>
      <c r="K13" s="223"/>
      <c r="L13" s="223"/>
      <c r="M13" s="223"/>
      <c r="N13" s="223"/>
      <c r="O13" s="223"/>
      <c r="P13" s="223"/>
      <c r="Q13" s="223"/>
      <c r="R13" s="223"/>
      <c r="S13" s="223"/>
      <c r="T13" s="223"/>
      <c r="U13" s="223"/>
      <c r="W13" s="223">
        <f t="shared" si="8"/>
        <v>0</v>
      </c>
      <c r="X13" s="223">
        <f t="shared" si="9"/>
        <v>0</v>
      </c>
      <c r="Y13" s="223">
        <f t="shared" si="10"/>
        <v>0</v>
      </c>
      <c r="Z13" s="223">
        <f t="shared" si="11"/>
        <v>0</v>
      </c>
      <c r="AA13" s="223">
        <f t="shared" si="12"/>
        <v>0</v>
      </c>
      <c r="AB13" s="223">
        <f t="shared" si="13"/>
        <v>0</v>
      </c>
      <c r="AC13" s="223">
        <f t="shared" si="14"/>
        <v>0</v>
      </c>
      <c r="AD13" s="223">
        <f t="shared" si="0"/>
        <v>0</v>
      </c>
      <c r="AE13" s="223">
        <f t="shared" si="1"/>
        <v>0</v>
      </c>
      <c r="AF13" s="223">
        <f t="shared" si="2"/>
        <v>0</v>
      </c>
      <c r="AG13" s="223">
        <f t="shared" si="3"/>
        <v>0</v>
      </c>
      <c r="AH13" s="223">
        <f t="shared" si="4"/>
        <v>0</v>
      </c>
      <c r="AI13" s="223">
        <f t="shared" si="5"/>
        <v>0</v>
      </c>
      <c r="AJ13" s="223">
        <f t="shared" si="15"/>
        <v>0</v>
      </c>
      <c r="AK13" s="223">
        <f t="shared" si="6"/>
        <v>0</v>
      </c>
      <c r="AL13" s="223">
        <f t="shared" si="7"/>
        <v>0</v>
      </c>
      <c r="AM13" s="223">
        <f t="shared" si="16"/>
        <v>0</v>
      </c>
    </row>
    <row r="14" spans="1:39" ht="18.75" customHeight="1">
      <c r="A14" s="283">
        <v>6.01</v>
      </c>
      <c r="B14" s="290" t="s">
        <v>217</v>
      </c>
      <c r="C14" s="279">
        <v>739</v>
      </c>
      <c r="D14" s="280" t="s">
        <v>208</v>
      </c>
      <c r="E14" s="223">
        <v>4</v>
      </c>
      <c r="F14" s="223">
        <f t="shared" ref="F14:F25" si="17">0.56/2.83</f>
        <v>0.19787985865724383</v>
      </c>
      <c r="G14" s="223"/>
      <c r="H14" s="223">
        <f t="shared" ref="H14:H15" si="18">0.9/2.83</f>
        <v>0.31802120141342755</v>
      </c>
      <c r="I14" s="223"/>
      <c r="J14" s="223"/>
      <c r="K14" s="223"/>
      <c r="L14" s="223"/>
      <c r="M14" s="223"/>
      <c r="N14" s="223"/>
      <c r="O14" s="223"/>
      <c r="P14" s="223"/>
      <c r="Q14" s="223"/>
      <c r="R14" s="223"/>
      <c r="S14" s="223"/>
      <c r="T14" s="223"/>
      <c r="U14" s="223"/>
      <c r="W14" s="223">
        <f t="shared" si="8"/>
        <v>2956</v>
      </c>
      <c r="X14" s="223">
        <f t="shared" si="9"/>
        <v>146.2332155477032</v>
      </c>
      <c r="Y14" s="223">
        <f t="shared" si="10"/>
        <v>0</v>
      </c>
      <c r="Z14" s="223">
        <f t="shared" si="11"/>
        <v>235.01766784452295</v>
      </c>
      <c r="AA14" s="223">
        <f t="shared" si="12"/>
        <v>0</v>
      </c>
      <c r="AB14" s="223">
        <f t="shared" si="13"/>
        <v>0</v>
      </c>
      <c r="AC14" s="223">
        <f t="shared" si="14"/>
        <v>0</v>
      </c>
      <c r="AD14" s="223">
        <f t="shared" si="0"/>
        <v>0</v>
      </c>
      <c r="AE14" s="223">
        <f t="shared" si="1"/>
        <v>0</v>
      </c>
      <c r="AF14" s="223">
        <f t="shared" si="2"/>
        <v>0</v>
      </c>
      <c r="AG14" s="223">
        <f t="shared" si="3"/>
        <v>0</v>
      </c>
      <c r="AH14" s="223">
        <f t="shared" si="4"/>
        <v>0</v>
      </c>
      <c r="AI14" s="223">
        <f t="shared" si="5"/>
        <v>0</v>
      </c>
      <c r="AJ14" s="223">
        <f t="shared" si="15"/>
        <v>0</v>
      </c>
      <c r="AK14" s="223">
        <f t="shared" si="6"/>
        <v>0</v>
      </c>
      <c r="AL14" s="223">
        <f t="shared" si="7"/>
        <v>0</v>
      </c>
      <c r="AM14" s="223">
        <f t="shared" si="16"/>
        <v>0</v>
      </c>
    </row>
    <row r="15" spans="1:39" ht="18.75" customHeight="1">
      <c r="A15" s="283">
        <v>6.02</v>
      </c>
      <c r="B15" s="290" t="s">
        <v>218</v>
      </c>
      <c r="C15" s="279">
        <v>220</v>
      </c>
      <c r="D15" s="280" t="s">
        <v>208</v>
      </c>
      <c r="E15" s="223">
        <v>4</v>
      </c>
      <c r="F15" s="223">
        <f t="shared" si="17"/>
        <v>0.19787985865724383</v>
      </c>
      <c r="G15" s="223"/>
      <c r="H15" s="223">
        <f t="shared" si="18"/>
        <v>0.31802120141342755</v>
      </c>
      <c r="I15" s="223"/>
      <c r="J15" s="223"/>
      <c r="K15" s="223"/>
      <c r="L15" s="223"/>
      <c r="M15" s="223"/>
      <c r="N15" s="223"/>
      <c r="O15" s="223"/>
      <c r="P15" s="223"/>
      <c r="Q15" s="223"/>
      <c r="R15" s="223"/>
      <c r="S15" s="223"/>
      <c r="T15" s="223"/>
      <c r="U15" s="223"/>
      <c r="W15" s="223">
        <f t="shared" si="8"/>
        <v>880</v>
      </c>
      <c r="X15" s="223">
        <f t="shared" si="9"/>
        <v>43.533568904593643</v>
      </c>
      <c r="Y15" s="223">
        <f t="shared" si="10"/>
        <v>0</v>
      </c>
      <c r="Z15" s="223">
        <f t="shared" si="11"/>
        <v>69.964664310954063</v>
      </c>
      <c r="AA15" s="223">
        <f t="shared" si="12"/>
        <v>0</v>
      </c>
      <c r="AB15" s="223">
        <f t="shared" si="13"/>
        <v>0</v>
      </c>
      <c r="AC15" s="223">
        <f t="shared" si="14"/>
        <v>0</v>
      </c>
      <c r="AD15" s="223">
        <f t="shared" si="0"/>
        <v>0</v>
      </c>
      <c r="AE15" s="223">
        <f t="shared" si="1"/>
        <v>0</v>
      </c>
      <c r="AF15" s="223">
        <f t="shared" si="2"/>
        <v>0</v>
      </c>
      <c r="AG15" s="223">
        <f t="shared" si="3"/>
        <v>0</v>
      </c>
      <c r="AH15" s="223">
        <f t="shared" si="4"/>
        <v>0</v>
      </c>
      <c r="AI15" s="223">
        <f t="shared" si="5"/>
        <v>0</v>
      </c>
      <c r="AJ15" s="223">
        <f t="shared" si="15"/>
        <v>0</v>
      </c>
      <c r="AK15" s="223">
        <f t="shared" si="6"/>
        <v>0</v>
      </c>
      <c r="AL15" s="223">
        <f t="shared" si="7"/>
        <v>0</v>
      </c>
      <c r="AM15" s="223">
        <f t="shared" si="16"/>
        <v>0</v>
      </c>
    </row>
    <row r="16" spans="1:39" ht="18.75" customHeight="1">
      <c r="A16" s="278">
        <v>7</v>
      </c>
      <c r="B16" s="290" t="s">
        <v>219</v>
      </c>
      <c r="C16" s="281"/>
      <c r="D16" s="282"/>
      <c r="E16" s="223"/>
      <c r="F16" s="223"/>
      <c r="G16" s="223"/>
      <c r="H16" s="223"/>
      <c r="I16" s="223"/>
      <c r="J16" s="223"/>
      <c r="K16" s="223"/>
      <c r="L16" s="223"/>
      <c r="M16" s="223"/>
      <c r="N16" s="223"/>
      <c r="O16" s="223"/>
      <c r="P16" s="223"/>
      <c r="Q16" s="223"/>
      <c r="R16" s="223"/>
      <c r="S16" s="223"/>
      <c r="T16" s="223"/>
      <c r="U16" s="223"/>
      <c r="W16" s="223">
        <f t="shared" si="8"/>
        <v>0</v>
      </c>
      <c r="X16" s="223">
        <f t="shared" si="9"/>
        <v>0</v>
      </c>
      <c r="Y16" s="223">
        <f t="shared" si="10"/>
        <v>0</v>
      </c>
      <c r="Z16" s="223">
        <f t="shared" si="11"/>
        <v>0</v>
      </c>
      <c r="AA16" s="223">
        <f t="shared" si="12"/>
        <v>0</v>
      </c>
      <c r="AB16" s="223">
        <f t="shared" si="13"/>
        <v>0</v>
      </c>
      <c r="AC16" s="223">
        <f t="shared" si="14"/>
        <v>0</v>
      </c>
      <c r="AD16" s="223">
        <f t="shared" si="0"/>
        <v>0</v>
      </c>
      <c r="AE16" s="223">
        <f t="shared" si="1"/>
        <v>0</v>
      </c>
      <c r="AF16" s="223">
        <f t="shared" si="2"/>
        <v>0</v>
      </c>
      <c r="AG16" s="223">
        <f t="shared" si="3"/>
        <v>0</v>
      </c>
      <c r="AH16" s="223">
        <f t="shared" si="4"/>
        <v>0</v>
      </c>
      <c r="AI16" s="223">
        <f t="shared" si="5"/>
        <v>0</v>
      </c>
      <c r="AJ16" s="223">
        <f t="shared" si="15"/>
        <v>0</v>
      </c>
      <c r="AK16" s="223">
        <f t="shared" si="6"/>
        <v>0</v>
      </c>
      <c r="AL16" s="223">
        <f t="shared" si="7"/>
        <v>0</v>
      </c>
      <c r="AM16" s="223">
        <f t="shared" si="16"/>
        <v>0</v>
      </c>
    </row>
    <row r="17" spans="1:39" ht="18.75" customHeight="1">
      <c r="A17" s="283">
        <v>7.01</v>
      </c>
      <c r="B17" s="290" t="s">
        <v>220</v>
      </c>
      <c r="C17" s="279">
        <v>4986</v>
      </c>
      <c r="D17" s="280" t="s">
        <v>208</v>
      </c>
      <c r="E17" s="223">
        <v>4</v>
      </c>
      <c r="F17" s="223">
        <f t="shared" si="17"/>
        <v>0.19787985865724383</v>
      </c>
      <c r="G17" s="223">
        <f>0.9*0.5/2.83</f>
        <v>0.15901060070671377</v>
      </c>
      <c r="H17" s="223">
        <f>0.9*0.5/2.83</f>
        <v>0.15901060070671377</v>
      </c>
      <c r="I17" s="223"/>
      <c r="J17" s="223"/>
      <c r="K17" s="223"/>
      <c r="L17" s="223"/>
      <c r="M17" s="223"/>
      <c r="N17" s="223"/>
      <c r="O17" s="223"/>
      <c r="P17" s="223"/>
      <c r="Q17" s="223"/>
      <c r="R17" s="223"/>
      <c r="S17" s="223"/>
      <c r="T17" s="223"/>
      <c r="U17" s="223"/>
      <c r="W17" s="223">
        <f t="shared" si="8"/>
        <v>19944</v>
      </c>
      <c r="X17" s="223">
        <f t="shared" si="9"/>
        <v>986.62897526501774</v>
      </c>
      <c r="Y17" s="223">
        <f t="shared" si="10"/>
        <v>792.82685512367482</v>
      </c>
      <c r="Z17" s="223">
        <f t="shared" si="11"/>
        <v>792.82685512367482</v>
      </c>
      <c r="AA17" s="223">
        <f t="shared" si="12"/>
        <v>0</v>
      </c>
      <c r="AB17" s="223">
        <f t="shared" si="13"/>
        <v>0</v>
      </c>
      <c r="AC17" s="223">
        <f t="shared" si="14"/>
        <v>0</v>
      </c>
      <c r="AD17" s="223">
        <f t="shared" si="0"/>
        <v>0</v>
      </c>
      <c r="AE17" s="223">
        <f t="shared" si="1"/>
        <v>0</v>
      </c>
      <c r="AF17" s="223">
        <f t="shared" si="2"/>
        <v>0</v>
      </c>
      <c r="AG17" s="223">
        <f t="shared" si="3"/>
        <v>0</v>
      </c>
      <c r="AH17" s="223">
        <f t="shared" si="4"/>
        <v>0</v>
      </c>
      <c r="AI17" s="223">
        <f t="shared" si="5"/>
        <v>0</v>
      </c>
      <c r="AJ17" s="223">
        <f t="shared" si="15"/>
        <v>0</v>
      </c>
      <c r="AK17" s="223">
        <f t="shared" si="6"/>
        <v>0</v>
      </c>
      <c r="AL17" s="223">
        <f t="shared" si="7"/>
        <v>0</v>
      </c>
      <c r="AM17" s="223">
        <f t="shared" si="16"/>
        <v>0</v>
      </c>
    </row>
    <row r="18" spans="1:39" ht="18.75" customHeight="1">
      <c r="A18" s="283">
        <v>7.02</v>
      </c>
      <c r="B18" s="290" t="s">
        <v>221</v>
      </c>
      <c r="C18" s="279">
        <v>1579</v>
      </c>
      <c r="D18" s="280" t="s">
        <v>208</v>
      </c>
      <c r="E18" s="223">
        <v>4</v>
      </c>
      <c r="F18" s="223">
        <f t="shared" si="17"/>
        <v>0.19787985865724383</v>
      </c>
      <c r="G18" s="223">
        <f>0.9*0.5/2.83</f>
        <v>0.15901060070671377</v>
      </c>
      <c r="H18" s="223">
        <f>0.9*0.5/2.83</f>
        <v>0.15901060070671377</v>
      </c>
      <c r="I18" s="223"/>
      <c r="J18" s="223"/>
      <c r="K18" s="223"/>
      <c r="L18" s="223"/>
      <c r="M18" s="223"/>
      <c r="N18" s="223"/>
      <c r="O18" s="223"/>
      <c r="P18" s="223"/>
      <c r="Q18" s="223"/>
      <c r="R18" s="223"/>
      <c r="S18" s="223"/>
      <c r="T18" s="223"/>
      <c r="U18" s="223"/>
      <c r="W18" s="223">
        <f t="shared" si="8"/>
        <v>6316</v>
      </c>
      <c r="X18" s="223">
        <f t="shared" si="9"/>
        <v>312.45229681978799</v>
      </c>
      <c r="Y18" s="223">
        <f t="shared" si="10"/>
        <v>251.07773851590105</v>
      </c>
      <c r="Z18" s="223">
        <f t="shared" si="11"/>
        <v>251.07773851590105</v>
      </c>
      <c r="AA18" s="223">
        <f t="shared" si="12"/>
        <v>0</v>
      </c>
      <c r="AB18" s="223">
        <f t="shared" si="13"/>
        <v>0</v>
      </c>
      <c r="AC18" s="223">
        <f t="shared" si="14"/>
        <v>0</v>
      </c>
      <c r="AD18" s="223">
        <f t="shared" si="0"/>
        <v>0</v>
      </c>
      <c r="AE18" s="223">
        <f t="shared" si="1"/>
        <v>0</v>
      </c>
      <c r="AF18" s="223">
        <f t="shared" si="2"/>
        <v>0</v>
      </c>
      <c r="AG18" s="223">
        <f t="shared" si="3"/>
        <v>0</v>
      </c>
      <c r="AH18" s="223">
        <f t="shared" si="4"/>
        <v>0</v>
      </c>
      <c r="AI18" s="223">
        <f t="shared" si="5"/>
        <v>0</v>
      </c>
      <c r="AJ18" s="223">
        <f t="shared" si="15"/>
        <v>0</v>
      </c>
      <c r="AK18" s="223">
        <f t="shared" si="6"/>
        <v>0</v>
      </c>
      <c r="AL18" s="223">
        <f t="shared" si="7"/>
        <v>0</v>
      </c>
      <c r="AM18" s="223">
        <f t="shared" si="16"/>
        <v>0</v>
      </c>
    </row>
    <row r="19" spans="1:39" ht="18.75" customHeight="1">
      <c r="A19" s="278">
        <v>8</v>
      </c>
      <c r="B19" s="290" t="s">
        <v>253</v>
      </c>
      <c r="C19" s="279">
        <v>800</v>
      </c>
      <c r="D19" s="280" t="s">
        <v>12</v>
      </c>
      <c r="E19" s="223">
        <f>1.5*1.5*0.9*4.5</f>
        <v>9.1124999999999989</v>
      </c>
      <c r="F19" s="223">
        <f>1.5*1.5*0.9*F18</f>
        <v>0.40070671378091877</v>
      </c>
      <c r="G19" s="223">
        <f t="shared" ref="G19:H19" si="19">1.5*1.5*0.9*G18</f>
        <v>0.32199646643109536</v>
      </c>
      <c r="H19" s="223">
        <f t="shared" si="19"/>
        <v>0.32199646643109536</v>
      </c>
      <c r="I19" s="223"/>
      <c r="J19" s="223"/>
      <c r="K19" s="223"/>
      <c r="L19" s="223"/>
      <c r="M19" s="223"/>
      <c r="N19" s="223"/>
      <c r="O19" s="223"/>
      <c r="P19" s="223"/>
      <c r="Q19" s="223"/>
      <c r="R19" s="223"/>
      <c r="S19" s="223"/>
      <c r="T19" s="223"/>
      <c r="U19" s="223"/>
      <c r="W19" s="223">
        <f t="shared" si="8"/>
        <v>7289.9999999999991</v>
      </c>
      <c r="X19" s="223">
        <f t="shared" si="9"/>
        <v>320.56537102473499</v>
      </c>
      <c r="Y19" s="223">
        <f t="shared" si="10"/>
        <v>257.59717314487631</v>
      </c>
      <c r="Z19" s="223">
        <f t="shared" si="11"/>
        <v>257.59717314487631</v>
      </c>
      <c r="AA19" s="223">
        <f t="shared" si="12"/>
        <v>0</v>
      </c>
      <c r="AB19" s="223">
        <f t="shared" si="13"/>
        <v>0</v>
      </c>
      <c r="AC19" s="223">
        <f t="shared" si="14"/>
        <v>0</v>
      </c>
      <c r="AD19" s="223">
        <f t="shared" si="0"/>
        <v>0</v>
      </c>
      <c r="AE19" s="223">
        <f t="shared" si="1"/>
        <v>0</v>
      </c>
      <c r="AF19" s="223">
        <f t="shared" si="2"/>
        <v>0</v>
      </c>
      <c r="AG19" s="223">
        <f t="shared" si="3"/>
        <v>0</v>
      </c>
      <c r="AH19" s="223">
        <f t="shared" si="4"/>
        <v>0</v>
      </c>
      <c r="AI19" s="223">
        <f t="shared" si="5"/>
        <v>0</v>
      </c>
      <c r="AJ19" s="223">
        <f t="shared" si="15"/>
        <v>0</v>
      </c>
      <c r="AK19" s="223">
        <f t="shared" si="6"/>
        <v>0</v>
      </c>
      <c r="AL19" s="223">
        <f t="shared" si="7"/>
        <v>0</v>
      </c>
      <c r="AM19" s="223">
        <f t="shared" si="16"/>
        <v>0</v>
      </c>
    </row>
    <row r="20" spans="1:39" ht="18.75" customHeight="1">
      <c r="A20" s="278">
        <v>9</v>
      </c>
      <c r="B20" s="290" t="s">
        <v>223</v>
      </c>
      <c r="C20" s="279">
        <v>906</v>
      </c>
      <c r="D20" s="280" t="s">
        <v>208</v>
      </c>
      <c r="E20" s="223">
        <v>5</v>
      </c>
      <c r="F20" s="223">
        <f t="shared" si="17"/>
        <v>0.19787985865724383</v>
      </c>
      <c r="G20" s="223"/>
      <c r="H20" s="223">
        <f t="shared" ref="H20:H21" si="20">0.9/2.83</f>
        <v>0.31802120141342755</v>
      </c>
      <c r="I20" s="223"/>
      <c r="J20" s="223"/>
      <c r="K20" s="223"/>
      <c r="L20" s="223"/>
      <c r="M20" s="223"/>
      <c r="N20" s="223"/>
      <c r="O20" s="223"/>
      <c r="P20" s="223"/>
      <c r="Q20" s="223"/>
      <c r="R20" s="223"/>
      <c r="S20" s="223"/>
      <c r="T20" s="223"/>
      <c r="U20" s="223"/>
      <c r="W20" s="223">
        <f t="shared" si="8"/>
        <v>4530</v>
      </c>
      <c r="X20" s="223">
        <f t="shared" si="9"/>
        <v>179.27915194346292</v>
      </c>
      <c r="Y20" s="223">
        <f t="shared" si="10"/>
        <v>0</v>
      </c>
      <c r="Z20" s="223">
        <f t="shared" si="11"/>
        <v>288.12720848056534</v>
      </c>
      <c r="AA20" s="223">
        <f t="shared" si="12"/>
        <v>0</v>
      </c>
      <c r="AB20" s="223">
        <f t="shared" si="13"/>
        <v>0</v>
      </c>
      <c r="AC20" s="223">
        <f t="shared" si="14"/>
        <v>0</v>
      </c>
      <c r="AD20" s="223">
        <f t="shared" si="0"/>
        <v>0</v>
      </c>
      <c r="AE20" s="223">
        <f t="shared" si="1"/>
        <v>0</v>
      </c>
      <c r="AF20" s="223">
        <f t="shared" si="2"/>
        <v>0</v>
      </c>
      <c r="AG20" s="223">
        <f t="shared" si="3"/>
        <v>0</v>
      </c>
      <c r="AH20" s="223">
        <f t="shared" si="4"/>
        <v>0</v>
      </c>
      <c r="AI20" s="223">
        <f t="shared" si="5"/>
        <v>0</v>
      </c>
      <c r="AJ20" s="223">
        <f t="shared" si="15"/>
        <v>0</v>
      </c>
      <c r="AK20" s="223">
        <f t="shared" si="6"/>
        <v>0</v>
      </c>
      <c r="AL20" s="223">
        <f t="shared" si="7"/>
        <v>0</v>
      </c>
      <c r="AM20" s="223">
        <f t="shared" si="16"/>
        <v>0</v>
      </c>
    </row>
    <row r="21" spans="1:39" ht="18.75" customHeight="1">
      <c r="A21" s="278">
        <v>10</v>
      </c>
      <c r="B21" s="290" t="s">
        <v>224</v>
      </c>
      <c r="C21" s="279">
        <v>32</v>
      </c>
      <c r="D21" s="280" t="s">
        <v>208</v>
      </c>
      <c r="E21" s="223">
        <v>5</v>
      </c>
      <c r="F21" s="223">
        <f t="shared" si="17"/>
        <v>0.19787985865724383</v>
      </c>
      <c r="G21" s="223"/>
      <c r="H21" s="223">
        <f t="shared" si="20"/>
        <v>0.31802120141342755</v>
      </c>
      <c r="I21" s="223"/>
      <c r="J21" s="223"/>
      <c r="K21" s="223"/>
      <c r="L21" s="223"/>
      <c r="M21" s="223"/>
      <c r="N21" s="223"/>
      <c r="O21" s="223"/>
      <c r="P21" s="223"/>
      <c r="Q21" s="223"/>
      <c r="R21" s="223"/>
      <c r="S21" s="223"/>
      <c r="T21" s="223"/>
      <c r="U21" s="223"/>
      <c r="W21" s="223">
        <f t="shared" si="8"/>
        <v>160</v>
      </c>
      <c r="X21" s="223">
        <f t="shared" si="9"/>
        <v>6.3321554770318027</v>
      </c>
      <c r="Y21" s="223">
        <f t="shared" si="10"/>
        <v>0</v>
      </c>
      <c r="Z21" s="223">
        <f t="shared" si="11"/>
        <v>10.176678445229681</v>
      </c>
      <c r="AA21" s="223">
        <f t="shared" si="12"/>
        <v>0</v>
      </c>
      <c r="AB21" s="223">
        <f t="shared" si="13"/>
        <v>0</v>
      </c>
      <c r="AC21" s="223">
        <f t="shared" si="14"/>
        <v>0</v>
      </c>
      <c r="AD21" s="223">
        <f t="shared" si="0"/>
        <v>0</v>
      </c>
      <c r="AE21" s="223">
        <f t="shared" si="1"/>
        <v>0</v>
      </c>
      <c r="AF21" s="223">
        <f t="shared" si="2"/>
        <v>0</v>
      </c>
      <c r="AG21" s="223">
        <f t="shared" si="3"/>
        <v>0</v>
      </c>
      <c r="AH21" s="223">
        <f t="shared" si="4"/>
        <v>0</v>
      </c>
      <c r="AI21" s="223">
        <f t="shared" si="5"/>
        <v>0</v>
      </c>
      <c r="AJ21" s="223">
        <f t="shared" si="15"/>
        <v>0</v>
      </c>
      <c r="AK21" s="223">
        <f t="shared" si="6"/>
        <v>0</v>
      </c>
      <c r="AL21" s="223">
        <f t="shared" si="7"/>
        <v>0</v>
      </c>
      <c r="AM21" s="223">
        <f t="shared" si="16"/>
        <v>0</v>
      </c>
    </row>
    <row r="22" spans="1:39" ht="18.75" customHeight="1">
      <c r="A22" s="278">
        <v>11</v>
      </c>
      <c r="B22" s="290" t="s">
        <v>225</v>
      </c>
      <c r="C22" s="281"/>
      <c r="D22" s="282"/>
      <c r="E22" s="223"/>
      <c r="F22" s="223"/>
      <c r="G22" s="223"/>
      <c r="H22" s="223"/>
      <c r="I22" s="223"/>
      <c r="J22" s="223"/>
      <c r="K22" s="223"/>
      <c r="L22" s="223"/>
      <c r="M22" s="223"/>
      <c r="N22" s="223"/>
      <c r="O22" s="223"/>
      <c r="P22" s="223"/>
      <c r="Q22" s="223"/>
      <c r="R22" s="223"/>
      <c r="S22" s="223"/>
      <c r="T22" s="223"/>
      <c r="U22" s="223"/>
      <c r="W22" s="223">
        <f t="shared" si="8"/>
        <v>0</v>
      </c>
      <c r="X22" s="223">
        <f t="shared" si="9"/>
        <v>0</v>
      </c>
      <c r="Y22" s="223">
        <f t="shared" si="10"/>
        <v>0</v>
      </c>
      <c r="Z22" s="223">
        <f t="shared" si="11"/>
        <v>0</v>
      </c>
      <c r="AA22" s="223">
        <f t="shared" si="12"/>
        <v>0</v>
      </c>
      <c r="AB22" s="223">
        <f t="shared" si="13"/>
        <v>0</v>
      </c>
      <c r="AC22" s="223">
        <f t="shared" si="14"/>
        <v>0</v>
      </c>
      <c r="AD22" s="223">
        <f t="shared" si="0"/>
        <v>0</v>
      </c>
      <c r="AE22" s="223">
        <f t="shared" si="1"/>
        <v>0</v>
      </c>
      <c r="AF22" s="223">
        <f t="shared" si="2"/>
        <v>0</v>
      </c>
      <c r="AG22" s="223">
        <f t="shared" si="3"/>
        <v>0</v>
      </c>
      <c r="AH22" s="223">
        <f t="shared" si="4"/>
        <v>0</v>
      </c>
      <c r="AI22" s="223">
        <f t="shared" si="5"/>
        <v>0</v>
      </c>
      <c r="AJ22" s="223">
        <f t="shared" si="15"/>
        <v>0</v>
      </c>
      <c r="AK22" s="223">
        <f t="shared" si="6"/>
        <v>0</v>
      </c>
      <c r="AL22" s="223">
        <f t="shared" si="7"/>
        <v>0</v>
      </c>
      <c r="AM22" s="223">
        <f t="shared" si="16"/>
        <v>0</v>
      </c>
    </row>
    <row r="23" spans="1:39" ht="18.75" customHeight="1">
      <c r="A23" s="283">
        <v>11.01</v>
      </c>
      <c r="B23" s="290" t="s">
        <v>220</v>
      </c>
      <c r="C23" s="279">
        <v>225</v>
      </c>
      <c r="D23" s="280" t="s">
        <v>208</v>
      </c>
      <c r="E23" s="223">
        <v>5</v>
      </c>
      <c r="F23" s="223">
        <f t="shared" si="17"/>
        <v>0.19787985865724383</v>
      </c>
      <c r="G23" s="223"/>
      <c r="H23" s="223">
        <f t="shared" ref="H23:H25" si="21">0.9/2.83</f>
        <v>0.31802120141342755</v>
      </c>
      <c r="I23" s="223"/>
      <c r="J23" s="223"/>
      <c r="K23" s="223"/>
      <c r="L23" s="223"/>
      <c r="M23" s="223"/>
      <c r="N23" s="223"/>
      <c r="O23" s="223"/>
      <c r="P23" s="223"/>
      <c r="Q23" s="223"/>
      <c r="R23" s="223"/>
      <c r="S23" s="223"/>
      <c r="T23" s="223"/>
      <c r="U23" s="223"/>
      <c r="W23" s="223">
        <f t="shared" si="8"/>
        <v>1125</v>
      </c>
      <c r="X23" s="223">
        <f t="shared" si="9"/>
        <v>44.522968197879862</v>
      </c>
      <c r="Y23" s="223">
        <f t="shared" si="10"/>
        <v>0</v>
      </c>
      <c r="Z23" s="223">
        <f t="shared" si="11"/>
        <v>71.554770318021198</v>
      </c>
      <c r="AA23" s="223">
        <f t="shared" si="12"/>
        <v>0</v>
      </c>
      <c r="AB23" s="223">
        <f t="shared" si="13"/>
        <v>0</v>
      </c>
      <c r="AC23" s="223">
        <f t="shared" si="14"/>
        <v>0</v>
      </c>
      <c r="AD23" s="223">
        <f t="shared" si="0"/>
        <v>0</v>
      </c>
      <c r="AE23" s="223">
        <f t="shared" si="1"/>
        <v>0</v>
      </c>
      <c r="AF23" s="223">
        <f t="shared" si="2"/>
        <v>0</v>
      </c>
      <c r="AG23" s="223">
        <f t="shared" si="3"/>
        <v>0</v>
      </c>
      <c r="AH23" s="223">
        <f t="shared" si="4"/>
        <v>0</v>
      </c>
      <c r="AI23" s="223">
        <f t="shared" si="5"/>
        <v>0</v>
      </c>
      <c r="AJ23" s="223">
        <f t="shared" si="15"/>
        <v>0</v>
      </c>
      <c r="AK23" s="223">
        <f t="shared" si="6"/>
        <v>0</v>
      </c>
      <c r="AL23" s="223">
        <f t="shared" si="7"/>
        <v>0</v>
      </c>
      <c r="AM23" s="223">
        <f t="shared" si="16"/>
        <v>0</v>
      </c>
    </row>
    <row r="24" spans="1:39" ht="18.75" customHeight="1">
      <c r="A24" s="283">
        <v>11.02</v>
      </c>
      <c r="B24" s="290" t="s">
        <v>226</v>
      </c>
      <c r="C24" s="279">
        <v>525</v>
      </c>
      <c r="D24" s="280" t="s">
        <v>208</v>
      </c>
      <c r="E24" s="223">
        <v>5</v>
      </c>
      <c r="F24" s="223">
        <f t="shared" si="17"/>
        <v>0.19787985865724383</v>
      </c>
      <c r="G24" s="223"/>
      <c r="H24" s="223">
        <f t="shared" si="21"/>
        <v>0.31802120141342755</v>
      </c>
      <c r="I24" s="223"/>
      <c r="J24" s="223"/>
      <c r="K24" s="223"/>
      <c r="L24" s="223"/>
      <c r="M24" s="223"/>
      <c r="N24" s="223"/>
      <c r="O24" s="223"/>
      <c r="P24" s="223"/>
      <c r="Q24" s="223"/>
      <c r="R24" s="223"/>
      <c r="S24" s="223"/>
      <c r="T24" s="223"/>
      <c r="U24" s="223"/>
      <c r="W24" s="223">
        <f t="shared" si="8"/>
        <v>2625</v>
      </c>
      <c r="X24" s="223">
        <f t="shared" si="9"/>
        <v>103.88692579505302</v>
      </c>
      <c r="Y24" s="223">
        <f t="shared" si="10"/>
        <v>0</v>
      </c>
      <c r="Z24" s="223">
        <f t="shared" si="11"/>
        <v>166.96113074204945</v>
      </c>
      <c r="AA24" s="223">
        <f t="shared" si="12"/>
        <v>0</v>
      </c>
      <c r="AB24" s="223">
        <f t="shared" si="13"/>
        <v>0</v>
      </c>
      <c r="AC24" s="223">
        <f t="shared" si="14"/>
        <v>0</v>
      </c>
      <c r="AD24" s="223">
        <f t="shared" si="0"/>
        <v>0</v>
      </c>
      <c r="AE24" s="223">
        <f t="shared" si="1"/>
        <v>0</v>
      </c>
      <c r="AF24" s="223">
        <f t="shared" si="2"/>
        <v>0</v>
      </c>
      <c r="AG24" s="223">
        <f t="shared" si="3"/>
        <v>0</v>
      </c>
      <c r="AH24" s="223">
        <f t="shared" si="4"/>
        <v>0</v>
      </c>
      <c r="AI24" s="223">
        <f t="shared" si="5"/>
        <v>0</v>
      </c>
      <c r="AJ24" s="223">
        <f t="shared" si="15"/>
        <v>0</v>
      </c>
      <c r="AK24" s="223">
        <f t="shared" si="6"/>
        <v>0</v>
      </c>
      <c r="AL24" s="223">
        <f t="shared" si="7"/>
        <v>0</v>
      </c>
      <c r="AM24" s="223">
        <f t="shared" si="16"/>
        <v>0</v>
      </c>
    </row>
    <row r="25" spans="1:39" ht="18.75" customHeight="1">
      <c r="A25" s="283">
        <v>11.03</v>
      </c>
      <c r="B25" s="290" t="s">
        <v>227</v>
      </c>
      <c r="C25" s="279">
        <v>2.9</v>
      </c>
      <c r="D25" s="280" t="s">
        <v>208</v>
      </c>
      <c r="E25" s="223">
        <v>5</v>
      </c>
      <c r="F25" s="223">
        <f t="shared" si="17"/>
        <v>0.19787985865724383</v>
      </c>
      <c r="G25" s="223"/>
      <c r="H25" s="223">
        <f t="shared" si="21"/>
        <v>0.31802120141342755</v>
      </c>
      <c r="I25" s="223"/>
      <c r="J25" s="223"/>
      <c r="K25" s="223"/>
      <c r="L25" s="223"/>
      <c r="M25" s="223"/>
      <c r="N25" s="223"/>
      <c r="O25" s="223"/>
      <c r="P25" s="223"/>
      <c r="Q25" s="223"/>
      <c r="R25" s="223"/>
      <c r="S25" s="223"/>
      <c r="T25" s="223"/>
      <c r="U25" s="223"/>
      <c r="W25" s="223">
        <f t="shared" si="8"/>
        <v>14.5</v>
      </c>
      <c r="X25" s="223">
        <f t="shared" si="9"/>
        <v>0.57385159010600706</v>
      </c>
      <c r="Y25" s="223">
        <f t="shared" si="10"/>
        <v>0</v>
      </c>
      <c r="Z25" s="223">
        <f t="shared" si="11"/>
        <v>0.92226148409893982</v>
      </c>
      <c r="AA25" s="223">
        <f t="shared" si="12"/>
        <v>0</v>
      </c>
      <c r="AB25" s="223">
        <f t="shared" si="13"/>
        <v>0</v>
      </c>
      <c r="AC25" s="223">
        <f t="shared" si="14"/>
        <v>0</v>
      </c>
      <c r="AD25" s="223">
        <f t="shared" si="0"/>
        <v>0</v>
      </c>
      <c r="AE25" s="223">
        <f t="shared" si="1"/>
        <v>0</v>
      </c>
      <c r="AF25" s="223">
        <f t="shared" si="2"/>
        <v>0</v>
      </c>
      <c r="AG25" s="223">
        <f t="shared" si="3"/>
        <v>0</v>
      </c>
      <c r="AH25" s="223">
        <f t="shared" si="4"/>
        <v>0</v>
      </c>
      <c r="AI25" s="223">
        <f t="shared" si="5"/>
        <v>0</v>
      </c>
      <c r="AJ25" s="223">
        <f t="shared" si="15"/>
        <v>0</v>
      </c>
      <c r="AK25" s="223">
        <f t="shared" si="6"/>
        <v>0</v>
      </c>
      <c r="AL25" s="223">
        <f t="shared" si="7"/>
        <v>0</v>
      </c>
      <c r="AM25" s="223">
        <f t="shared" si="16"/>
        <v>0</v>
      </c>
    </row>
    <row r="26" spans="1:39" ht="18.75" customHeight="1">
      <c r="A26" s="278">
        <v>12</v>
      </c>
      <c r="B26" s="290" t="s">
        <v>228</v>
      </c>
      <c r="C26" s="279">
        <v>1752</v>
      </c>
      <c r="D26" s="280" t="s">
        <v>229</v>
      </c>
      <c r="E26" s="223"/>
      <c r="F26" s="223"/>
      <c r="G26" s="223"/>
      <c r="H26" s="223"/>
      <c r="I26" s="223"/>
      <c r="J26" s="223"/>
      <c r="K26" s="223"/>
      <c r="L26" s="223"/>
      <c r="M26" s="223"/>
      <c r="N26" s="223">
        <v>0.1</v>
      </c>
      <c r="O26" s="223"/>
      <c r="P26" s="223"/>
      <c r="Q26" s="223"/>
      <c r="R26" s="223"/>
      <c r="S26" s="223"/>
      <c r="T26" s="223"/>
      <c r="U26" s="223"/>
      <c r="W26" s="223">
        <f t="shared" si="8"/>
        <v>0</v>
      </c>
      <c r="X26" s="223">
        <f t="shared" si="9"/>
        <v>0</v>
      </c>
      <c r="Y26" s="223">
        <f t="shared" si="10"/>
        <v>0</v>
      </c>
      <c r="Z26" s="223">
        <f t="shared" si="11"/>
        <v>0</v>
      </c>
      <c r="AA26" s="223">
        <f t="shared" si="12"/>
        <v>0</v>
      </c>
      <c r="AB26" s="223">
        <f t="shared" si="13"/>
        <v>0</v>
      </c>
      <c r="AC26" s="223">
        <f t="shared" si="14"/>
        <v>0</v>
      </c>
      <c r="AD26" s="223">
        <f t="shared" si="0"/>
        <v>0</v>
      </c>
      <c r="AE26" s="223">
        <f t="shared" si="1"/>
        <v>0</v>
      </c>
      <c r="AF26" s="223">
        <f t="shared" si="2"/>
        <v>175.20000000000002</v>
      </c>
      <c r="AG26" s="223">
        <f t="shared" si="3"/>
        <v>0</v>
      </c>
      <c r="AH26" s="223">
        <f t="shared" si="4"/>
        <v>0</v>
      </c>
      <c r="AI26" s="223">
        <f t="shared" si="5"/>
        <v>0</v>
      </c>
      <c r="AJ26" s="223">
        <f t="shared" si="15"/>
        <v>0</v>
      </c>
      <c r="AK26" s="223">
        <f t="shared" si="6"/>
        <v>0</v>
      </c>
      <c r="AL26" s="223">
        <f t="shared" si="7"/>
        <v>0</v>
      </c>
      <c r="AM26" s="223">
        <f t="shared" si="16"/>
        <v>0</v>
      </c>
    </row>
    <row r="27" spans="1:39" ht="18.75" customHeight="1">
      <c r="A27" s="278">
        <v>13</v>
      </c>
      <c r="B27" s="290" t="s">
        <v>230</v>
      </c>
      <c r="C27" s="279">
        <v>398</v>
      </c>
      <c r="D27" s="280" t="s">
        <v>208</v>
      </c>
      <c r="E27" s="223"/>
      <c r="F27" s="223"/>
      <c r="G27" s="223"/>
      <c r="H27" s="223"/>
      <c r="I27" s="223">
        <f>1/2.83</f>
        <v>0.35335689045936397</v>
      </c>
      <c r="J27" s="223"/>
      <c r="K27" s="223"/>
      <c r="L27" s="223"/>
      <c r="M27" s="223"/>
      <c r="N27" s="223"/>
      <c r="O27" s="223"/>
      <c r="P27" s="223"/>
      <c r="Q27" s="223"/>
      <c r="R27" s="223"/>
      <c r="S27" s="223"/>
      <c r="T27" s="223"/>
      <c r="U27" s="223"/>
      <c r="W27" s="223">
        <f t="shared" si="8"/>
        <v>0</v>
      </c>
      <c r="X27" s="223">
        <f t="shared" si="9"/>
        <v>0</v>
      </c>
      <c r="Y27" s="223">
        <f t="shared" si="10"/>
        <v>0</v>
      </c>
      <c r="Z27" s="223">
        <f t="shared" si="11"/>
        <v>0</v>
      </c>
      <c r="AA27" s="223">
        <f t="shared" si="12"/>
        <v>140.63604240282686</v>
      </c>
      <c r="AB27" s="223">
        <f t="shared" si="13"/>
        <v>0</v>
      </c>
      <c r="AC27" s="223">
        <f t="shared" si="14"/>
        <v>0</v>
      </c>
      <c r="AD27" s="223">
        <f t="shared" si="0"/>
        <v>0</v>
      </c>
      <c r="AE27" s="223">
        <f t="shared" si="1"/>
        <v>0</v>
      </c>
      <c r="AF27" s="223">
        <f t="shared" si="2"/>
        <v>0</v>
      </c>
      <c r="AG27" s="223">
        <f t="shared" si="3"/>
        <v>0</v>
      </c>
      <c r="AH27" s="223">
        <f t="shared" si="4"/>
        <v>0</v>
      </c>
      <c r="AI27" s="223">
        <f t="shared" si="5"/>
        <v>0</v>
      </c>
      <c r="AJ27" s="223">
        <f t="shared" si="15"/>
        <v>0</v>
      </c>
      <c r="AK27" s="223">
        <f t="shared" si="6"/>
        <v>0</v>
      </c>
      <c r="AL27" s="223">
        <f t="shared" si="7"/>
        <v>0</v>
      </c>
      <c r="AM27" s="223">
        <f t="shared" si="16"/>
        <v>0</v>
      </c>
    </row>
    <row r="28" spans="1:39" s="218" customFormat="1" ht="18.75" customHeight="1">
      <c r="A28" s="278">
        <v>14</v>
      </c>
      <c r="B28" s="290" t="s">
        <v>231</v>
      </c>
      <c r="C28" s="279">
        <v>795</v>
      </c>
      <c r="D28" s="280" t="s">
        <v>208</v>
      </c>
      <c r="E28" s="222"/>
      <c r="F28" s="222"/>
      <c r="G28" s="222"/>
      <c r="H28" s="222"/>
      <c r="I28" s="305"/>
      <c r="J28" s="223">
        <f>1/2.83</f>
        <v>0.35335689045936397</v>
      </c>
      <c r="K28" s="223"/>
      <c r="L28" s="223"/>
      <c r="M28" s="223"/>
      <c r="N28" s="222"/>
      <c r="O28" s="222"/>
      <c r="P28" s="222"/>
      <c r="Q28" s="222"/>
      <c r="R28" s="305"/>
      <c r="S28" s="222"/>
      <c r="T28" s="222"/>
      <c r="U28" s="305"/>
      <c r="V28" s="396"/>
      <c r="W28" s="223">
        <f t="shared" ref="W28:W42" si="22">C28*E28</f>
        <v>0</v>
      </c>
      <c r="X28" s="223">
        <f t="shared" ref="X28:X42" si="23">C28*F28</f>
        <v>0</v>
      </c>
      <c r="Y28" s="223">
        <f t="shared" ref="Y28:Y42" si="24">C28*G28</f>
        <v>0</v>
      </c>
      <c r="Z28" s="223">
        <f t="shared" ref="Z28:Z42" si="25">C28*H28</f>
        <v>0</v>
      </c>
      <c r="AA28" s="223">
        <f t="shared" si="12"/>
        <v>0</v>
      </c>
      <c r="AB28" s="223">
        <f t="shared" si="13"/>
        <v>280.91872791519438</v>
      </c>
      <c r="AC28" s="223">
        <f t="shared" si="14"/>
        <v>0</v>
      </c>
      <c r="AD28" s="223">
        <f t="shared" si="0"/>
        <v>0</v>
      </c>
      <c r="AE28" s="223">
        <f t="shared" si="1"/>
        <v>0</v>
      </c>
      <c r="AF28" s="223">
        <f t="shared" si="2"/>
        <v>0</v>
      </c>
      <c r="AG28" s="223">
        <f t="shared" si="3"/>
        <v>0</v>
      </c>
      <c r="AH28" s="223">
        <f t="shared" si="4"/>
        <v>0</v>
      </c>
      <c r="AI28" s="223">
        <f t="shared" si="5"/>
        <v>0</v>
      </c>
      <c r="AJ28" s="223">
        <f t="shared" si="15"/>
        <v>0</v>
      </c>
      <c r="AK28" s="223">
        <f t="shared" si="6"/>
        <v>0</v>
      </c>
      <c r="AL28" s="223">
        <f t="shared" si="7"/>
        <v>0</v>
      </c>
      <c r="AM28" s="223">
        <f t="shared" si="16"/>
        <v>0</v>
      </c>
    </row>
    <row r="29" spans="1:39" s="218" customFormat="1" ht="18.75" customHeight="1">
      <c r="A29" s="278">
        <v>15</v>
      </c>
      <c r="B29" s="290" t="s">
        <v>232</v>
      </c>
      <c r="C29" s="279">
        <v>345</v>
      </c>
      <c r="D29" s="280" t="s">
        <v>208</v>
      </c>
      <c r="E29" s="222"/>
      <c r="F29" s="222"/>
      <c r="G29" s="222"/>
      <c r="H29" s="222"/>
      <c r="I29" s="305"/>
      <c r="J29" s="305"/>
      <c r="K29" s="305"/>
      <c r="L29" s="305"/>
      <c r="M29" s="305"/>
      <c r="N29" s="222"/>
      <c r="O29" s="222"/>
      <c r="P29" s="222"/>
      <c r="Q29" s="223">
        <f>1/2.83</f>
        <v>0.35335689045936397</v>
      </c>
      <c r="R29" s="223"/>
      <c r="S29" s="222"/>
      <c r="T29" s="222"/>
      <c r="U29" s="305"/>
      <c r="V29" s="396"/>
      <c r="W29" s="223">
        <f t="shared" si="22"/>
        <v>0</v>
      </c>
      <c r="X29" s="223">
        <f t="shared" si="23"/>
        <v>0</v>
      </c>
      <c r="Y29" s="223">
        <f t="shared" si="24"/>
        <v>0</v>
      </c>
      <c r="Z29" s="223">
        <f t="shared" si="25"/>
        <v>0</v>
      </c>
      <c r="AA29" s="223">
        <f t="shared" si="12"/>
        <v>0</v>
      </c>
      <c r="AB29" s="223">
        <f t="shared" si="13"/>
        <v>0</v>
      </c>
      <c r="AC29" s="223">
        <f t="shared" si="14"/>
        <v>0</v>
      </c>
      <c r="AD29" s="223">
        <f t="shared" si="0"/>
        <v>0</v>
      </c>
      <c r="AE29" s="223">
        <f t="shared" si="1"/>
        <v>0</v>
      </c>
      <c r="AF29" s="223">
        <f t="shared" si="2"/>
        <v>0</v>
      </c>
      <c r="AG29" s="223">
        <f t="shared" si="3"/>
        <v>0</v>
      </c>
      <c r="AH29" s="223">
        <f t="shared" si="4"/>
        <v>0</v>
      </c>
      <c r="AI29" s="223">
        <f t="shared" si="5"/>
        <v>121.90812720848056</v>
      </c>
      <c r="AJ29" s="223">
        <f t="shared" si="15"/>
        <v>0</v>
      </c>
      <c r="AK29" s="223">
        <f t="shared" si="6"/>
        <v>0</v>
      </c>
      <c r="AL29" s="223">
        <f t="shared" si="7"/>
        <v>0</v>
      </c>
      <c r="AM29" s="223">
        <f t="shared" si="16"/>
        <v>0</v>
      </c>
    </row>
    <row r="30" spans="1:39" s="218" customFormat="1" ht="18.75" customHeight="1">
      <c r="A30" s="278">
        <v>16</v>
      </c>
      <c r="B30" s="290" t="s">
        <v>233</v>
      </c>
      <c r="C30" s="279">
        <v>4440</v>
      </c>
      <c r="D30" s="280" t="s">
        <v>208</v>
      </c>
      <c r="E30" s="222"/>
      <c r="F30" s="222"/>
      <c r="G30" s="222"/>
      <c r="H30" s="222"/>
      <c r="I30" s="305"/>
      <c r="J30" s="305"/>
      <c r="K30" s="223">
        <f>1/2.83*0.85</f>
        <v>0.30035335689045939</v>
      </c>
      <c r="L30" s="223"/>
      <c r="M30" s="223"/>
      <c r="N30" s="222"/>
      <c r="O30" s="222"/>
      <c r="P30" s="222"/>
      <c r="Q30" s="222"/>
      <c r="R30" s="305"/>
      <c r="S30" s="222"/>
      <c r="T30" s="222"/>
      <c r="U30" s="305"/>
      <c r="V30" s="396"/>
      <c r="W30" s="223">
        <f t="shared" si="22"/>
        <v>0</v>
      </c>
      <c r="X30" s="223">
        <f t="shared" si="23"/>
        <v>0</v>
      </c>
      <c r="Y30" s="223">
        <f t="shared" si="24"/>
        <v>0</v>
      </c>
      <c r="Z30" s="223">
        <f t="shared" si="25"/>
        <v>0</v>
      </c>
      <c r="AA30" s="223">
        <f t="shared" si="12"/>
        <v>0</v>
      </c>
      <c r="AB30" s="223">
        <f t="shared" si="13"/>
        <v>0</v>
      </c>
      <c r="AC30" s="223">
        <f t="shared" si="14"/>
        <v>1333.5689045936397</v>
      </c>
      <c r="AD30" s="223">
        <f t="shared" si="0"/>
        <v>0</v>
      </c>
      <c r="AE30" s="223">
        <f t="shared" si="1"/>
        <v>0</v>
      </c>
      <c r="AF30" s="223">
        <f t="shared" si="2"/>
        <v>0</v>
      </c>
      <c r="AG30" s="223">
        <f t="shared" si="3"/>
        <v>0</v>
      </c>
      <c r="AH30" s="223">
        <f t="shared" si="4"/>
        <v>0</v>
      </c>
      <c r="AI30" s="223">
        <f t="shared" si="5"/>
        <v>0</v>
      </c>
      <c r="AJ30" s="223">
        <f t="shared" si="15"/>
        <v>0</v>
      </c>
      <c r="AK30" s="223">
        <f t="shared" si="6"/>
        <v>0</v>
      </c>
      <c r="AL30" s="223">
        <f t="shared" si="7"/>
        <v>0</v>
      </c>
      <c r="AM30" s="223">
        <f t="shared" si="16"/>
        <v>0</v>
      </c>
    </row>
    <row r="31" spans="1:39" ht="18.75" customHeight="1">
      <c r="A31" s="278">
        <v>17</v>
      </c>
      <c r="B31" s="290" t="s">
        <v>234</v>
      </c>
      <c r="C31" s="279">
        <v>1099</v>
      </c>
      <c r="D31" s="287" t="s">
        <v>208</v>
      </c>
      <c r="E31" s="223"/>
      <c r="F31" s="223"/>
      <c r="G31" s="223"/>
      <c r="H31" s="223"/>
      <c r="I31" s="223"/>
      <c r="J31" s="223"/>
      <c r="K31" s="223"/>
      <c r="L31" s="223">
        <f>1/2.83</f>
        <v>0.35335689045936397</v>
      </c>
      <c r="M31" s="223"/>
      <c r="N31" s="223"/>
      <c r="O31" s="223"/>
      <c r="P31" s="223"/>
      <c r="Q31" s="223"/>
      <c r="R31" s="223"/>
      <c r="S31" s="223"/>
      <c r="T31" s="223"/>
      <c r="U31" s="223"/>
      <c r="W31" s="223">
        <f t="shared" si="22"/>
        <v>0</v>
      </c>
      <c r="X31" s="223">
        <f t="shared" si="23"/>
        <v>0</v>
      </c>
      <c r="Y31" s="223">
        <f t="shared" si="24"/>
        <v>0</v>
      </c>
      <c r="Z31" s="223">
        <f t="shared" si="25"/>
        <v>0</v>
      </c>
      <c r="AA31" s="223">
        <f t="shared" si="12"/>
        <v>0</v>
      </c>
      <c r="AB31" s="223">
        <f t="shared" si="13"/>
        <v>0</v>
      </c>
      <c r="AC31" s="223">
        <f t="shared" si="14"/>
        <v>0</v>
      </c>
      <c r="AD31" s="223">
        <f t="shared" si="0"/>
        <v>388.33922261484099</v>
      </c>
      <c r="AE31" s="223">
        <f t="shared" si="1"/>
        <v>0</v>
      </c>
      <c r="AF31" s="223">
        <f t="shared" si="2"/>
        <v>0</v>
      </c>
      <c r="AG31" s="223">
        <f t="shared" si="3"/>
        <v>0</v>
      </c>
      <c r="AH31" s="223">
        <f t="shared" si="4"/>
        <v>0</v>
      </c>
      <c r="AI31" s="223">
        <f t="shared" si="5"/>
        <v>0</v>
      </c>
      <c r="AJ31" s="223">
        <f t="shared" si="15"/>
        <v>0</v>
      </c>
      <c r="AK31" s="223">
        <f t="shared" si="6"/>
        <v>0</v>
      </c>
      <c r="AL31" s="223">
        <f t="shared" si="7"/>
        <v>0</v>
      </c>
      <c r="AM31" s="223">
        <f t="shared" si="16"/>
        <v>0</v>
      </c>
    </row>
    <row r="32" spans="1:39" ht="18.75" customHeight="1">
      <c r="A32" s="278">
        <v>18</v>
      </c>
      <c r="B32" s="290" t="s">
        <v>235</v>
      </c>
      <c r="C32" s="279">
        <v>450</v>
      </c>
      <c r="D32" s="287" t="s">
        <v>208</v>
      </c>
      <c r="E32" s="223"/>
      <c r="F32" s="223"/>
      <c r="G32" s="223"/>
      <c r="H32" s="223"/>
      <c r="I32" s="223"/>
      <c r="J32" s="223"/>
      <c r="K32" s="223"/>
      <c r="L32" s="223"/>
      <c r="M32" s="223">
        <f>1/2.83</f>
        <v>0.35335689045936397</v>
      </c>
      <c r="N32" s="223"/>
      <c r="O32" s="223"/>
      <c r="P32" s="223"/>
      <c r="Q32" s="223"/>
      <c r="R32" s="223"/>
      <c r="S32" s="223"/>
      <c r="T32" s="223"/>
      <c r="U32" s="223"/>
      <c r="W32" s="223">
        <f t="shared" si="22"/>
        <v>0</v>
      </c>
      <c r="X32" s="223">
        <f t="shared" si="23"/>
        <v>0</v>
      </c>
      <c r="Y32" s="223">
        <f t="shared" si="24"/>
        <v>0</v>
      </c>
      <c r="Z32" s="223">
        <f t="shared" si="25"/>
        <v>0</v>
      </c>
      <c r="AA32" s="223">
        <f t="shared" si="12"/>
        <v>0</v>
      </c>
      <c r="AB32" s="223">
        <f t="shared" si="13"/>
        <v>0</v>
      </c>
      <c r="AC32" s="223">
        <f t="shared" si="14"/>
        <v>0</v>
      </c>
      <c r="AD32" s="223">
        <f t="shared" si="0"/>
        <v>0</v>
      </c>
      <c r="AE32" s="223">
        <f t="shared" si="1"/>
        <v>159.01060070671377</v>
      </c>
      <c r="AF32" s="223">
        <f t="shared" si="2"/>
        <v>0</v>
      </c>
      <c r="AG32" s="223">
        <f t="shared" si="3"/>
        <v>0</v>
      </c>
      <c r="AH32" s="223">
        <f t="shared" si="4"/>
        <v>0</v>
      </c>
      <c r="AI32" s="223">
        <f t="shared" si="5"/>
        <v>0</v>
      </c>
      <c r="AJ32" s="223">
        <f t="shared" si="15"/>
        <v>0</v>
      </c>
      <c r="AK32" s="223">
        <f t="shared" si="6"/>
        <v>0</v>
      </c>
      <c r="AL32" s="223">
        <f t="shared" si="7"/>
        <v>0</v>
      </c>
      <c r="AM32" s="223">
        <f t="shared" si="16"/>
        <v>0</v>
      </c>
    </row>
    <row r="33" spans="1:39" ht="18.75" customHeight="1">
      <c r="A33" s="278">
        <v>19</v>
      </c>
      <c r="B33" s="290" t="s">
        <v>236</v>
      </c>
      <c r="C33" s="279">
        <v>4.4400000000000004</v>
      </c>
      <c r="D33" s="287" t="s">
        <v>237</v>
      </c>
      <c r="E33" s="223"/>
      <c r="F33" s="223"/>
      <c r="G33" s="223"/>
      <c r="H33" s="223"/>
      <c r="I33" s="223"/>
      <c r="J33" s="223"/>
      <c r="K33" s="223"/>
      <c r="L33" s="223"/>
      <c r="M33" s="223"/>
      <c r="N33" s="223"/>
      <c r="O33" s="223">
        <v>1</v>
      </c>
      <c r="P33" s="223"/>
      <c r="Q33" s="223"/>
      <c r="R33" s="223"/>
      <c r="S33" s="223"/>
      <c r="T33" s="223"/>
      <c r="U33" s="223"/>
      <c r="W33" s="223">
        <f t="shared" si="22"/>
        <v>0</v>
      </c>
      <c r="X33" s="223">
        <f t="shared" si="23"/>
        <v>0</v>
      </c>
      <c r="Y33" s="223">
        <f t="shared" si="24"/>
        <v>0</v>
      </c>
      <c r="Z33" s="223">
        <f t="shared" si="25"/>
        <v>0</v>
      </c>
      <c r="AA33" s="223">
        <f t="shared" si="12"/>
        <v>0</v>
      </c>
      <c r="AB33" s="223">
        <f t="shared" si="13"/>
        <v>0</v>
      </c>
      <c r="AC33" s="223">
        <f t="shared" si="14"/>
        <v>0</v>
      </c>
      <c r="AD33" s="223">
        <f t="shared" si="0"/>
        <v>0</v>
      </c>
      <c r="AE33" s="223">
        <f t="shared" si="1"/>
        <v>0</v>
      </c>
      <c r="AF33" s="223">
        <f t="shared" si="2"/>
        <v>0</v>
      </c>
      <c r="AG33" s="223">
        <f t="shared" si="3"/>
        <v>4.4400000000000004</v>
      </c>
      <c r="AH33" s="223">
        <f t="shared" si="4"/>
        <v>0</v>
      </c>
      <c r="AI33" s="223">
        <f t="shared" si="5"/>
        <v>0</v>
      </c>
      <c r="AJ33" s="223">
        <f t="shared" si="15"/>
        <v>0</v>
      </c>
      <c r="AK33" s="223">
        <f t="shared" si="6"/>
        <v>0</v>
      </c>
      <c r="AL33" s="223">
        <f t="shared" si="7"/>
        <v>0</v>
      </c>
      <c r="AM33" s="223">
        <f t="shared" si="16"/>
        <v>0</v>
      </c>
    </row>
    <row r="34" spans="1:39" ht="18.75" customHeight="1">
      <c r="A34" s="278">
        <v>20</v>
      </c>
      <c r="B34" s="290" t="s">
        <v>238</v>
      </c>
      <c r="C34" s="279">
        <v>3.6</v>
      </c>
      <c r="D34" s="287" t="s">
        <v>237</v>
      </c>
      <c r="E34" s="223"/>
      <c r="F34" s="223"/>
      <c r="G34" s="223"/>
      <c r="H34" s="223"/>
      <c r="I34" s="223"/>
      <c r="J34" s="223"/>
      <c r="K34" s="223"/>
      <c r="L34" s="223"/>
      <c r="M34" s="223"/>
      <c r="N34" s="223"/>
      <c r="O34" s="223"/>
      <c r="P34" s="223">
        <v>1</v>
      </c>
      <c r="Q34" s="223"/>
      <c r="R34" s="223"/>
      <c r="S34" s="223"/>
      <c r="T34" s="223"/>
      <c r="U34" s="223"/>
      <c r="W34" s="223">
        <f t="shared" si="22"/>
        <v>0</v>
      </c>
      <c r="X34" s="223">
        <f t="shared" si="23"/>
        <v>0</v>
      </c>
      <c r="Y34" s="223">
        <f t="shared" si="24"/>
        <v>0</v>
      </c>
      <c r="Z34" s="223">
        <f t="shared" si="25"/>
        <v>0</v>
      </c>
      <c r="AA34" s="223">
        <f t="shared" si="12"/>
        <v>0</v>
      </c>
      <c r="AB34" s="223">
        <f t="shared" si="13"/>
        <v>0</v>
      </c>
      <c r="AC34" s="223">
        <f t="shared" si="14"/>
        <v>0</v>
      </c>
      <c r="AD34" s="223">
        <f t="shared" si="0"/>
        <v>0</v>
      </c>
      <c r="AE34" s="223">
        <f t="shared" si="1"/>
        <v>0</v>
      </c>
      <c r="AF34" s="223">
        <f t="shared" si="2"/>
        <v>0</v>
      </c>
      <c r="AG34" s="223">
        <f t="shared" si="3"/>
        <v>0</v>
      </c>
      <c r="AH34" s="223">
        <f t="shared" si="4"/>
        <v>3.6</v>
      </c>
      <c r="AI34" s="223">
        <f t="shared" si="5"/>
        <v>0</v>
      </c>
      <c r="AJ34" s="223">
        <f t="shared" si="15"/>
        <v>0</v>
      </c>
      <c r="AK34" s="223">
        <f t="shared" si="6"/>
        <v>0</v>
      </c>
      <c r="AL34" s="223">
        <f t="shared" si="7"/>
        <v>0</v>
      </c>
      <c r="AM34" s="223">
        <f t="shared" si="16"/>
        <v>0</v>
      </c>
    </row>
    <row r="35" spans="1:39" ht="18.75" customHeight="1">
      <c r="A35" s="278">
        <v>21</v>
      </c>
      <c r="B35" s="290" t="s">
        <v>239</v>
      </c>
      <c r="C35" s="279">
        <v>6.6</v>
      </c>
      <c r="D35" s="287" t="s">
        <v>237</v>
      </c>
      <c r="E35" s="223"/>
      <c r="F35" s="223"/>
      <c r="G35" s="223"/>
      <c r="H35" s="223"/>
      <c r="I35" s="223"/>
      <c r="J35" s="223"/>
      <c r="K35" s="223"/>
      <c r="L35" s="223"/>
      <c r="M35" s="223"/>
      <c r="N35" s="223"/>
      <c r="O35" s="223"/>
      <c r="P35" s="223">
        <v>1</v>
      </c>
      <c r="Q35" s="223"/>
      <c r="R35" s="223"/>
      <c r="S35" s="223"/>
      <c r="T35" s="223"/>
      <c r="U35" s="223"/>
      <c r="W35" s="223">
        <f t="shared" si="22"/>
        <v>0</v>
      </c>
      <c r="X35" s="223">
        <f t="shared" si="23"/>
        <v>0</v>
      </c>
      <c r="Y35" s="223">
        <f t="shared" si="24"/>
        <v>0</v>
      </c>
      <c r="Z35" s="223">
        <f t="shared" si="25"/>
        <v>0</v>
      </c>
      <c r="AA35" s="223">
        <f t="shared" si="12"/>
        <v>0</v>
      </c>
      <c r="AB35" s="223">
        <f t="shared" si="13"/>
        <v>0</v>
      </c>
      <c r="AC35" s="223">
        <f t="shared" si="14"/>
        <v>0</v>
      </c>
      <c r="AD35" s="223">
        <f t="shared" si="0"/>
        <v>0</v>
      </c>
      <c r="AE35" s="223">
        <f t="shared" si="1"/>
        <v>0</v>
      </c>
      <c r="AF35" s="223">
        <f t="shared" si="2"/>
        <v>0</v>
      </c>
      <c r="AG35" s="223">
        <f t="shared" si="3"/>
        <v>0</v>
      </c>
      <c r="AH35" s="223">
        <f t="shared" si="4"/>
        <v>6.6</v>
      </c>
      <c r="AI35" s="223">
        <f t="shared" si="5"/>
        <v>0</v>
      </c>
      <c r="AJ35" s="223">
        <f t="shared" si="15"/>
        <v>0</v>
      </c>
      <c r="AK35" s="223">
        <f t="shared" si="6"/>
        <v>0</v>
      </c>
      <c r="AL35" s="223">
        <f t="shared" si="7"/>
        <v>0</v>
      </c>
      <c r="AM35" s="223">
        <f t="shared" si="16"/>
        <v>0</v>
      </c>
    </row>
    <row r="36" spans="1:39" ht="18.75" customHeight="1">
      <c r="A36" s="278">
        <v>22</v>
      </c>
      <c r="B36" s="290" t="s">
        <v>240</v>
      </c>
      <c r="C36" s="279">
        <v>60000</v>
      </c>
      <c r="D36" s="287" t="s">
        <v>208</v>
      </c>
      <c r="E36" s="223"/>
      <c r="F36" s="223"/>
      <c r="G36" s="223"/>
      <c r="H36" s="223"/>
      <c r="I36" s="223"/>
      <c r="J36" s="223"/>
      <c r="K36" s="223"/>
      <c r="L36" s="223"/>
      <c r="M36" s="223"/>
      <c r="N36" s="223"/>
      <c r="O36" s="223"/>
      <c r="P36" s="223"/>
      <c r="Q36" s="223"/>
      <c r="R36" s="223"/>
      <c r="S36" s="223"/>
      <c r="T36" s="223"/>
      <c r="U36" s="223"/>
      <c r="W36" s="223">
        <f t="shared" si="22"/>
        <v>0</v>
      </c>
      <c r="X36" s="223">
        <f t="shared" si="23"/>
        <v>0</v>
      </c>
      <c r="Y36" s="223">
        <f t="shared" si="24"/>
        <v>0</v>
      </c>
      <c r="Z36" s="223">
        <f t="shared" si="25"/>
        <v>0</v>
      </c>
      <c r="AA36" s="223">
        <f t="shared" si="12"/>
        <v>0</v>
      </c>
      <c r="AB36" s="223">
        <f t="shared" si="13"/>
        <v>0</v>
      </c>
      <c r="AC36" s="223">
        <f t="shared" si="14"/>
        <v>0</v>
      </c>
      <c r="AD36" s="223">
        <f t="shared" si="0"/>
        <v>0</v>
      </c>
      <c r="AE36" s="223">
        <f t="shared" si="1"/>
        <v>0</v>
      </c>
      <c r="AF36" s="223">
        <f t="shared" si="2"/>
        <v>0</v>
      </c>
      <c r="AG36" s="223">
        <f t="shared" si="3"/>
        <v>0</v>
      </c>
      <c r="AH36" s="223">
        <f t="shared" si="4"/>
        <v>0</v>
      </c>
      <c r="AI36" s="223">
        <f t="shared" si="5"/>
        <v>0</v>
      </c>
      <c r="AJ36" s="223">
        <f t="shared" si="15"/>
        <v>0</v>
      </c>
      <c r="AK36" s="223">
        <f t="shared" si="6"/>
        <v>0</v>
      </c>
      <c r="AL36" s="223">
        <f t="shared" si="7"/>
        <v>0</v>
      </c>
      <c r="AM36" s="223">
        <f t="shared" si="16"/>
        <v>0</v>
      </c>
    </row>
    <row r="37" spans="1:39" ht="18.75" customHeight="1">
      <c r="A37" s="278">
        <v>23</v>
      </c>
      <c r="B37" s="291" t="s">
        <v>251</v>
      </c>
      <c r="C37" s="279">
        <v>5012</v>
      </c>
      <c r="D37" s="287" t="s">
        <v>208</v>
      </c>
      <c r="E37" s="223"/>
      <c r="F37" s="223"/>
      <c r="G37" s="223"/>
      <c r="H37" s="223"/>
      <c r="I37" s="223"/>
      <c r="J37" s="223"/>
      <c r="K37" s="223"/>
      <c r="L37" s="223"/>
      <c r="M37" s="223"/>
      <c r="N37" s="223"/>
      <c r="O37" s="223"/>
      <c r="P37" s="223"/>
      <c r="Q37" s="223"/>
      <c r="R37" s="223"/>
      <c r="S37" s="223"/>
      <c r="T37" s="223"/>
      <c r="U37" s="223"/>
      <c r="W37" s="223">
        <f t="shared" si="22"/>
        <v>0</v>
      </c>
      <c r="X37" s="223">
        <f t="shared" si="23"/>
        <v>0</v>
      </c>
      <c r="Y37" s="223">
        <f t="shared" si="24"/>
        <v>0</v>
      </c>
      <c r="Z37" s="223">
        <f t="shared" si="25"/>
        <v>0</v>
      </c>
      <c r="AA37" s="223">
        <f t="shared" si="12"/>
        <v>0</v>
      </c>
      <c r="AB37" s="223">
        <f t="shared" si="13"/>
        <v>0</v>
      </c>
      <c r="AC37" s="223">
        <f t="shared" si="14"/>
        <v>0</v>
      </c>
      <c r="AD37" s="223">
        <f t="shared" si="0"/>
        <v>0</v>
      </c>
      <c r="AE37" s="223">
        <f t="shared" si="1"/>
        <v>0</v>
      </c>
      <c r="AF37" s="223">
        <f t="shared" si="2"/>
        <v>0</v>
      </c>
      <c r="AG37" s="223">
        <f t="shared" si="3"/>
        <v>0</v>
      </c>
      <c r="AH37" s="223">
        <f t="shared" si="4"/>
        <v>0</v>
      </c>
      <c r="AI37" s="223">
        <f t="shared" si="5"/>
        <v>0</v>
      </c>
      <c r="AJ37" s="223">
        <f t="shared" si="15"/>
        <v>0</v>
      </c>
      <c r="AK37" s="223">
        <f t="shared" si="6"/>
        <v>0</v>
      </c>
      <c r="AL37" s="223">
        <f t="shared" si="7"/>
        <v>0</v>
      </c>
      <c r="AM37" s="223">
        <f t="shared" si="16"/>
        <v>0</v>
      </c>
    </row>
    <row r="38" spans="1:39" ht="18.75" customHeight="1">
      <c r="A38" s="278">
        <v>24</v>
      </c>
      <c r="B38" s="290" t="s">
        <v>254</v>
      </c>
      <c r="C38" s="279">
        <v>10038</v>
      </c>
      <c r="D38" s="287" t="s">
        <v>208</v>
      </c>
      <c r="E38" s="223"/>
      <c r="F38" s="223"/>
      <c r="G38" s="223"/>
      <c r="H38" s="223"/>
      <c r="I38" s="223"/>
      <c r="J38" s="223"/>
      <c r="K38" s="223">
        <f>1/2.83</f>
        <v>0.35335689045936397</v>
      </c>
      <c r="L38" s="223"/>
      <c r="M38" s="223"/>
      <c r="N38" s="223"/>
      <c r="O38" s="223"/>
      <c r="P38" s="223"/>
      <c r="Q38" s="223"/>
      <c r="R38" s="223"/>
      <c r="S38" s="223"/>
      <c r="T38" s="223"/>
      <c r="U38" s="223">
        <v>1</v>
      </c>
      <c r="W38" s="223">
        <f t="shared" si="22"/>
        <v>0</v>
      </c>
      <c r="X38" s="223">
        <f t="shared" si="23"/>
        <v>0</v>
      </c>
      <c r="Y38" s="223">
        <f t="shared" si="24"/>
        <v>0</v>
      </c>
      <c r="Z38" s="223">
        <f t="shared" si="25"/>
        <v>0</v>
      </c>
      <c r="AA38" s="223">
        <f t="shared" si="12"/>
        <v>0</v>
      </c>
      <c r="AB38" s="223">
        <f t="shared" si="13"/>
        <v>0</v>
      </c>
      <c r="AC38" s="223">
        <f t="shared" si="14"/>
        <v>3546.9964664310955</v>
      </c>
      <c r="AD38" s="223">
        <f t="shared" si="0"/>
        <v>0</v>
      </c>
      <c r="AE38" s="223">
        <f t="shared" si="1"/>
        <v>0</v>
      </c>
      <c r="AF38" s="223">
        <f t="shared" si="2"/>
        <v>0</v>
      </c>
      <c r="AG38" s="223">
        <f t="shared" si="3"/>
        <v>0</v>
      </c>
      <c r="AH38" s="223">
        <f t="shared" si="4"/>
        <v>0</v>
      </c>
      <c r="AI38" s="223">
        <f t="shared" si="5"/>
        <v>0</v>
      </c>
      <c r="AJ38" s="223">
        <f t="shared" si="15"/>
        <v>0</v>
      </c>
      <c r="AK38" s="223">
        <f t="shared" si="6"/>
        <v>0</v>
      </c>
      <c r="AL38" s="223">
        <f t="shared" si="7"/>
        <v>0</v>
      </c>
      <c r="AM38" s="223">
        <f t="shared" si="16"/>
        <v>10038</v>
      </c>
    </row>
    <row r="39" spans="1:39" ht="18.75" customHeight="1">
      <c r="A39" s="278">
        <v>25</v>
      </c>
      <c r="B39" s="290" t="s">
        <v>243</v>
      </c>
      <c r="C39" s="279">
        <v>4950</v>
      </c>
      <c r="D39" s="287" t="s">
        <v>206</v>
      </c>
      <c r="E39" s="223"/>
      <c r="F39" s="223"/>
      <c r="G39" s="223"/>
      <c r="H39" s="223"/>
      <c r="I39" s="223"/>
      <c r="J39" s="223"/>
      <c r="K39" s="223"/>
      <c r="L39" s="223"/>
      <c r="M39" s="223"/>
      <c r="N39" s="223"/>
      <c r="O39" s="223"/>
      <c r="P39" s="223"/>
      <c r="Q39" s="223"/>
      <c r="R39" s="223">
        <v>1</v>
      </c>
      <c r="S39" s="223"/>
      <c r="T39" s="223"/>
      <c r="U39" s="223"/>
      <c r="W39" s="223">
        <f t="shared" si="22"/>
        <v>0</v>
      </c>
      <c r="X39" s="223">
        <f t="shared" si="23"/>
        <v>0</v>
      </c>
      <c r="Y39" s="223">
        <f t="shared" si="24"/>
        <v>0</v>
      </c>
      <c r="Z39" s="223">
        <f t="shared" si="25"/>
        <v>0</v>
      </c>
      <c r="AA39" s="223">
        <f t="shared" si="12"/>
        <v>0</v>
      </c>
      <c r="AB39" s="223">
        <f t="shared" si="13"/>
        <v>0</v>
      </c>
      <c r="AC39" s="223">
        <f t="shared" si="14"/>
        <v>0</v>
      </c>
      <c r="AD39" s="223">
        <f t="shared" si="0"/>
        <v>0</v>
      </c>
      <c r="AE39" s="223">
        <f t="shared" si="1"/>
        <v>0</v>
      </c>
      <c r="AF39" s="223">
        <f t="shared" si="2"/>
        <v>0</v>
      </c>
      <c r="AG39" s="223">
        <f t="shared" si="3"/>
        <v>0</v>
      </c>
      <c r="AH39" s="223">
        <f t="shared" si="4"/>
        <v>0</v>
      </c>
      <c r="AI39" s="223">
        <f t="shared" si="5"/>
        <v>0</v>
      </c>
      <c r="AJ39" s="223">
        <f t="shared" si="15"/>
        <v>4950</v>
      </c>
      <c r="AK39" s="223">
        <f t="shared" si="6"/>
        <v>0</v>
      </c>
      <c r="AL39" s="223">
        <f t="shared" si="7"/>
        <v>0</v>
      </c>
      <c r="AM39" s="223">
        <f t="shared" si="16"/>
        <v>0</v>
      </c>
    </row>
    <row r="40" spans="1:39" ht="18.75" customHeight="1">
      <c r="A40" s="284">
        <v>26</v>
      </c>
      <c r="B40" s="292" t="s">
        <v>244</v>
      </c>
      <c r="C40" s="285">
        <v>4950</v>
      </c>
      <c r="D40" s="288" t="s">
        <v>208</v>
      </c>
      <c r="E40" s="223"/>
      <c r="F40" s="223"/>
      <c r="G40" s="223"/>
      <c r="H40" s="223"/>
      <c r="I40" s="223"/>
      <c r="J40" s="223"/>
      <c r="K40" s="223"/>
      <c r="L40" s="223"/>
      <c r="M40" s="223"/>
      <c r="N40" s="223"/>
      <c r="O40" s="223"/>
      <c r="P40" s="223"/>
      <c r="Q40" s="223"/>
      <c r="R40" s="223"/>
      <c r="S40" s="223"/>
      <c r="T40" s="223"/>
      <c r="U40" s="223"/>
      <c r="W40" s="223">
        <f t="shared" si="22"/>
        <v>0</v>
      </c>
      <c r="X40" s="223">
        <f t="shared" si="23"/>
        <v>0</v>
      </c>
      <c r="Y40" s="223">
        <f t="shared" si="24"/>
        <v>0</v>
      </c>
      <c r="Z40" s="223">
        <f t="shared" si="25"/>
        <v>0</v>
      </c>
      <c r="AA40" s="223">
        <f t="shared" si="12"/>
        <v>0</v>
      </c>
      <c r="AB40" s="223">
        <f t="shared" si="13"/>
        <v>0</v>
      </c>
      <c r="AC40" s="223">
        <f t="shared" si="14"/>
        <v>0</v>
      </c>
      <c r="AD40" s="223">
        <f t="shared" si="0"/>
        <v>0</v>
      </c>
      <c r="AE40" s="223">
        <f t="shared" si="1"/>
        <v>0</v>
      </c>
      <c r="AF40" s="223">
        <f t="shared" si="2"/>
        <v>0</v>
      </c>
      <c r="AG40" s="223">
        <f t="shared" si="3"/>
        <v>0</v>
      </c>
      <c r="AH40" s="223">
        <f t="shared" si="4"/>
        <v>0</v>
      </c>
      <c r="AI40" s="223">
        <f t="shared" si="5"/>
        <v>0</v>
      </c>
      <c r="AJ40" s="223">
        <f t="shared" si="15"/>
        <v>0</v>
      </c>
      <c r="AK40" s="223">
        <f t="shared" si="6"/>
        <v>0</v>
      </c>
      <c r="AL40" s="223">
        <f t="shared" si="7"/>
        <v>0</v>
      </c>
      <c r="AM40" s="223">
        <f t="shared" si="16"/>
        <v>0</v>
      </c>
    </row>
    <row r="41" spans="1:39" ht="18.75" customHeight="1">
      <c r="A41" s="286">
        <v>27</v>
      </c>
      <c r="B41" s="219" t="s">
        <v>245</v>
      </c>
      <c r="C41" s="220">
        <v>62994.57</v>
      </c>
      <c r="D41" s="289" t="s">
        <v>208</v>
      </c>
      <c r="E41" s="223"/>
      <c r="F41" s="223"/>
      <c r="G41" s="223"/>
      <c r="H41" s="223"/>
      <c r="I41" s="223"/>
      <c r="J41" s="223"/>
      <c r="K41" s="223"/>
      <c r="L41" s="223"/>
      <c r="M41" s="223"/>
      <c r="N41" s="223"/>
      <c r="O41" s="223"/>
      <c r="P41" s="223"/>
      <c r="Q41" s="223"/>
      <c r="R41" s="223"/>
      <c r="S41" s="223"/>
      <c r="T41" s="223"/>
      <c r="U41" s="223"/>
      <c r="W41" s="223">
        <f t="shared" si="22"/>
        <v>0</v>
      </c>
      <c r="X41" s="223">
        <f t="shared" si="23"/>
        <v>0</v>
      </c>
      <c r="Y41" s="223">
        <f t="shared" si="24"/>
        <v>0</v>
      </c>
      <c r="Z41" s="223">
        <f t="shared" si="25"/>
        <v>0</v>
      </c>
      <c r="AA41" s="223">
        <f t="shared" si="12"/>
        <v>0</v>
      </c>
      <c r="AB41" s="223">
        <f t="shared" si="13"/>
        <v>0</v>
      </c>
      <c r="AC41" s="223">
        <f t="shared" si="14"/>
        <v>0</v>
      </c>
      <c r="AD41" s="223">
        <f t="shared" si="0"/>
        <v>0</v>
      </c>
      <c r="AE41" s="223">
        <f t="shared" si="1"/>
        <v>0</v>
      </c>
      <c r="AF41" s="223">
        <f t="shared" si="2"/>
        <v>0</v>
      </c>
      <c r="AG41" s="223">
        <f t="shared" si="3"/>
        <v>0</v>
      </c>
      <c r="AH41" s="223">
        <f t="shared" si="4"/>
        <v>0</v>
      </c>
      <c r="AI41" s="223">
        <f t="shared" si="5"/>
        <v>0</v>
      </c>
      <c r="AJ41" s="223">
        <f t="shared" si="15"/>
        <v>0</v>
      </c>
      <c r="AK41" s="223">
        <f t="shared" si="6"/>
        <v>0</v>
      </c>
      <c r="AL41" s="223">
        <f t="shared" si="7"/>
        <v>0</v>
      </c>
      <c r="AM41" s="223">
        <f t="shared" si="16"/>
        <v>0</v>
      </c>
    </row>
    <row r="42" spans="1:39" ht="18.75" customHeight="1">
      <c r="A42" s="286">
        <v>28</v>
      </c>
      <c r="B42" s="221" t="s">
        <v>252</v>
      </c>
      <c r="C42" s="220">
        <v>150</v>
      </c>
      <c r="D42" s="289" t="s">
        <v>12</v>
      </c>
      <c r="E42" s="223"/>
      <c r="F42" s="223"/>
      <c r="G42" s="223"/>
      <c r="H42" s="223"/>
      <c r="I42" s="223"/>
      <c r="J42" s="223"/>
      <c r="K42" s="223"/>
      <c r="L42" s="223"/>
      <c r="M42" s="223"/>
      <c r="N42" s="223"/>
      <c r="O42" s="223"/>
      <c r="P42" s="223"/>
      <c r="Q42" s="223"/>
      <c r="R42" s="223"/>
      <c r="S42" s="223">
        <v>1</v>
      </c>
      <c r="T42" s="223"/>
      <c r="U42" s="223"/>
      <c r="W42" s="223">
        <f t="shared" si="22"/>
        <v>0</v>
      </c>
      <c r="X42" s="223">
        <f t="shared" si="23"/>
        <v>0</v>
      </c>
      <c r="Y42" s="223">
        <f t="shared" si="24"/>
        <v>0</v>
      </c>
      <c r="Z42" s="223">
        <f t="shared" si="25"/>
        <v>0</v>
      </c>
      <c r="AA42" s="223">
        <f t="shared" si="12"/>
        <v>0</v>
      </c>
      <c r="AB42" s="223">
        <f t="shared" si="13"/>
        <v>0</v>
      </c>
      <c r="AC42" s="223">
        <f t="shared" si="14"/>
        <v>0</v>
      </c>
      <c r="AD42" s="223">
        <f t="shared" si="0"/>
        <v>0</v>
      </c>
      <c r="AE42" s="223">
        <f t="shared" si="1"/>
        <v>0</v>
      </c>
      <c r="AF42" s="223">
        <f t="shared" si="2"/>
        <v>0</v>
      </c>
      <c r="AG42" s="223">
        <f t="shared" si="3"/>
        <v>0</v>
      </c>
      <c r="AH42" s="223">
        <f t="shared" si="4"/>
        <v>0</v>
      </c>
      <c r="AI42" s="223">
        <f t="shared" si="5"/>
        <v>0</v>
      </c>
      <c r="AJ42" s="223">
        <f t="shared" si="15"/>
        <v>0</v>
      </c>
      <c r="AK42" s="223">
        <f t="shared" si="6"/>
        <v>150</v>
      </c>
      <c r="AL42" s="223">
        <f t="shared" si="7"/>
        <v>0</v>
      </c>
      <c r="AM42" s="223">
        <f t="shared" si="16"/>
        <v>0</v>
      </c>
    </row>
    <row r="43" spans="1:39" ht="18.75" customHeight="1">
      <c r="W43" s="222">
        <f>ROUNDUP(SUM(W4:W42),0)</f>
        <v>46788</v>
      </c>
      <c r="X43" s="222">
        <f t="shared" ref="X43:AM43" si="26">ROUNDUP(SUM(X4:X42),0)</f>
        <v>2220</v>
      </c>
      <c r="Y43" s="222">
        <f t="shared" si="26"/>
        <v>1423</v>
      </c>
      <c r="Z43" s="222">
        <f t="shared" si="26"/>
        <v>2145</v>
      </c>
      <c r="AA43" s="305">
        <f t="shared" si="26"/>
        <v>141</v>
      </c>
      <c r="AB43" s="305">
        <f t="shared" si="26"/>
        <v>281</v>
      </c>
      <c r="AC43" s="305">
        <f t="shared" si="26"/>
        <v>4881</v>
      </c>
      <c r="AD43" s="305">
        <f t="shared" si="26"/>
        <v>389</v>
      </c>
      <c r="AE43" s="305">
        <f t="shared" si="26"/>
        <v>160</v>
      </c>
      <c r="AF43" s="222">
        <f t="shared" si="26"/>
        <v>176</v>
      </c>
      <c r="AG43" s="222">
        <f t="shared" si="26"/>
        <v>5</v>
      </c>
      <c r="AH43" s="222">
        <f t="shared" si="26"/>
        <v>11</v>
      </c>
      <c r="AI43" s="222">
        <f t="shared" si="26"/>
        <v>122</v>
      </c>
      <c r="AJ43" s="305">
        <f t="shared" si="26"/>
        <v>4950</v>
      </c>
      <c r="AK43" s="305">
        <f t="shared" si="26"/>
        <v>150</v>
      </c>
      <c r="AL43" s="305">
        <f t="shared" si="26"/>
        <v>697</v>
      </c>
      <c r="AM43" s="305">
        <f t="shared" si="26"/>
        <v>10038</v>
      </c>
    </row>
    <row r="44" spans="1:39" ht="18.75" customHeight="1">
      <c r="F44" s="269">
        <v>2310</v>
      </c>
    </row>
    <row r="45" spans="1:39" ht="18.75" customHeight="1">
      <c r="F45" s="269">
        <f>F44/C38</f>
        <v>0.23012552301255229</v>
      </c>
    </row>
  </sheetData>
  <mergeCells count="5">
    <mergeCell ref="A1:D1"/>
    <mergeCell ref="A2:D2"/>
    <mergeCell ref="V1:V1048576"/>
    <mergeCell ref="E1:T1"/>
    <mergeCell ref="W1:AL1"/>
  </mergeCells>
  <pageMargins left="0.7" right="0.7" top="0.75" bottom="0.75" header="0.3" footer="0.3"/>
  <pageSetup fitToHeight="0" orientation="portrait" r:id="rId1"/>
</worksheet>
</file>

<file path=xl/worksheets/sheet9.xml><?xml version="1.0" encoding="utf-8"?>
<worksheet xmlns="http://schemas.openxmlformats.org/spreadsheetml/2006/main" xmlns:r="http://schemas.openxmlformats.org/officeDocument/2006/relationships">
  <sheetPr>
    <pageSetUpPr fitToPage="1"/>
  </sheetPr>
  <dimension ref="A1:O34"/>
  <sheetViews>
    <sheetView zoomScale="80" zoomScaleNormal="80" workbookViewId="0">
      <selection activeCell="R31" sqref="R31"/>
    </sheetView>
  </sheetViews>
  <sheetFormatPr defaultRowHeight="14.25"/>
  <cols>
    <col min="1" max="1" width="9.83203125" style="329" bestFit="1" customWidth="1"/>
    <col min="2" max="2" width="35.83203125" style="329" bestFit="1" customWidth="1"/>
    <col min="3" max="3" width="6.6640625" style="329" bestFit="1" customWidth="1"/>
    <col min="4" max="4" width="12.1640625" style="329" bestFit="1" customWidth="1"/>
    <col min="5" max="5" width="13" style="329" bestFit="1" customWidth="1"/>
    <col min="6" max="6" width="15.6640625" style="330" bestFit="1" customWidth="1"/>
    <col min="7" max="8" width="9.33203125" style="329"/>
    <col min="9" max="11" width="9.5" style="329" bestFit="1" customWidth="1"/>
    <col min="12" max="16384" width="9.33203125" style="329"/>
  </cols>
  <sheetData>
    <row r="1" spans="1:15">
      <c r="A1" s="401" t="s">
        <v>297</v>
      </c>
      <c r="B1" s="401"/>
      <c r="C1" s="401"/>
      <c r="D1" s="401"/>
      <c r="E1" s="401"/>
      <c r="F1" s="401"/>
    </row>
    <row r="2" spans="1:15" ht="15" thickBot="1"/>
    <row r="3" spans="1:15" s="59" customFormat="1">
      <c r="A3" s="402" t="s">
        <v>291</v>
      </c>
      <c r="B3" s="403"/>
      <c r="C3" s="403"/>
      <c r="D3" s="403"/>
      <c r="E3" s="403"/>
      <c r="F3" s="404"/>
      <c r="L3" s="63"/>
      <c r="M3" s="63"/>
      <c r="N3" s="63"/>
      <c r="O3" s="63"/>
    </row>
    <row r="4" spans="1:15" s="64" customFormat="1">
      <c r="A4" s="317" t="s">
        <v>3</v>
      </c>
      <c r="B4" s="308" t="s">
        <v>37</v>
      </c>
      <c r="C4" s="308" t="s">
        <v>21</v>
      </c>
      <c r="D4" s="309" t="s">
        <v>2</v>
      </c>
      <c r="E4" s="309" t="s">
        <v>38</v>
      </c>
      <c r="F4" s="318" t="s">
        <v>39</v>
      </c>
      <c r="L4" s="296"/>
      <c r="M4" s="296"/>
      <c r="N4" s="296"/>
      <c r="O4" s="296"/>
    </row>
    <row r="5" spans="1:15" s="62" customFormat="1">
      <c r="A5" s="319">
        <v>1</v>
      </c>
      <c r="B5" s="310" t="s">
        <v>290</v>
      </c>
      <c r="C5" s="311"/>
      <c r="D5" s="312"/>
      <c r="E5" s="312"/>
      <c r="F5" s="320"/>
      <c r="L5" s="297"/>
      <c r="M5" s="297"/>
      <c r="N5" s="297"/>
      <c r="O5" s="297"/>
    </row>
    <row r="6" spans="1:15" s="62" customFormat="1">
      <c r="A6" s="319"/>
      <c r="B6" s="310" t="s">
        <v>52</v>
      </c>
      <c r="C6" s="311" t="s">
        <v>7</v>
      </c>
      <c r="D6" s="312">
        <v>24</v>
      </c>
      <c r="E6" s="312"/>
      <c r="F6" s="320"/>
      <c r="L6" s="297"/>
      <c r="M6" s="297"/>
      <c r="N6" s="297"/>
      <c r="O6" s="297"/>
    </row>
    <row r="7" spans="1:15" s="59" customFormat="1">
      <c r="A7" s="321"/>
      <c r="B7" s="313" t="s">
        <v>20</v>
      </c>
      <c r="C7" s="314"/>
      <c r="D7" s="315"/>
      <c r="E7" s="315"/>
      <c r="F7" s="322"/>
      <c r="L7" s="63"/>
      <c r="M7" s="63"/>
      <c r="N7" s="63"/>
      <c r="O7" s="63"/>
    </row>
    <row r="8" spans="1:15" s="59" customFormat="1">
      <c r="A8" s="321"/>
      <c r="B8" s="316" t="s">
        <v>8</v>
      </c>
      <c r="C8" s="314" t="s">
        <v>35</v>
      </c>
      <c r="D8" s="315">
        <v>6.5</v>
      </c>
      <c r="E8" s="315">
        <v>270</v>
      </c>
      <c r="F8" s="322">
        <f t="shared" ref="F8:F11" si="0">PRODUCT(D8:E8)</f>
        <v>1755</v>
      </c>
      <c r="I8" s="59">
        <f>320/1.18</f>
        <v>271.18644067796612</v>
      </c>
      <c r="J8" s="59" t="s">
        <v>10</v>
      </c>
      <c r="K8" s="59" t="s">
        <v>11</v>
      </c>
      <c r="L8" s="63"/>
      <c r="M8" s="63"/>
      <c r="N8" s="63"/>
      <c r="O8" s="63"/>
    </row>
    <row r="9" spans="1:15" s="59" customFormat="1">
      <c r="A9" s="321"/>
      <c r="B9" s="316" t="s">
        <v>10</v>
      </c>
      <c r="C9" s="314" t="s">
        <v>21</v>
      </c>
      <c r="D9" s="315">
        <f>0.55/2.83</f>
        <v>0.1943462897526502</v>
      </c>
      <c r="E9" s="315">
        <v>7500</v>
      </c>
      <c r="F9" s="322">
        <f t="shared" si="0"/>
        <v>1457.5971731448765</v>
      </c>
      <c r="J9" s="59">
        <f>950+650</f>
        <v>1600</v>
      </c>
      <c r="K9" s="59">
        <f>550+650</f>
        <v>1200</v>
      </c>
      <c r="L9" s="63"/>
      <c r="M9" s="63"/>
      <c r="N9" s="63"/>
      <c r="O9" s="63"/>
    </row>
    <row r="10" spans="1:15" s="59" customFormat="1">
      <c r="A10" s="321"/>
      <c r="B10" s="316" t="s">
        <v>11</v>
      </c>
      <c r="C10" s="314" t="s">
        <v>21</v>
      </c>
      <c r="D10" s="315">
        <f>0.88/2.83</f>
        <v>0.31095406360424027</v>
      </c>
      <c r="E10" s="315">
        <v>5600</v>
      </c>
      <c r="F10" s="322">
        <f t="shared" si="0"/>
        <v>1741.3427561837455</v>
      </c>
      <c r="J10" s="59">
        <f>J9*1.65</f>
        <v>2640</v>
      </c>
      <c r="K10" s="59">
        <f>K9*1.65</f>
        <v>1980</v>
      </c>
      <c r="L10" s="63"/>
      <c r="M10" s="63"/>
      <c r="N10" s="63"/>
      <c r="O10" s="63"/>
    </row>
    <row r="11" spans="1:15" s="59" customFormat="1">
      <c r="A11" s="321"/>
      <c r="B11" s="316" t="s">
        <v>58</v>
      </c>
      <c r="C11" s="314" t="s">
        <v>14</v>
      </c>
      <c r="D11" s="315">
        <v>200</v>
      </c>
      <c r="E11" s="315">
        <v>0.2</v>
      </c>
      <c r="F11" s="322">
        <f t="shared" si="0"/>
        <v>40</v>
      </c>
      <c r="J11" s="59">
        <f>J10*2.83</f>
        <v>7471.2</v>
      </c>
      <c r="K11" s="59">
        <f>K10*2.83</f>
        <v>5603.4000000000005</v>
      </c>
      <c r="L11" s="63"/>
      <c r="M11" s="63"/>
      <c r="N11" s="63"/>
      <c r="O11" s="63"/>
    </row>
    <row r="12" spans="1:15" s="59" customFormat="1">
      <c r="A12" s="321"/>
      <c r="B12" s="316"/>
      <c r="C12" s="314"/>
      <c r="D12" s="315"/>
      <c r="E12" s="315"/>
      <c r="F12" s="323">
        <f>SUM(F8:F11)</f>
        <v>4993.9399293286215</v>
      </c>
      <c r="L12" s="63"/>
      <c r="M12" s="63"/>
      <c r="N12" s="63"/>
      <c r="O12" s="63"/>
    </row>
    <row r="13" spans="1:15" s="59" customFormat="1">
      <c r="A13" s="321"/>
      <c r="B13" s="313" t="s">
        <v>45</v>
      </c>
      <c r="C13" s="314"/>
      <c r="D13" s="315"/>
      <c r="E13" s="315"/>
      <c r="F13" s="322"/>
      <c r="L13" s="63"/>
      <c r="M13" s="63"/>
      <c r="N13" s="63"/>
      <c r="O13" s="63"/>
    </row>
    <row r="14" spans="1:15" s="59" customFormat="1">
      <c r="A14" s="321"/>
      <c r="B14" s="316" t="s">
        <v>289</v>
      </c>
      <c r="C14" s="314" t="s">
        <v>35</v>
      </c>
      <c r="D14" s="315">
        <v>6.5</v>
      </c>
      <c r="E14" s="315">
        <v>10</v>
      </c>
      <c r="F14" s="322">
        <f>PRODUCT(D14:E14)</f>
        <v>65</v>
      </c>
      <c r="L14" s="63"/>
      <c r="M14" s="63"/>
      <c r="N14" s="63"/>
      <c r="O14" s="63"/>
    </row>
    <row r="15" spans="1:15" s="59" customFormat="1">
      <c r="A15" s="321"/>
      <c r="B15" s="316"/>
      <c r="C15" s="314"/>
      <c r="D15" s="315"/>
      <c r="E15" s="315"/>
      <c r="F15" s="322">
        <f>SUM(F14:F14)</f>
        <v>65</v>
      </c>
      <c r="L15" s="63"/>
      <c r="M15" s="63"/>
      <c r="N15" s="63"/>
      <c r="O15" s="63"/>
    </row>
    <row r="16" spans="1:15" s="59" customFormat="1">
      <c r="A16" s="321"/>
      <c r="B16" s="316"/>
      <c r="C16" s="314"/>
      <c r="D16" s="315"/>
      <c r="E16" s="315"/>
      <c r="F16" s="323">
        <f>F15</f>
        <v>65</v>
      </c>
      <c r="L16" s="63"/>
      <c r="M16" s="63"/>
      <c r="N16" s="63"/>
      <c r="O16" s="63"/>
    </row>
    <row r="17" spans="1:15" s="59" customFormat="1">
      <c r="A17" s="321"/>
      <c r="B17" s="313" t="s">
        <v>50</v>
      </c>
      <c r="C17" s="314"/>
      <c r="D17" s="315"/>
      <c r="E17" s="315"/>
      <c r="F17" s="322"/>
      <c r="L17" s="63"/>
      <c r="M17" s="63"/>
      <c r="N17" s="63"/>
      <c r="O17" s="63"/>
    </row>
    <row r="18" spans="1:15" s="59" customFormat="1">
      <c r="A18" s="321"/>
      <c r="B18" s="316" t="s">
        <v>60</v>
      </c>
      <c r="C18" s="314" t="s">
        <v>61</v>
      </c>
      <c r="D18" s="315">
        <v>1</v>
      </c>
      <c r="E18" s="315">
        <f>185000/26</f>
        <v>7115.3846153846152</v>
      </c>
      <c r="F18" s="322">
        <f>PRODUCT(D18:E18)</f>
        <v>7115.3846153846152</v>
      </c>
      <c r="L18" s="63"/>
      <c r="M18" s="63"/>
      <c r="N18" s="63"/>
      <c r="O18" s="63"/>
    </row>
    <row r="19" spans="1:15" s="59" customFormat="1">
      <c r="A19" s="321"/>
      <c r="B19" s="316"/>
      <c r="C19" s="314"/>
      <c r="D19" s="315"/>
      <c r="E19" s="315"/>
      <c r="F19" s="322">
        <f>SUM(F18:F18)</f>
        <v>7115.3846153846152</v>
      </c>
      <c r="L19" s="63"/>
      <c r="M19" s="63"/>
      <c r="N19" s="63"/>
      <c r="O19" s="63"/>
    </row>
    <row r="20" spans="1:15" s="59" customFormat="1">
      <c r="A20" s="321"/>
      <c r="B20" s="316"/>
      <c r="C20" s="314"/>
      <c r="D20" s="315"/>
      <c r="E20" s="315"/>
      <c r="F20" s="323">
        <f>F19/D6</f>
        <v>296.47435897435895</v>
      </c>
      <c r="L20" s="63"/>
      <c r="M20" s="63"/>
      <c r="N20" s="63"/>
      <c r="O20" s="63"/>
    </row>
    <row r="21" spans="1:15" s="59" customFormat="1">
      <c r="A21" s="321"/>
      <c r="B21" s="313" t="s">
        <v>44</v>
      </c>
      <c r="C21" s="314"/>
      <c r="D21" s="315"/>
      <c r="E21" s="315"/>
      <c r="F21" s="322"/>
      <c r="L21" s="63"/>
      <c r="M21" s="63"/>
      <c r="N21" s="63"/>
      <c r="O21" s="63"/>
    </row>
    <row r="22" spans="1:15" s="59" customFormat="1">
      <c r="A22" s="321"/>
      <c r="B22" s="316" t="s">
        <v>48</v>
      </c>
      <c r="C22" s="314" t="s">
        <v>14</v>
      </c>
      <c r="D22" s="315">
        <f>(D18*7*7)</f>
        <v>49</v>
      </c>
      <c r="E22" s="315">
        <v>96</v>
      </c>
      <c r="F22" s="322">
        <f>PRODUCT(D22:E22)</f>
        <v>4704</v>
      </c>
      <c r="L22" s="63"/>
      <c r="M22" s="63"/>
      <c r="N22" s="63"/>
      <c r="O22" s="63"/>
    </row>
    <row r="23" spans="1:15" s="59" customFormat="1">
      <c r="A23" s="321"/>
      <c r="B23" s="316"/>
      <c r="C23" s="314"/>
      <c r="D23" s="315"/>
      <c r="E23" s="315"/>
      <c r="F23" s="323">
        <f>F22/D6</f>
        <v>196</v>
      </c>
      <c r="L23" s="63"/>
      <c r="M23" s="63"/>
      <c r="N23" s="63"/>
      <c r="O23" s="63"/>
    </row>
    <row r="24" spans="1:15" s="59" customFormat="1">
      <c r="A24" s="321"/>
      <c r="B24" s="316"/>
      <c r="C24" s="314"/>
      <c r="D24" s="315"/>
      <c r="E24" s="315"/>
      <c r="F24" s="322"/>
      <c r="L24" s="63"/>
      <c r="M24" s="63"/>
      <c r="N24" s="63"/>
      <c r="O24" s="63"/>
    </row>
    <row r="25" spans="1:15" s="59" customFormat="1" ht="15" thickBot="1">
      <c r="A25" s="324"/>
      <c r="B25" s="325" t="s">
        <v>292</v>
      </c>
      <c r="C25" s="326"/>
      <c r="D25" s="327"/>
      <c r="E25" s="327"/>
      <c r="F25" s="328">
        <f>F12+F16+F20+F23</f>
        <v>5551.4142883029808</v>
      </c>
      <c r="L25" s="63"/>
      <c r="M25" s="63"/>
      <c r="N25" s="63"/>
      <c r="O25" s="63"/>
    </row>
    <row r="28" spans="1:15" s="331" customFormat="1">
      <c r="B28" s="405" t="s">
        <v>296</v>
      </c>
      <c r="C28" s="405"/>
      <c r="D28" s="405"/>
      <c r="E28" s="405"/>
      <c r="F28" s="332"/>
    </row>
    <row r="29" spans="1:15" s="331" customFormat="1">
      <c r="B29" s="400" t="s">
        <v>294</v>
      </c>
      <c r="C29" s="400"/>
      <c r="D29" s="400"/>
      <c r="E29" s="400"/>
      <c r="F29" s="332">
        <v>5450</v>
      </c>
    </row>
    <row r="30" spans="1:15" s="331" customFormat="1">
      <c r="B30" s="400" t="s">
        <v>295</v>
      </c>
      <c r="C30" s="400"/>
      <c r="D30" s="400"/>
      <c r="E30" s="400"/>
      <c r="F30" s="332">
        <v>5450</v>
      </c>
    </row>
    <row r="31" spans="1:15" s="331" customFormat="1">
      <c r="B31" s="400"/>
      <c r="C31" s="400"/>
      <c r="D31" s="400"/>
      <c r="E31" s="400"/>
      <c r="F31" s="332"/>
    </row>
    <row r="32" spans="1:15" s="331" customFormat="1">
      <c r="B32" s="405" t="s">
        <v>293</v>
      </c>
      <c r="C32" s="405"/>
      <c r="D32" s="405"/>
      <c r="E32" s="405"/>
      <c r="F32" s="332"/>
    </row>
    <row r="33" spans="2:6" s="331" customFormat="1">
      <c r="B33" s="400" t="s">
        <v>294</v>
      </c>
      <c r="C33" s="400"/>
      <c r="D33" s="400"/>
      <c r="E33" s="400"/>
      <c r="F33" s="332">
        <v>5550</v>
      </c>
    </row>
    <row r="34" spans="2:6" s="331" customFormat="1">
      <c r="B34" s="400" t="s">
        <v>295</v>
      </c>
      <c r="C34" s="400"/>
      <c r="D34" s="400"/>
      <c r="E34" s="400"/>
      <c r="F34" s="332">
        <v>5550</v>
      </c>
    </row>
  </sheetData>
  <mergeCells count="9">
    <mergeCell ref="B33:E33"/>
    <mergeCell ref="B34:E34"/>
    <mergeCell ref="A1:F1"/>
    <mergeCell ref="A3:F3"/>
    <mergeCell ref="B28:E28"/>
    <mergeCell ref="B29:E29"/>
    <mergeCell ref="B31:E31"/>
    <mergeCell ref="B30:E30"/>
    <mergeCell ref="B32:E32"/>
  </mergeCells>
  <pageMargins left="0.91" right="0.7" top="0.75" bottom="0.75" header="0.3" footer="0.3"/>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BOQ</vt:lpstr>
      <vt:lpstr>BOQ Major</vt:lpstr>
      <vt:lpstr>Top Sheet</vt:lpstr>
      <vt:lpstr>BOQ Split</vt:lpstr>
      <vt:lpstr>RA</vt:lpstr>
      <vt:lpstr>IDC</vt:lpstr>
      <vt:lpstr>Materials</vt:lpstr>
      <vt:lpstr>BOQ Coeff</vt:lpstr>
      <vt:lpstr>Sheet1</vt:lpstr>
      <vt:lpstr>BOQ!Print_Area</vt:lpstr>
      <vt:lpstr>'BOQ Coeff'!Print_Area</vt:lpstr>
      <vt:lpstr>'BOQ Major'!Print_Area</vt:lpstr>
      <vt:lpstr>'BOQ Split'!Print_Area</vt:lpstr>
      <vt:lpstr>IDC!Print_Area</vt:lpstr>
      <vt:lpstr>Materials!Print_Area</vt:lpstr>
      <vt:lpstr>RA!Print_Area</vt:lpstr>
      <vt:lpstr>Sheet1!Print_Area</vt:lpstr>
      <vt:lpstr>'Top Sheet'!Print_Area</vt:lpstr>
      <vt:lpstr>IDC!Print_Titles</vt:lpstr>
      <vt:lpstr>Materials!Print_Titles</vt:lpstr>
      <vt:lpstr>RA!Print_Titles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cp:lastPrinted>2025-12-03T12:08:19Z</cp:lastPrinted>
  <dcterms:created xsi:type="dcterms:W3CDTF">2024-01-12T06:17:15Z</dcterms:created>
  <dcterms:modified xsi:type="dcterms:W3CDTF">2025-12-12T10:36:05Z</dcterms:modified>
</cp:coreProperties>
</file>